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https://uoa-my.sharepoint.com/personal/jken467_uoa_auckland_ac_nz/Documents/2ndsubmission_degradation_review/FINALsubmission_package_2ndsubmission_degradationreview/"/>
    </mc:Choice>
  </mc:AlternateContent>
  <xr:revisionPtr revIDLastSave="1796" documentId="8_{FFF8D41C-AAE8-C849-A4C3-D008772BB409}" xr6:coauthVersionLast="47" xr6:coauthVersionMax="47" xr10:uidLastSave="{C7F66302-EEA6-B54D-B93C-6EA3F6CECAA7}"/>
  <bookViews>
    <workbookView xWindow="28800" yWindow="500" windowWidth="36360" windowHeight="21100" activeTab="1" xr2:uid="{636D8047-D33E-4A76-968E-E8345343AFDC}"/>
  </bookViews>
  <sheets>
    <sheet name="S1_all_observations" sheetId="22" r:id="rId1"/>
    <sheet name="S2_all_studies" sheetId="21" r:id="rId2"/>
    <sheet name="S3_model_fitting" sheetId="23" r:id="rId3"/>
    <sheet name="S4_CN_changes" sheetId="12" r:id="rId4"/>
    <sheet name="S5_Rejected_studies" sheetId="4" r:id="rId5"/>
    <sheet name="S6_algal_taxonomy" sheetId="24" r:id="rId6"/>
    <sheet name="metadata" sheetId="7" r:id="rId7"/>
  </sheets>
  <externalReferences>
    <externalReference r:id="rId8"/>
  </externalReferences>
  <definedNames>
    <definedName name="_xlnm._FilterDatabase" localSheetId="0" hidden="1">S1_all_observations!$A$2:$CJ$505</definedName>
    <definedName name="_xlnm.Extract" localSheetId="0">S1_all_observations!$AC$507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507" i="22" l="1"/>
  <c r="BC455" i="22"/>
  <c r="BC453" i="22"/>
  <c r="BC454" i="22"/>
  <c r="AC121" i="12"/>
  <c r="E2273" i="23"/>
  <c r="E2272" i="23"/>
  <c r="E2271" i="23"/>
  <c r="E2270" i="23"/>
  <c r="E2269" i="23"/>
  <c r="E2268" i="23"/>
  <c r="E2267" i="23"/>
  <c r="E2232" i="23"/>
  <c r="E2231" i="23"/>
  <c r="E2230" i="23"/>
  <c r="E2229" i="23"/>
  <c r="E2228" i="23"/>
  <c r="E2227" i="23"/>
  <c r="E2226" i="23"/>
  <c r="E2225" i="23"/>
  <c r="E2224" i="23"/>
  <c r="E2223" i="23"/>
  <c r="E2222" i="23"/>
  <c r="E2221" i="23"/>
  <c r="E2220" i="23"/>
  <c r="E2219" i="23"/>
  <c r="E2218" i="23"/>
  <c r="E2216" i="23"/>
  <c r="E2215" i="23"/>
  <c r="E2214" i="23"/>
  <c r="E2213" i="23"/>
  <c r="E2212" i="23"/>
  <c r="E2211" i="23"/>
  <c r="E2210" i="23"/>
  <c r="E2209" i="23"/>
  <c r="E2208" i="23"/>
  <c r="E2207" i="23"/>
  <c r="E2206" i="23"/>
  <c r="E2205" i="23"/>
  <c r="E2204" i="23"/>
  <c r="E2203" i="23"/>
  <c r="E2202" i="23"/>
  <c r="E2201" i="23"/>
  <c r="E2200" i="23"/>
  <c r="E2199" i="23"/>
  <c r="E2198" i="23"/>
  <c r="E2197" i="23"/>
  <c r="E2196" i="23"/>
  <c r="E2195" i="23"/>
  <c r="E2194" i="23"/>
  <c r="E2193" i="23"/>
  <c r="E2192" i="23"/>
  <c r="E2191" i="23"/>
  <c r="E2190" i="23"/>
  <c r="E2189" i="23"/>
  <c r="E2188" i="23"/>
  <c r="E2187" i="23"/>
  <c r="E2186" i="23"/>
  <c r="E2185" i="23"/>
  <c r="E2173" i="23"/>
  <c r="E2172" i="23"/>
  <c r="E2171" i="23"/>
  <c r="E2170" i="23"/>
  <c r="E2169" i="23"/>
  <c r="E2168" i="23"/>
  <c r="E2167" i="23"/>
  <c r="E2166" i="23"/>
  <c r="E2165" i="23"/>
  <c r="E2164" i="23"/>
  <c r="E2163" i="23"/>
  <c r="E2162" i="23"/>
  <c r="E2161" i="23"/>
  <c r="E2160" i="23"/>
  <c r="E2159" i="23"/>
  <c r="E2158" i="23"/>
  <c r="E2157" i="23"/>
  <c r="E2156" i="23"/>
  <c r="E2155" i="23"/>
  <c r="E2154" i="23"/>
  <c r="E2153" i="23"/>
  <c r="E2152" i="23"/>
  <c r="E2151" i="23"/>
  <c r="E2150" i="23"/>
  <c r="E2149" i="23"/>
  <c r="E2148" i="23"/>
  <c r="E2147" i="23"/>
  <c r="E2146" i="23"/>
  <c r="E2145" i="23"/>
  <c r="E2144" i="23"/>
  <c r="E2143" i="23"/>
  <c r="E2142" i="23"/>
  <c r="E2141" i="23"/>
  <c r="E2140" i="23"/>
  <c r="E2139" i="23"/>
  <c r="E2138" i="23"/>
  <c r="E2137" i="23"/>
  <c r="E2136" i="23"/>
  <c r="E2135" i="23"/>
  <c r="E2134" i="23"/>
  <c r="E2133" i="23"/>
  <c r="E2132" i="23"/>
  <c r="E2131" i="23"/>
  <c r="E2130" i="23"/>
  <c r="E2129" i="23"/>
  <c r="E2128" i="23"/>
  <c r="E2127" i="23"/>
  <c r="E2126" i="23"/>
  <c r="E2125" i="23"/>
  <c r="E2124" i="23"/>
  <c r="E2123" i="23"/>
  <c r="E2122" i="23"/>
  <c r="E2121" i="23"/>
  <c r="E2120" i="23"/>
  <c r="E2119" i="23"/>
  <c r="E2118" i="23"/>
  <c r="E2117" i="23"/>
  <c r="E2116" i="23"/>
  <c r="E2115" i="23"/>
  <c r="E2114" i="23"/>
  <c r="E2113" i="23"/>
  <c r="E2112" i="23"/>
  <c r="K2065" i="23"/>
  <c r="K2059" i="23"/>
  <c r="K2047" i="23"/>
  <c r="K2041" i="23"/>
  <c r="E2038" i="23"/>
  <c r="E2037" i="23"/>
  <c r="E2036" i="23"/>
  <c r="E2035" i="23"/>
  <c r="E2034" i="23"/>
  <c r="E2033" i="23"/>
  <c r="E2032" i="23"/>
  <c r="E2031" i="23"/>
  <c r="E2030" i="23"/>
  <c r="E2029" i="23"/>
  <c r="E2028" i="23"/>
  <c r="E2027" i="23"/>
  <c r="E2026" i="23"/>
  <c r="E2025" i="23"/>
  <c r="E2024" i="23"/>
  <c r="E2023" i="23"/>
  <c r="E2022" i="23"/>
  <c r="E2021" i="23"/>
  <c r="E2020" i="23"/>
  <c r="E2019" i="23"/>
  <c r="E2018" i="23"/>
  <c r="E2017" i="23"/>
  <c r="E2016" i="23"/>
  <c r="E2015" i="23"/>
  <c r="E2014" i="23"/>
  <c r="E2013" i="23"/>
  <c r="E2012" i="23"/>
  <c r="E2011" i="23"/>
  <c r="E2010" i="23"/>
  <c r="E2009" i="23"/>
  <c r="E2008" i="23"/>
  <c r="E2007" i="23"/>
  <c r="E2006" i="23"/>
  <c r="E2005" i="23"/>
  <c r="E2004" i="23"/>
  <c r="E2003" i="23"/>
  <c r="E2002" i="23"/>
  <c r="E2001" i="23"/>
  <c r="E2000" i="23"/>
  <c r="E1999" i="23"/>
  <c r="E1998" i="23"/>
  <c r="E1997" i="23"/>
  <c r="E1996" i="23"/>
  <c r="E1995" i="23"/>
  <c r="E1994" i="23"/>
  <c r="E1993" i="23"/>
  <c r="E1992" i="23"/>
  <c r="E1991" i="23"/>
  <c r="E1990" i="23"/>
  <c r="E1989" i="23"/>
  <c r="E1988" i="23"/>
  <c r="E1987" i="23"/>
  <c r="E1986" i="23"/>
  <c r="E1985" i="23"/>
  <c r="E1984" i="23"/>
  <c r="E1983" i="23"/>
  <c r="E1982" i="23"/>
  <c r="E1981" i="23"/>
  <c r="E1980" i="23"/>
  <c r="E1979" i="23"/>
  <c r="E1978" i="23"/>
  <c r="E1977" i="23"/>
  <c r="E1976" i="23"/>
  <c r="E1975" i="23"/>
  <c r="E1974" i="23"/>
  <c r="E1973" i="23"/>
  <c r="E1972" i="23"/>
  <c r="E1971" i="23"/>
  <c r="E1970" i="23"/>
  <c r="E1969" i="23"/>
  <c r="E1968" i="23"/>
  <c r="E1967" i="23"/>
  <c r="E1966" i="23"/>
  <c r="E1965" i="23"/>
  <c r="E1964" i="23"/>
  <c r="E1963" i="23"/>
  <c r="E1962" i="23"/>
  <c r="E1788" i="23"/>
  <c r="E1787" i="23"/>
  <c r="E1786" i="23"/>
  <c r="E1785" i="23"/>
  <c r="E1784" i="23"/>
  <c r="E1783" i="23"/>
  <c r="E1782" i="23"/>
  <c r="E1781" i="23"/>
  <c r="E1780" i="23"/>
  <c r="E1779" i="23"/>
  <c r="F1778" i="23"/>
  <c r="F1777" i="23"/>
  <c r="F1776" i="23"/>
  <c r="F1774" i="23"/>
  <c r="F1773" i="23"/>
  <c r="F1771" i="23"/>
  <c r="F1770" i="23"/>
  <c r="F1768" i="23"/>
  <c r="E1768" i="23"/>
  <c r="F1766" i="23"/>
  <c r="F1765" i="23"/>
  <c r="F1763" i="23"/>
  <c r="F1762" i="23"/>
  <c r="F1760" i="23"/>
  <c r="F1759" i="23"/>
  <c r="F1758" i="23"/>
  <c r="E1756" i="23"/>
  <c r="E1755" i="23"/>
  <c r="E1754" i="23"/>
  <c r="E1753" i="23"/>
  <c r="E1752" i="23"/>
  <c r="E1751" i="23"/>
  <c r="E1750" i="23"/>
  <c r="E1749" i="23"/>
  <c r="E1748" i="23"/>
  <c r="E1747" i="23"/>
  <c r="E1746" i="23"/>
  <c r="E1745" i="23"/>
  <c r="E1744" i="23"/>
  <c r="E1743" i="23"/>
  <c r="E1742" i="23"/>
  <c r="E1741" i="23"/>
  <c r="E1740" i="23"/>
  <c r="E1739" i="23"/>
  <c r="E1738" i="23"/>
  <c r="E1737" i="23"/>
  <c r="E1736" i="23"/>
  <c r="E1735" i="23"/>
  <c r="E1734" i="23"/>
  <c r="E1733" i="23"/>
  <c r="E1732" i="23"/>
  <c r="E1731" i="23"/>
  <c r="E1730" i="23"/>
  <c r="E1729" i="23"/>
  <c r="E1728" i="23"/>
  <c r="E1727" i="23"/>
  <c r="E1590" i="23"/>
  <c r="E1589" i="23"/>
  <c r="E1588" i="23"/>
  <c r="E1587" i="23"/>
  <c r="E1586" i="23"/>
  <c r="E1585" i="23"/>
  <c r="E1584" i="23"/>
  <c r="E1583" i="23"/>
  <c r="E1582" i="23"/>
  <c r="E1581" i="23"/>
  <c r="E1580" i="23"/>
  <c r="E1579" i="23"/>
  <c r="E1578" i="23"/>
  <c r="E1577" i="23"/>
  <c r="E1576" i="23"/>
  <c r="E1575" i="23"/>
  <c r="E1546" i="23"/>
  <c r="E1545" i="23"/>
  <c r="E1544" i="23"/>
  <c r="E1543" i="23"/>
  <c r="E1542" i="23"/>
  <c r="E1541" i="23"/>
  <c r="E1540" i="23"/>
  <c r="E1539" i="23"/>
  <c r="E1538" i="23"/>
  <c r="E1537" i="23"/>
  <c r="E1536" i="23"/>
  <c r="E1535" i="23"/>
  <c r="E1534" i="23"/>
  <c r="E1533" i="23"/>
  <c r="E1532" i="23"/>
  <c r="E1531" i="23"/>
  <c r="E1530" i="23"/>
  <c r="E1529" i="23"/>
  <c r="E1528" i="23"/>
  <c r="E1527" i="23"/>
  <c r="E1526" i="23"/>
  <c r="E1525" i="23"/>
  <c r="E1524" i="23"/>
  <c r="E1523" i="23"/>
  <c r="E1522" i="23"/>
  <c r="E1521" i="23"/>
  <c r="E1520" i="23"/>
  <c r="E1519" i="23"/>
  <c r="E1518" i="23"/>
  <c r="E1511" i="23"/>
  <c r="E1510" i="23"/>
  <c r="E1509" i="23"/>
  <c r="E1508" i="23"/>
  <c r="E1507" i="23"/>
  <c r="E1506" i="23"/>
  <c r="E1505" i="23"/>
  <c r="E1504" i="23"/>
  <c r="E1503" i="23"/>
  <c r="E1502" i="23"/>
  <c r="E1501" i="23"/>
  <c r="E1500" i="23"/>
  <c r="E1499" i="23"/>
  <c r="E1498" i="23"/>
  <c r="E1497" i="23"/>
  <c r="E1496" i="23"/>
  <c r="E1495" i="23"/>
  <c r="E1494" i="23"/>
  <c r="E1493" i="23"/>
  <c r="E1492" i="23"/>
  <c r="E1491" i="23"/>
  <c r="E1490" i="23"/>
  <c r="E1489" i="23"/>
  <c r="E1488" i="23"/>
  <c r="E1164" i="23"/>
  <c r="E1163" i="23"/>
  <c r="E1162" i="23"/>
  <c r="E1161" i="23"/>
  <c r="E1160" i="23"/>
  <c r="E1159" i="23"/>
  <c r="E1158" i="23"/>
  <c r="E1157" i="23"/>
  <c r="E1156" i="23"/>
  <c r="E1155" i="23"/>
  <c r="E1154" i="23"/>
  <c r="E1153" i="23"/>
  <c r="E1152" i="23"/>
  <c r="E1151" i="23"/>
  <c r="E1150" i="23"/>
  <c r="E1149" i="23"/>
  <c r="E1148" i="23"/>
  <c r="E1147" i="23"/>
  <c r="E1146" i="23"/>
  <c r="E1145" i="23"/>
  <c r="E1144" i="23"/>
  <c r="E1143" i="23"/>
  <c r="E1142" i="23"/>
  <c r="E1141" i="23"/>
  <c r="E1140" i="23"/>
  <c r="E1139" i="23"/>
  <c r="E1138" i="23"/>
  <c r="E1137" i="23"/>
  <c r="E1136" i="23"/>
  <c r="E1135" i="23"/>
  <c r="E1134" i="23"/>
  <c r="E1133" i="23"/>
  <c r="E1132" i="23"/>
  <c r="E1131" i="23"/>
  <c r="E1130" i="23"/>
  <c r="E1129" i="23"/>
  <c r="E1128" i="23"/>
  <c r="E1127" i="23"/>
  <c r="E1126" i="23"/>
  <c r="E1125" i="23"/>
  <c r="E1124" i="23"/>
  <c r="E1123" i="23"/>
  <c r="E1122" i="23"/>
  <c r="E1121" i="23"/>
  <c r="E1120" i="23"/>
  <c r="E1119" i="23"/>
  <c r="E1118" i="23"/>
  <c r="E1117" i="23"/>
  <c r="E1116" i="23"/>
  <c r="E1115" i="23"/>
  <c r="E1114" i="23"/>
  <c r="E1113" i="23"/>
  <c r="E1112" i="23"/>
  <c r="E1111" i="23"/>
  <c r="E1110" i="23"/>
  <c r="E1109" i="23"/>
  <c r="E1108" i="23"/>
  <c r="E1107" i="23"/>
  <c r="E1106" i="23"/>
  <c r="E1105" i="23"/>
  <c r="E1104" i="23"/>
  <c r="E1103" i="23"/>
  <c r="E1102" i="23"/>
  <c r="E1101" i="23"/>
  <c r="E1100" i="23"/>
  <c r="K1099" i="23"/>
  <c r="E1099" i="23"/>
  <c r="E1098" i="23"/>
  <c r="E1097" i="23"/>
  <c r="E1096" i="23"/>
  <c r="E1095" i="23"/>
  <c r="E1094" i="23"/>
  <c r="E1073" i="23"/>
  <c r="E1072" i="23"/>
  <c r="E1071" i="23"/>
  <c r="E1070" i="23"/>
  <c r="E1069" i="23"/>
  <c r="E1068" i="23"/>
  <c r="E1067" i="23"/>
  <c r="E1066" i="23"/>
  <c r="E1065" i="23"/>
  <c r="E1064" i="23"/>
  <c r="E1063" i="23"/>
  <c r="E1062" i="23"/>
  <c r="E1061" i="23"/>
  <c r="E1060" i="23"/>
  <c r="E1059" i="23"/>
  <c r="E1058" i="23"/>
  <c r="E1057" i="23"/>
  <c r="E1056" i="23"/>
  <c r="E1055" i="23"/>
  <c r="E1054" i="23"/>
  <c r="E1053" i="23"/>
  <c r="E1052" i="23"/>
  <c r="P1013" i="23"/>
  <c r="E939" i="23"/>
  <c r="E938" i="23"/>
  <c r="E937" i="23"/>
  <c r="E936" i="23"/>
  <c r="E935" i="23"/>
  <c r="E934" i="23"/>
  <c r="E933" i="23"/>
  <c r="E932" i="23"/>
  <c r="E931" i="23"/>
  <c r="E930" i="23"/>
  <c r="E929" i="23"/>
  <c r="E928" i="23"/>
  <c r="E927" i="23"/>
  <c r="E926" i="23"/>
  <c r="E925" i="23"/>
  <c r="E924" i="23"/>
  <c r="E923" i="23"/>
  <c r="E922" i="23"/>
  <c r="E921" i="23"/>
  <c r="E860" i="23"/>
  <c r="E859" i="23"/>
  <c r="E858" i="23"/>
  <c r="E857" i="23"/>
  <c r="E856" i="23"/>
  <c r="E855" i="23"/>
  <c r="E854" i="23"/>
  <c r="E853" i="23"/>
  <c r="E852" i="23"/>
  <c r="E851" i="23"/>
  <c r="E850" i="23"/>
  <c r="E849" i="23"/>
  <c r="E848" i="23"/>
  <c r="E847" i="23"/>
  <c r="E846" i="23"/>
  <c r="E845" i="23"/>
  <c r="E844" i="23"/>
  <c r="E843" i="23"/>
  <c r="E842" i="23"/>
  <c r="E841" i="23"/>
  <c r="E840" i="23"/>
  <c r="E839" i="23"/>
  <c r="E838" i="23"/>
  <c r="E837" i="23"/>
  <c r="E836" i="23"/>
  <c r="E835" i="23"/>
  <c r="E834" i="23"/>
  <c r="E833" i="23"/>
  <c r="E832" i="23"/>
  <c r="E831" i="23"/>
  <c r="E830" i="23"/>
  <c r="E829" i="23"/>
  <c r="E828" i="23"/>
  <c r="E827" i="23"/>
  <c r="E826" i="23"/>
  <c r="P790" i="23"/>
  <c r="P782" i="23"/>
  <c r="P774" i="23"/>
  <c r="P765" i="23"/>
  <c r="P761" i="23"/>
  <c r="E710" i="23"/>
  <c r="E709" i="23"/>
  <c r="E708" i="23"/>
  <c r="E707" i="23"/>
  <c r="E706" i="23"/>
  <c r="E705" i="23"/>
  <c r="E704" i="23"/>
  <c r="E703" i="23"/>
  <c r="E702" i="23"/>
  <c r="E701" i="23"/>
  <c r="E700" i="23"/>
  <c r="E699" i="23"/>
  <c r="E698" i="23"/>
  <c r="E697" i="23"/>
  <c r="E696" i="23"/>
  <c r="E695" i="23"/>
  <c r="E694" i="23"/>
  <c r="E693" i="23"/>
  <c r="E692" i="23"/>
  <c r="E691" i="23"/>
  <c r="E690" i="23"/>
  <c r="E689" i="23"/>
  <c r="E688" i="23"/>
  <c r="E687" i="23"/>
  <c r="E686" i="23"/>
  <c r="E685" i="23"/>
  <c r="E684" i="23"/>
  <c r="E683" i="23"/>
  <c r="E682" i="23"/>
  <c r="E681" i="23"/>
  <c r="E680" i="23"/>
  <c r="E679" i="23"/>
  <c r="E678" i="23"/>
  <c r="E677" i="23"/>
  <c r="E676" i="23"/>
  <c r="E675" i="23"/>
  <c r="E674" i="23"/>
  <c r="E673" i="23"/>
  <c r="E672" i="23"/>
  <c r="E671" i="23"/>
  <c r="E637" i="23"/>
  <c r="E636" i="23"/>
  <c r="E635" i="23"/>
  <c r="E634" i="23"/>
  <c r="E633" i="23"/>
  <c r="E632" i="23"/>
  <c r="E631" i="23"/>
  <c r="E630" i="23"/>
  <c r="E629" i="23"/>
  <c r="E628" i="23"/>
  <c r="E627" i="23"/>
  <c r="P597" i="23"/>
  <c r="N577" i="23"/>
  <c r="N576" i="23"/>
  <c r="N575" i="23"/>
  <c r="N574" i="23"/>
  <c r="N573" i="23"/>
  <c r="N572" i="23"/>
  <c r="N571" i="23"/>
  <c r="N570" i="23"/>
  <c r="N569" i="23"/>
  <c r="N568" i="23"/>
  <c r="N567" i="23"/>
  <c r="N566" i="23"/>
  <c r="P559" i="23"/>
  <c r="P556" i="23"/>
  <c r="P553" i="23"/>
  <c r="P550" i="23"/>
  <c r="P547" i="23"/>
  <c r="P544" i="23"/>
  <c r="P538" i="23"/>
  <c r="P535" i="23"/>
  <c r="P529" i="23"/>
  <c r="P526" i="23"/>
  <c r="P522" i="23"/>
  <c r="E521" i="23"/>
  <c r="E520" i="23"/>
  <c r="P519" i="23"/>
  <c r="E519" i="23"/>
  <c r="E518" i="23"/>
  <c r="E517" i="23"/>
  <c r="E516" i="23"/>
  <c r="E515" i="23"/>
  <c r="E514" i="23"/>
  <c r="E513" i="23"/>
  <c r="E512" i="23"/>
  <c r="E511" i="23"/>
  <c r="E510" i="23"/>
  <c r="E509" i="23"/>
  <c r="E508" i="23"/>
  <c r="E507" i="23"/>
  <c r="E506" i="23"/>
  <c r="E505" i="23"/>
  <c r="E504" i="23"/>
  <c r="E503" i="23"/>
  <c r="E502" i="23"/>
  <c r="E501" i="23"/>
  <c r="E500" i="23"/>
  <c r="E499" i="23"/>
  <c r="E498" i="23"/>
  <c r="E497" i="23"/>
  <c r="E496" i="23"/>
  <c r="E495" i="23"/>
  <c r="E494" i="23"/>
  <c r="E493" i="23"/>
  <c r="E492" i="23"/>
  <c r="E491" i="23"/>
  <c r="E490" i="23"/>
  <c r="E489" i="23"/>
  <c r="E488" i="23"/>
  <c r="E487" i="23"/>
  <c r="E486" i="23"/>
  <c r="E485" i="23"/>
  <c r="E484" i="23"/>
  <c r="E483" i="23"/>
  <c r="E482" i="23"/>
  <c r="E481" i="23"/>
  <c r="E480" i="23"/>
  <c r="E479" i="23"/>
  <c r="E478" i="23"/>
  <c r="E477" i="23"/>
  <c r="K460" i="23"/>
  <c r="N406" i="23"/>
  <c r="N405" i="23"/>
  <c r="N404" i="23"/>
  <c r="N403" i="23"/>
  <c r="N402" i="23"/>
  <c r="N401" i="23"/>
  <c r="E400" i="23"/>
  <c r="E399" i="23"/>
  <c r="E398" i="23"/>
  <c r="E397" i="23"/>
  <c r="E396" i="23"/>
  <c r="E395" i="23"/>
  <c r="E394" i="23"/>
  <c r="E393" i="23"/>
  <c r="E392" i="23"/>
  <c r="E391" i="23"/>
  <c r="N357" i="23"/>
  <c r="N356" i="23"/>
  <c r="N355" i="23"/>
  <c r="N354" i="23"/>
  <c r="N349" i="23"/>
  <c r="N348" i="23"/>
  <c r="N347" i="23"/>
  <c r="N346" i="23"/>
  <c r="N345" i="23"/>
  <c r="N344" i="23"/>
  <c r="N343" i="23"/>
  <c r="N342" i="23"/>
  <c r="N341" i="23"/>
  <c r="N340" i="23"/>
  <c r="N339" i="23"/>
  <c r="N338" i="23"/>
  <c r="N337" i="23"/>
  <c r="N336" i="23"/>
  <c r="N335" i="23"/>
  <c r="N297" i="23"/>
  <c r="N296" i="23"/>
  <c r="N295" i="23"/>
  <c r="N294" i="23"/>
  <c r="E293" i="23"/>
  <c r="E292" i="23"/>
  <c r="E291" i="23"/>
  <c r="E290" i="23"/>
  <c r="E289" i="23"/>
  <c r="E288" i="23"/>
  <c r="E287" i="23"/>
  <c r="E286" i="23"/>
  <c r="E285" i="23"/>
  <c r="E284" i="23"/>
  <c r="E283" i="23"/>
  <c r="E282" i="23"/>
  <c r="E267" i="23"/>
  <c r="E266" i="23"/>
  <c r="E265" i="23"/>
  <c r="E264" i="23"/>
  <c r="E263" i="23"/>
  <c r="E262" i="23"/>
  <c r="E261" i="23"/>
  <c r="E260" i="23"/>
  <c r="E259" i="23"/>
  <c r="E258" i="23"/>
  <c r="E257" i="23"/>
  <c r="E256" i="23"/>
  <c r="E255" i="23"/>
  <c r="E254" i="23"/>
  <c r="E253" i="23"/>
  <c r="E252" i="23"/>
  <c r="E251" i="23"/>
  <c r="E250" i="23"/>
  <c r="E249" i="23"/>
  <c r="E248" i="23"/>
  <c r="E247" i="23"/>
  <c r="E246" i="23"/>
  <c r="E245" i="23"/>
  <c r="E244" i="23"/>
  <c r="E243" i="23"/>
  <c r="E242" i="23"/>
  <c r="E241" i="23"/>
  <c r="E240" i="23"/>
  <c r="E239" i="23"/>
  <c r="E238" i="23"/>
  <c r="E237" i="23"/>
  <c r="E236" i="23"/>
  <c r="E235" i="23"/>
  <c r="E234" i="23"/>
  <c r="E233" i="23"/>
  <c r="E232" i="23"/>
  <c r="E231" i="23"/>
  <c r="E230" i="23"/>
  <c r="E229" i="23"/>
  <c r="E228" i="23"/>
  <c r="E227" i="23"/>
  <c r="E226" i="23"/>
  <c r="E225" i="23"/>
  <c r="P73" i="23"/>
  <c r="E15" i="23"/>
  <c r="E14" i="23"/>
  <c r="E13" i="23"/>
  <c r="E12" i="23"/>
  <c r="E11" i="23"/>
  <c r="E10" i="23"/>
  <c r="E9" i="23"/>
  <c r="E8" i="23"/>
  <c r="E7" i="23"/>
  <c r="E6" i="23"/>
  <c r="E5" i="23"/>
  <c r="E4" i="23"/>
  <c r="E3" i="23"/>
  <c r="CD371" i="22"/>
  <c r="CB505" i="22"/>
  <c r="CD377" i="22"/>
  <c r="CD375" i="22"/>
  <c r="BD370" i="22"/>
  <c r="BC370" i="22"/>
  <c r="CB370" i="22"/>
  <c r="AM370" i="22"/>
  <c r="BD369" i="22"/>
  <c r="BC369" i="22"/>
  <c r="CB369" i="22"/>
  <c r="AM369" i="22"/>
  <c r="CD374" i="22"/>
  <c r="CD372" i="22"/>
  <c r="BD456" i="22"/>
  <c r="BC456" i="22"/>
  <c r="CB456" i="22"/>
  <c r="CB504" i="22"/>
  <c r="CD268" i="22"/>
  <c r="CD267" i="22"/>
  <c r="CD265" i="22"/>
  <c r="CD384" i="22"/>
  <c r="CD212" i="22"/>
  <c r="BD482" i="22"/>
  <c r="CA482" i="22"/>
  <c r="CB482" i="22" s="1"/>
  <c r="BD481" i="22"/>
  <c r="CA481" i="22"/>
  <c r="CB481" i="22" s="1"/>
  <c r="BD480" i="22"/>
  <c r="CA480" i="22"/>
  <c r="CB480" i="22" s="1"/>
  <c r="BD479" i="22"/>
  <c r="CA479" i="22"/>
  <c r="CB479" i="22" s="1"/>
  <c r="CD266" i="22"/>
  <c r="BD485" i="22"/>
  <c r="CA485" i="22"/>
  <c r="CB485" i="22" s="1"/>
  <c r="BD483" i="22"/>
  <c r="CA483" i="22"/>
  <c r="CB483" i="22" s="1"/>
  <c r="CD379" i="22"/>
  <c r="BD486" i="22"/>
  <c r="CA486" i="22"/>
  <c r="CB486" i="22" s="1"/>
  <c r="CD269" i="22"/>
  <c r="CD378" i="22"/>
  <c r="CD382" i="22"/>
  <c r="CD383" i="22"/>
  <c r="CD380" i="22"/>
  <c r="BD484" i="22"/>
  <c r="CA484" i="22"/>
  <c r="CB484" i="22" s="1"/>
  <c r="CD387" i="22"/>
  <c r="CD385" i="22"/>
  <c r="CD388" i="22"/>
  <c r="CD386" i="22"/>
  <c r="BD367" i="22"/>
  <c r="BC367" i="22"/>
  <c r="AM367" i="22"/>
  <c r="BC472" i="22"/>
  <c r="BD498" i="22"/>
  <c r="BC498" i="22"/>
  <c r="BD499" i="22"/>
  <c r="BC499" i="22"/>
  <c r="CB135" i="22"/>
  <c r="BD500" i="22"/>
  <c r="BC500" i="22"/>
  <c r="CB500" i="22"/>
  <c r="CB496" i="22"/>
  <c r="CB497" i="22"/>
  <c r="CB494" i="22"/>
  <c r="CB495" i="22"/>
  <c r="BD368" i="22"/>
  <c r="BC368" i="22"/>
  <c r="AM368" i="22"/>
  <c r="L1730" i="23" l="1"/>
  <c r="AC57" i="12"/>
  <c r="AD57" i="12" s="1"/>
  <c r="AC111" i="12" l="1"/>
  <c r="AD111" i="12" s="1"/>
  <c r="AC178" i="12"/>
  <c r="AD178" i="12" s="1"/>
  <c r="AC176" i="12"/>
  <c r="AD176" i="12" s="1"/>
  <c r="AC177" i="12"/>
  <c r="AD177" i="12" s="1"/>
  <c r="AC175" i="12"/>
  <c r="AD175" i="12" s="1"/>
  <c r="AC3" i="12"/>
  <c r="AD3" i="12" s="1"/>
  <c r="AC2" i="12"/>
  <c r="AD2" i="12" s="1"/>
  <c r="AC4" i="12"/>
  <c r="AD4" i="12" s="1"/>
  <c r="AC6" i="12"/>
  <c r="AD6" i="12" s="1"/>
  <c r="AC5" i="12"/>
  <c r="AD5" i="12" s="1"/>
  <c r="AC179" i="12"/>
  <c r="AD179" i="12" s="1"/>
  <c r="AC7" i="12"/>
  <c r="AD7" i="12" s="1"/>
  <c r="AC180" i="12"/>
  <c r="AD180" i="12" s="1"/>
  <c r="AC112" i="12"/>
  <c r="AD112" i="12" s="1"/>
  <c r="Y182" i="12"/>
  <c r="AC182" i="12"/>
  <c r="AD182" i="12" s="1"/>
  <c r="Y181" i="12"/>
  <c r="AC181" i="12"/>
  <c r="AD181" i="12" s="1"/>
  <c r="AC114" i="12"/>
  <c r="AD114" i="12"/>
  <c r="AC113" i="12"/>
  <c r="AD113" i="12" s="1"/>
  <c r="AC9" i="12"/>
  <c r="AD9" i="12" s="1"/>
  <c r="AC183" i="12"/>
  <c r="AD183" i="12" s="1"/>
  <c r="AC8" i="12"/>
  <c r="AD8" i="12" s="1"/>
  <c r="AC10" i="12"/>
  <c r="AD10" i="12" s="1"/>
  <c r="AC118" i="12"/>
  <c r="AD118" i="12" s="1"/>
  <c r="AC117" i="12"/>
  <c r="AD117" i="12" s="1"/>
  <c r="AC12" i="12"/>
  <c r="AD12" i="12" s="1"/>
  <c r="AC13" i="12"/>
  <c r="AD13" i="12" s="1"/>
  <c r="AC33" i="12"/>
  <c r="AD33" i="12" s="1"/>
  <c r="AC17" i="12"/>
  <c r="AD17" i="12" s="1"/>
  <c r="AC26" i="12"/>
  <c r="AD26" i="12" s="1"/>
  <c r="AC190" i="12"/>
  <c r="AD190" i="12" s="1"/>
  <c r="AC44" i="12"/>
  <c r="AD44" i="12" s="1"/>
  <c r="AC120" i="12"/>
  <c r="AD120" i="12" s="1"/>
  <c r="AC45" i="12"/>
  <c r="AD45" i="12" s="1"/>
  <c r="AC46" i="12"/>
  <c r="AD46" i="12" s="1"/>
  <c r="AC189" i="12"/>
  <c r="AD189" i="12" s="1"/>
  <c r="AC47" i="12"/>
  <c r="AD47" i="12" s="1"/>
  <c r="AC49" i="12"/>
  <c r="AD49" i="12" s="1"/>
  <c r="AC48" i="12"/>
  <c r="AD48" i="12" s="1"/>
  <c r="AC55" i="12"/>
  <c r="AC51" i="12"/>
  <c r="AD121" i="12"/>
  <c r="AC59" i="12"/>
  <c r="AD59" i="12" s="1"/>
  <c r="AC192" i="12"/>
  <c r="AD192" i="12" s="1"/>
  <c r="AC58" i="12"/>
  <c r="AD58" i="12" s="1"/>
  <c r="AC62" i="12"/>
  <c r="AD62" i="12" s="1"/>
  <c r="AC193" i="12"/>
  <c r="AD193" i="12" s="1"/>
  <c r="AC60" i="12"/>
  <c r="AD60" i="12" s="1"/>
  <c r="AC61" i="12"/>
  <c r="AD61" i="12" s="1"/>
  <c r="AC63" i="12"/>
  <c r="AD63" i="12" s="1"/>
  <c r="AC64" i="12"/>
  <c r="AD64" i="12" s="1"/>
  <c r="AC122" i="12"/>
  <c r="AD122" i="12" s="1"/>
  <c r="AC123" i="12"/>
  <c r="AD123" i="12" s="1"/>
  <c r="AC73" i="12"/>
  <c r="AD73" i="12" s="1"/>
  <c r="AC74" i="12"/>
  <c r="AD74" i="12" s="1"/>
  <c r="AC71" i="12"/>
  <c r="AD71" i="12" s="1"/>
  <c r="AC72" i="12"/>
  <c r="AD72" i="12" s="1"/>
  <c r="AC70" i="12"/>
  <c r="AD70" i="12" s="1"/>
  <c r="AC65" i="12"/>
  <c r="AD65" i="12" s="1"/>
  <c r="AC68" i="12"/>
  <c r="AD68" i="12" s="1"/>
  <c r="AC66" i="12"/>
  <c r="AD66" i="12" s="1"/>
  <c r="AC69" i="12"/>
  <c r="AD69" i="12" s="1"/>
  <c r="AC67" i="12"/>
  <c r="AD67" i="12" s="1"/>
  <c r="AC75" i="12"/>
  <c r="AD75" i="12" s="1"/>
  <c r="AC76" i="12"/>
  <c r="AD76" i="12" s="1"/>
  <c r="AC77" i="12"/>
  <c r="AD77" i="12" s="1"/>
  <c r="AC78" i="12"/>
  <c r="AD78" i="12" s="1"/>
  <c r="AC194" i="12"/>
  <c r="AD194" i="12" s="1"/>
  <c r="AC124" i="12"/>
  <c r="AD124" i="12" s="1"/>
  <c r="AC197" i="12"/>
  <c r="AD197" i="12" s="1"/>
  <c r="AC84" i="12"/>
  <c r="AD84" i="12" s="1"/>
  <c r="AC83" i="12"/>
  <c r="AD83" i="12" s="1"/>
  <c r="AC79" i="12"/>
  <c r="AD79" i="12" s="1"/>
  <c r="AC86" i="12"/>
  <c r="AD86" i="12" s="1"/>
  <c r="AC80" i="12"/>
  <c r="AD80" i="12" s="1"/>
  <c r="AC81" i="12"/>
  <c r="AD81" i="12" s="1"/>
  <c r="AC82" i="12"/>
  <c r="AD82" i="12" s="1"/>
  <c r="AC88" i="12"/>
  <c r="AD88" i="12" s="1"/>
  <c r="AC85" i="12"/>
  <c r="AD85" i="12" s="1"/>
  <c r="AC196" i="12"/>
  <c r="AD196" i="12" s="1"/>
  <c r="AC195" i="12"/>
  <c r="AD195" i="12" s="1"/>
  <c r="AC87" i="12"/>
  <c r="AD87" i="12" s="1"/>
  <c r="AC89" i="12"/>
  <c r="AD89" i="12" s="1"/>
  <c r="AC90" i="12"/>
  <c r="AD90" i="12" s="1"/>
  <c r="AC198" i="12"/>
  <c r="AD198" i="12" s="1"/>
  <c r="AC91" i="12"/>
  <c r="AD91" i="12" s="1"/>
  <c r="AC131" i="12"/>
  <c r="AD131" i="12" s="1"/>
  <c r="AC129" i="12"/>
  <c r="AD129" i="12" s="1"/>
  <c r="AC127" i="12"/>
  <c r="AD127" i="12" s="1"/>
  <c r="AC128" i="12"/>
  <c r="AD128" i="12" s="1"/>
  <c r="AC125" i="12"/>
  <c r="AD125" i="12" s="1"/>
  <c r="AC126" i="12"/>
  <c r="AD126" i="12" s="1"/>
  <c r="AC130" i="12"/>
  <c r="AD130" i="12" s="1"/>
  <c r="AC132" i="12"/>
  <c r="AD132" i="12" s="1"/>
  <c r="AC92" i="12"/>
  <c r="AD92" i="12" s="1"/>
  <c r="AC199" i="12"/>
  <c r="AD199" i="12" s="1"/>
  <c r="AC133" i="12"/>
  <c r="AD133" i="12" s="1"/>
  <c r="AC200" i="12"/>
  <c r="AD200" i="12" s="1"/>
  <c r="Z154" i="12"/>
  <c r="Z155" i="12"/>
  <c r="Z156" i="12"/>
  <c r="Z157" i="12"/>
  <c r="AC94" i="12"/>
  <c r="AD94" i="12" s="1"/>
  <c r="AC201" i="12"/>
  <c r="AD201" i="12" s="1"/>
  <c r="AC93" i="12"/>
  <c r="AD93" i="12" s="1"/>
  <c r="AC202" i="12"/>
  <c r="AD202" i="12" s="1"/>
  <c r="AC203" i="12"/>
  <c r="AD203" i="12" s="1"/>
  <c r="AC108" i="12"/>
  <c r="AD108" i="12" s="1"/>
  <c r="AC106" i="12"/>
  <c r="AD106" i="12" s="1"/>
  <c r="AC105" i="12"/>
  <c r="AD105" i="12" s="1"/>
  <c r="AC104" i="12"/>
  <c r="AD104" i="12" s="1"/>
  <c r="AC101" i="12"/>
  <c r="AD101" i="12" s="1"/>
  <c r="AC96" i="12"/>
  <c r="AD96" i="12" s="1"/>
  <c r="AC95" i="12"/>
  <c r="AD95" i="12" s="1"/>
  <c r="AC97" i="12"/>
  <c r="AD97" i="12" s="1"/>
  <c r="AC98" i="12"/>
  <c r="AD98" i="12" s="1"/>
  <c r="AC107" i="12"/>
  <c r="AD107" i="12" s="1"/>
  <c r="AC204" i="12"/>
  <c r="AD204" i="12" s="1"/>
  <c r="AC103" i="12"/>
  <c r="AD103" i="12" s="1"/>
  <c r="AC102" i="12"/>
  <c r="AD102" i="12" s="1"/>
  <c r="AC100" i="12"/>
  <c r="AD100" i="12" s="1"/>
  <c r="AC99" i="12"/>
  <c r="AD99" i="12" s="1"/>
  <c r="AC109" i="12"/>
  <c r="AD109" i="12" s="1"/>
  <c r="AC110" i="12"/>
  <c r="AD110" i="12" s="1"/>
  <c r="AC184" i="12"/>
  <c r="AD184" i="12" s="1"/>
  <c r="AC185" i="12"/>
  <c r="AD185" i="12" s="1"/>
  <c r="AC11" i="12"/>
  <c r="AD11" i="12" s="1"/>
  <c r="AC115" i="12"/>
  <c r="AD115" i="12" s="1"/>
  <c r="AC186" i="12"/>
  <c r="AD186" i="12" s="1"/>
  <c r="AC116" i="12"/>
  <c r="AD116" i="12" s="1"/>
  <c r="AC188" i="12"/>
  <c r="AD188" i="12" s="1"/>
  <c r="AC187" i="12"/>
  <c r="AD187" i="12" s="1"/>
  <c r="AC119" i="12"/>
  <c r="AD119" i="12" s="1"/>
  <c r="AC40" i="12"/>
  <c r="AD40" i="12" s="1"/>
  <c r="AC29" i="12"/>
  <c r="AD29" i="12" s="1"/>
  <c r="AC32" i="12"/>
  <c r="AD32" i="12" s="1"/>
  <c r="AC37" i="12"/>
  <c r="AD37" i="12" s="1"/>
  <c r="AC36" i="12"/>
  <c r="AD36" i="12" s="1"/>
  <c r="AC38" i="12"/>
  <c r="AD38" i="12" s="1"/>
  <c r="AC35" i="12"/>
  <c r="AD35" i="12" s="1"/>
  <c r="AC39" i="12"/>
  <c r="AD39" i="12" s="1"/>
  <c r="AC34" i="12"/>
  <c r="AD34" i="12" s="1"/>
  <c r="AC30" i="12"/>
  <c r="AD30" i="12" s="1"/>
  <c r="AC21" i="12"/>
  <c r="AD21" i="12" s="1"/>
  <c r="AC16" i="12"/>
  <c r="AD16" i="12" s="1"/>
  <c r="AC15" i="12"/>
  <c r="AD15" i="12" s="1"/>
  <c r="AC22" i="12"/>
  <c r="AD22" i="12" s="1"/>
  <c r="AC20" i="12"/>
  <c r="AD20" i="12" s="1"/>
  <c r="AC19" i="12"/>
  <c r="AD19" i="12" s="1"/>
  <c r="AC14" i="12"/>
  <c r="AD14" i="12" s="1"/>
  <c r="AC18" i="12"/>
  <c r="AD18" i="12" s="1"/>
  <c r="AC43" i="12"/>
  <c r="AD43" i="12" s="1"/>
  <c r="AC41" i="12"/>
  <c r="AD41" i="12" s="1"/>
  <c r="AC42" i="12"/>
  <c r="AD42" i="12" s="1"/>
  <c r="AC31" i="12"/>
  <c r="AD31" i="12" s="1"/>
  <c r="AC28" i="12"/>
  <c r="AD28" i="12" s="1"/>
  <c r="AC25" i="12"/>
  <c r="AD25" i="12" s="1"/>
  <c r="AC27" i="12"/>
  <c r="AD27" i="12" s="1"/>
  <c r="AC24" i="12"/>
  <c r="AD24" i="12" s="1"/>
  <c r="AC23" i="12"/>
  <c r="AD23" i="12" s="1"/>
  <c r="AC191" i="12"/>
  <c r="AC56" i="12"/>
  <c r="AC54" i="12"/>
  <c r="AC53" i="12"/>
  <c r="AC52" i="12"/>
  <c r="AC50" i="12"/>
  <c r="AD172" i="12"/>
  <c r="AD173" i="12"/>
  <c r="AD174" i="12"/>
  <c r="W222" i="12"/>
  <c r="W224" i="12"/>
  <c r="W209" i="12"/>
  <c r="W220" i="12"/>
  <c r="W219" i="12"/>
  <c r="W218" i="12"/>
  <c r="W217" i="12"/>
  <c r="W169" i="12" l="1"/>
  <c r="U168" i="12"/>
  <c r="U167" i="12"/>
  <c r="W157" i="12"/>
  <c r="W156" i="12"/>
  <c r="W155" i="12"/>
  <c r="W92" i="12"/>
  <c r="W130" i="12"/>
  <c r="W126" i="12"/>
  <c r="W125" i="12"/>
  <c r="W128" i="12"/>
  <c r="W127" i="12"/>
  <c r="W129" i="12"/>
  <c r="W131" i="12"/>
  <c r="W91" i="12"/>
  <c r="W87" i="12"/>
  <c r="W195" i="12"/>
  <c r="W76" i="12"/>
  <c r="W75" i="12"/>
  <c r="W123" i="12"/>
  <c r="W64" i="12"/>
  <c r="W63" i="12"/>
  <c r="W61" i="12"/>
  <c r="W60" i="12"/>
  <c r="W193" i="12"/>
  <c r="W62" i="12"/>
  <c r="W59" i="12"/>
  <c r="W51" i="12"/>
  <c r="W55" i="12"/>
  <c r="W12" i="12"/>
  <c r="W117" i="12"/>
  <c r="W118" i="12"/>
  <c r="W10" i="12"/>
  <c r="X181" i="12"/>
  <c r="X182" i="12"/>
  <c r="W8" i="12"/>
  <c r="W183" i="12"/>
  <c r="W9" i="12"/>
  <c r="W113" i="12"/>
  <c r="W145" i="12" l="1"/>
  <c r="W142" i="12"/>
  <c r="W149" i="12"/>
  <c r="W143" i="12"/>
  <c r="W147" i="12"/>
  <c r="W139" i="12"/>
  <c r="W150" i="12"/>
  <c r="W152" i="12"/>
  <c r="W140" i="12"/>
  <c r="W4" i="12"/>
  <c r="W180" i="12"/>
  <c r="W5" i="12"/>
  <c r="T55" i="12" l="1"/>
  <c r="AD55" i="12" s="1"/>
  <c r="T54" i="12"/>
  <c r="AD54" i="12" s="1"/>
  <c r="T56" i="12"/>
  <c r="AD56" i="12" s="1"/>
  <c r="T191" i="12"/>
  <c r="AD191" i="12" s="1"/>
  <c r="T51" i="12"/>
  <c r="AD51" i="12" s="1"/>
  <c r="T50" i="12"/>
  <c r="AD50" i="12" s="1"/>
  <c r="T52" i="12"/>
  <c r="AD52" i="12" s="1"/>
  <c r="T53" i="12"/>
  <c r="AD53" i="12" s="1"/>
  <c r="W168" i="12" l="1"/>
  <c r="W16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tc={1B353EB6-4E69-9641-ADD8-2A9D3EEE240A}</author>
    <author>tc={6553CD05-D5AD-D545-8697-EAC9D0DBE16A}</author>
    <author>Caitlin Blain</author>
  </authors>
  <commentList>
    <comment ref="T111" authorId="0" shapeId="0" xr:uid="{1B353EB6-4E69-9641-ADD8-2A9D3EEE240A}">
      <text>
        <t xml:space="preserve">[Threaded comment]
Your version of Excel allows you to read this threaded comment; however, any edits to it will get removed if the file is opened in a newer version of Excel. Learn more: https://go.microsoft.com/fwlink/?linkid=870924
Comment:
    values from doc degradation c:n values are from tissue leaching </t>
      </text>
    </comment>
    <comment ref="Z121" authorId="1" shapeId="0" xr:uid="{6553CD05-D5AD-D545-8697-EAC9D0DBE16A}">
      <text>
        <t>[Threaded comment]
Your version of Excel allows you to read this threaded comment; however, any edits to it will get removed if the file is opened in a newer version of Excel. Learn more: https://go.microsoft.com/fwlink/?linkid=870924
Comment:
    c/n in seawater, not algae
Reply:
    but its mucilage so dried seawater would be mucilage</t>
      </text>
    </comment>
    <comment ref="A132" authorId="2" shapeId="0" xr:uid="{F79DF953-281E-0143-9771-4CC8F19911FB}">
      <text>
        <r>
          <rPr>
            <b/>
            <sz val="9"/>
            <color rgb="FF000000"/>
            <rFont val="Tahoma"/>
            <family val="2"/>
          </rPr>
          <t>Caitlin Blain:</t>
        </r>
        <r>
          <rPr>
            <sz val="9"/>
            <color rgb="FF000000"/>
            <rFont val="Tahoma"/>
            <family val="2"/>
          </rPr>
          <t xml:space="preserve">
</t>
        </r>
        <r>
          <rPr>
            <sz val="9"/>
            <color rgb="FF000000"/>
            <rFont val="Tahoma"/>
            <family val="2"/>
          </rPr>
          <t>Algae placed in sediments and then different C properties monitored for degradation….could flush out to include the DOC degradation values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Caitlin Blain</author>
  </authors>
  <commentList>
    <comment ref="A187" authorId="0" shapeId="0" xr:uid="{4850E573-0DCE-0D4A-A05C-7B4C4730E2D7}">
      <text>
        <r>
          <rPr>
            <b/>
            <sz val="9"/>
            <color rgb="FF000000"/>
            <rFont val="Tahoma"/>
            <family val="2"/>
          </rPr>
          <t>Caitlin Blain:</t>
        </r>
        <r>
          <rPr>
            <sz val="9"/>
            <color rgb="FF000000"/>
            <rFont val="Tahoma"/>
            <family val="2"/>
          </rPr>
          <t xml:space="preserve">
</t>
        </r>
        <r>
          <rPr>
            <sz val="9"/>
            <color rgb="FF000000"/>
            <rFont val="Tahoma"/>
            <family val="2"/>
          </rPr>
          <t>Remove - not specific to macroalga (not sure why I included)</t>
        </r>
      </text>
    </comment>
    <comment ref="A206" authorId="0" shapeId="0" xr:uid="{A5CE1620-387D-564E-9F43-498EBADE46FE}">
      <text>
        <r>
          <rPr>
            <b/>
            <sz val="9"/>
            <color rgb="FF000000"/>
            <rFont val="Tahoma"/>
            <family val="2"/>
          </rPr>
          <t>Caitlin Blain:</t>
        </r>
        <r>
          <rPr>
            <sz val="9"/>
            <color rgb="FF000000"/>
            <rFont val="Tahoma"/>
            <family val="2"/>
          </rPr>
          <t xml:space="preserve">
</t>
        </r>
        <r>
          <rPr>
            <sz val="9"/>
            <color rgb="FF000000"/>
            <rFont val="Tahoma"/>
            <family val="2"/>
          </rPr>
          <t>Probably leave out</t>
        </r>
      </text>
    </comment>
    <comment ref="A234" authorId="0" shapeId="0" xr:uid="{2601FD55-B199-054B-82DC-F5204B67CEF5}">
      <text>
        <r>
          <rPr>
            <b/>
            <sz val="9"/>
            <color rgb="FF000000"/>
            <rFont val="Tahoma"/>
            <family val="2"/>
          </rPr>
          <t>Caitlin Blain:</t>
        </r>
        <r>
          <rPr>
            <sz val="9"/>
            <color rgb="FF000000"/>
            <rFont val="Tahoma"/>
            <family val="2"/>
          </rPr>
          <t xml:space="preserve">
</t>
        </r>
        <r>
          <rPr>
            <sz val="9"/>
            <color rgb="FF000000"/>
            <rFont val="Tahoma"/>
            <family val="2"/>
          </rPr>
          <t>Degradation experiments done in distilled water….not sure if fits the criterea of inclusion</t>
        </r>
      </text>
    </comment>
    <comment ref="A340" authorId="0" shapeId="0" xr:uid="{B8975F62-E5EB-B243-BBAF-A981326C05BC}">
      <text>
        <r>
          <rPr>
            <b/>
            <sz val="9"/>
            <color rgb="FF000000"/>
            <rFont val="Tahoma"/>
            <family val="2"/>
          </rPr>
          <t>Caitlin Blain:</t>
        </r>
        <r>
          <rPr>
            <sz val="9"/>
            <color rgb="FF000000"/>
            <rFont val="Tahoma"/>
            <family val="2"/>
          </rPr>
          <t xml:space="preserve">
</t>
        </r>
        <r>
          <rPr>
            <sz val="9"/>
            <color rgb="FF000000"/>
            <rFont val="Tahoma"/>
            <family val="2"/>
          </rPr>
          <t xml:space="preserve">unlcear if duplicate of Lucas et al or just same methodology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Caitlin Blain</author>
  </authors>
  <commentList>
    <comment ref="A60" authorId="0" shapeId="0" xr:uid="{0DE57224-8D8F-0D4A-935D-71EECFCFA36D}">
      <text>
        <r>
          <rPr>
            <b/>
            <sz val="9"/>
            <color rgb="FF000000"/>
            <rFont val="Tahoma"/>
            <family val="2"/>
          </rPr>
          <t>Caitlin Blain:</t>
        </r>
        <r>
          <rPr>
            <sz val="9"/>
            <color rgb="FF000000"/>
            <rFont val="Tahoma"/>
            <family val="2"/>
          </rPr>
          <t xml:space="preserve">
</t>
        </r>
        <r>
          <rPr>
            <sz val="9"/>
            <color rgb="FF000000"/>
            <rFont val="Tahoma"/>
            <family val="2"/>
          </rPr>
          <t xml:space="preserve">Should assess what said in the paper but also what the best fit actully is. </t>
        </r>
      </text>
    </comment>
  </commentList>
</comments>
</file>

<file path=xl/sharedStrings.xml><?xml version="1.0" encoding="utf-8"?>
<sst xmlns="http://schemas.openxmlformats.org/spreadsheetml/2006/main" count="62346" uniqueCount="3230">
  <si>
    <t>Web of Science</t>
  </si>
  <si>
    <t>reference</t>
  </si>
  <si>
    <t>functional_group</t>
  </si>
  <si>
    <t>lat</t>
  </si>
  <si>
    <t>long</t>
  </si>
  <si>
    <t>country</t>
  </si>
  <si>
    <t>region</t>
  </si>
  <si>
    <t>Depth</t>
  </si>
  <si>
    <t>notes</t>
  </si>
  <si>
    <t>degradation_habitat</t>
  </si>
  <si>
    <t>season</t>
  </si>
  <si>
    <t>date</t>
  </si>
  <si>
    <t>Hwang, EK; Boo, GH; Graf, L; Yarish, C; Yoon, HS; Kim, JK2022Kelps in Korea: from population structure to aquaculture to poten- tial carbon sequestrationALGAE</t>
  </si>
  <si>
    <t>Dolliver, J; O'Connor, N2022Whole System Analysis Is Required To Determine The Fate Of Macroalgal Carbon: A Systematic ReviewJOURNAL OF PHYCOLOGY</t>
  </si>
  <si>
    <t>Zuercher, R2022Pelagic-benthic coupling in kelp forests of central CaliforniaMARINE ECOLOGY PROGRESS SERIES</t>
  </si>
  <si>
    <t>Perkins, AK; Rose, AL; Grossart, HP; Rojas-Jimenez, K; Prescott, SKB; Oakes, JM2021Oxic and Anoxic Organic Polymer Degradation Potential of Endophytic Fungi From the Marine Macroalga, Ecklonia radiataFRONTIERS IN MICROBIOLOGY</t>
  </si>
  <si>
    <t>Smith, EAE; Fox, MD2022Characterizing energy flow in kelp forest food webs: a geochemical review and call for additional researchECOGRAPHY</t>
  </si>
  <si>
    <t>Emery, KA; Dugan, JE; Bailey, RA; Miller, RJ2021Species identity drives ecosystem function in a subsidy-dependent coastal ecosystemOECOLOGIA</t>
  </si>
  <si>
    <t>Singh, CL; Huggett, MJ; Lavery, PS; Sawstrom, C; Hyndes, GA2021Kelp-Associated Microbes Facilitate Spatial Subsidy in a Detrital-Based Food Web in a Shoreline EcosystemFRONTIERS IN MARINE SCIENCE</t>
  </si>
  <si>
    <t>Raut, Y; Capone, DG2021Macroalgal detrital systems: an overlooked ecological niche for heterotrophic nitrogen fixationENVIRONMENTAL MICROBIOLOGY</t>
  </si>
  <si>
    <t>Gundersen, H; Rinde, E; Bekkby, T; Hancke, K; Gitmark, JK; Christie, H2021Variation in Population Structure and Standing Stocks of Kelp Along Multiple Environmental Gradients and Implications for Ecosystem ServicesFRONTIERS IN MARINE SCIENCE</t>
  </si>
  <si>
    <t>Astrahan, P; Korzen, L; Khanin, M; Sharoni, Y; Israel, A2021Seaweeds fast EDC bioremediation: Supporting evidence of EE2 and BPA degradation by the red seaweed Gracilaria sp., and a proposed model for the remedy of marine-borne phenol pollutantsENVIRONMENTAL POLLUTION</t>
  </si>
  <si>
    <t>Remy, F; Michel, LN; Mascart, T; De Troch, M; Lepoint, G2021Trophic ecology of macrofauna inhabiting seagrass litter accumulations is related to the pulses of dead leavesESTUARINE COASTAL AND SHELF SCIENCE</t>
  </si>
  <si>
    <t>Ramirez-Llodra, E; Pedersen, T; Dexter, KF; Hauquier, F; Guilini, K; Mikkelsen, N; Borgersen, G; Van Gyseghem, M; Vanreusel, A; Vilas, D2021Community structure of deep fjord and shelf benthic fauna receiving different detrital kelp inputs in northern NorwayDEEP-SEA RESEARCH PART I-OCEANOGRAPHIC RESEARCH PAPERS</t>
  </si>
  <si>
    <t>Vilas, D; Coll, M; Pedersen, T; Corrales, X; Filbee-Dexter, K; Wernberg, T2021Future trajectories of change for an Arctic deep-sea ecosystem connected to coastal kelp forestsRESTORATION ECOLOGY</t>
  </si>
  <si>
    <t>Weigel, BL; Pfister, CA2021The dynamics and stoichiometry of dissolved organic carbon release by kelpECOLOGY</t>
  </si>
  <si>
    <t>Both, A; Byron, CJ; Costa-Pierce, B; Parrish, CC; Brady, DC2020Detrital Subsidies in the Diet of Mytilus edulis; Macroalgal Detritus Likely Supplements Essential Fatty AcidsFRONTIERS IN MARINE SCIENCE</t>
  </si>
  <si>
    <t>Filbee-Dexter, K; Wernberg, T2020Substantial blue carbon in overlooked Australian kelp forests (vol 10, 12341, 2020)SCIENTIFIC REPORTS</t>
  </si>
  <si>
    <t>van Erk, MR; Meier, DV; Ferdelman, T; Harder, J; Bussmann, I; de Beer, D2020Kelp deposition changes mineralization pathways and microbial communities in a sandy beachLIMNOLOGY AND OCEANOGRAPHY</t>
  </si>
  <si>
    <t>Aller-Rojas, O; Moreno, B; Aponte, H; Zavala, J2020Carbon storage estimation ofLessonia trabeculatakelp beds in Southern Peru: an analysis from the San Juan de Marcona regionCARBON MANAGEMENT</t>
  </si>
  <si>
    <t>Murie, KA; Bourdeau, PE2020Fragmented kelp forest canopies retain their ability to alter local seawater chemistrySCIENTIFIC REPORTS</t>
  </si>
  <si>
    <t>Bearham, D; Vanderklift, MA; Downie, RA; Thomson, DP; Clementson, LA2020Macrophyte-derived detritus in shallow coastal waters contributes to suspended particulate organic matter and increases growth rates of Mytilus edulisMARINE ECOLOGY PROGRESS SERIES</t>
  </si>
  <si>
    <t>Gabara, SS2020Trophic structure and potential carbon and nitrogen flow of a rhodolith bed at Santa Catalina Island inferred from stable isotopesMARINE BIOLOGY</t>
  </si>
  <si>
    <t>Gebreluel, T; He, ML; Zheng, SY; Zou, SM; Woldemicael, A; Wang, CH2020Optimization of enzymatic degradation of dealginated kelp waste through response surface methodologyJOURNAL OF APPLIED PHYCOLOGY</t>
  </si>
  <si>
    <t>Filbee-Dexter, K; Pedersen, MF; Fredriksen, S; Norderhaug, KM; Rinde, E; Kristiansen, T; Albretsen, J; Wernberg, T2020Carbon export is facilitated by sea urchins transforming kelp detritusOECOLOGIA</t>
  </si>
  <si>
    <t>Pedersen, MF; Filbee-Dexter, K; Norderhaug, KM; Fredriksen, S; Frisk, NL; Fagerli, CW; Wernberg, T2020Detrital carbon production and export in high latitude kelp forestsOECOLOGIA</t>
  </si>
  <si>
    <t>Thomas, F; Le Duff, N; Leroux, C; Dartevelle, L; Riera, P2020Isotopic labeling of cultured macroalgae and isolation of C-13-labeled cell wall polysaccharides for trophic investigationsSEAWEEDS AROUND THE WORLD: STATE OF ART AND PERSPECTIVES</t>
  </si>
  <si>
    <t>Glabonjat, RA; Duncan, EG; Francesconi, KA; Maher, WA2019Transformation of arsenic lipids in decomposing Ecklonia radiataJOURNAL OF APPLIED PHYCOLOGY</t>
  </si>
  <si>
    <t>Zarco-Perello, S; Langlois, TJ; Holmes, T; Vanderklift, MA; Wernberg, T2019Overwintering tropical herbivores accelerate detritus production on temperate reefsPROCEEDINGS OF THE ROYAL SOCIETY B-BIOLOGICAL SCIENCES</t>
  </si>
  <si>
    <t>Pfister, CA; Altabet, MA; Weigel, BL2019Kelp beds and their local effects on seawater chemistry, productivity, and microbial communitiesECOLOGY</t>
  </si>
  <si>
    <t>Queiros, AM; Stephens, N; Widdicombe, S; Tait, K; McCoy, SJ; Ingels, J; Ruhl, S; Airs, R; Beesley, A; Carnovale, G; Cazenave, P; Dashfield, S; Hua, E; Jones, M; Lindeque, P; McNeill, CL; Nunes, J; Parry, H; Pascoe, C; Widdicombe, C; Smyth, T; Atkinson, A; Krause-Jensen, D; Somerfield, PJ2019Connected macroalgal-sediment systems: blue carbon and food webs in the deep coastal oceanECOLOGICAL MONOGRAPHS</t>
  </si>
  <si>
    <t>Yorke, CE; Page, HM; Miller, RJ2019Sea urchins mediate the availability of kelp detritus to benthic consumersPROCEEDINGS OF THE ROYAL SOCIETY B-BIOLOGICAL SCIENCES</t>
  </si>
  <si>
    <t>Dyer, DC; Butler, MJ; Smit, AJ; Anderson, RJ; Bolton, JJ2019Kelp forest POM during upwelling and down-welling conditions: using stable isotopes to differentiate between detritus and phytoplanktonMARINE ECOLOGY PROGRESS SERIES</t>
  </si>
  <si>
    <t>Buchholz, CM; Lebreton, B; Bartsch, I; Wiencke, C2019Variation of isotope composition in kelps from Kongsfjorden (Svalbard)MARINE BIOLOGY</t>
  </si>
  <si>
    <t>Paar, M; Lebreton, B; Graeve, M; Greenacre, M; Asmus, R; Asmus, H2019Food sources of macrozoobenthos in an Arctic kelp belt: trophic relationships revealed by stable isotope and fatty acid analysesMARINE ECOLOGY PROGRESS SERIES</t>
  </si>
  <si>
    <t>Yorke, CE; Hanns, B; Shears, N; Page, HM; Miller, RJ2019Living kelp versus plankton as food sources for suspension feedersMARINE ECOLOGY PROGRESS SERIES</t>
  </si>
  <si>
    <t>Kokubu, Y; Rothausler, E; Filippi, JB; Durieux, EDH; Komatsu, T2019Revealing the deposition of macrophytes transported offshore: Evidence of their long-distance dispersal and seasonal aggregation to the deep seaSCIENTIFIC REPORTS</t>
  </si>
  <si>
    <t>Li, HM; Zhang, YY; Liang, YT; Chen, J; Zhu, YC; Zhao, YT; Jiao, NZ2018Impacts of maricultural activities on characteristics of dissolved organic carbon and nutrients in a typical raft-culture area of the Yellow Sea, North ChinaMARINE POLLUTION BULLETIN</t>
  </si>
  <si>
    <t>Wernberg, T; Filbee-Dexter, K2018Grazers extend blue carbon transfer by slowing sinking speeds of kelp detritusSCIENTIFIC REPORTS</t>
  </si>
  <si>
    <t>Pessarrodona, A; Moore, PJ; Sayer, MDJ; Smale, DA2018Carbon assimilation and transfer through kelp forests in the NE Atlantic is diminished under a warmer ocean climateGLOBAL CHANGE BIOLOGY</t>
  </si>
  <si>
    <t>Lin, JD; Lemay, MA; Parfrey, LW2018Diverse Bacteria Utilize Alginate Within the Microbiome of the Giant Kelp Macrocystis pyriferaFRONTIERS IN MICROBIOLOGY</t>
  </si>
  <si>
    <t>Wang, AJ; Ye, X; Xu, XH; Yin, XJ; Xu, YH2018Settling flux and origin of particulate organic carbon in a macro-tidal semi-enclosed embayment: Luoyuan Bay, Southeast China coastESTUARINE COASTAL AND SHELF SCIENCE</t>
  </si>
  <si>
    <t>Filbee-Dexter, K; Wernberg, T; Norderhaug, KM; Ramirez-Llodra, E; Pedersen, MF2018Movement of pulsed resource subsidies from kelp forests to deep fjordsOECOLOGIA</t>
  </si>
  <si>
    <t>Feehan, CJ; Grauman-Boss, BC; Strathmann, RR; Dethier, MN; Duggins, DO2018Kelp detritus provides high-quality food for sea urchin larvaeLIMNOLOGY AND OCEANOGRAPHY</t>
  </si>
  <si>
    <t>Minich, JJ; Morris, MM; Brown, M; Doane, M; Edwards, MS; Michael, TP; Dinsdale, EA2018Elevated temperature drives kelp microbiome dysbiosis, while elevated carbon dioxide induces water microbiome disruptionPLOS ONE</t>
  </si>
  <si>
    <t>Domke, L; Lacharite, M; Metaxas, A; Matabos, M2017Influence of an oxygen minimum zone and macroalgal enrichment on benthic megafaunal community composition in a NE Pacific submarine canyonMARINE ECOLOGY-AN EVOLUTIONARY PERSPECTIVE</t>
  </si>
  <si>
    <t>Stevant, P; Marfaing, H; Rustad, T; Sandbakken, I; Fleurence, J; Chapman, A2017Nutritional value of the kelps Alaria esculenta and Saccharina latissima and effects of short-term storage on biomass qualityJOURNAL OF APPLIED PHYCOLOGY</t>
  </si>
  <si>
    <t>Ramshaw, BC; Pakhomov, EA; Markel, RW; Kaehler, S2017Quantifying spatial and temporal variations in phytoplankton and kelp isotopic signatures to estimate the distribution of kelp-derived detritus off the west coast of Vancouver Island, CanadaLIMNOLOGY AND OCEANOGRAPHY</t>
  </si>
  <si>
    <t>Ge, CZ; Wang, HQ; Kan, MM; Chai, YC2017Carbon Sequestration Within Silica Bodies Extracted from Kelp Cultured in the East China SeaSILICON</t>
  </si>
  <si>
    <t>Suarez-Jimenez, R; Hepburn, CD; Hyndes, GA; McLeod, RJ; Taylor, RB; Hurd, CL2017Importance of the invasive macroalga Undaria pinnatifida as trophic subsidy for a beach consumerMARINE BIOLOGY</t>
  </si>
  <si>
    <t>Mohamad, R; Aki, T; Nakashimada, Y; Okamura, Y; Tajima, T; Matsumura, Y2017Decomposition kinetics of uronic acids obtained from kelp under hydrothermal conditionJOURNAL OF THE ENERGY INSTITUTE</t>
  </si>
  <si>
    <t>Morrison, JM; Murphy, CL; Baker, K; Zamor, RM; Nikolai, SJ; Wilder, S; EIshahed, MS; Youssef, NH2017Microbial communities mediating algal detritus turnover under anaerobic conditionsPEERJ</t>
  </si>
  <si>
    <t>Koweek, DA; Nickols, KJ; Leary, PR; Litvin, SY; Bell, TW; Luthin, T; Lummis, S; Mucciarone, DA; Dunbar, RB2017A year in the life of a central California kelp forest: physical and biological insights into biogeochemical variabilityBIOGEOSCIENCES</t>
  </si>
  <si>
    <t>Abdullah, MI; Fredriksen, S; Christie, H2017The impact of the kelp (Laminaria hyperborea) forest on the organic matter content in sediment of the west coast of NorwayMARINE BIOLOGY RESEARCH</t>
  </si>
  <si>
    <t>West, JA; Calumpong, H; Martin, G; van Gaever, S2017Kelp Forests and Seagrass MeadowsFIRST GLOBAL INTEGRATED MARINE ASSESSMENT: WORLD OCEAN ASSESSMENT I</t>
  </si>
  <si>
    <t>Wu, ZX; Zhang, XM; Lozano-Montes, HM; Loneragan, NR2016Trophic flows, kelp culture and fisheries in the marine ecosystem of an artificial reef zone in the Yellow SeaESTUARINE COASTAL AND SHELF SCIENCE</t>
  </si>
  <si>
    <t>Iniguez, C; Carmona, R; Lorenzo, MR; Niell, FX; Wiencke, C; Gordillo, FJL2016Increased temperature, rather than elevated CO2, modulates the carbon assimilation of the Arctic kelps Saccharina latissima and Laminaria solidungulaMARINE BIOLOGY</t>
  </si>
  <si>
    <t>von Biela, VR; Newsome, SD; Bodkin, JL; Kruse, GH; Zimmerman, CE2016Widespread kelp-derived carbon in pelagic and benthic nearshore fishes suggested by stable isotope analysisESTUARINE COASTAL AND SHELF SCIENCE</t>
  </si>
  <si>
    <t>Buchholz, CM; Wiencke, C2016Working on a baseline for the Kongsfjorden food web: production and properties of macroalgal particulate organic matter (POM)POLAR BIOLOGY</t>
  </si>
  <si>
    <t>Petrowski, S; Molis, M; Bender, A; Buschbaum, C2016Disturbance effects of kelp thalli on structure and diversity of a coastal Arctic marine soft-bottom assemblagePOLAR BIOLOGY</t>
  </si>
  <si>
    <t>Krause-Jensen, D; Duarte, CM2016Substantial role of macroalgae in marine carbon sequestrationNATURE GEOSCIENCE</t>
  </si>
  <si>
    <t>Mohamad, R; Aki, T; Nakashimada, Y; Okamura, Y; Tajima, T; Matsumura, Y2016Decomposition Kinetics of Mannose, Its Sugar Alcohol, and Its Uronic Acid under Hydrothermal ConditionJOURNAL OF CHEMICAL ENGINEERING OF JAPAN</t>
  </si>
  <si>
    <t>Ramirez-Llodra, E; Rinde, E; Gundersen, H; Christie, H; Fagerli, CW; Fredriksen, S; Gitmark, JK; Norling, K; Walday, MG; Norderhaug, KM2016A snap shot of the short-term response of crustaceans to macrophyte detritus in the deep OslofjordSCIENTIFIC REPORTS</t>
  </si>
  <si>
    <t>Xu, Q; Gao, F; Yang, HS2016Importance of kelp-derived organic carbon to the scallop Chlamys farreri in an integrated multi-trophic aquaculture systemCHINESE JOURNAL OF OCEANOLOGY AND LIMNOLOGY</t>
  </si>
  <si>
    <t>Smale, DA; Burrows, MT; Evans, AJ; King, N; Sayer, MDJ; Yunnie, ALE; Moore, PJ2016Linking environmental variables with regional-scale variability in ecological structure and standing stock of carbon within UK kelp forestsMARINE ECOLOGY PROGRESS SERIES</t>
  </si>
  <si>
    <t>Clark, CD; De Bruyn, WJ; Aiona, PD2016Temporal variation in optical properties of chromophoric dissolved organic matter (CDOM) in Southern California coastal waters with nearshore kelp and seagrassLIMNOLOGY AND OCEANOGRAPHY</t>
  </si>
  <si>
    <t>Miller, RJ; Page, HM; Reed, DC2015Trophic versus structural effects of a marine foundation species, giant kelp (Macrocystis pyrifera)OECOLOGIA</t>
  </si>
  <si>
    <t>Koenigs, C; Miller, RJ; Page, HM2015Top predators rely on carbon derived from giant kelp Macrocystis pyriferaMARINE ECOLOGY PROGRESS SERIES</t>
  </si>
  <si>
    <t>Tait, LW; South, PM; Lilley, SA; Thomsen, MS; Schiel, DR2015Assemblage and understory carbon production of native and invasive canopy-forming macroalgaeJOURNAL OF EXPERIMENTAL MARINE BIOLOGY AND ECOLOGY</t>
  </si>
  <si>
    <t>Clasen, JL; Shurin, JB2015Kelp forest size alters microbial community structure and function on Vancouver Island, CanadaECOLOGY</t>
  </si>
  <si>
    <t>Elston, C; Anderson, RJ; Price, LM2015Bald kelp: natural and harvesting-induced frond loss in the South African kelp Ecklonia maximaAFRICAN JOURNAL OF MARINE SCIENCE</t>
  </si>
  <si>
    <t>Filbee-Dexter, K; Scheibling, RE2015Detrital kelp subsidy supports high reproductive condition of deep-living sea urchins in a sedimentary basinAQUATIC BIOLOGY</t>
  </si>
  <si>
    <t>Renaud, PE; Lokken, TS; Jorgensen, LL; Berge, J; Johnson, BJ2015Macroalgal detritus and food-web subsidies along an Arctic fjord depth-gradientFRONTIERS IN MARINE SCIENCE</t>
  </si>
  <si>
    <t>Dethier, MN; Brown, AS; Burgess, S; Eisenlord, ME; Galloway, AWE; Kimber, J; Lowe, AT; O'Neil, CM; Raymond, WW; Sosik, EA; Duggins, DO2014Degrading detritus: Changes in food quality of aging kelp tissue varies with speciesJOURNAL OF EXPERIMENTAL MARINE BIOLOGY AND ECOLOGY</t>
  </si>
  <si>
    <t>Orr, KK; Wilding, TA; Horstmeyer, L; Weigl, S; Heymans, JJ2014Detached macroalgae: Its importance to inshore sandy beach faunaESTUARINE COASTAL AND SHELF SCIENCE</t>
  </si>
  <si>
    <t>Krumhansl, KA; Lauzon-Guay, JS; Scheibling, RE2014Modeling effects of climate change and phase shifts on detrital production of a kelp bedECOLOGY</t>
  </si>
  <si>
    <t>Wang, Y; Li, BF; Zhao, X; Piao, MZ2014Isolation and characterization of a fucoidan-degrading bacterium from Laminaria japonicaJOURNAL OF OCEAN UNIVERSITY OF CHINA</t>
  </si>
  <si>
    <t>Raymond, WW; Lowe, AT; Galloway, AWE2014Degradation state of algal diets affects fatty acid composition but not size of red urchin gonadsMARINE ECOLOGY PROGRESS SERIES</t>
  </si>
  <si>
    <t>Leclerc, JC; Riera, P; Leroux, C; Leveque, L; Laurans, M; Schaal, G; Davoult, D2013Trophic significance of kelps in kelp communities in Brittany (France) inferred from isotopic comparisonsMARINE BIOLOGY</t>
  </si>
  <si>
    <t>Bishop, MJ; Kelaher, BP2013Context-specific effects of the identity of detrital mixtures on invertebrate communitiesECOLOGY AND EVOLUTION</t>
  </si>
  <si>
    <t>Fox, MD2013RESOURCE TRANSLOCATION DRIVES delta C-13 FRACTIONATION DURING RECOVERY FROM DISTURBANCE IN GIANT KELP, MACROCYSTIS PYRIFERAJOURNAL OF PHYCOLOGY</t>
  </si>
  <si>
    <t>de Bettignies, T; Wernberg, T; Lavery, PS; Vanderklift, MA; Mohring, MB2013Contrasting mechanisms of dislodgement and erosion contribute to production of kelp detritusLIMNOLOGY AND OCEANOGRAPHY</t>
  </si>
  <si>
    <t>Wada, S; Hama, T2013The contribution of macroalgae to the coastal dissolved organic matter poolESTUARINE COASTAL AND SHELF SCIENCE</t>
  </si>
  <si>
    <t>Weinberg, I; Bahlmann, E; Michaelis, W; Seifert, R2013Determination of fluxes and isotopic composition of halocarbons from seagrass meadows using a dynamic flux chamberATMOSPHERIC ENVIRONMENT</t>
  </si>
  <si>
    <t>Michelou, VK; Caporaso, JG; Knight, R; Palumbi, SR2013The Ecology of Microbial Communities Associated with Macrocystis pyriferaPLOS ONE</t>
  </si>
  <si>
    <t>Leclerc, JC; Riera, P; Leroux, C; Levesue, L; Davoult, D2013Temporal variation in organic matter supply in kelp forests: linking structure to trophic functioningMARINE ECOLOGY PROGRESS SERIES</t>
  </si>
  <si>
    <t>Miller, RJ; Page, HM; Brzezinski, MA2013delta C-13 and delta N-15 of particulate organic matter in the Santa Barbara Channel: drivers and implications for trophic inferenceMARINE ECOLOGY PROGRESS SERIES</t>
  </si>
  <si>
    <t>Sosik, EA; Simenstad, CA2013Isotopic evidence and consequences of the role of microbes in macroalgae detritus-based food websMARINE ECOLOGY PROGRESS SERIES</t>
  </si>
  <si>
    <t>Yorke, CE; Miller, RJ; Page, HM; Reed, DC2013Importance of kelp detritus as a component of suspended particulate organic matter in giant kelp Macrocystis pyrifera forestsMARINE ECOLOGY PROGRESS SERIES</t>
  </si>
  <si>
    <t>Bengtsson, MM; Sjotun, K; Lanzen, A; Ovreas, L2012Bacterial diversity in relation to secondary production and succession on surfaces of the kelp Laminaria hyperboreaISME JOURNAL</t>
  </si>
  <si>
    <t>Miller, RJ; Page, HM2012Kelp as a trophic resource for marine suspension feeders: a review of isotope-based evidenceMARINE BIOLOGY</t>
  </si>
  <si>
    <t>Schapira, M; McQuaid, CD; Froneman, PW2012Free-living and particle-associated prokaryote metabolism in giant kelp forests: Implications for carbon flux in a sub-Antarctic coastal areaESTUARINE COASTAL AND SHELF SCIENCE</t>
  </si>
  <si>
    <t>Filbee-Dexter, K; Scheibling, RE2012Hurricane-mediated defoliation of kelp beds and pulsed delivery of kelp detritus to offshore sedimentary habitatsMARINE ECOLOGY PROGRESS SERIES</t>
  </si>
  <si>
    <t>Hyndes, GA; Lavery, PS; Doropoulos, C2012Dual processes for cross-boundary subsidies: incorporation of nutrients from reef-derived kelp into a seagrass ecosystemMARINE ECOLOGY PROGRESS SERIES</t>
  </si>
  <si>
    <t>Kelly, JR; Krumhansl, KA; Scheibling, RE2012Drift algal subsidies to sea urchins in low-productivity habitatsMARINE ECOLOGY PROGRESS SERIES</t>
  </si>
  <si>
    <t>Krumhansl, KA; Scheibling, RE2012Production and fate of kelp detritusMARINE ECOLOGY PROGRESS SERIES</t>
  </si>
  <si>
    <t>Krumhansl, KA; Lee, JM; Scheibling, RE2011Grazing damage and encrustation by an invasive bryozoan reduce the ability of kelps to withstand breakage by wavesJOURNAL OF EXPERIMENTAL MARINE BIOLOGY AND ECOLOGY</t>
  </si>
  <si>
    <t>Rothausler, E; Gomez, I; Hinojosa, IA; Karsten, U; Miranda, L; Tala, F; Thiel, M2011Kelp rafts in the Humboldt Current: Interplay of abiotic and biotic factors limit their floating persistence and dispersal potentialLIMNOLOGY AND OCEANOGRAPHY</t>
  </si>
  <si>
    <t>Dugan, JE; Hubbard, DM; Page, HM; Schimel, JP2011Marine Macrophyte Wrack Inputs and Dissolved Nutrients in Beach SandsESTUARIES AND COASTS</t>
  </si>
  <si>
    <t>Bengtsson, MM; Sjotun, K; Storesund, JE; Ovreas, L2011Utilization of kelp-derived carbon sources by kelp surface-associated bacteriaAQUATIC MICROBIAL ECOLOGY</t>
  </si>
  <si>
    <t>Krumhansl, KA; Scheibling, RE2011Detrital production in Nova Scotian kelp beds: patterns and processesMARINE ECOLOGY PROGRESS SERIES</t>
  </si>
  <si>
    <t>Leblanc, C; Schaal, G; Cosse, A; Destombe, C; Valero, M; Riera, P; Pottn, P2011Trophic and biotic interactions in Laminaria digitata beds: which factors could influence the persistence of marine kelp forests in northern Brittany?CAHIERS DE BIOLOGIE MARINE</t>
  </si>
  <si>
    <t>Bishop, MJ; Coleman, MA; Kelaher, BP2010Cross-habitat impacts of species decline: response of estuarine sediment communities to changing detrital resourcesOECOLOGIA</t>
  </si>
  <si>
    <t>Bengtsson, MM; Sjotun, K; Ovreas, L2010Seasonal dynamics of bacterial biofilms on the kelp Laminaria hyperboreaAQUATIC MICROBIAL ECOLOGY</t>
  </si>
  <si>
    <t>Schaal, G; Riera, P; Leroux, C2010Trophic ecology in a Northern Brittany (Batz Island, France) kelp (Laminaria digitata) forest, as investigated through stable isotopes and chemical assaysJOURNAL OF SEA RESEARCH</t>
  </si>
  <si>
    <t>Britton-Simmons, KH; Foley, G; Okamoto, D2009Spatial subsidy in the subtidal zone: utilization of drift algae by a deep subtidal sea urchinAQUATIC BIOLOGY</t>
  </si>
  <si>
    <t>Salomon, AK; Shears, NT; Langlois, TJ; Babcock, RC2008CASCADING EFFECTS OF FISHING CAN ALTER CARBON FLOW THROUGH A TEMPERATE COASTAL ECOSYSTEMECOLOGICAL APPLICATIONS</t>
  </si>
  <si>
    <t>Lastra, M; Page, HM; Dugan, JE; Hubbard, DM; Rodil, IF2008Processing of allochthonous macrophyte subsidies by sandy beach consumers: estimates of feeding rates and impacts on food resourcesMARINE BIOLOGY</t>
  </si>
  <si>
    <t>Page, HM; Reed, DC; Brzezinski, MA; Melack, JM; Dugan, JE2008Assessing the importance of land and marine sources of organic matter to kelp forest food websMARINE ECOLOGY PROGRESS SERIES</t>
  </si>
  <si>
    <t>Wada, S; Aoki, MN; Tsuchiya, Y; Sato, T; Shinagawa, H; Hama, T2007Quantitative and qualitative analyses of dissolved organic matter released from Ecklonia cava Kjellman, in Oura bay, Shimoda, Izu Peninsula, JapanJOURNAL OF EXPERIMENTAL MARINE BIOLOGY AND ECOLOGY</t>
  </si>
  <si>
    <t>Swanson, AK; Fox, CH2007Altered kelp (Laminariales) phlorotannins and growth under elevated carbon dioxide and ultraviolet-B treatments can influence associated intertidal food websGLOBAL CHANGE BIOLOGY</t>
  </si>
  <si>
    <t>Nadon, MO; Himmelman, JH2006Stable isotopes in subtidal food webs: Have enriched carbon ratios in benthic consumers been misinterpreted?LIMNOLOGY AND OCEANOGRAPHY</t>
  </si>
  <si>
    <t>Dominik, CM; Zimmerman, RC2006Dynamics of carbon allocation in a deep-water population of the deciduous kelp Pleurophycus gardneri (Laminariales)MARINE ECOLOGY PROGRESS SERIES</t>
  </si>
  <si>
    <t>Kaehler, S; Pakhomov, EA; Kalin, RM; Davis, S2006Trophic importance of kelp-derived suspended particulate matter in a through-flow sub-Antarctic systemMARINE ECOLOGY PROGRESS SERIES</t>
  </si>
  <si>
    <t>Kotwicki, L; Weslawski, JM; Raczynska, A; Kupiec, A2005Deposition of large organic particles (macrodetritus) in a sandy beach system (Puck Bay, Baltic Sea)OCEANOLOGIA</t>
  </si>
  <si>
    <t>Norkko, A; Thrush, SF; Cummings, VJ; Funnell, GA; Schwarz, AM; Andrew, NL; Hawes, I2004Ecological role of Phyllophora antarctica drift accumulations in coastal soft-sediment communities of McMurdo Sound, AntarcticaPOLAR BIOLOGY</t>
  </si>
  <si>
    <t>Levinton, JS; Ward, JE; Shumway, SE2003Feeding responses of the bivalves Crassostrea gigas and Mytilus trossulus to chemical composition of fresh and aged kelp detritus (vol 141, pg 367, 2002)MARINE BIOLOGY</t>
  </si>
  <si>
    <t>Adin, R; Riera, P2003Preferential food source utilization among stranded macroalgae by Talitrus saltator (Amphipod, Talitridae): a stable isotopes study in the northern coast of Brittany (France)ESTUARINE COASTAL AND SHELF SCIENCE</t>
  </si>
  <si>
    <t>Norderhaug, KM; Fredriksen, S; Nygaard, K2003Trophic importance of Laminaria hyperborea to kelp forest consumers and the importance of bacterial degradation to food qualityMARINE ECOLOGY PROGRESS SERIES</t>
  </si>
  <si>
    <t>Rodriguez, SR2003Consumption of drift kelp by intertidal populations of the sea urchin Tetrapygus niger on the central Chilean coast: possible consequences at different ecological levelsMARINE ECOLOGY PROGRESS SERIES</t>
  </si>
  <si>
    <t>Levinton, JS; Ward, JE; Shumway, SE2002Feeding responses of the bivalves Crassostrea gigas and Mytilus trossulus to chemical composition of fresh and aged kelp detritusMARINE BIOLOGY</t>
  </si>
  <si>
    <t>Yoshikawa, T; Takeuchi, I; Furuya, K2001Active erosion of Undaria pinnatifida Suringar (Laminariales, Phaeophyceae) mass-cultured in otsuchi bay in northeastern JapanJOURNAL OF EXPERIMENTAL MARINE BIOLOGY AND ECOLOGY</t>
  </si>
  <si>
    <t>Vetter, EW; Dayton, PK1999Organic enrichment by macrophyte detritus, and abundance patterns of megafaunal populations in submarine canyonsMARINE ECOLOGY PROGRESS SERIES</t>
  </si>
  <si>
    <t>Delille, D; Marty, G; CansemiSoullard, M; Frankignoulle, M1997Influence of subantarctic Macrocystis bed metabolism in diel changes of marine bacterioplankton and CO2 fluxesJOURNAL OF PLANKTON RESEARCH</t>
  </si>
  <si>
    <t>Duggins, DO; Eckman, JE1997Is kelp detritus a good food for suspension feeders? Effects of kelp species, age and secondary metabolitesMARINE BIOLOGY</t>
  </si>
  <si>
    <t>Bustamante, RH; Branch, GM1996The dependence of intertidal consumers on kelp-derived organic matter on the west coast of South AfricaJOURNAL OF EXPERIMENTAL MARINE BIOLOGY AND ECOLOGY</t>
  </si>
  <si>
    <t>ALBER, M; VALIELA, I1995ORGANIC AGGREGATES IN DETRITAL FOOD WEBS - INCORPORATION BY BAY SCALLOPS ARGOPECTEN IRRADIANSMARINE ECOLOGY PROGRESS SERIES</t>
  </si>
  <si>
    <t>DUGGINS, DO; ECKMAN, JE1994THE ROLE OF KELP DETRITUS IN THE GROWTH OF BENTHIC SUSPENSION FEEDERS IN AN UNDERSTORY KELP FORESTJOURNAL OF EXPERIMENTAL MARINE BIOLOGY AND ECOLOGY</t>
  </si>
  <si>
    <t>OSTGAARD, K; INDERGAARD, M; MARKUSSEN, S; KNUTSEN, SH; JENSEN, A1993CARBOHYDRATE DEGRADATION AND METHANE PRODUCTION DURING FERMENTATION OF LAMINARIA-SACCHARINA (LAMINARIALES, PHAEOPHYCEAE)JOURNAL OF APPLIED PHYCOLOGY</t>
  </si>
  <si>
    <t>SIMENSTAD, CA; DUGGINS, DO; QUAY, PD1993HIGH TURNOVER OF INORGANIC CARBON IN KELP HABITATS AS A CAUSE OF DELTA-C-13 VARIABILITY IN MARINE FOOD WEBSMARINE BIOLOGY</t>
  </si>
  <si>
    <t>GRANT, J; CRANFORD, PJ1991CARBON AND NITROGEN SCOPE FOR GROWTH AS A FUNCTION OF DIET IN THE SEA SCALLOP PLACOPECTEN-MAGELLANICUSJOURNAL OF THE MARINE BIOLOGICAL ASSOCIATION OF THE UNITED KINGDOM</t>
  </si>
  <si>
    <t>DELILLE, D; PERRET, E1991THE INFLUENCE OF GIANT-KELP MACROCYSTIS-PYRIFERA ON THE GROWTH OF SUB-ANTARCTIC MARINE-BACTERIAJOURNAL OF EXPERIMENTAL MARINE BIOLOGY AND ECOLOGY</t>
  </si>
  <si>
    <t>MARSDEN, ID1991KELP SANDHOPPER INTERACTIONS ON A SAND BEACH IN NEW-ZEALAND .2. POPULATION-DYNAMICS OF TALORCHESTIA-QUOYANA (MILNE-EDWARDS)JOURNAL OF EXPERIMENTAL MARINE BIOLOGY AND ECOLOGY</t>
  </si>
  <si>
    <t>FIELDING, PJ; DAVIS, CL1989CARBON AND NITROGEN RESOURCES AVAILABLE TO KELP BED FILTER FEEDERS IN AN UPWELLING ENVIRONMENTMARINE ECOLOGY PROGRESS SERIES</t>
  </si>
  <si>
    <t>DUGGINS, DO; SIMENSTAD, CA; ESTES, JA1989MAGNIFICATION OF SECONDARY PRODUCTION BY KELP DETRITUS IN COASTAL MARINE ECOSYSTEMSSCIENCE</t>
  </si>
  <si>
    <t>GERMANN, I1989ASPECTS OF CARBON METABOLISM IN RELATION TO AUTUMNAL BLADE ABSCISSION IN THE KELP PLEUROPHYCUS-GARDNERI (PHAEOPHYCEAE, LAMINARIALES)MARINE ECOLOGY PROGRESS SERIES</t>
  </si>
  <si>
    <t>SEIDERER, LJ; NEWELL, RC1985RELATIVE SIGNIFICANCE OF PHYTOPLANKTON, BACTERIA AND PLANT DETRITUS AS CARBON AND NITROGEN RESOURCES FOR THE KELP BED FILTER-FEEDER CHOROMYTILUS-MERIDIONALISMARINE ECOLOGY PROGRESS SERIES</t>
  </si>
  <si>
    <t>STUART, V1982ABSORBED RATION, RESPIRATORY COSTS AND RESULTANT SCOPE FOR GROWTH IN THE MUSSEL AULACOMYA-ATER (MOLINA) FED ON A DIET OF KELP DETRITUS OF DIFFERENT AGESMARINE BIOLOGY LETTERS</t>
  </si>
  <si>
    <t>STUART, V; FIELD, JG; NEWELL, RC1982EVIDENCE FOR ABSORPTION OF KELP DETRITUS BY THE RIBBED MUSSEL AULACOMYA-ATER USING A NEW CR-51-LABELED MICROSPHERE TECHNIQUEMARINE ECOLOGY PROGRESS SERIES</t>
  </si>
  <si>
    <t>LINLEY, EAS; NEWELL, RC; BOSMA, SA1981HETEROTROPHIC UTILIZATION OF MUCILAGE RELEASED DURING FRAGMENTATION OF KELP (ECKLONIA-MAXIMA AND LAMINARIA-PALLIDA) .1. DEVELOPMENT OF MICROBIAL COMMUNITIES ASSOCIATED WITH THE DEGRADATION OF KELP MUCILAGEMARINE ECOLOGY PROGRESS SERIES</t>
  </si>
  <si>
    <t>HATCHER, BG; CHAPMAN, ARO; MANN, KH1977ANNUAL CARBON BUDGET FOR KELP LAMINARIA-LONGICRURISMARINE BIOLOGY</t>
  </si>
  <si>
    <t>Wright, LS; Pessarrodona, A; Foggo, A. 2022. Climate-driven shifts in kelp forest composition reduce carbon sequestration potential. GLOBAL CHANGE BIOLOGY</t>
  </si>
  <si>
    <t>kelp</t>
  </si>
  <si>
    <t>shallow</t>
  </si>
  <si>
    <t>Saccharina</t>
  </si>
  <si>
    <t>northeast atlantic</t>
  </si>
  <si>
    <t>Laminaria</t>
  </si>
  <si>
    <t>digitata</t>
  </si>
  <si>
    <t>hyperborea</t>
  </si>
  <si>
    <t>ochroleuca</t>
  </si>
  <si>
    <t>UK</t>
  </si>
  <si>
    <t>in situ</t>
  </si>
  <si>
    <t>month</t>
  </si>
  <si>
    <t>march</t>
  </si>
  <si>
    <t>n</t>
  </si>
  <si>
    <t>k</t>
  </si>
  <si>
    <t>replicates</t>
  </si>
  <si>
    <t>sampling_frequency</t>
  </si>
  <si>
    <t>lamina</t>
  </si>
  <si>
    <t>may</t>
  </si>
  <si>
    <t>spring</t>
  </si>
  <si>
    <t>litterbag</t>
  </si>
  <si>
    <t>container_type</t>
  </si>
  <si>
    <t>reef</t>
  </si>
  <si>
    <t>-</t>
  </si>
  <si>
    <t>Yes</t>
  </si>
  <si>
    <t>No</t>
  </si>
  <si>
    <t>Additional_measurments</t>
  </si>
  <si>
    <t>photosynthesis, CHN analysis, phenolic content</t>
  </si>
  <si>
    <t>unclear if 105 g was divided by 8 bags or in each bag; reports n = 43, unclear if this is the experiments pooled and how they got so many reps?</t>
  </si>
  <si>
    <t>carbon content, phenolic content, water content</t>
  </si>
  <si>
    <t>linear</t>
  </si>
  <si>
    <t>yes</t>
  </si>
  <si>
    <t>Li, HM; Zhang, ZH; Xiong, TQ; Tang, KX; He, C; Shi, Q; Jiao, NZ; Zhang, YY. 2022. Carbon Sequestration in the Form of Recalcitrant Dissolved Organic Carbon in a Seaweed (Kelp) Farming Environment. ENVIRONMENTAL SCIENCE &amp; TECHNOLOGY</t>
  </si>
  <si>
    <t>POM</t>
  </si>
  <si>
    <t>China</t>
  </si>
  <si>
    <t>DOC</t>
  </si>
  <si>
    <t>lab</t>
  </si>
  <si>
    <t>dark</t>
  </si>
  <si>
    <t>aeration</t>
  </si>
  <si>
    <t>na</t>
  </si>
  <si>
    <t>passive (vent membrane)</t>
  </si>
  <si>
    <t>fluorescence spectroscopy/EEM (FDOM), molecular composition (FT-ICR), Flow cytometer/microbe abundance, nutrients</t>
  </si>
  <si>
    <t>8083-8750</t>
  </si>
  <si>
    <t>species</t>
  </si>
  <si>
    <t>wrack</t>
  </si>
  <si>
    <t>1.5-2L bottle</t>
  </si>
  <si>
    <t>exponential</t>
  </si>
  <si>
    <t>Reference</t>
  </si>
  <si>
    <t>Day</t>
  </si>
  <si>
    <t>Value</t>
  </si>
  <si>
    <t>unit</t>
  </si>
  <si>
    <t>factor</t>
  </si>
  <si>
    <t>Li et al. 2022</t>
  </si>
  <si>
    <t>umol per L</t>
  </si>
  <si>
    <t>initial</t>
  </si>
  <si>
    <t xml:space="preserve">DOC collected from mariculture area and compared to DOC collected from adjacent mariculture-free area; kelp species not specified. </t>
  </si>
  <si>
    <t>Costa, MM; Pio, LB; Bule, P; Cardoso, VA; Duarte, M; Alfaia, CM; Coelho, DF; Bras, JA; Fontes, CMGA; Prates, JAM. 2022. Recalcitrant cell wall of Ulva lactuca seaweed is degraded by a single ulvan lyase from family 25 of polysaccharide lyases. ANIMAL NUTRITION</t>
  </si>
  <si>
    <t>Review</t>
  </si>
  <si>
    <t>Walton, MEM; Browne, R; Griffiths, JN; Cartwright, D; Robins, P; Malham, SK; Le Vay, L. 2022. Kelp detritus: Unutilized productivity or an unacknowledged trophic resource?. SCIENCE OF THE TOTAL ENVIRONMENT</t>
  </si>
  <si>
    <t>Isotope mixed models</t>
  </si>
  <si>
    <t>Rennick, M; DiFiore, BP; Curtis, J; Reed, DC; Stier, AC. 2022. Detrital supply suppresses deforestation to maintain healthy kelp forest ecosystems. ECOLOGY</t>
  </si>
  <si>
    <t>Grazing experiment</t>
  </si>
  <si>
    <t>Broch, OJ; Hancke, K; Ellingsen, IH. 2022. Dispersal and Deposition of Detritus From Kelp Cultivation. FRONTIERS IN MARINE SCIENCE</t>
  </si>
  <si>
    <t xml:space="preserve">Dispersal modeling </t>
  </si>
  <si>
    <t>Fish diets/isotope modeling</t>
  </si>
  <si>
    <t>Frontier, N; Mulas, M; Foggo, A; Smale, DA. 2022. The influence of light and temperature on detritus degradation rates for kelp species with contrasting thermal affinities. MARINE ENVIRONMENTAL RESEARCH</t>
  </si>
  <si>
    <t>summer</t>
  </si>
  <si>
    <t>suspended</t>
  </si>
  <si>
    <t xml:space="preserve">depths in the harbor chose to reflect light levels on the coast  at 15 and 30 m </t>
  </si>
  <si>
    <t>june</t>
  </si>
  <si>
    <t>quantum efficiency</t>
  </si>
  <si>
    <t>10x10</t>
  </si>
  <si>
    <t>light units</t>
  </si>
  <si>
    <t>lux</t>
  </si>
  <si>
    <t>Frontier et al. 2022</t>
  </si>
  <si>
    <t>L. hyperborea</t>
  </si>
  <si>
    <t>0.5 m depth</t>
  </si>
  <si>
    <t>% of initial</t>
  </si>
  <si>
    <t>L. ochroleuca</t>
  </si>
  <si>
    <t>1.5 m depth</t>
  </si>
  <si>
    <t>3 m depth</t>
  </si>
  <si>
    <t>initial weights not provided</t>
  </si>
  <si>
    <t>Ex 1 ambient</t>
  </si>
  <si>
    <t>May</t>
  </si>
  <si>
    <t xml:space="preserve">May </t>
  </si>
  <si>
    <t>June</t>
  </si>
  <si>
    <t>July</t>
  </si>
  <si>
    <t>Wright, LS; Foggo, A. 2021. Photosynthetic pigments of co-occurring Northeast Atlantic Laminaria spp. are unaffected by decomposition. MARINE ECOLOGY PROGRESS SERIES</t>
  </si>
  <si>
    <t>No decomposition rates; pigments only</t>
  </si>
  <si>
    <t>Smale, DA; Pessarrodona, A; King, N; Moore, PJ. 2022. Examining the production, export, and immediate fate of kelp detritus on open-coast subtidal reefs in the Northeast Atlantic. LIMNOLOGY AND OCEANOGRAPHY</t>
  </si>
  <si>
    <t>20x10</t>
  </si>
  <si>
    <t>many</t>
  </si>
  <si>
    <t>temperature</t>
  </si>
  <si>
    <t xml:space="preserve">Degradation rates over 15-16 weeks; sites span 9 degree ladditude and ~ 2.5C temperature gradient. </t>
  </si>
  <si>
    <t>annual</t>
  </si>
  <si>
    <t>no</t>
  </si>
  <si>
    <t>Fieler, R; Greenacre, M; Matsson, S; Neves, L; Forbord, S; Hancke, K. 2021. Erosion Dynamics of Cultivated Kelp, Saccharina latissima, and Implications for Environmental Management and Carbon Sequestration. FRONTIERS IN MARINE SCIENCE</t>
  </si>
  <si>
    <t>Erosion rates only</t>
  </si>
  <si>
    <t>Focus organic polymer degradation</t>
  </si>
  <si>
    <t>Gao, G; Zhao, X; Jiang, MJ; Gao, L. 2021. Impacts of Marine Heatwaves on Algal Structure and Carbon Sequestration in Conjunction With Ocean Warming and Acidification. FRONTIERS IN MARINE SCIENCE</t>
  </si>
  <si>
    <t>Review on the impacts of CC</t>
  </si>
  <si>
    <t>Gilson, AR; Smale, DA; Burrows, MT; O'Connor, NE. 2021. Spatio-temporal variability in the deposition of beach-cast kelp (wrack) and inter-specific differences in degradation rates. MARINE ECOLOGY PROGRESS SERIES</t>
  </si>
  <si>
    <t>September</t>
  </si>
  <si>
    <t>Autumn</t>
  </si>
  <si>
    <t>latissima</t>
  </si>
  <si>
    <t>Saccorhiza</t>
  </si>
  <si>
    <t>polyschides</t>
  </si>
  <si>
    <t>Polyculture</t>
  </si>
  <si>
    <t>C/N</t>
  </si>
  <si>
    <t>L. digitata</t>
  </si>
  <si>
    <t>S. latissima</t>
  </si>
  <si>
    <t>S. polyschides</t>
  </si>
  <si>
    <t>species specific</t>
  </si>
  <si>
    <t>C/N, polyphenolics</t>
  </si>
  <si>
    <t>Review on energy flow through kelp forests food webs</t>
  </si>
  <si>
    <t xml:space="preserve">Beach wrack consumption </t>
  </si>
  <si>
    <t>Impacts of kelp wrack/micrboes on amphipods</t>
  </si>
  <si>
    <t>Hamersley, M. R., Sohm, J. A., Burns, J. A., Cpone D. G. 2015. Nitrogen fixatio assiated with the decomposition of the giant kelp Macrocystis pyrifera. Aquatic Botany 125: 57-63</t>
  </si>
  <si>
    <t xml:space="preserve">Not kelp; cystocera included; degradation rates not reported by C/N degradation available. </t>
  </si>
  <si>
    <t>Raut et al. 2018</t>
  </si>
  <si>
    <t>Sargassum horneri</t>
  </si>
  <si>
    <t>fucoid</t>
  </si>
  <si>
    <t>Sargassum</t>
  </si>
  <si>
    <t>horneri</t>
  </si>
  <si>
    <t>northeast pacific</t>
  </si>
  <si>
    <t>USA</t>
  </si>
  <si>
    <t>BNF, C/N</t>
  </si>
  <si>
    <t>k values for day 20 avaiable; % Nitrogen increased</t>
  </si>
  <si>
    <t>Macrocystis</t>
  </si>
  <si>
    <t>pyrifera</t>
  </si>
  <si>
    <t>N2 fixation</t>
  </si>
  <si>
    <t>N2 fixation, DO microenvironment</t>
  </si>
  <si>
    <t>Hamersley et al. 2018</t>
  </si>
  <si>
    <t>M. pyrifera mature</t>
  </si>
  <si>
    <t>M. pyrifera senescent</t>
  </si>
  <si>
    <t>M. pyrifera detritus</t>
  </si>
  <si>
    <t>O2</t>
  </si>
  <si>
    <t>Modelled population structure</t>
  </si>
  <si>
    <t>EE2 and BPA degradation rates only</t>
  </si>
  <si>
    <t>seagrass</t>
  </si>
  <si>
    <t>Norway</t>
  </si>
  <si>
    <t>24L tank</t>
  </si>
  <si>
    <t xml:space="preserve">seawater added to tanks weekly, salinity adjusted to ca. 34 PSU using tapwater </t>
  </si>
  <si>
    <t>aerobic bubbling</t>
  </si>
  <si>
    <t>hypoxic bubbling</t>
  </si>
  <si>
    <t>O2, C/N, Mannitol, Rhamnose, Polyphenolics, TGA</t>
  </si>
  <si>
    <t>March</t>
  </si>
  <si>
    <t>Spring</t>
  </si>
  <si>
    <t>blade, 4C, hypoxic</t>
  </si>
  <si>
    <t>Laminaria hyperborea</t>
  </si>
  <si>
    <t>blade, 4C, aerobic</t>
  </si>
  <si>
    <t>blade, 10C, aerobic</t>
  </si>
  <si>
    <t>blade, 10C, hypoxic</t>
  </si>
  <si>
    <t>stipe, 4C, hypoxic</t>
  </si>
  <si>
    <t>stipe, 4C, aerobic</t>
  </si>
  <si>
    <t>stipe, 10C, hypoxic</t>
  </si>
  <si>
    <t>stipe, 10C, aerobic</t>
  </si>
  <si>
    <t>depth</t>
  </si>
  <si>
    <t>Frontier, N; de Bettignies, F; Foggo, A; Davoult, D. 2021. Sustained productivity and respiration of degrading kelp detritus in the shallow benthos: Detached or broken, but not dead. MARINE ENVIRONMENTAL RESEARCH</t>
  </si>
  <si>
    <t>France</t>
  </si>
  <si>
    <t>% SI</t>
  </si>
  <si>
    <t>reproductive tissues; closed bottle respirometry; PSII</t>
  </si>
  <si>
    <t>Frontier et al. 2021</t>
  </si>
  <si>
    <t>0m</t>
  </si>
  <si>
    <t>15m</t>
  </si>
  <si>
    <t>30m</t>
  </si>
  <si>
    <t>Laminaria ochroleuca</t>
  </si>
  <si>
    <t>Brunet, M; de Bettignies, F; Le Duff, N; Tanguy, G; Davoult, D; Leblanc, C; Gobet, A; Thomas, F. 2021. Accumulation of detached kelp biomass in a subtidal temperate coastal ecosystem induces succession of epiphytic and sediment bacterial communities. ENVIRONMENTAL MICROBIOLOGY</t>
  </si>
  <si>
    <t>April</t>
  </si>
  <si>
    <t>Microbe analysis only; additional data in de Bettignies et al. 2020</t>
  </si>
  <si>
    <t>de Bettignies, F; Dauby, P; Lepoint, G; Riera, P; Bocher, E; Bohner, O; Broudin, C; Houbin, C; Leroux, C; Loisel, S; Davoult, D. 2020. Temporal succession of a macrofaunal community associated with kelp fragment accumulations in an in situ experiment. MARINE ECOLOGY PROGRESS SERIES</t>
  </si>
  <si>
    <t>Kelp debris found in fjord and offshore</t>
  </si>
  <si>
    <t>Modelled impact of kelp on deep sea ecosystem</t>
  </si>
  <si>
    <t>DOC release, not degradation</t>
  </si>
  <si>
    <t>Gao, YP; Zhang, YT; Du, MR; Lin, F; Jiang, WW; Li, WH; Li, FX; Lv, XN; Fang, JH; Jiang, ZJ. 2021. Dissolved organic carbon from cultured kelp Saccharina japonica: production, bioavailability, and bacterial degradation rates. AQUACULTURE ENVIRONMENT INTERACTIONS</t>
  </si>
  <si>
    <t>japonica</t>
  </si>
  <si>
    <t>January</t>
  </si>
  <si>
    <t>winter</t>
  </si>
  <si>
    <t>2l glass ampule</t>
  </si>
  <si>
    <t>assumed none</t>
  </si>
  <si>
    <t>standardized by blank (phytoplankton) controls; half-life time of BDOC (ln2/kdoc) = 15.8</t>
  </si>
  <si>
    <t>standardized by blank (phytoplankton) controls; half-life time of BDOC (ln2/kdoc) = 5.3</t>
  </si>
  <si>
    <t>none</t>
  </si>
  <si>
    <t>Gao et al. 2021</t>
  </si>
  <si>
    <t>Sacchorina japonia</t>
  </si>
  <si>
    <t>mg C per g dw</t>
  </si>
  <si>
    <t>Iniguez et al. 2016. Increased temperature, rather than elevated CO2, modulates the carbon assimilation of the Arctic kelps Saccharina latissima and Laminaria solidungula. Mar Biol</t>
  </si>
  <si>
    <t>Middleboe and Lundsgaard 2003. Microbial activity in the Greenland Sea: role of DOC lability, mineral nutrients and temperature. Aquat Microb Ecol</t>
  </si>
  <si>
    <t>Kirchman et al. 2005. Control of bacterial growth by temperature and organic matter in the Western Arctic. Deep Sea Res II 52: 3386−3395</t>
  </si>
  <si>
    <t>Kirchman et al. 2009. Microbial growth in the polar oceans—role of temperature and potential impact of climate change. Nat Rev Microbiol 7: 451−459</t>
  </si>
  <si>
    <t>Haas et al. 2010. Organic matter release by coral reef associated benthic algae in the Northern Red Sea. J Exp Mar Biol Ecol 389: 53−60</t>
  </si>
  <si>
    <t>Amon &amp; Benner 1994. Rapid cycling of high-molecular-weight dissolved organic matter in the ocean. Nature 369: 549−552</t>
  </si>
  <si>
    <t>Moran &amp; Zepp 1997. Role of photoreactions in the formation of biologically labile compounds from dissolved organic matter. Limnol Oceanogr 42: 1307−1316</t>
  </si>
  <si>
    <t>Kragh and Sondergaard 2009. Production and decomposition of new DOC by marine plankton communities: carbohydrates, refractory components and nutrient limitation. Biogeochemistry 96: 177−187</t>
  </si>
  <si>
    <t>Stable isotope trophic flow study</t>
  </si>
  <si>
    <t xml:space="preserve">modelled areal kelp extent and blud carbon </t>
  </si>
  <si>
    <t>Ecklonia</t>
  </si>
  <si>
    <t>radiata</t>
  </si>
  <si>
    <t>Australia</t>
  </si>
  <si>
    <t>plastic low</t>
  </si>
  <si>
    <t>plastic high</t>
  </si>
  <si>
    <t>mesocosm</t>
  </si>
  <si>
    <t>raceway</t>
  </si>
  <si>
    <t>TA; pH; temp; C/N</t>
  </si>
  <si>
    <t>plastic none</t>
  </si>
  <si>
    <t>pH</t>
  </si>
  <si>
    <t>PH</t>
  </si>
  <si>
    <t>Litchfield et al. 2020</t>
  </si>
  <si>
    <t>Ecklonia radiata</t>
  </si>
  <si>
    <t xml:space="preserve">g dw </t>
  </si>
  <si>
    <t>Plastic none</t>
  </si>
  <si>
    <t>Plastic low</t>
  </si>
  <si>
    <t>Plastic high</t>
  </si>
  <si>
    <t>23C</t>
  </si>
  <si>
    <t>26C</t>
  </si>
  <si>
    <t>pH 8.15</t>
  </si>
  <si>
    <t>pH 7.84</t>
  </si>
  <si>
    <t>kelp beach deposition only</t>
  </si>
  <si>
    <t>blue carbon assessment only</t>
  </si>
  <si>
    <t>de Bettignies, F; Dauby, P; Thomas, F; Gobet, A; Delage, L; Bohner, O; Loisel, S; Davoult, D. 2020. Degradation dynamics and processes associated with the accumulation ofLaminaria hyperborea (Phaeophyceae) kelp fragments: an in situ experimental approach. JOURNAL OF PHYCOLOGY</t>
  </si>
  <si>
    <t>C/N, respiration, Fv/Fm, bacterial colonization, chemical defense concentrations; Wave motion</t>
  </si>
  <si>
    <t>new</t>
  </si>
  <si>
    <t>old</t>
  </si>
  <si>
    <t>272-2284</t>
  </si>
  <si>
    <t>Impact of kelp patches on chemical environ</t>
  </si>
  <si>
    <t>Isotopes and trophic flow study</t>
  </si>
  <si>
    <t>Conover et al. 2016. Biomass decay rates and tissue nutrient loss in bloom and nonbloom-forming macroalgal species. Estuar. Coast. Shelf Sci. 178:58–64.</t>
  </si>
  <si>
    <t xml:space="preserve">spp. </t>
  </si>
  <si>
    <t>Japan</t>
  </si>
  <si>
    <t>northwest pacific</t>
  </si>
  <si>
    <t>100 mL glass vial</t>
  </si>
  <si>
    <t>headspace; no stirring</t>
  </si>
  <si>
    <t>DIC; Talk</t>
  </si>
  <si>
    <t>February</t>
  </si>
  <si>
    <t>Winter</t>
  </si>
  <si>
    <t>Watanabe et al. 2020</t>
  </si>
  <si>
    <t xml:space="preserve">Sargassum sp. </t>
  </si>
  <si>
    <t>February kelp</t>
  </si>
  <si>
    <t>march kelp</t>
  </si>
  <si>
    <t>uM</t>
  </si>
  <si>
    <t xml:space="preserve">Yes </t>
  </si>
  <si>
    <t>Trevanthan-Tackett et al. 2015. Comparison of marine macrophytes for their contributions to blue carbon sequestration, Ecology, 96, 3043–3057, https://doi.org/10.1890/15-0149.1, 2015.</t>
  </si>
  <si>
    <t>Wada et al. 2008. Bioavailability of macroalgal dissolved organic matter in seawater, Mar. Ecol. Prog. Ser., 370, 33–44, https://doi.org/10.3354/meps07645, 2008.</t>
  </si>
  <si>
    <t>Wada et al. 2015. Photoreactivity of dissolved organic matter from macroalgae, Reg. Stud. Mar. Sci., 2, 12–18, https://doi.org/10.1016/j.rsma.2015.08.018, 2015.</t>
  </si>
  <si>
    <t>Kelp-carbon uptake by Arctic deep-sea food webs plays a noticeable role in maintaining ecosystem structural and functional traits</t>
  </si>
  <si>
    <t>Modelled contribution of kelp detritus to deep sea</t>
  </si>
  <si>
    <t>Nutraceutical application</t>
  </si>
  <si>
    <t>urchin detritus capture rate</t>
  </si>
  <si>
    <t>Detrital production only</t>
  </si>
  <si>
    <t>Isotope labelling methods only</t>
  </si>
  <si>
    <t>Highly manipulated and degradation rates not reported</t>
  </si>
  <si>
    <t>macrophyte consumption and processing in herbivores</t>
  </si>
  <si>
    <t>kelp forest chemical environ</t>
  </si>
  <si>
    <t>Role of urchins as shredders in trophic crabon flow</t>
  </si>
  <si>
    <t>C/N stable isotopes</t>
  </si>
  <si>
    <t>kelp carbon isotopes and filterfeeding diets</t>
  </si>
  <si>
    <t>Accumulation of kelp in deep</t>
  </si>
  <si>
    <t>15x5</t>
  </si>
  <si>
    <t>Drakes Island</t>
  </si>
  <si>
    <t>Jennycliff</t>
  </si>
  <si>
    <t>loss (g FW/day)</t>
  </si>
  <si>
    <t>natural</t>
  </si>
  <si>
    <t>Stable isotope data from de Bettignies et al. 2020 JoP paper</t>
  </si>
  <si>
    <t>DOC around mariculture</t>
  </si>
  <si>
    <t>Kelp particulate sinking rates</t>
  </si>
  <si>
    <t>primary production and erosion only</t>
  </si>
  <si>
    <t>Kelp microbiome only</t>
  </si>
  <si>
    <t>Gomez, M; Barreiro, F; Lopez, J; Lastra, M. 2018. Effect of upper beach macrofauna on nutrient cycling of sandy beaches: metabolic rates during wrack decay. MARINE BIOLOGY</t>
  </si>
  <si>
    <t>Spain</t>
  </si>
  <si>
    <t>Summer</t>
  </si>
  <si>
    <t>PVC tube</t>
  </si>
  <si>
    <t>CO2 flux, phenolic content, soil moisture content</t>
  </si>
  <si>
    <t>Gomez et al. 2018</t>
  </si>
  <si>
    <t>Wrack</t>
  </si>
  <si>
    <t>Laminaria sp</t>
  </si>
  <si>
    <t>PVC tube/no epifauna</t>
  </si>
  <si>
    <t>control</t>
  </si>
  <si>
    <t>% remaining</t>
  </si>
  <si>
    <t>Colombini &amp; Chelazzi 2003. Influence of marine allochthonous input on sandy beach communities. Oceanogr Mar Biol Annu Rev 41:115–159</t>
  </si>
  <si>
    <t>Davies. 1971. Relation of polyphenols to decomposition of organic matter and to pedogenetic processes. Soil Sci 111:80–85</t>
  </si>
  <si>
    <t>Mews et al. 2006. Species-specific decomposition rates of beach-cast wrack in Barkley Sound, British Columbia, Canada. Mar Ecol Prog Ser 328:155–160. https :// doi.org/10.3354/meps3 28155</t>
  </si>
  <si>
    <t>Coupland et al. 2007. High metabolic rates in beach cast communities. Ecosystems 10:1341–1350. https ://doi. org/10.1007/s1002 1-007-9102-3</t>
  </si>
  <si>
    <t>Duong 2008. Investigating the ecological implications of wrack removal on South Australian sandy beaches. PhD Thesis, Flinders University, South Australia</t>
  </si>
  <si>
    <t>Eereveld et al. 2013. Herbivory on macro-algae affects colonization of beach-cast algal wrack by detritivores but not its decomposition. Oceanologia 55:339–358. https ://doi.org/10.5697/oc.55-2.339</t>
  </si>
  <si>
    <t>Colombini and Chelazzi 2003. Temporal and spatial use of stranded wrack by the macrofauna of a tropical sandy beach. Mar Biol 136:531–541</t>
  </si>
  <si>
    <t>Environmental descriptors only</t>
  </si>
  <si>
    <t>Undaria</t>
  </si>
  <si>
    <t>pinnatifida</t>
  </si>
  <si>
    <t>flask</t>
  </si>
  <si>
    <t>thermophiles</t>
  </si>
  <si>
    <t>Undaria pinnatifida</t>
  </si>
  <si>
    <t>no thermophiles</t>
  </si>
  <si>
    <t>brown</t>
  </si>
  <si>
    <t>green</t>
  </si>
  <si>
    <t>Ulva</t>
  </si>
  <si>
    <t>red</t>
  </si>
  <si>
    <t>Scytosiphon</t>
  </si>
  <si>
    <t>Cladophora</t>
  </si>
  <si>
    <t>Chondrus</t>
  </si>
  <si>
    <t>Polyopes</t>
  </si>
  <si>
    <t>With OS27</t>
  </si>
  <si>
    <t>With OS27cel</t>
  </si>
  <si>
    <t>Tracking detritus around reefs</t>
  </si>
  <si>
    <t>Adams et al. 2009. Fermentation study on Saccharina latissima for bioethanol production considering variable pre-treatments. J Appl Phycol 21:569–574. https://doi.org/10.1007/s10811-008-9384-7</t>
  </si>
  <si>
    <t>Cho et al. 2013. Bioethanol production from brown seaweed, Undaria pinnatifida, using NaCl acclimated yeast. Bioprocess Biosyst Eng 36:713–719. https://doi.org/10.1007/s00449-013-0895-5</t>
  </si>
  <si>
    <t>Enquist-Newman et al. 2014. Efficient ethanol production from brown macroalgae sugars by a synthetic yeast platform. Nature 505:239–246. https://doi.org/10.1038/nature12771</t>
  </si>
  <si>
    <t>Hehmann et al. 2014. A sweet new wave: structures and mechanisms of enzymes that digest polysaccharides from marine algae. Curr Opin Struct Biol 28:77–86. https://doi.org/10.1016/j.sbi.2014.07.009</t>
  </si>
  <si>
    <t>Horn et al. 2000. Ethanol production from seaweed extract. J Ind Microbiol Biotechnol 25:249–254. https://doi.org/10.1038/sj.jim.7000065</t>
  </si>
  <si>
    <t>Horn et al. 2000. Production of ethanol from mannitol by Zymobacter palmae. J Ind Microbiol Biotechnol 24: 51–57. https://doi.org/10.1038/sj.jim.2900771</t>
  </si>
  <si>
    <t>Ji et al. 2016. Direct bioconversion of brown algae into ethanol by thermophilic bacterium Defluviitalea phaphyphila. Biotechnol Biofuels 9:81. https://doi.org/10.1186/s13068-016-0494-1</t>
  </si>
  <si>
    <t>Kelp detritus as food for urchin larvae</t>
  </si>
  <si>
    <t>Impacts of kelp on deep sea</t>
  </si>
  <si>
    <t>22 h degradation in relation to shipping and storage</t>
  </si>
  <si>
    <t>Stable isotope mixed model only</t>
  </si>
  <si>
    <t>kelp silica body content</t>
  </si>
  <si>
    <t>Feeding assay</t>
  </si>
  <si>
    <t>hydrothermal pretreatment of kelp for isolation of uronic acids</t>
  </si>
  <si>
    <t>degradation of mostly freshwater microalgae</t>
  </si>
  <si>
    <t>kelp carbon in sediment cores</t>
  </si>
  <si>
    <t>Broad kelp ecology</t>
  </si>
  <si>
    <t>Ecosim trophic flow</t>
  </si>
  <si>
    <t>Carbon assimilation</t>
  </si>
  <si>
    <t>Alaria</t>
  </si>
  <si>
    <t>esculenta</t>
  </si>
  <si>
    <t>August</t>
  </si>
  <si>
    <t>20-25</t>
  </si>
  <si>
    <t>umol m-2 s-1</t>
  </si>
  <si>
    <t>shakers</t>
  </si>
  <si>
    <t>Imaging PAM; Fv/Fm, C/N, phlorotannins</t>
  </si>
  <si>
    <t>No decomposition rates; C/N and phlorotannin degradation only</t>
  </si>
  <si>
    <t>Effect of kelp on benthic community</t>
  </si>
  <si>
    <t>Degradation of mannose only</t>
  </si>
  <si>
    <t>New Zealand</t>
  </si>
  <si>
    <t xml:space="preserve">samples dried at 60C first and ground </t>
  </si>
  <si>
    <t>Gladstone-Galhagger et al. 2016</t>
  </si>
  <si>
    <t>5573-22282</t>
  </si>
  <si>
    <t>benthic flux and macrofauna, salinity</t>
  </si>
  <si>
    <t>Kelaher BP, Levinton JS. Variation in detrital enrichment causes spatio-temporal variation in soft-sediment assemblages. Mar Ecol Prog Ser. 2003; 261: 85–97. doi: 10.3354/meps261085</t>
  </si>
  <si>
    <t>Bishop MJ, Kelaher BP. Non-additive, identity-dependent effects of detrital species mixing on soft-sediment communities. Oikos. 2008; 117(4): 531–42. doi: 10.1111/j.2008.0030–1299.16418.x</t>
  </si>
  <si>
    <t>Bishop MJ, Kelaher BP. Impacts of detrital enrichment on estuarine assemblages: disentangling effects of frequency and intensity of disturbance. Mar Ecol Prog Ser. 2007; 341: 25–36. doi: 10.3354/meps341025</t>
  </si>
  <si>
    <t>Rossi F, Gribsholt B, Gazeau F, Di Santo V, Middelburg JJ. Complex effects of ecosystem engineer loss on benthic ecosystem response to detrital macroalgae. PLoS One. 2013; 8(6): e66650. doi: 10.1371/journal.pone.0066650 PMID: 23805256</t>
  </si>
  <si>
    <t>Kelaher BP, Bishop MJ, Potts J, Scanes P, Skilbeck G. Detrital diversity influences estuarine ecosystem performance. Glob Change Biol. 2013; 19: 1909–18.</t>
  </si>
  <si>
    <t>Blackburn TH, Blackburn ND, Mortimer RJG, Coleman ML, Lovley DR. Rates of microbial processes in sediments. Philos Trans A Math Phys Eng Sci. 1993; 344(1670): 49–58. doi: 10.1098/rsta.1993.0074</t>
  </si>
  <si>
    <t>García-Robledo E, Revsbech NP, Risgaard-Petersen N, Corzo A. Changes in N cycling induced by Ulva detritus enrichment of sediments. Aquat Microb Ecol. 2013; 69(2): 113–22. doi: 10.3354/ame01626</t>
  </si>
  <si>
    <t>Bishop MJ, Kelaher BP. Replacement of native seagrass with invasive algal detritus: impacts to estuarine sediment communities. Biol Invasions. 2013; 15(1): 45–59. doi: 10.1007/s10530-012-0267-0</t>
  </si>
  <si>
    <t>Hyndes GA, Lavery PS, Doropoulos C. Dual processes for cross-boundary subsidies: incorporation of nutrients from reef-derived kelp into a seagrass ecosystem. Mar Ecol Prog Ser. 2012; 445: 97–107. doi: 10.3354/meps09367</t>
  </si>
  <si>
    <t>Ainley LB, Bishop MJ. Relationships between estuarine modification and leaf litter decomposition vary with latitude. Estuar Coast Shelf Sci. 2015; 164: 244–52. doi: http://dx.doi.org/10.1016/j.ecss.2015.07.027</t>
  </si>
  <si>
    <t>Albright LJ, Chocair J, Masuda K, Valdes M. In situ degradation of the kelps Macrocycstis integrifolia and Nereocystis Luetkeana in British Columbia coastal waters. Le Naturaliste Canadien. 1980; 107(1): 3–10.</t>
  </si>
  <si>
    <t>Bishop MJ, Kelaher BP, Alquezar R, York PH, Ralph PJ, Skilbeck CG. Trophic cul-de-sac, Pyrazus ebeninus, limits trophic transfer through an estuarine detritus-based food web. Oikos. 2007; 116(3): 427–38. doi: 10.1111/j.2006.0030–1299.15557.x</t>
  </si>
  <si>
    <t>Rossi F, Incera M, Callier M, Olabarria C. Effects of detrital non-native and native macroalgae on the nitrogen and carbon cycling in intertidal sediments. Mar Biol. 2011; 158(12):2705–15. doi: 10.1007/s00227-011-1768-6</t>
  </si>
  <si>
    <t>observations of kelp in deep sea</t>
  </si>
  <si>
    <t>Stable isotopes trophic flow</t>
  </si>
  <si>
    <t>Impacts of environment on kelp</t>
  </si>
  <si>
    <t>Optical properties of CDOM</t>
  </si>
  <si>
    <t>1.9m2</t>
  </si>
  <si>
    <t>Nereocystis</t>
  </si>
  <si>
    <t>luetkeana</t>
  </si>
  <si>
    <t>Agarum</t>
  </si>
  <si>
    <t>fimbriatum</t>
  </si>
  <si>
    <t>epibenthic zooplankton, macrofauna/meiofauna</t>
  </si>
  <si>
    <t>Duggins et al. 2016</t>
  </si>
  <si>
    <t>N. luetkeana</t>
  </si>
  <si>
    <t>deep</t>
  </si>
  <si>
    <t>A. clathratum</t>
  </si>
  <si>
    <t>species; depth</t>
  </si>
  <si>
    <t>Dugan JE, Hubbard DM, McCrary MD, Pierson MO (2003) The response of macrofauna communities and shorebirds to macrophyte wrack subsidies on exposed sandy beaches of southern California. Estuar Coast Shelf Sci 58:25–40</t>
  </si>
  <si>
    <t>Trophic impacts</t>
  </si>
  <si>
    <t>all</t>
  </si>
  <si>
    <t>phylloids</t>
  </si>
  <si>
    <t>umol photons m-1s-1</t>
  </si>
  <si>
    <t>continuosly aerated</t>
  </si>
  <si>
    <t>PSII; Iodine</t>
  </si>
  <si>
    <t>Nitschke et al. 2015</t>
  </si>
  <si>
    <t>García-Robledo E, Corzo A, García de Lomas J, van Bergeijk SA (2008) Biogeochemical effects of macroalgal decomposition on intertidal microbenthos: a microcosm experiment. Mar Ecol Prog Ser 356:139–151. doi:10.3354/meps07287</t>
  </si>
  <si>
    <t>Hardison AK, Canuel EA, Anderson IC, Veuger B (2010) Fate of macroalgae in benthic systems: carbon and nitrogen cycling within the microbial community. Mar Ecol Prog Ser 414:41–55. doi:10.3354/meps08720</t>
  </si>
  <si>
    <t>Buchsbaum R, Valiela I, Swain T, Dzierzeski M, Allen S (1991) Available and refractory nitrogen in detritus of coastal vascular plants and macroalgae. Mar Ecol Prog Ser 72:131–143</t>
  </si>
  <si>
    <t>Nedergaard RI, Risgaard-Petersen N, Finster K (2002) The importance of sulfate reduction associated with Ulva lactuca thalli during decomposition: a mesocosm experiment. J Exp Mar Biol Ecol 275:15–29. doi:10.1016/S0022-0981(02)00211-3</t>
  </si>
  <si>
    <t>Huang R-J, Thorenz UR, Kundel M, Venables DS, Ceburnis D, Ho KF, Chen J, Vogel AL, Küpper FC, Smyth PPA, Nitschke U, Stengel DB, Berresheim H, O’Dowd CD, Hoffmann T (2013) The seaweeds Fucus vesiculosus and Ascophyllum nodosum are significant contributors to coastal iodine emissions. Atmos Chem Phys 13:5255–5264. doi:10.5194/acp-13-5255-2013</t>
  </si>
  <si>
    <t>Primary production only</t>
  </si>
  <si>
    <t>Kelp forest microbes</t>
  </si>
  <si>
    <t>bald kelp erosion</t>
  </si>
  <si>
    <t>Subsidies for basin urchin</t>
  </si>
  <si>
    <t>Nitschke, U; Dixneuf, S; Schmid, M; Ruth, AA; Stengel, DB. 2015. Contribution of living and degrading kelp to coastal iodine fluxes. MARINE BIOLOGY</t>
  </si>
  <si>
    <t>Duggins, DO; Gomez-Buckley, MC; Buckley, RM; Lowe, AT; Galloway, AWE; Dethier, MN. 2016. Islands in the stream: kelp detritus as faunal magnets. MARINE BIOLOGY</t>
  </si>
  <si>
    <t>Gladstone-Gallagher, RV; Lohrer, AM; Lundquist, CJ; Pilditch, CA. 2016. Effects of Detrital Subsidies on Soft-Sediment Ecosystem Function Are Transient and Source-Dependent. PLOS ONE</t>
  </si>
  <si>
    <t>Impacts of wrack on macrofauna</t>
  </si>
  <si>
    <t>Lastra, M; Rodil, IF; Sanchez-Mata, A; Garcia-Gallego, M; Mora, J. 2014. Fate and processing of macroalgal wrack subsidies in beaches of Deception Island, Antarctic Peninsula. JOURNAL OF SEA RESEARCH</t>
  </si>
  <si>
    <t>Antarctica</t>
  </si>
  <si>
    <t>Palmaria</t>
  </si>
  <si>
    <t>Desmarestia</t>
  </si>
  <si>
    <t>menziesii</t>
  </si>
  <si>
    <t>pre-dried at 60C</t>
  </si>
  <si>
    <t>Lastra et al. 2014</t>
  </si>
  <si>
    <t>decipiens</t>
  </si>
  <si>
    <t>P. decipiens</t>
  </si>
  <si>
    <t>D. menziesii</t>
  </si>
  <si>
    <t>Inglis, G., 1989. The colonization and degradation of stranded Macrocystis pyrifera (L.) by the macrofauna of a New Zealand sandy beach. J. Exp. Mar. Biol. Ecol. 125, 203–217.</t>
  </si>
  <si>
    <t>Reichardt, W., Dieckmann, G., 1985. Kinetics and trophic role of bacterial degradation of macroalgae in Antarctic coastal waters. In: Siegfried, W., Conly, P., Laws, R. (Eds.), Antarctic Nutrient Cycles and Food Webs. Springer Verlag, Berlin, pp. 115–122.</t>
  </si>
  <si>
    <t>Nedzarek, A., Rakusa-Suszczewski, S., 2004. Decomposition ofmacroalgae and the release of nutrient in Admiralty Bay, King George Island, Antarctica. Pol. Biosci. 17, 26–35.</t>
  </si>
  <si>
    <t>Modelling fate of detritus</t>
  </si>
  <si>
    <t>microbial degradation of fucoidan</t>
  </si>
  <si>
    <t xml:space="preserve">sp. </t>
  </si>
  <si>
    <t>pre-dried at 60C; hand churned into sediments (0.05m)</t>
  </si>
  <si>
    <t>Impacts of sediment enrichment on fauna</t>
  </si>
  <si>
    <t>metaanalysis</t>
  </si>
  <si>
    <t>dislodgment and erosion</t>
  </si>
  <si>
    <t>Fluxes in seagrass meadows</t>
  </si>
  <si>
    <t>Microbiome</t>
  </si>
  <si>
    <t>microbial degradation/influence of aged detrius on food web</t>
  </si>
  <si>
    <t>POM production and consumption</t>
  </si>
  <si>
    <t>microbiome</t>
  </si>
  <si>
    <t>Durvillaea</t>
  </si>
  <si>
    <t>antarctica</t>
  </si>
  <si>
    <t>epifauna, C/N</t>
  </si>
  <si>
    <t>Dufour et al. 2012</t>
  </si>
  <si>
    <t>D. antarctica</t>
  </si>
  <si>
    <t>isotope review</t>
  </si>
  <si>
    <t>mircrobiome, kelp forest chem environ</t>
  </si>
  <si>
    <t>Impact of storm on detritus</t>
  </si>
  <si>
    <t>Isotopic labelling</t>
  </si>
  <si>
    <t>Impacts of drift algae on urchins</t>
  </si>
  <si>
    <t>Fourqurean JW, Schrlau JE 2003. Changes in nutrient content and stable isotope reatios of C and N during decomposition of seagrasses and mangrove leaves along a nutrient availability gradient in Florida Bay, USA. Chemistry and Ecology 19: 373 390.</t>
  </si>
  <si>
    <t>Bolam SG, Fernandes TF, Read P, Raffaelli D 2000. Effects of macroalgal mats on intertidal sandflats: an experimental study. Journal of Experimental Marine Biology and Ecology 249: 123 137.</t>
  </si>
  <si>
    <t>Rossi F 2006. Small-scale burial of macroalgal detritus in marine sediments: effects of Ulva spp. on the spatial distribution of macrofauna assemblages. Journal of Experimental Marine Ecology and Biology 332: 84 95.</t>
  </si>
  <si>
    <t>Rossi F 2007. Recycle of buried macroalgal detritus in sediments: use of dual-labelling experiments in the field. Marine Biology 150: 1073 1081.</t>
  </si>
  <si>
    <t>Ince R, Hyndes GA, Lavery PS, Vanderklift MA 2007. Marine macrophytes directly enhance abundances of sandy beach fauna through provision of food and habitat. Estuarine Coastal and Shelf Science 74: 77 86.</t>
  </si>
  <si>
    <t>Catenazzi A, Donnelly MA 2007. Role of supratidal invertebrates in the decomposition of beach-cast green algae Ulva sp. Marine Ecology Progress Series 349: 33 42.</t>
  </si>
  <si>
    <t>Bedford AP, Moore PG (1984) Macrofaunal involvement in the sublittoral decay of kelp debris: the detritivore community and species interactions. Estuar Coast Shelf Sci 18:97−111</t>
  </si>
  <si>
    <t>Tenore KR, Hanson RB, McClain J, Maccubbin AE, Hodson RE (1984) Changes in composition and nutritional value to a benthic deposit feeder of decomposing detritus pools. Bull Mar Sci 35:299−311</t>
  </si>
  <si>
    <t>Alkemade R, van Rijswijk P (1993) Path analysis of the influence of substrate composition on nematode numbers and on decomposition of stranded seaweed at an Antarctic coast. Neth J Sea Res 31:63−70</t>
  </si>
  <si>
    <t>Kristensen E (1994) Decomposition of macroalgae, vascular plants and sediment detritus in seawater: use of stepwise thermogravimetry. Biogeochemistry 26:1−24</t>
  </si>
  <si>
    <t>Smith BD, Foreman RE (1984) An assessment of seaweed decomposition within a southern Strait of Georgia seaweed community. Mar Biol 84:197−205</t>
  </si>
  <si>
    <t>Mann KH (1988) Production and use of detritus in various freshwater, estuarine, and coastal marine systems. Limnol Oceanogr 33:910−930</t>
  </si>
  <si>
    <t>Newell RC, Lucas MI, Velimirov B, Seiderer LJ (1980) Quantitative significance of dissolved organic losses following fragmentation of kelp (Ecklonia maxima and Laminaria pallida). Mar Ecol Prog Ser 2:45−59</t>
  </si>
  <si>
    <t>Canada</t>
  </si>
  <si>
    <t>northwest atlantic</t>
  </si>
  <si>
    <t>Codium</t>
  </si>
  <si>
    <t>fragile</t>
  </si>
  <si>
    <t>50-75</t>
  </si>
  <si>
    <t xml:space="preserve">Temp ranged from 5.5-20C in the first 12 wks </t>
  </si>
  <si>
    <t>Krumhansl &amp; Schiebling 2012</t>
  </si>
  <si>
    <t>C. fragile</t>
  </si>
  <si>
    <t>g fw remaining</t>
  </si>
  <si>
    <t>C/N, DMs and DMSP, epifauna</t>
  </si>
  <si>
    <t>Bustamante RH, Branch GM, Eekhout S (1995) Maintenance of an exceptional intertidal grazer biomass in South Africa: subsidy by subtidal kelps. Ecology 76: 2314−2329</t>
  </si>
  <si>
    <t>Bouillon S, Koedam N, Raman AV, Dehairs F (2002) Primary producers sustaining macro-invertebrate communities in intertidal mangrove forests. Oecologia 130: 441−448</t>
  </si>
  <si>
    <t>Iken K, Amsler CD, Amsler MO, McClintock JB, Baker BJ (2009) Field studies on deterrent properties of phlorotannins in Antacrtic brown algae. Bot Mar 52: 647−657</t>
  </si>
  <si>
    <t>Fenton G, Ritz D (1988) Changes in carbon and hydrogen stable isotope ratios of macroalgae and seagrass during decomposition. Estuar Coast Shelf Sci 26: 429−436</t>
  </si>
  <si>
    <t>Hill JM, McQuaid CD (2009) Variability in the fractionation of stable isotopes during degradation of two intertidal red algae. Estuar Coast Shelf Sci 82: 397−405</t>
  </si>
  <si>
    <t>Cebrian J, Lartigue J (2004) Patterns of herbivory and decomposition in aquatic and terrestrial ecosystems. Ecol Monogr 74: 237−259</t>
  </si>
  <si>
    <t>Raut, Y., Morando, M., Capone D. G. 2018. Diazotrophic macroalgal associations with living and decomposing Sargassum. Front Microbiol 9: 1-14</t>
  </si>
  <si>
    <t>Pedersen, MF; Filbee-Dexter, K; Frisk, NL; Sarossy, Z; Wernberg, T. 2021. Carbon sequestration potential increased by incomplete anaerobic decomposition of kelp detritus. MARINE ECOLOGY PROGRESS SERIES</t>
  </si>
  <si>
    <t>Litchfield, SG; Schulz, KG; Kelaher, BP. 2020. The influence of plastic pollution and ocean change on detrital decomposition. MARINE POLLUTION BULLETIN</t>
  </si>
  <si>
    <t>Watanabe, K; Yoshida, G; Hori, M; Umezawa, Y; Moki, H; Kuwae, T. 2020. Macroalgal metabolism and lateral carbon flows can create significant carbon sinks. BIOGEOSCIENCES</t>
  </si>
  <si>
    <t>Pessarrodona, A; Foggo, A; Smale, DA. 2019. Can ecosystem functioning be maintained despite climate-driven shifts in species composition? Insights from novel marine forests. JOURNAL OF ECOLOGY</t>
  </si>
  <si>
    <t>Fujii, K; Tominaga, Y; Okunaka, J; Yagi, H; Ohshiro, T; Suzuki, H. 2018. Microbial and genomic characterization of Geobacillus thermodenitrificans OS27, a marine thermophile that degrades diverse raw seaweeds. APPLIED MICROBIOLOGY AND BIOTECHNOLOGY</t>
  </si>
  <si>
    <t>Dufour, C; Probert, PK; Savage, C. 2012. Macrofaunal colonisation of stranded Durvillaea antarctica on a southern New Zealand exposed sandy beach. NEW ZEALAND JOURNAL OF MARINE AND FRESHWATER RESEARCH</t>
  </si>
  <si>
    <t>Krumhansl, KA; Scheibling, RE. 2012. Detrital subsidy from subtidal kelp beds is altered by the invasive green alga Codium fragile ssp fragile. MARINE ECOLOGY PROGRESS SERIES</t>
  </si>
  <si>
    <t>Salathe, R; Riera, P. 2012. The role of Talitrus saltator in the decomposition of seaweed wrack on sandy beaches in northern Brittany: an experimental mesocosm approach. CAHIERS DE BIOLOGIE MARINE</t>
  </si>
  <si>
    <t>Light through window</t>
  </si>
  <si>
    <t>Fucus</t>
  </si>
  <si>
    <t>vesiculosus</t>
  </si>
  <si>
    <t>serratus</t>
  </si>
  <si>
    <t>sp.</t>
  </si>
  <si>
    <t>Enteromorpha</t>
  </si>
  <si>
    <t>Ascophyllum</t>
  </si>
  <si>
    <t>nodosum</t>
  </si>
  <si>
    <t>Salathe &amp; Riera 2012</t>
  </si>
  <si>
    <t>F. vesiculosus</t>
  </si>
  <si>
    <t>F. serratus</t>
  </si>
  <si>
    <t xml:space="preserve">Enteromorpha sp. </t>
  </si>
  <si>
    <t>Ascophyllum nodosum</t>
  </si>
  <si>
    <t xml:space="preserve">Ulva sp. </t>
  </si>
  <si>
    <t>AFDW</t>
  </si>
  <si>
    <t>Bustamante R.H. &amp; Branch G.M. 1996. The dependence of intertidal consumers on kelp-derived organic matter on the west coast of South Africa. Journal of Experimental Marine Biology and Ecology 196: 1-28.</t>
  </si>
  <si>
    <t>Lastra M., Page H.M., Dugan J.E., Hubbard D.M. &amp; Rodil I.F. 2008. Processing of allochthonous macrophyte subsidies by sandy beach consumers: estimates of feeding rates and impacts on food resources. Marine Biology, 154: 163-174.</t>
  </si>
  <si>
    <t>Detritus production only</t>
  </si>
  <si>
    <t>Physiological performanc of rafts</t>
  </si>
  <si>
    <t>wrack accumulation</t>
  </si>
  <si>
    <t>Erosion only</t>
  </si>
  <si>
    <t>Trophic and biotic interactions</t>
  </si>
  <si>
    <t>Impacts of enrichment on macrofauna only</t>
  </si>
  <si>
    <t>microbiome only</t>
  </si>
  <si>
    <t>stable isotopes only</t>
  </si>
  <si>
    <t>Drift algae and sea urchin</t>
  </si>
  <si>
    <t>Trophic flow</t>
  </si>
  <si>
    <t>Feeding rates</t>
  </si>
  <si>
    <t>Stable isotopes only</t>
  </si>
  <si>
    <t>DOC production and characterisation</t>
  </si>
  <si>
    <t>Influence of CO2 and UV on kelp</t>
  </si>
  <si>
    <t>kelp phytoplankton isotopes</t>
  </si>
  <si>
    <t>Norderhaug, KM; Nygaard, K; Fredriksen, S. 2006. Importance of phlorotannin content and C : N ratio of Laminaria hyperborea in determining its palatability as food for consumers. MARINE BIOLOGY RESEARCH</t>
  </si>
  <si>
    <t>feeding assay only; phlorotannin and C/N degradation only</t>
  </si>
  <si>
    <t>drift accumulation and physiology</t>
  </si>
  <si>
    <t>feeding assay</t>
  </si>
  <si>
    <t>wrack stable isotopes</t>
  </si>
  <si>
    <t>importance of drift kelp on macrofauna</t>
  </si>
  <si>
    <t>detritus in deep sea</t>
  </si>
  <si>
    <t>Uchida, M. 1996. Formation of single cell detritus densely covered with bacteria during experimental degradation of Laminaria japonica thalli. FISHERIES SCIENCE</t>
  </si>
  <si>
    <t>microbial degradatino of the cell</t>
  </si>
  <si>
    <t>Bourgues, S; Auby, I; deWit, R; Labourg, PJ. 1996. Differential anaerobic decomposition of seagrass (Zostera noltii) and macroalgal (Monostroma obscurum) biomass from Arcachon Bay (France). HYDROBIOLOGIA</t>
  </si>
  <si>
    <t>30-50</t>
  </si>
  <si>
    <t>anoxic</t>
  </si>
  <si>
    <t>Elemental composition C, N, P</t>
  </si>
  <si>
    <t>M. obscurum</t>
  </si>
  <si>
    <t>g dw remaining</t>
  </si>
  <si>
    <t>autumn</t>
  </si>
  <si>
    <t>Williams, S. L., 1984. Decomposition of the macroalga Caulerpa cupressoides (West) c. Agardh: field and laboratory studies. J. expo mar. BioI. Ecol. 80: 109-124.</t>
  </si>
  <si>
    <t>Chown, SL. 1996. Kelp degradation by Paractora trichosterna (Thomson) (Diptera: Helcomyzidae) at sub-Antarctic South Georgia. POLAR BIOLOGY</t>
  </si>
  <si>
    <t>Methods adapted from Crafford and Scholtz 1987</t>
  </si>
  <si>
    <t>wooden box</t>
  </si>
  <si>
    <t>Chown et al. 1996</t>
  </si>
  <si>
    <t>M. pyrifera</t>
  </si>
  <si>
    <t>tramped</t>
  </si>
  <si>
    <t>protected</t>
  </si>
  <si>
    <t>animal trampling</t>
  </si>
  <si>
    <t>macrofauna</t>
  </si>
  <si>
    <t>Brouwer, PEM. 1996. Decomposition in situ of the sublittoral Antarctic macroalga Desmarestia anceps Montagne. POLAR BIOLOGY</t>
  </si>
  <si>
    <t>anceps</t>
  </si>
  <si>
    <t>December</t>
  </si>
  <si>
    <t>killed' fronds were pretreated in 50C for 10-15 mins</t>
  </si>
  <si>
    <t xml:space="preserve">many </t>
  </si>
  <si>
    <t>C, N, P, ash weight, chl</t>
  </si>
  <si>
    <t>Brouwer 1996</t>
  </si>
  <si>
    <t>D. anceps</t>
  </si>
  <si>
    <t>untreated</t>
  </si>
  <si>
    <t>pre killed</t>
  </si>
  <si>
    <t>prekilled</t>
  </si>
  <si>
    <t>Birch PB, Gabrielson JO, Hamel KS (1983) Decomposition of Cladophora. I. Field studies in the Peel-Harvey estuarine system, Western Australia. Bot Mar 26:165Ð171</t>
  </si>
  <si>
    <t>Hunter RD (1976) Changes in carbon and nitrogen content during decomposition of three macrophytes in freshwater and marine environments. Hydrobiologia 51:119Ð128</t>
  </si>
  <si>
    <t>Josselyn MN, Mathieson AC (1980) Seasonal inßux and decomposition of autochthonous macrophyte litter in a north temperate estuary. Hydrobiologia 71:197Ð208</t>
  </si>
  <si>
    <t>Zielinski K (1981) Benthic macroalgae of Admiralty Bay (King George Island, South Shetland Islands) and circulation of algal matter between the water and the shore. Pol Polar Res 2:71Ð94</t>
  </si>
  <si>
    <t>Gabrielson JO, Birch PB, Hamel KS (1983) Decomposition of Cladophora. II. In vitro studies of nitrogen and phosphorus regeneration. Bot Mar 26:173Ð179</t>
  </si>
  <si>
    <t>Carpenter SR, Adams MS (1979) E¤ects of nutrients and temperature on decomposition of Myriophyllum spicatum L. in a hardwater eutrophic lake. Limnol Oceanogr 24:520Ð528</t>
  </si>
  <si>
    <t>Haxen PG, Grindley JR (1985) Durvillaea antarctica production in relation to nutrient cycling at Marion Island. In: Siegfried WR, Condy PR, Laws RM (eds) Antarctic nutrient cycles and food webs. Springer, Berlin, Heidelberg New York, pp 637Ð640</t>
  </si>
  <si>
    <t>Twilley RS, Ejdung G, Romare P, KempWM(1986) A comparative study of decomposition, oxygen consumption and nutrient release for selected aquatic plants occurring in an estuarine environment. Oikos 47:190Ð198</t>
  </si>
  <si>
    <t>Rice DL, Tenore KR (1981) Dynamics of carbon and nitrogen during the decomposition of detritus derived from estuarine macrophytes. Estuarine Coastal Shelf Sci 13:681Ð690</t>
  </si>
  <si>
    <t>feeding assay only</t>
  </si>
  <si>
    <t>kelp detritus as food for filter feeders</t>
  </si>
  <si>
    <t>ALBER, M; VALIELA, I. 1994. PRODUCTION OF MICROBIAL ORGANIC AGGREGATES FROM MACROPHYTE-DERIVED DISSOLVED ORGANIC MATERIAL. LIMNOLOGY AND OCEANOGRAPHY</t>
  </si>
  <si>
    <t>Alber and Valiela 1994</t>
  </si>
  <si>
    <t>mg DOC M-1</t>
  </si>
  <si>
    <t>100 % leachate</t>
  </si>
  <si>
    <t>67 % leachate</t>
  </si>
  <si>
    <t>33 % leachate</t>
  </si>
  <si>
    <t>17 % leachate</t>
  </si>
  <si>
    <t>3 % leachate</t>
  </si>
  <si>
    <t>500 ml mason jar</t>
  </si>
  <si>
    <t>leachate concentration</t>
  </si>
  <si>
    <t>Air bubbling</t>
  </si>
  <si>
    <t>C, N, CO2, POC</t>
  </si>
  <si>
    <t>Gracilaria</t>
  </si>
  <si>
    <t>tikvahiae</t>
  </si>
  <si>
    <t>lactuca</t>
  </si>
  <si>
    <t>Trial 1</t>
  </si>
  <si>
    <t>Trial 2</t>
  </si>
  <si>
    <t xml:space="preserve">Gracilaria </t>
  </si>
  <si>
    <t>leachate concentration/species</t>
  </si>
  <si>
    <t>Biddanda, B. A. 1985. Microbial synthesis of macroparticulate matter. Mar. Ecol. Prog. Ser. 20: 24 l-25 1</t>
  </si>
  <si>
    <t>KEPKAY, P. E., AND B. D. JOHNSON. 1988. Microbial response to organic particle gcncration by surface coagulation in scawatcr. Mar. Ecol. Prog. Ser. 48: 193-198.</t>
  </si>
  <si>
    <t>Biddanda, B. A. 1986. Structure and function of marine microbial aggregates. Oceanol. Acta 9: 209-2 11.</t>
  </si>
  <si>
    <t>MUNDA, IM. 1993. CHANGES AND DEGRADATION OF SEAWEED STANDS IN THE NORTHERN ADRIATIC. HYDROBIOLOGIA</t>
  </si>
  <si>
    <t>loss of seaweed stands</t>
  </si>
  <si>
    <t>degradation through fermenation (mannitol/laminaran)</t>
  </si>
  <si>
    <t>isotopes only</t>
  </si>
  <si>
    <t>assessment of bacteria only</t>
  </si>
  <si>
    <t>100 ml screw-cap bottles</t>
  </si>
  <si>
    <t>mixed</t>
  </si>
  <si>
    <t>Equal parts Delesseria sanguinea, Ulva lactuca, and laminaria saccharina, Ex 1 spiked with Debaryomyces hansenii (yeast; flagellates), ciliates and nematodes</t>
  </si>
  <si>
    <t>gently agitated; 50 imp min-1; loosly capped bottles</t>
  </si>
  <si>
    <t>pH, organism counts (flagellates, nematodes, ciliates)</t>
  </si>
  <si>
    <t>unfiltered seawater</t>
  </si>
  <si>
    <t>filtered seawater</t>
  </si>
  <si>
    <t>autoclaved seawater</t>
  </si>
  <si>
    <t>POC</t>
  </si>
  <si>
    <t>Control</t>
  </si>
  <si>
    <t>Yeast</t>
  </si>
  <si>
    <t>Flagellates</t>
  </si>
  <si>
    <t>Nematodes &amp; Ciliates</t>
  </si>
  <si>
    <t>Ciliates</t>
  </si>
  <si>
    <t>Untreated SW</t>
  </si>
  <si>
    <t>Raw untreated</t>
  </si>
  <si>
    <t>0.45 um filtered</t>
  </si>
  <si>
    <t>Autoclaved</t>
  </si>
  <si>
    <t>Untreated SW alone</t>
  </si>
  <si>
    <t>Untreated SW &amp; ciliates, flagellates, harpacticoids</t>
  </si>
  <si>
    <t>Untreated SE &amp; ciliates, flagellates, harpacticoid culture water</t>
  </si>
  <si>
    <t>Gunkel, W., Crow, S. &amp; Klings, K.-W., 1983. Yeast population increases during degradation of Desmarestia w_ridis (Phaeophyceae) in seawater model microecosystems. - Mar. Biol. 75, 327-332.</t>
  </si>
  <si>
    <t>Briggs, K. B,, Tenore, K. R. &amp; Hanson, R. B., 1979. The role of microfauna in detrital utilization by the polychaete, Nereis succinea (Frey and Leuckart). - J. exp. mar. Biol. Ecol. 36, 225-234.</t>
  </si>
  <si>
    <t>Quntification of POC in kelp forests with upwelling</t>
  </si>
  <si>
    <t>Algal condition and function</t>
  </si>
  <si>
    <t>CRAFFORD, JE; SCHOLTZ, CH. 1987. PHENOLOGY OF STRANDED KELP DEGRADATION BY THE KELP FLY PARACTORA-DREUXI-MIRABILIS (HELCOMYZIDAE) AT MARION-ISLAND. POLAR BIOLOGY</t>
  </si>
  <si>
    <t>November</t>
  </si>
  <si>
    <t>wrack bed</t>
  </si>
  <si>
    <t>trampling</t>
  </si>
  <si>
    <t>no-tramping</t>
  </si>
  <si>
    <t>Crafford &amp; Scholtz 1987</t>
  </si>
  <si>
    <t>Single fronds</t>
  </si>
  <si>
    <t>Exposed wrack</t>
  </si>
  <si>
    <t>Protected wrack</t>
  </si>
  <si>
    <t>fauna</t>
  </si>
  <si>
    <t>fauna; wrack temp</t>
  </si>
  <si>
    <t>Crafford JE (1984) Life cycle and kelp consumption of Paractora dreuxi mirabilis (Diptera; Helcomyzidae): a primary decomposer of stranded kelp at Marion Island. S Afr J Antarct Res 14:18-22</t>
  </si>
  <si>
    <t>BOUVY, M; LEROMANCER, M; DELILLE, D. 1986. SIGNIFICANCE OF MICROHETEROTROPHS IN RELATION TO THE DEGRADATION PROCESS OF SUB-ANTARCTIC KELP BEDS (MACROCYSTIS-PYRIFERA). POLAR BIOLOGY</t>
  </si>
  <si>
    <t>Wrack microbiome</t>
  </si>
  <si>
    <t>purpose</t>
  </si>
  <si>
    <t>Eucheuma</t>
  </si>
  <si>
    <t>cottonii</t>
  </si>
  <si>
    <t>ground</t>
  </si>
  <si>
    <t>carbon, nitrogen, sulfur, pH, volatile fatty acides (VFA)</t>
  </si>
  <si>
    <t>King et al. 1985</t>
  </si>
  <si>
    <t>E. cottonii</t>
  </si>
  <si>
    <t>gm/l</t>
  </si>
  <si>
    <t>1-L flask</t>
  </si>
  <si>
    <t>KING, GM; GUIST, GG; LAUTERBACH, GE. 1985. ANAEROBIC DEGRADATION OF CARRAGEENAN FROM THE RED MACROALGA EUCHEUMA-COTTONII. APPLIED AND ENVIRONMENTAL MICROBIOLOGY</t>
  </si>
  <si>
    <t>anaerobic; continuous stirring</t>
  </si>
  <si>
    <t>Foree, E. G., and P. L. McCarty. 1970. Anaerobic decomposition of algae. Environ. Sci. Technol. 4:842-849.</t>
  </si>
  <si>
    <t>KOOP, K; NEWELL, RC; LUCAS, MI. 1982. BIODEGRADATION AND CARBON FLOW BASED ON KELP (ECKLONIA-MAXIMA) DEBRIS IN A SANDY BEACH MICROCOSM. MARINE ECOLOGY PROGRESS SERIES</t>
  </si>
  <si>
    <t>maxima</t>
  </si>
  <si>
    <t>South Africa</t>
  </si>
  <si>
    <t>Thesis not accessible</t>
  </si>
  <si>
    <t>GRIFFITHS, CL; STENTONDOZEY, J. 1981. THE FAUNA AND RATE OF DEGRADATION OF STRANDED KELP. ESTUARINE COASTAL AND SHELF SCIENCE</t>
  </si>
  <si>
    <t>single wrack</t>
  </si>
  <si>
    <t>Griffiths &amp; Stenton-Dozey 1981</t>
  </si>
  <si>
    <t>E. maxima</t>
  </si>
  <si>
    <t>wrack bank</t>
  </si>
  <si>
    <t>Response of microorganisms to kelp muccalige only</t>
  </si>
  <si>
    <t>pallida</t>
  </si>
  <si>
    <t>mucilage</t>
  </si>
  <si>
    <t>6.4g/l (mucilage)</t>
  </si>
  <si>
    <t>7.2g/l (mucilage)</t>
  </si>
  <si>
    <t xml:space="preserve">TOC/DOC, carbohydrates, polyols and acid hydrolysates, CHN </t>
  </si>
  <si>
    <t>Lucas et al. 1981</t>
  </si>
  <si>
    <t>DOM</t>
  </si>
  <si>
    <t>ug mg-1</t>
  </si>
  <si>
    <t>Non-sterile SW with Ecklonia</t>
  </si>
  <si>
    <t>Sterile SW with Ecklonia</t>
  </si>
  <si>
    <t>Non-sterile SW with Laminaria</t>
  </si>
  <si>
    <t>Sterile SW with Laminaria</t>
  </si>
  <si>
    <t>dryed DOM</t>
  </si>
  <si>
    <t>SW sterilisation</t>
  </si>
  <si>
    <t>initial (D0) DOM values not available so values are calculated in reference to D1 values</t>
  </si>
  <si>
    <t>Carbon budget only</t>
  </si>
  <si>
    <t>Biofuel production only</t>
  </si>
  <si>
    <t>Seagrass and mangrove only</t>
  </si>
  <si>
    <t>Conference proceedings unavailable</t>
  </si>
  <si>
    <t>Southern Ocean</t>
  </si>
  <si>
    <t>Iridaea</t>
  </si>
  <si>
    <t>albida</t>
  </si>
  <si>
    <t>pre-frozen</t>
  </si>
  <si>
    <t>live</t>
  </si>
  <si>
    <t>Indian Ocean</t>
  </si>
  <si>
    <t>loss on ignition, TN, TP, salinity</t>
  </si>
  <si>
    <t>Birch et al. 1983</t>
  </si>
  <si>
    <t>pre-frozen (dead)</t>
  </si>
  <si>
    <t>anaerobic</t>
  </si>
  <si>
    <t>Gunnison, D. and M. Alexander. 1975, Resistance and susceptibility of algae to decomposition by natural microbial communities. Limnol. Oceanogr. 20: 65-70.</t>
  </si>
  <si>
    <t>Huber, A, L·, J, O. Gabrielson, P, Dolin and D. K. Kidby, 1983, Decomposition of Cladophora. III. Heterotroph populations and phosphatase activity associated with phosphorus mineralization. Bot. Mär, 26: 181-188.</t>
  </si>
  <si>
    <t>Impacts on sediment biogeochem and meiofauna only</t>
  </si>
  <si>
    <t>seagrass only</t>
  </si>
  <si>
    <t>prolifera</t>
  </si>
  <si>
    <t>Scotland</t>
  </si>
  <si>
    <t>Isotopes, tropic flow</t>
  </si>
  <si>
    <t>Uptake of C by ciliates and meiofauna</t>
  </si>
  <si>
    <t>nitrogen cycling</t>
  </si>
  <si>
    <t>2 to 3</t>
  </si>
  <si>
    <t>C;H;N; afdw; amino acids; lignins, phenolics</t>
  </si>
  <si>
    <t>Buchsbaum et al. 1991</t>
  </si>
  <si>
    <t>U. lactuca</t>
  </si>
  <si>
    <t>G. tikvahlae</t>
  </si>
  <si>
    <t>F. vesiculosis</t>
  </si>
  <si>
    <t>Valiela, I., Teal, J. M., Volkmann, S., Van Etten, R., Allen, S. (1985). Decomposition in salt marsh ecosystems: the phases and major factors affecting the disappearance of above-ground organic matter. J. exp. mar. Biol. Ecol.</t>
  </si>
  <si>
    <t>Isotopes; Trophic flow</t>
  </si>
  <si>
    <t>Trophic flow and feeding experiments</t>
  </si>
  <si>
    <t>freshwater</t>
  </si>
  <si>
    <t>Peru</t>
  </si>
  <si>
    <t>southeast pacific</t>
  </si>
  <si>
    <t>Catenazzi &amp; Donnelly 2007</t>
  </si>
  <si>
    <t>k values in paper differ slightly than calculated</t>
  </si>
  <si>
    <t>Exp 1; 5 mm mesh</t>
  </si>
  <si>
    <t>Exp 1; 1 mm mesh</t>
  </si>
  <si>
    <t>Exp 1; 80 um mesh</t>
  </si>
  <si>
    <t>Exp 2; 5 mm mesh</t>
  </si>
  <si>
    <t>Exp 2; 1 mm mesh</t>
  </si>
  <si>
    <t>Exp 2; 80 um mesh</t>
  </si>
  <si>
    <t>stable isotopes; meiofauna</t>
  </si>
  <si>
    <t>Jedrzejczak MF (2002) Stranded Zostera marina L. vs. wrack fauna community intreactions on a Baltic sandy beach (Hel, Poland): a short-term pilot study. Part II. Driftline effects of successional changes and colonisation of beach fauna. Oceanologia 44:367–387</t>
  </si>
  <si>
    <t>Zimmer M, Pennings SC, Buck TL, Carefoot TH (2002) Species- specific patterns of litter processing by terrestrial isopods (Isopoda: Oniscidea) in high intertidal salt marshes and coastal forests. Funct Ecol 16:596–607</t>
  </si>
  <si>
    <t>Review, meta-analysis</t>
  </si>
  <si>
    <t>bioethanol production</t>
  </si>
  <si>
    <t>McLachlan, A., Erasmus, T., Dye, A. H., Wooldridge, T., van der Horst, G., Rossouw, G., Lasiak, T. A. &amp; McGwynne, L. E. 1981. Sand beach energetics: an ecosystem approach towards a high energy interface. Estuarine, Coastal and Shelf Science 13, 11–25</t>
  </si>
  <si>
    <t>Koop, K., Newell, R. C. &amp; Lucas, M. I. 1982a. Microbial regeneration of nutrients from the decompo_x0002_sition of macrophyte debris on the shore. Marine Ecology Progress Series 9, 91–96.</t>
  </si>
  <si>
    <t>Koop, K. &amp; Griffiths, C. L. 1982. The relative significance of bacteria, meio- and macrofauna on an exposed sandy beach. Marine Biology 66, 295–300.</t>
  </si>
  <si>
    <t>Newell, R. C., Field, J. G. &amp; Griffiths, C. L. 1982. Energy balance and significance of microorganisms in a kelp bed community. Marine Ecology Progress Series 8, 103–113</t>
  </si>
  <si>
    <t>Stenton-Dozey, J. M. E. &amp; Griffiths, C. L. 1983. The fauna associated with kelp stranded on a sandy beach. In Sandy beaches as ecosystems, A. McLachlan &amp; T. Erasmus (eds). The Hague: Junk, 557–568.</t>
  </si>
  <si>
    <t>McLachlan, A. 1985. The biomass of macro- and interstitial fauna on clean and wrack-covered beaches in Western Australia. Estuarine, Coastal and Shelf Science 21, 587–599.</t>
  </si>
  <si>
    <t>McLachlan, A. &amp; McGwynne, L. E. 1986. Do sandy beaches accumulate nitrogen? Marine Ecology Progress Series 34, 191–195.</t>
  </si>
  <si>
    <t>McGwynne, L. E., McLachlan, A. &amp; Furstenburg, J. P. 1988. Wrack break-down on sandy beaches. Its impact on interstitial meiofauna. Marine Environmental Research 25, 213–232</t>
  </si>
  <si>
    <t>Robertson, A.I. &amp; Lucas, J.S. 1983. Food choice, feeding rates and the turnover of macrophyte biomass by a surf-zone inhabiting amphipod. Journal of Experimental Marine Biology and Ecology 72, 99–124.</t>
  </si>
  <si>
    <t>Stenton-Dozey, J. M. E. &amp; Griffiths, C. L. 1980. Growth, consumption and respiration by larvae of the kelp-fly Fucellia capensis (Diptera: Anthyomyiidae). South African Journal of Zoology 15, 280–283</t>
  </si>
  <si>
    <t>Meiofauna communitites on wrack</t>
  </si>
  <si>
    <t>compressa</t>
  </si>
  <si>
    <t>rigida</t>
  </si>
  <si>
    <t>Agardhiella</t>
  </si>
  <si>
    <t>subulata</t>
  </si>
  <si>
    <t>vermiculophylla</t>
  </si>
  <si>
    <t>1 thalli</t>
  </si>
  <si>
    <t>afdw (organic content); N</t>
  </si>
  <si>
    <t>algae pre-frozen first; k values taken from text (no degradation data); N and OC data available</t>
  </si>
  <si>
    <t>Banta, G.T., Pedersen, M.F., Nielsen, S.L., 2004. Decomposition of marine primary producers: consequences for nutrient recycling and retention in coastal ecosystems. In: Nielsen, S.L., Banta, G.T., Pedersen, M.F. (Eds.), Estuarine Nutrient Cycling: the Influence of Primary Producers. Kluwer Academic Publishers, Boston, MA, pp. 187e216.</t>
  </si>
  <si>
    <t>Tyler, A.C., McGlathery, K.J., Anderson, I.C., 2001. Macroalgae mediation of dissolved organic nitrogen fluxes in a temperate coastal lagoon. Estuar. Coast. Shelf Sci. 53, 155e168.</t>
  </si>
  <si>
    <t>Paalme, T., Kukk, H., Kotta, J., Orav, H., 2002. ’In vitro’ and ’in situ’ decomposition of nuisance macroalgae Cladophora glomerata and Pilayella littoralis. Hydrobiologia 475, 469e476.</t>
  </si>
  <si>
    <t>Schmidt, C., 1980. Some aspects of marine algae decomposition. Ophelia Suppl. 1, 257e264.</t>
  </si>
  <si>
    <t>Targett, N.M., Coen, L.D., Boettcher, A.A., Tanner, C.E., 1992. Biogeographic comparison on marine algal polyphenolics: evidence against a latitudinal trend. Oecologia 89, 464e470.</t>
  </si>
  <si>
    <t>Zimmer, M., Danko, J.P., Pennings, S.C., Danford, A.R., Ziegler, A., Uglow, R.F., Carefoot, T.H., 2001. Hepatopancreatic endosymbionts in coastal isopods (Crustacea: isopoda), and their contribution to digestion. Mar. Biol. 138, 955e963.</t>
  </si>
  <si>
    <t>Fellerhoff, C., Voss, M., Wantzen, K.M., 2003. Stable carbon and nitrogen isotope signatures of decomposing tropical macrophytes. Aquat. Ecol. 37, 361e375.</t>
  </si>
  <si>
    <t>Rossi, L., Costantini, L., Carlino, P., di Lascio, A., Rossi, D., 2010. Autochthonous and allochthonous plant contributions to coastal benthic detritus deposits: a dualstable isotope study in a volcanic lake. Aquat. Sci. 72, 227e236. http://dx.doi.org/10.1007/s00027-009-0125-z.</t>
  </si>
  <si>
    <t>Hargrave, B.T., 1972. Aerobic decomposition of sediment and detritus as a function of particle surface area and organic content. Limnol. Oceanogr. 17, 583e596.</t>
  </si>
  <si>
    <t>Metabolic activity of wrack</t>
  </si>
  <si>
    <t>Fly larvae progression on wrack</t>
  </si>
  <si>
    <t>De Vittor et al. 2009. The application of a plug-flow reactor to measure the biodegradable dissolved organic carbon (BDOC) in seawater. Bioresour Technol 100: 5721−5728</t>
  </si>
  <si>
    <t>Description of BDOC bioreactor</t>
  </si>
  <si>
    <t>Wrack influence on meio/macrofauna</t>
  </si>
  <si>
    <t>Thesis not available; unpublished</t>
  </si>
  <si>
    <t>Degradation of fucus and gracillaria…..but no way to extract data (only presented % loss in reference to a control loss</t>
  </si>
  <si>
    <t>ethanol production</t>
  </si>
  <si>
    <t>degradation of isotopes only</t>
  </si>
  <si>
    <t>unialgae cultures only</t>
  </si>
  <si>
    <t>mangroves and seagrass only</t>
  </si>
  <si>
    <t>October</t>
  </si>
  <si>
    <t>anaerobic; no mixing</t>
  </si>
  <si>
    <t>erlenmeyer flask</t>
  </si>
  <si>
    <t>OC, TP, TN</t>
  </si>
  <si>
    <t>long exp</t>
  </si>
  <si>
    <t>estuary water (20% salinity); formula given for 3 shorter term experiments; and rates from other literature noted</t>
  </si>
  <si>
    <t>Jewell, W. J. and P. L. McCarty. 1971. Aerobic decomposition of algae. Environ. Sei. Technol. 5: 1023-1031</t>
  </si>
  <si>
    <t>Force, E. G., W. J. Jewell and P. L. McCarty. 1970. The extent of nitrogen and phosphorus regeneration from decomposing al_x0002_gae. Adv. Water Pollut. Res. 2: 111 27/1-15</t>
  </si>
  <si>
    <t>Hambrick, G. A., R. D. DeLaune and W. H. Patrick. Jr. 1980. Effect of estuarine sediment pH and oxidation-reduction po_x0002_tential on microbial hydrocarbon degradation. Appl. Environ. Microbiol. 40: 365-369.</t>
  </si>
  <si>
    <t>Carpenter, S. R. and M. S. Adam. 1979. Effects of nutrients and temperature on decomposition of Myriophyllum spicatum L. in a hard-water eutrophic lake. Limnol. Oceanogr. 24: 520-528.</t>
  </si>
  <si>
    <t>Otsuki, A. and T. Hanya. 1972. Production of dissolved organic matter from dead green algal cells. I. Aerobic microbial de_x0002_composition. Limnol. Oceanogr. 17: 248-257.</t>
  </si>
  <si>
    <t>Howard-Williams, C. and B. R. Davies. 1979. The rates of dry matter and nutrient loss from decomposing Potamogeton pec_x0002_tinatus in a brakish south temperate coastal lake. Freshwat. Blol. 9: 13-21.</t>
  </si>
  <si>
    <t>Nichols, D. S. and D. R. Keeney. 1973. Nitrogen and phosphorus release from decaying water milfoil. Hydrobiologia 42: 509-525.</t>
  </si>
  <si>
    <t>flow-through</t>
  </si>
  <si>
    <t>umol photons m-2 s-1</t>
  </si>
  <si>
    <t>Yeast associated with D.viridis degradation only</t>
  </si>
  <si>
    <t>POC and DOC release in situ</t>
  </si>
  <si>
    <t>verrucosa</t>
  </si>
  <si>
    <t>flowthrough</t>
  </si>
  <si>
    <t>10% SI</t>
  </si>
  <si>
    <t>max ~280 umol m-2s-1</t>
  </si>
  <si>
    <t>CHN</t>
  </si>
  <si>
    <t>aquaria</t>
  </si>
  <si>
    <t>Hanisak et al 1993</t>
  </si>
  <si>
    <t>kg remaining</t>
  </si>
  <si>
    <t>Owens NJP, Stewart WDP (1983) Enteromorpha and the cycling of nitrogen in a small estuary. Est. Coast. Shelf Sci. 17: 287-296.</t>
  </si>
  <si>
    <t>Lavery PS, McComb AJ (1991) Macroalgal-sediment nutrient interactions and their importance to macroalgal nutrition in a eutrophic estuary. Est. Coast. Shelf Sci. 32: 281-295.</t>
  </si>
  <si>
    <t>Habig C, DeBusk TA, Ryther JH (1984) The effect of nitrogen content on methane production by the marine alga Gracilaria tikvahiae and Ulva sp. Biomass 4: 239-251.</t>
  </si>
  <si>
    <t>Habig C, Ryther JH (1984) Some correlations between substrate compositions and biogas yields. Symposium Papers, Energy from Biomass and Waste, Institute of Gas Technology, Chicago. 8: 817-832.</t>
  </si>
  <si>
    <t>Hanisak MD (1987) Cultivation of Gracilaria and other macroalgae in Florida for energy production. In Bird KT, Benson PH (eds), Seaweed Cultivation for Renewable Resources. Elsevier, New York, 191-218.</t>
  </si>
  <si>
    <t>Hanisak MD (1990) The use of Gracilaria tikvahiae (Gracilariales, Rhodophyta) as a model system to understand the nitrogen nutrition of cultured seaweeds. In Lindstrom SC, Gabrielson PW (eds), Thirteenth International Seaweed Symposium, Developments in Hydrobiology 58. Kluwer Academic Publishers, Dordrecht, 79-87. Reprinted from Hydrobiologia 204/205.</t>
  </si>
  <si>
    <t>Uptake of macroalgae C/N into sediments and microbial commenity</t>
  </si>
  <si>
    <t xml:space="preserve">Description of Durvillaea </t>
  </si>
  <si>
    <t>Review of CAZymes</t>
  </si>
  <si>
    <t>Degradation experiment but only isotopes presented</t>
  </si>
  <si>
    <t>Iodine emission</t>
  </si>
  <si>
    <t>water content of seaweed and coarse-sediment</t>
  </si>
  <si>
    <t>C/N, water content</t>
  </si>
  <si>
    <t>temperature ranged -1 to 6 C; high site variability</t>
  </si>
  <si>
    <t>saccharina</t>
  </si>
  <si>
    <t>meiofauna</t>
  </si>
  <si>
    <t>microbial aggregates only</t>
  </si>
  <si>
    <t>multiple</t>
  </si>
  <si>
    <t>ash, OC, TN, leaching</t>
  </si>
  <si>
    <t>Isotopes only</t>
  </si>
  <si>
    <t>Anti-herbivory/fouling</t>
  </si>
  <si>
    <t>Wrack subsidy</t>
  </si>
  <si>
    <t>Carbon assimilation only</t>
  </si>
  <si>
    <t>Impacts of detritus on habitat function</t>
  </si>
  <si>
    <t>review</t>
  </si>
  <si>
    <t>jacquinotii</t>
  </si>
  <si>
    <t>distichus</t>
  </si>
  <si>
    <t>ZHANG , T. &amp; WANG , X. (2017) Release and microbial degradation of dissolved organic matter (DOM) from the macroalgae Ulva prolifera. Marine Pollution Bulletin 125, 192–198. Elsevier</t>
  </si>
  <si>
    <t>POWERS, L.C., DEL VECCHIO, R., BLOUGH, N. V., MCDONALD, N., SCHMITT-KOPPLIN, P. &amp; GONSIOR, M. (2020) Optical Properties and Photochemical Transformation of the Dissolved Organic Matter Released by Sargassum. Frontiers in Marine Science 7</t>
  </si>
  <si>
    <t>SHANK, G.C., ZEPP, R.G., VÄHÄTALO, A., LEE, R. &amp; BARTELS, E. (2010) Photobleaching kinetics of chromophoric dissolved organic matter derived from mangrove leaf litter and floating Sargassum colonies. Marine Chemistry 119, 162–171. Elsevier B.V.</t>
  </si>
  <si>
    <t>MANIKANDAN, B., THOMAS, A.M., SHETYE, S.S., BALAMURUGAN, S., MOHANDASS, C. &amp; NANDAKUMAR, K. (2021) Macroalgal release of dissolved organic carbon in coral reef and its interaction with the bacteria associated with the coral Porites lutea. Environmental Science and Pollution Research 28, 66998–67010. Environmental Science and Pollution Research.</t>
  </si>
  <si>
    <t>FENG , X., LI, H., ZHANG , Z., XIONG , T. &amp; SHI , X. (2022) Microbial-mediated contribution of kelp detritus to different forms of oceanic carbon sequestration. Ecological Indicators 142, 109186. Elsevier Ltd.</t>
  </si>
  <si>
    <t>HULATT , C.J., THOMAS , D.N., BOWERS , D.G., NORMAN , L. &amp; ZHANG , C. (2009) Exudation and decomposition of chromophoric dissolved organic matter (CDOM) from some temperate macroalgae. Estuarine, Coastal and Shelf Science 84, 147–153. Elsevier Ltd.</t>
  </si>
  <si>
    <t>KRISTENSEN , E., ANDERSEN , F.Ø. &amp; BLACKBURN , T.H. (1992) Effects of benthic macrofauna and temperature on degradation of macroalgal detritus: The fate of organic carbon. Limnology and Oceanography 37, 1404–1419.</t>
  </si>
  <si>
    <t>VICHKOVITTEN , T. &amp; HOLMER , M. (2004) Contribution of plant carbohydrates to sedimentary carbon mineralization. Organic Geochemistry 35, 1053–1066.</t>
  </si>
  <si>
    <t>CASTALDELLI , G., WELSH , D.T., FLACHI , G., ZUCCHINI , G., COLOMBO , G., ROSSI , R. &amp; FANO , E.A. (2003) Decomposition dynamics of the bloom forming macroalga Ulva rigida C. Agardh determined using a 14C-carbon radio-tracer technique. Aquatic Botany 75, 111–122.</t>
  </si>
  <si>
    <t>LIANG , J., LIU , J., ZHAN , Y., ZHOU , S., XUE , C.X., SUN , C., LIN , Y., LUO , C., WANG , X. &amp; ZHANG , X.H. (2021) Succession of marine bacteria in response to Ulva prolifera-derived dissolved organic matter. Environment International 155, 106687. Elsevier Ltd.</t>
  </si>
  <si>
    <t>JIMÉNEZ-RAMOS, R., TOMAS, F., REYNÉS, X., ROMERA-CASTILLO, C., PÉREZ-LLORÉNS, J.L. &amp; EGEA, L.G. (2022) Carbon metabolism and bioavailability of dissolved organic carbon (DOC) fluxes in seagrass communities are altered under the presence of the tropical invasive alga Halimeda incrassata. Science of the Total Environment 839.</t>
  </si>
  <si>
    <t>variable</t>
  </si>
  <si>
    <t>purple sulfur bacteria present</t>
  </si>
  <si>
    <t>Hunter 1976</t>
  </si>
  <si>
    <t>% carbon remaining</t>
  </si>
  <si>
    <t>Rocky shore</t>
  </si>
  <si>
    <t>Salt Marsh</t>
  </si>
  <si>
    <t>5 to 12</t>
  </si>
  <si>
    <t>Kormondy, E. J. 1968. Weight loss of cellulose and aquatic macrophytes in a Carolina Bay. Limnol. Oceanogr. 13: 522-526.</t>
  </si>
  <si>
    <t>Jewell, W. J. 1971. Aquatic weed decay: dissolved oxygen utilization and nitrogen and phosphorous regeneration. J. Wat. Pollut. Control Fed. 43: 1457-1467.</t>
  </si>
  <si>
    <t>Adams, S. M. &amp; Angelovic, J. W. 1970. Assimilation of detritus and its associated bacteria by three species of estaurine animals. Chesapeake Sci. I I: 249-254.</t>
  </si>
  <si>
    <t>lamina and pneumatocysts</t>
  </si>
  <si>
    <t>Inglis 1989</t>
  </si>
  <si>
    <t>% of initial dry weight</t>
  </si>
  <si>
    <t>open circles</t>
  </si>
  <si>
    <t>open squares</t>
  </si>
  <si>
    <t>open triangles</t>
  </si>
  <si>
    <t>filled</t>
  </si>
  <si>
    <t>Frankland, .I. C., 1974. Decomposition of lower plants. In, Biology ofplant titter decomposition, Vol. 1, edited by C. H. Dickinson &amp; G. F. Pugh, Academic Press, London, pp. 3-36.</t>
  </si>
  <si>
    <t>Griffths, C. L., J. M. E. Stenton-Dozey &amp; K. Koop, 1983. Kelp wrack and the flow of energy through a sandy beach ecosystem. In, Sandy beaches as ecosystems, edited by A. McLachlan &amp; T. Erasmus, Junk, The Hague, pp. 547-556.</t>
  </si>
  <si>
    <t>Koop, K. &amp; C. L. Griffiths, 1982. The relative significance of bacteria, meio- and macrofauna on an exposed sandy beach. Mar. Biol., Vol. 66, pp. 295-300.</t>
  </si>
  <si>
    <t>Koop, K. &amp; M. I. Lucas, 1983. Carbon flow and nutrient regeneration from the decomposition ofmacrophyte debris in a sandy beach microcosm. In, Sandy beaches as ecosystems, edited by A. McLachlan &amp; T. Erasmus, Junk, The Hague, pp. 249-262.</t>
  </si>
  <si>
    <t>Smith, A., J. S. Nickels, W. M. Davis, R. F. Martz, R. H. Findlay &amp; D.C. White, 1982. Perturbations in the biomass, metabolic activity, and community structure of the estuarine microbiota: resource partitioning in amphipod grazing. J. Exp. Mar. Biol. Ecol., Vol. 64, pp. 125-143.</t>
  </si>
  <si>
    <t>ash, C, N, P</t>
  </si>
  <si>
    <t>continuosly stirred and aerated</t>
  </si>
  <si>
    <t>STG, POC, PON, DOC, DON (lost?), oxygen</t>
  </si>
  <si>
    <t>Haram, L. E., E. E. Sotka, J.E. Byers. 2020. Effects of novel, non-native detritus on decomposition and invertebrate community assemblage. Marine Ecology Progress Series, 643, 49-61</t>
  </si>
  <si>
    <t>Lanari, M., M.S. Copertino, L.A. Colling, F.C. Bom. 2018. The impact of short0term depositions of macroalgal blooms on widgeon-grass meadows in a river-dominated estuary. Harmful algae. 78: pp36-46</t>
  </si>
  <si>
    <t>Kotta, J., H. Orav-Kotta, T. Paalme. 2010. In situ evidence on the role of benthic invertebrates on the decomposition of drifting algal mats in a brackish water ecosystem. 2010 International Conference on Bioscience. iEEE, 2010</t>
  </si>
  <si>
    <t>Liu, S., Z. Jiang, Y. W, Y. Deng, Q. Chen, C. Zhao, L. Cui, Z. Huang. 2019. Macroalgae bloom decay decreases the sediment organic carbon sequestration potential in tropical seagrass meadows of the South China Sea. Marine Population Bulletin. 138:598-603</t>
  </si>
  <si>
    <t>Pedersen, M. F., P. A. Staehr, T. Wernberg. M.S. Thomsen. 2005. Biomass dynamics of exotic Sargassum muticum and native Halidrys siliquosa in Limfjorden, Denmark -- impications of specie sreplacements on turnover rates. Aquatic Botany. 83(1): 31-47</t>
  </si>
  <si>
    <t>Denmark</t>
  </si>
  <si>
    <t>medium</t>
  </si>
  <si>
    <t>.45 um filtered 20 %SW</t>
  </si>
  <si>
    <t>500 mL flask</t>
  </si>
  <si>
    <t>airstream pre-moistned/inoculated with surface sediment extract</t>
  </si>
  <si>
    <t>112 mmol/L</t>
  </si>
  <si>
    <t>Ulva lactuca</t>
  </si>
  <si>
    <t>mol/L</t>
  </si>
  <si>
    <t>Kristensen 1994</t>
  </si>
  <si>
    <t>mmol/L</t>
  </si>
  <si>
    <t>Himantothallus</t>
  </si>
  <si>
    <t>grandifolius</t>
  </si>
  <si>
    <t>Cystosphaea</t>
  </si>
  <si>
    <t>ligulata</t>
  </si>
  <si>
    <t>Ascoseira</t>
  </si>
  <si>
    <t>mirabilis</t>
  </si>
  <si>
    <t xml:space="preserve">Adenocystis </t>
  </si>
  <si>
    <t>utricularis</t>
  </si>
  <si>
    <t>Curdiea</t>
  </si>
  <si>
    <t>racovitzae</t>
  </si>
  <si>
    <t>Myriogramme</t>
  </si>
  <si>
    <t>Sarcodia</t>
  </si>
  <si>
    <t>open bottle</t>
  </si>
  <si>
    <t>polyethylene bottle</t>
  </si>
  <si>
    <t xml:space="preserve"> 1 dm3</t>
  </si>
  <si>
    <t>Dry-weight, Nitrite/ate, Ammounium, reactive-P, total-P</t>
  </si>
  <si>
    <t>Tissue</t>
  </si>
  <si>
    <t>short exposure (&lt; 2days) available</t>
  </si>
  <si>
    <t>foliifera</t>
  </si>
  <si>
    <t xml:space="preserve">Hypnea </t>
  </si>
  <si>
    <t>musciformis</t>
  </si>
  <si>
    <t>Spatoglossum</t>
  </si>
  <si>
    <t>schroederi</t>
  </si>
  <si>
    <t>40 mesh sieve</t>
  </si>
  <si>
    <t>glass jar</t>
  </si>
  <si>
    <t xml:space="preserve">Sargassum </t>
  </si>
  <si>
    <t>filapenula</t>
  </si>
  <si>
    <t>collected near woods hole; all replicates not isolated, place in tank with water above open jars</t>
  </si>
  <si>
    <t>collected in florida, all replicates not isolated, place in tank with water above open jars</t>
  </si>
  <si>
    <t>% AFDW remaining</t>
  </si>
  <si>
    <t>Hypnea</t>
  </si>
  <si>
    <t>Rice &amp; Tenore 1981</t>
  </si>
  <si>
    <t>C, N, ash, residual c</t>
  </si>
  <si>
    <t>Ceramium</t>
  </si>
  <si>
    <t>Membranoptera</t>
  </si>
  <si>
    <t>alata</t>
  </si>
  <si>
    <t>aculeata</t>
  </si>
  <si>
    <t>Rieper-Kirchner 1989</t>
  </si>
  <si>
    <t>Delesseria</t>
  </si>
  <si>
    <t>% dw remaining</t>
  </si>
  <si>
    <t xml:space="preserve">ulva mixed into sediments and not differentiable. </t>
  </si>
  <si>
    <t>cordata</t>
  </si>
  <si>
    <t>Constantinea</t>
  </si>
  <si>
    <t>subulifera</t>
  </si>
  <si>
    <t>Odonthalia</t>
  </si>
  <si>
    <t>floccosa</t>
  </si>
  <si>
    <t>larix</t>
  </si>
  <si>
    <t>Plocamium</t>
  </si>
  <si>
    <t>cartilagineum</t>
  </si>
  <si>
    <t xml:space="preserve">Laminaria </t>
  </si>
  <si>
    <t>groenlandica</t>
  </si>
  <si>
    <t>Iradaea</t>
  </si>
  <si>
    <t>Fucus distichus</t>
  </si>
  <si>
    <t>Odonthalia floccosa</t>
  </si>
  <si>
    <t>Rhodomela larix</t>
  </si>
  <si>
    <t>Plocamium cartilagineum</t>
  </si>
  <si>
    <t>Constantinea subulifera</t>
  </si>
  <si>
    <t>Gigartina papillata</t>
  </si>
  <si>
    <t>Laminaria saccharina</t>
  </si>
  <si>
    <t>Laminaria groenlandica</t>
  </si>
  <si>
    <t>Nereocystis luetkeana</t>
  </si>
  <si>
    <t>Nereocystis leutekeana lamina</t>
  </si>
  <si>
    <t>Iradaea cordata</t>
  </si>
  <si>
    <t>Smith &amp; Foreman 1984</t>
  </si>
  <si>
    <t>Slow particulate material decomposition due to high crude fibre content (17.6%)</t>
  </si>
  <si>
    <t>Slow particulate material decomposition due to high crude fibre content (14.5%)</t>
  </si>
  <si>
    <t>Slow particulate material decomposition due to high crude fibre content (14.1%)</t>
  </si>
  <si>
    <t>Equation given in paper</t>
  </si>
  <si>
    <t>ln(Y) = -0.059X + 4.605</t>
  </si>
  <si>
    <t>Y = (X- 45.7)^2 / 20.9</t>
  </si>
  <si>
    <t>Y = 3.72X + 100</t>
  </si>
  <si>
    <t>Y = (X - 49.4)^2 / 24.4</t>
  </si>
  <si>
    <t>Y = (X -43.4)^2 / 18.8</t>
  </si>
  <si>
    <t>Y = (X - 27.0)^2 / 7.29</t>
  </si>
  <si>
    <t>ln (Y) = 0.277X + 4.605</t>
  </si>
  <si>
    <t>ln (Y) = -0.210X + 4.605</t>
  </si>
  <si>
    <t>Y = (X - 6.02)^2 / 3.63</t>
  </si>
  <si>
    <t>Y = -0.488X^2 - 1.98X + 100</t>
  </si>
  <si>
    <t>Slow particulate material decomposition due to high crude fibre content (16.5%); decelerating loss for all species</t>
  </si>
  <si>
    <t>decelerating loss for all species</t>
  </si>
  <si>
    <t>crude fibre, TN</t>
  </si>
  <si>
    <t>accelerated decomposition with decreasing particle size</t>
  </si>
  <si>
    <t>aerated</t>
  </si>
  <si>
    <t>oxygen, C, N, P</t>
  </si>
  <si>
    <t>ambient estuary water (filtered 1 um)</t>
  </si>
  <si>
    <t>Twilley et al. 1986</t>
  </si>
  <si>
    <t>% initial</t>
  </si>
  <si>
    <t>cava</t>
  </si>
  <si>
    <t>polycarbonate bottles</t>
  </si>
  <si>
    <t>bubbled (.45 um)</t>
  </si>
  <si>
    <t>7.5 unit?</t>
  </si>
  <si>
    <t>19 unit?</t>
  </si>
  <si>
    <t>356 unit?</t>
  </si>
  <si>
    <t>1.6 unit?</t>
  </si>
  <si>
    <t>15.2 unit?</t>
  </si>
  <si>
    <t>Wada et al. 2008</t>
  </si>
  <si>
    <t>Ecklonia cava</t>
  </si>
  <si>
    <t>y = 101e^-0.0182x; turnover time 55</t>
  </si>
  <si>
    <t>y=104e^-0.0058x ?; turnover time 172</t>
  </si>
  <si>
    <t>y=99e^-0.0407x; The higher k value in June reveals the relatively bio-labile character of the released DOM; turnover time 24</t>
  </si>
  <si>
    <t>y=105e^-0.0342x; turnover time 32</t>
  </si>
  <si>
    <t>y=104e^-0.0216x; turnover time 46</t>
  </si>
  <si>
    <t>composition</t>
  </si>
  <si>
    <t>filtered seawater with DOM</t>
  </si>
  <si>
    <t xml:space="preserve">lab </t>
  </si>
  <si>
    <t>Wada et al. 2015</t>
  </si>
  <si>
    <t>mg C/L DOC</t>
  </si>
  <si>
    <t>2011 - light; 0</t>
  </si>
  <si>
    <t>2011 - light; 400</t>
  </si>
  <si>
    <t>2011 - light; 765</t>
  </si>
  <si>
    <t>2013 - light; 0</t>
  </si>
  <si>
    <t>2013 - light; 765</t>
  </si>
  <si>
    <t>Caulerpa</t>
  </si>
  <si>
    <t>cupressoides</t>
  </si>
  <si>
    <t>Virgin Islands</t>
  </si>
  <si>
    <t>low pH media (~5) due to runnig through a deionizing resin column; conditions choosen to mimich anaerobic decomposition in sediments</t>
  </si>
  <si>
    <t>Redox potential (Eh) and pH , NH4, No2, NO3, DON, CNH</t>
  </si>
  <si>
    <t>Williams 1984</t>
  </si>
  <si>
    <t>water coloumn - Aug</t>
  </si>
  <si>
    <t>water column - Mar</t>
  </si>
  <si>
    <t>Grass bed (anoxic) sediments</t>
  </si>
  <si>
    <t>Beach sediments</t>
  </si>
  <si>
    <t>decomposition conditions</t>
  </si>
  <si>
    <t>Chen, J. et al. 2020. DOC dynamics and bacterial community succession during long-term degradation of Ulva prolifera and their implications for the legacy effect of green tides on refractory DOC pool in seawater. Water Research. 185: 116268</t>
  </si>
  <si>
    <t>carboy</t>
  </si>
  <si>
    <t>loosly covered</t>
  </si>
  <si>
    <t>FDOM, DOC</t>
  </si>
  <si>
    <t>Chen et al. 2020</t>
  </si>
  <si>
    <t>bacterial</t>
  </si>
  <si>
    <t>Braeckman, U., et al. 2019. Degradation of macroalgal detritus in shallow coastal Antarctic sediments. Limnology and Oceanography. 64: 1423-1441</t>
  </si>
  <si>
    <t>core with sediment</t>
  </si>
  <si>
    <t>2.55 g Corg/m2</t>
  </si>
  <si>
    <t>Kristensen, E., et al. 1992. Effects of benthic macrogauna and temperature on degradation of macroalgal detritus: the fate of organic carbon. Limnology and Oceanography. 37(7): 1404-1419</t>
  </si>
  <si>
    <t>re-circulating airated seawater</t>
  </si>
  <si>
    <t xml:space="preserve">No degradation values given </t>
  </si>
  <si>
    <t xml:space="preserve">Filbee-Dexter, K. et al. 2022. Kelp carbon sink potential decreases wih warming due to accelerating decomposition. Plos Biology. </t>
  </si>
  <si>
    <t>carbon sequestration potential</t>
  </si>
  <si>
    <t>England</t>
  </si>
  <si>
    <t>Portugal</t>
  </si>
  <si>
    <t>species and lattitude and initial C</t>
  </si>
  <si>
    <t>seafloor</t>
  </si>
  <si>
    <t>Phytoplankton only</t>
  </si>
  <si>
    <t>Herbivory rates</t>
  </si>
  <si>
    <t>ponds</t>
  </si>
  <si>
    <t>seagrasses</t>
  </si>
  <si>
    <t>consumption rates</t>
  </si>
  <si>
    <t>trohpic dynamics</t>
  </si>
  <si>
    <t>Not algal degradation</t>
  </si>
  <si>
    <t>Lakes</t>
  </si>
  <si>
    <t>No degradation rates</t>
  </si>
  <si>
    <t>Rodil et al. 2008. Differential effects of native and invasive algal wrack on macrofaunal assemblages inhabiting exposed sandy beaches. J Exp Mar Biol Ecol 358:1–13</t>
  </si>
  <si>
    <t>muticum</t>
  </si>
  <si>
    <t>dune level</t>
  </si>
  <si>
    <t>drift level</t>
  </si>
  <si>
    <t>Site A</t>
  </si>
  <si>
    <t>Site B</t>
  </si>
  <si>
    <t>Rodil et al. 2008</t>
  </si>
  <si>
    <t>g OM</t>
  </si>
  <si>
    <t>Site A - dune level</t>
  </si>
  <si>
    <t>S. muticum</t>
  </si>
  <si>
    <t>Site B - dune level</t>
  </si>
  <si>
    <t>Site A - drift level</t>
  </si>
  <si>
    <t>Site B - drift level</t>
  </si>
  <si>
    <t>Tenore et al. 1984</t>
  </si>
  <si>
    <t>g DW</t>
  </si>
  <si>
    <t>folliifera</t>
  </si>
  <si>
    <t>chamber</t>
  </si>
  <si>
    <t>open chambers within flow through</t>
  </si>
  <si>
    <t>filtered seawater with N</t>
  </si>
  <si>
    <t>&lt; 250 um</t>
  </si>
  <si>
    <t>microbial function, FAs, N, CO2/O2</t>
  </si>
  <si>
    <t>TGA only</t>
  </si>
  <si>
    <t>Zielinski 1981</t>
  </si>
  <si>
    <t>% initial dw</t>
  </si>
  <si>
    <t>Leptosomia</t>
  </si>
  <si>
    <t>autumn - water</t>
  </si>
  <si>
    <t>autumn - ashore</t>
  </si>
  <si>
    <t>spring - water</t>
  </si>
  <si>
    <t>spring - ashore</t>
  </si>
  <si>
    <t>Cystosphaera</t>
  </si>
  <si>
    <t>summer - water</t>
  </si>
  <si>
    <t>summer - ashore</t>
  </si>
  <si>
    <t>autumn -water</t>
  </si>
  <si>
    <t>autumn - shore</t>
  </si>
  <si>
    <t>seawater</t>
  </si>
  <si>
    <t>ash content, caloricity, lipid content</t>
  </si>
  <si>
    <t>Autumn-water</t>
  </si>
  <si>
    <t>Spring-water</t>
  </si>
  <si>
    <t>Summer-water</t>
  </si>
  <si>
    <t>Autumn-shore</t>
  </si>
  <si>
    <t>Spring-shore</t>
  </si>
  <si>
    <t>Summer-shore</t>
  </si>
  <si>
    <t>Sping-water</t>
  </si>
  <si>
    <t>No degradation rates; complimentary to Koop et al. 1983a</t>
  </si>
  <si>
    <t>rosea</t>
  </si>
  <si>
    <t>McLachlan &amp; McGwynne</t>
  </si>
  <si>
    <t>Hypnea rosea</t>
  </si>
  <si>
    <t>% initial ww</t>
  </si>
  <si>
    <t>bacteria, meiofauna</t>
  </si>
  <si>
    <t>Vichkovitten &amp; Holmer 2004</t>
  </si>
  <si>
    <t>Pedersen et al. 2005</t>
  </si>
  <si>
    <t>Paalme et al. 2002</t>
  </si>
  <si>
    <t>C. glomerata</t>
  </si>
  <si>
    <t>aerobic</t>
  </si>
  <si>
    <t>P.littoralix</t>
  </si>
  <si>
    <t>glomerata</t>
  </si>
  <si>
    <t xml:space="preserve">Pilayella </t>
  </si>
  <si>
    <t>littoralis</t>
  </si>
  <si>
    <t>aerated (1500 cm3 min-1_</t>
  </si>
  <si>
    <t>Tissue N/P</t>
  </si>
  <si>
    <t xml:space="preserve">spring </t>
  </si>
  <si>
    <t>tissues</t>
  </si>
  <si>
    <t>photosynthesis</t>
  </si>
  <si>
    <t>Freshwater</t>
  </si>
  <si>
    <t>Leaching tied with degradation</t>
  </si>
  <si>
    <t>Only chem component degradation - still used by pessaradona</t>
  </si>
  <si>
    <t>light</t>
  </si>
  <si>
    <t>Manikandan et al. 2021</t>
  </si>
  <si>
    <t>C. racemosa</t>
  </si>
  <si>
    <t>Halimeda</t>
  </si>
  <si>
    <t>S. tenerrimum</t>
  </si>
  <si>
    <t>P. gymnospora</t>
  </si>
  <si>
    <t>India</t>
  </si>
  <si>
    <t>racemosa</t>
  </si>
  <si>
    <t>Turbinaria</t>
  </si>
  <si>
    <t>ornata</t>
  </si>
  <si>
    <t>T. ornata</t>
  </si>
  <si>
    <t>tenerrimum</t>
  </si>
  <si>
    <t>Padina</t>
  </si>
  <si>
    <t>gymnospora</t>
  </si>
  <si>
    <t>bacterial from coral Porites lutea used as inoculum</t>
  </si>
  <si>
    <t>dark bottle</t>
  </si>
  <si>
    <t>Bacteria</t>
  </si>
  <si>
    <t>filtered</t>
  </si>
  <si>
    <t>ASW + filtered seawater (1:10)</t>
  </si>
  <si>
    <t>biological nitrogen fixation</t>
  </si>
  <si>
    <t>nutrient cycling</t>
  </si>
  <si>
    <t>sanguinea</t>
  </si>
  <si>
    <t xml:space="preserve">Ceramium </t>
  </si>
  <si>
    <t>2 cm</t>
  </si>
  <si>
    <t>Laminaria spp.</t>
  </si>
  <si>
    <t xml:space="preserve">Laminaria spp. </t>
  </si>
  <si>
    <t>Demarestia</t>
  </si>
  <si>
    <t>Nov-Dec 1985</t>
  </si>
  <si>
    <t xml:space="preserve">mineral salts medium </t>
  </si>
  <si>
    <t>course filtered seawater</t>
  </si>
  <si>
    <t>Bedford et al. 1984</t>
  </si>
  <si>
    <t>Sept-Nov.; 1mm mesh</t>
  </si>
  <si>
    <t>Sept-Nov.; 50mm mesh</t>
  </si>
  <si>
    <t>Linear: 0.59x + 1.24</t>
  </si>
  <si>
    <t>Linear: 1.37x + 9.40</t>
  </si>
  <si>
    <t>Dec. - Mar.; 1mm mesh</t>
  </si>
  <si>
    <t>Dec. - Mar.; 50mm mesh</t>
  </si>
  <si>
    <t>Linear: 0.73x - 6.2</t>
  </si>
  <si>
    <t>Linear: 0.55x - 11.0</t>
  </si>
  <si>
    <t>Feb. - May; 50mm mesh</t>
  </si>
  <si>
    <t>Linear: 0.82x + 6.34</t>
  </si>
  <si>
    <t>Not enough info given on degradation parameters</t>
  </si>
  <si>
    <t>freeze-dried</t>
  </si>
  <si>
    <t>estuary water (20% salinity)</t>
  </si>
  <si>
    <t>Phase 1: 98.2 - 0.567 t; phase 2: 40.1-0.052 t</t>
  </si>
  <si>
    <t>short exp; December</t>
  </si>
  <si>
    <t>short exp; January</t>
  </si>
  <si>
    <t>short exp; February</t>
  </si>
  <si>
    <t>Linear: 98.4 - 0.569 t</t>
  </si>
  <si>
    <t>Linear: 100 - 0.367 t</t>
  </si>
  <si>
    <t>Linear: 100 - 0.314 t</t>
  </si>
  <si>
    <t>Hanisak MD (1993) Nitrogen release from decomposing seaweeds: species and temperature e¤ects. J Appl Phycol 5:175Ð181</t>
  </si>
  <si>
    <t>flowthrough seawater</t>
  </si>
  <si>
    <t>Rieper-Kirchner, M. 1989. Microbial Degradation of North Sea Macroalgae: Field and Laboratory Studies. Botanica Marina</t>
  </si>
  <si>
    <t>Rieper-Kirchner, M. 1990. Macroalgal decomposition: laboratory studies with particular regard to microorganisms and meiofauna. Helgolander Meeresuntersuchungen</t>
  </si>
  <si>
    <t>duplicates?</t>
  </si>
  <si>
    <t>dw</t>
  </si>
  <si>
    <t>fw</t>
  </si>
  <si>
    <t>25L polyethylene tanks</t>
  </si>
  <si>
    <t>filtered seawater to allow microbes</t>
  </si>
  <si>
    <t>Feng et al. 2022</t>
  </si>
  <si>
    <t>C, DOC, POC, DIC, microbial abundance, carbon fluorescence and composition</t>
  </si>
  <si>
    <t>S. japonica</t>
  </si>
  <si>
    <t>154 uM deducted from all data to account for DOC in seawater control</t>
  </si>
  <si>
    <t>D0 as peak DOC [experiment day 4]</t>
  </si>
  <si>
    <t>14 uM deducted from all data to account for DOC in seawater control</t>
  </si>
  <si>
    <t>D0 as peak DOC [experiment day 3]</t>
  </si>
  <si>
    <t>5249 um</t>
  </si>
  <si>
    <t>Polysiphonia</t>
  </si>
  <si>
    <t>1 to 5</t>
  </si>
  <si>
    <t xml:space="preserve">anoxic (N2) </t>
  </si>
  <si>
    <t>DOC, DCHO, TCO2, POC, PON, bacteria enumeration, carbohydrates</t>
  </si>
  <si>
    <t xml:space="preserve">Polysiphonia spp. </t>
  </si>
  <si>
    <t>chambers without seawater (only sediment); decay constant given: k1 [labile C] = 0.0418, k2 [recalcitrant] = 0.0062</t>
  </si>
  <si>
    <t>Italy</t>
  </si>
  <si>
    <t>0.2 um filtered lagoon water with ammouium and phosphate</t>
  </si>
  <si>
    <t>POC, DOC, IC</t>
  </si>
  <si>
    <t>aerobic, shaker table</t>
  </si>
  <si>
    <t>POC + DOC + IC</t>
  </si>
  <si>
    <t>Castaldelli et al. 2003</t>
  </si>
  <si>
    <t>U. rigida</t>
  </si>
  <si>
    <t>cpm x 10^3</t>
  </si>
  <si>
    <t>Exp 1: POC + DOC + IC</t>
  </si>
  <si>
    <t>Exp 1: POC</t>
  </si>
  <si>
    <t>Exp 1: DOC</t>
  </si>
  <si>
    <t>At = 25479 e^-0.0847t</t>
  </si>
  <si>
    <t xml:space="preserve">equation, k and half time given </t>
  </si>
  <si>
    <t>equation, k and half time given; raw data not given for experiment 2</t>
  </si>
  <si>
    <t>bubbled with sterilised air</t>
  </si>
  <si>
    <t>DOC, bacteria culture, EC enzymatic activity, DNA, RNA</t>
  </si>
  <si>
    <t>Liang et al. 2021</t>
  </si>
  <si>
    <t>U. prolifera</t>
  </si>
  <si>
    <t>values standardized by control</t>
  </si>
  <si>
    <t>T2: high DOM</t>
  </si>
  <si>
    <t>filtered seawater with added nutrients</t>
  </si>
  <si>
    <t>T2: High DOM</t>
  </si>
  <si>
    <t xml:space="preserve">Halimeda </t>
  </si>
  <si>
    <t>incrassata</t>
  </si>
  <si>
    <t>filtered seawater with NH4CL and NaH2PO4</t>
  </si>
  <si>
    <t>bacterial abundance</t>
  </si>
  <si>
    <t>complementary NPP data available</t>
  </si>
  <si>
    <t>anaerobic?</t>
  </si>
  <si>
    <t>Jimenez-Ramos et al. 2022</t>
  </si>
  <si>
    <t>species/season</t>
  </si>
  <si>
    <t>Not marine algae</t>
  </si>
  <si>
    <t>Not a direct measurement of decomposition</t>
  </si>
  <si>
    <t>Agarophyton</t>
  </si>
  <si>
    <t>intertidal</t>
  </si>
  <si>
    <t>average k reported: sediment surface = 0.067 k d-1, buried = 0.105 k d-1</t>
  </si>
  <si>
    <t>Haram et al. 2020</t>
  </si>
  <si>
    <t>sediment surface</t>
  </si>
  <si>
    <t>buried</t>
  </si>
  <si>
    <t>k = 0.067</t>
  </si>
  <si>
    <t>k = 0.105</t>
  </si>
  <si>
    <t>burial, inverts</t>
  </si>
  <si>
    <t>surface (non-buried), inverts</t>
  </si>
  <si>
    <t>Lanari et al. 2018</t>
  </si>
  <si>
    <t>HB (Litter Bags)</t>
  </si>
  <si>
    <t>HB</t>
  </si>
  <si>
    <t>LB (Litter Bags)</t>
  </si>
  <si>
    <t>LB</t>
  </si>
  <si>
    <t>Biomass (g DW m-2)</t>
  </si>
  <si>
    <t>HB litterbag</t>
  </si>
  <si>
    <t>Brazil</t>
  </si>
  <si>
    <t>Estonia</t>
  </si>
  <si>
    <t>Kotta et al. 2010</t>
  </si>
  <si>
    <t>Pilayella</t>
  </si>
  <si>
    <t>Mixed green</t>
  </si>
  <si>
    <t>Spring, control</t>
  </si>
  <si>
    <t>Spring, Idotea</t>
  </si>
  <si>
    <t>Spring, Gammarus</t>
  </si>
  <si>
    <t>Spring, Mytilus</t>
  </si>
  <si>
    <t>Summer, control</t>
  </si>
  <si>
    <t>Summer, Idotea</t>
  </si>
  <si>
    <t>Summer, Gammarus</t>
  </si>
  <si>
    <t>Summer, Mytilus</t>
  </si>
  <si>
    <t>Inverts: control</t>
  </si>
  <si>
    <t>Inverts: Idotea</t>
  </si>
  <si>
    <t>Inverts: Gammarus</t>
  </si>
  <si>
    <t>Inverts: Mytilus</t>
  </si>
  <si>
    <t>N, P concentrations, net photosynthesis</t>
  </si>
  <si>
    <t>NPP dropped to zero in first two weeks</t>
  </si>
  <si>
    <t>NPP dropped to zero in first week</t>
  </si>
  <si>
    <t>Photosynthetically active entire incubation period (but dropped to 25-30%</t>
  </si>
  <si>
    <t>NPP high (~63%) in first few weeks and dropped notably by end of incubation</t>
  </si>
  <si>
    <t>litter bags in tanks</t>
  </si>
  <si>
    <t>natural (buried)</t>
  </si>
  <si>
    <t>completely degraded</t>
  </si>
  <si>
    <t>residual fraction</t>
  </si>
  <si>
    <t>Halidrys</t>
  </si>
  <si>
    <t>Pedersen, MF and KL Johnsen (2017) Nutrient (N and P) dynamics of the invasive macroalga Gracilaria vermiculophylla: nutrient uptake kinetics and nutrient release through decomposition. Marine Biology 164: 172</t>
  </si>
  <si>
    <t>siliquosa</t>
  </si>
  <si>
    <t>bubbled with natural air</t>
  </si>
  <si>
    <t>C, N, P</t>
  </si>
  <si>
    <t>0.016 day-1</t>
  </si>
  <si>
    <t>exponential decay first order</t>
  </si>
  <si>
    <t>exponential decay first order with residual</t>
  </si>
  <si>
    <t>0.019 day-1</t>
  </si>
  <si>
    <t>Pedersen &amp; Johnson 2017</t>
  </si>
  <si>
    <t>Temp: 5</t>
  </si>
  <si>
    <t>Temp: 15</t>
  </si>
  <si>
    <t>Temp: 25</t>
  </si>
  <si>
    <t>exponential decline: without refractory pool</t>
  </si>
  <si>
    <t>k = 0.013</t>
  </si>
  <si>
    <t>y intercept = 103.4</t>
  </si>
  <si>
    <t>y intercept = 107.2</t>
  </si>
  <si>
    <t>y intercept = 94.6</t>
  </si>
  <si>
    <t>k = 0.032</t>
  </si>
  <si>
    <t>k = 0.065</t>
  </si>
  <si>
    <t>T(0.5) = 52.9</t>
  </si>
  <si>
    <t>T(0.5) = 21.5</t>
  </si>
  <si>
    <t>T(0.5) = 10.7</t>
  </si>
  <si>
    <t>exponential decay with no residual: yo = 103.4, k = 0.013, T0.5 = 52.9</t>
  </si>
  <si>
    <t>exponential decay with no residual: yo = 107.2, k = 0.032, T0.5 = 21.5</t>
  </si>
  <si>
    <t>exponential decay with no residual: yo = 94.6, k = 0.065, T0.5 = 10.7</t>
  </si>
  <si>
    <t>crispus</t>
  </si>
  <si>
    <t>sediment cores within tanks</t>
  </si>
  <si>
    <t>Temp: 4</t>
  </si>
  <si>
    <t>Temp: 8</t>
  </si>
  <si>
    <t>Temp: 16</t>
  </si>
  <si>
    <t>sediment/seawater</t>
  </si>
  <si>
    <t>&lt; 750 um, &gt;63 um</t>
  </si>
  <si>
    <t>k given in paper</t>
  </si>
  <si>
    <t>r2</t>
  </si>
  <si>
    <t>Calculated equation type</t>
  </si>
  <si>
    <t>calculated equation</t>
  </si>
  <si>
    <t>Exponential decay - 3 parameter</t>
  </si>
  <si>
    <t>f = 5311.0489 + 2919.8710 * exp(- 0.0271*x)</t>
  </si>
  <si>
    <t>Confounded by growth</t>
  </si>
  <si>
    <t>Linear: starting day 12</t>
  </si>
  <si>
    <t>y = -2.1552x + 149.37</t>
  </si>
  <si>
    <t>y = -2.0286x + 133.39</t>
  </si>
  <si>
    <t>slope</t>
  </si>
  <si>
    <t>Assumed linear</t>
  </si>
  <si>
    <t>f = 14.5339 + 98.6950 * exp(- 0.1105*x)</t>
  </si>
  <si>
    <t>Simple decay</t>
  </si>
  <si>
    <t>y = 99.611e^-0.071x</t>
  </si>
  <si>
    <t>Linear</t>
  </si>
  <si>
    <t>y = -4.0003x + 104.24</t>
  </si>
  <si>
    <t>Sigmoidal</t>
  </si>
  <si>
    <t>Sigmoidal - 4 parameter</t>
  </si>
  <si>
    <t>f = 13.1587 + 88.3043/(1+exp(-(x-11.33)/-2.8435))</t>
  </si>
  <si>
    <t>Exponential decay - 2 paramater</t>
  </si>
  <si>
    <t>f = 101.711*exp(-0.1215*x)</t>
  </si>
  <si>
    <t>f = -27.5240 + 128.8108 * exp(- 0.0524*x)</t>
  </si>
  <si>
    <t>f = 27.7033 + 67.8879 * exp(- 0.0546*x)</t>
  </si>
  <si>
    <t>Pedersen et al. 2021</t>
  </si>
  <si>
    <t>0.107/0.034</t>
  </si>
  <si>
    <t>0.123/0.012</t>
  </si>
  <si>
    <t>0.112/0.038</t>
  </si>
  <si>
    <t>0.183/0.009</t>
  </si>
  <si>
    <t>f = 11.7103 + 76.2301 * exp(-0.0242*x)</t>
  </si>
  <si>
    <t>f = 24.4725 + 73.6282 * exp(-0.0808*x)</t>
  </si>
  <si>
    <t>Exponential decay - 4 parameter</t>
  </si>
  <si>
    <t>f = 60.2215*exp(-0.5846*x) + 39.7785(-0.0119*x)</t>
  </si>
  <si>
    <t>f = 9.9006 + 88.0695 * exp(-0.1309*x)</t>
  </si>
  <si>
    <t>f = 43.4938*exp(-0.5614*x) + 56.5061(-0.0032*x)</t>
  </si>
  <si>
    <t>f = 29.3605 + 56.7435 * exp(-0.0288*x)</t>
  </si>
  <si>
    <t>f = 30.3076*exp(-0.2934*x) + 69.6653(-0.0059*x)</t>
  </si>
  <si>
    <t>f = 14.4279 + 72.8140 * exp(-0.0131*x)</t>
  </si>
  <si>
    <t>y = 75.554e^-0.006</t>
  </si>
  <si>
    <t>f = 51.0115*exp(-0.1*x) + 47.4459(-0.0030*x)</t>
  </si>
  <si>
    <t>f = 26.7496 + 66.2429 * exp(-0.0379*x)</t>
  </si>
  <si>
    <t>f = 50.2696*exp(-0.0342*x) + 40.6429(-0.0045*x)</t>
  </si>
  <si>
    <t>f = 13.0061 + 75.3172 * exp(-0.018*x)</t>
  </si>
  <si>
    <t>y = 83.0567*exp(-0.0103*x)</t>
  </si>
  <si>
    <t>y = -0.4162x + 100</t>
  </si>
  <si>
    <t>f = 51.8187 + 48.5180/(1 + exp(-(x-32.0227)/-4.3175))</t>
  </si>
  <si>
    <t>Exponential decay - 3 parameter [starting from Day 23]</t>
  </si>
  <si>
    <t>f = 50.1003 + 274.8277 * exp(-0.0765*x)</t>
  </si>
  <si>
    <t>f = 2.6312 + 100.8611/(1 + exp(-(x-21.6608)/-4.1506))</t>
  </si>
  <si>
    <t>Sigmoidal - 3 parameter</t>
  </si>
  <si>
    <t>f = 2.6174 + 4.5593 * exp(-0.0331*x)</t>
  </si>
  <si>
    <t>f = 3.1778*exp(-0.1432*x) + 2.9845(-0.0018*x)</t>
  </si>
  <si>
    <t>f = 2.4921 + 3.5805 * exp(-0.0992*x)</t>
  </si>
  <si>
    <t>DOC(t) = BDOC*exp(−kDOC  · t )+ DOC (150)</t>
  </si>
  <si>
    <t>f = 0.3575 + 0.8837 * exp(-0.1952*x)</t>
  </si>
  <si>
    <t>f = 0.3408 + 0.8978 * exp(-0.1223*x)</t>
  </si>
  <si>
    <t>f = 0.6269 + 0.6209 * exp(-0.3203*x)</t>
  </si>
  <si>
    <t>f = 0.4312 + 0.8130 * exp(-0.2368*x)</t>
  </si>
  <si>
    <t>f = 0.2541 + 0.9858 * exp(-0.1670*x)</t>
  </si>
  <si>
    <t>f = 0.3460 + 0.9001 * exp(-0.2334*x)</t>
  </si>
  <si>
    <t>f = 0.4379 + 0.8054 * exp(-0.2217*x)</t>
  </si>
  <si>
    <t>de Bettignies et al. 2020</t>
  </si>
  <si>
    <t>f = 108.4181*exp(-0.0118*x)</t>
  </si>
  <si>
    <t>f = 2.6404 + 106.2275 * exp(-0.0125*x)</t>
  </si>
  <si>
    <t>f = 98.0991*exp(-0.0361*x)</t>
  </si>
  <si>
    <t>f = 7.2122 + 92.0721 * exp(-0.0468*x)</t>
  </si>
  <si>
    <t>Exponential decay - 2 parameter [100e^-kt]</t>
  </si>
  <si>
    <t>f = 72.0986 + 68.4120 * exp(-0.0222*x)</t>
  </si>
  <si>
    <t>f = 15.8282 + 6.4470 * exp(-0.0181*x)</t>
  </si>
  <si>
    <t>Exponential decay - 2 parameter [DOCi*e^-kt]</t>
  </si>
  <si>
    <t>f = 35.4507 + 64.5571 * exp(-1.8985*x)</t>
  </si>
  <si>
    <t>f = 56.0216*exp(-3.0486*x) + 43.9783(-0.0642*x)</t>
  </si>
  <si>
    <t>f = 14.9006 + 82.4278 * exp(-0.7821*x)</t>
  </si>
  <si>
    <t>f = 18.4382 + 80.7846 * exp(-1.1965*x)</t>
  </si>
  <si>
    <t>Exponential decay - 2 parameter [Wi*e^-kt]</t>
  </si>
  <si>
    <t>Analyses by not give</t>
  </si>
  <si>
    <t>f = 101.8361*exp(-0.3691*x)</t>
  </si>
  <si>
    <t>f = -25.2887 + 123.7569 * exp(-0.2303*x)</t>
  </si>
  <si>
    <t>f = 59.3957 + 39.6007 * exp(-0.8967*x)</t>
  </si>
  <si>
    <t>f = 99.9536*exp(-0.2661*x)</t>
  </si>
  <si>
    <t>Exponential decay</t>
  </si>
  <si>
    <t>5.6694 + 93.7995/(1 + exp(-(x-17.5146)/-1.5827))</t>
  </si>
  <si>
    <t>Simple decay [starting from Day 14]</t>
  </si>
  <si>
    <t>f = 90.2068 * exp(-0.2466*x)</t>
  </si>
  <si>
    <t>f = 76.7006 + 23.5163 * exp(-0.2934*x)</t>
  </si>
  <si>
    <t>f = 60.7613 + 40.1456 * exp(-0.3822*x)</t>
  </si>
  <si>
    <t>Exponential decay - 2 parameter [Wi*e^-kt]?</t>
  </si>
  <si>
    <t>0.06-0.1</t>
  </si>
  <si>
    <t>0.02-0.045</t>
  </si>
  <si>
    <t>f = 49.1955*exp(-1.0570*x) + 50.7221(-0.0071*x)</t>
  </si>
  <si>
    <t>f = 45.2977 + 54.1151 * exp(-0.8242*x)</t>
  </si>
  <si>
    <t>f = 62.2908 + 37.8030 * exp(-1.5207*x)</t>
  </si>
  <si>
    <t>f = 47.0551 + 462.1922/(1 + exp(x-41.3922)/-8.8118))</t>
  </si>
  <si>
    <t>Exponential decay - 3 parameter [starting Day 28]</t>
  </si>
  <si>
    <t>f = 39.4991 + 387.0020 * exp(-0.0562*x)</t>
  </si>
  <si>
    <t>f = 85.5328 + 427.7646/(1 + exp(x-67.2889)/-13.9199))</t>
  </si>
  <si>
    <t>Simple decay [Starting Day 56]</t>
  </si>
  <si>
    <t>f = a*exp(-0.0246*x)</t>
  </si>
  <si>
    <t>f = 29.6312 + 70.4460 * exp(-0.2338*x)</t>
  </si>
  <si>
    <t>f = 12.7080 + 87.7343/(1 + exp(x-26.8304)/-3.3286))</t>
  </si>
  <si>
    <t>f = 100.8871 -1.600*x</t>
  </si>
  <si>
    <t>Logistic</t>
  </si>
  <si>
    <t>f =65.7780*exp(-0.3424*x) + 54.9402(-0.0257*x)</t>
  </si>
  <si>
    <t>f = 21.3747 + 87.4715 * exp(-0.1325*x)</t>
  </si>
  <si>
    <t>f = 89.1815 -1.9060^x</t>
  </si>
  <si>
    <t>f = 106.1447 * exp(-0.0474*x)</t>
  </si>
  <si>
    <t>f = -39.1293 + 141.4537 * exp(-0.0164*x)</t>
  </si>
  <si>
    <t>f = 88.4998 + 342.6745 * exp(-0.4904*x)</t>
  </si>
  <si>
    <t>f = 64.1931 + 238.0833 * exp(-0.8382*x)</t>
  </si>
  <si>
    <t>f = 38.2665 + 129.1248 * exp(-0.7732*x)</t>
  </si>
  <si>
    <t>f = 19.4435 + 67.7641 * exp(-0.7064*x)</t>
  </si>
  <si>
    <t>f = 10.3643 + 10.5831 * exp(-1.2486*x)</t>
  </si>
  <si>
    <t>f = 96.2855 + 298.7145 * exp(-1.2071*x)</t>
  </si>
  <si>
    <t>Not enough points</t>
  </si>
  <si>
    <t>f = 386.0122 * exp(-0.4425*x)</t>
  </si>
  <si>
    <t>f = 831.5670 * exp(-0.3080*x)</t>
  </si>
  <si>
    <t>f = 278.5408 * exp(-0.2453*x)</t>
  </si>
  <si>
    <t>f = 188.9329 * exp(-0.1952*x)</t>
  </si>
  <si>
    <t>f = 283.2255 * exp(-0.2475*x)</t>
  </si>
  <si>
    <t>f = 100.0943 * exp(-0.1416*x)</t>
  </si>
  <si>
    <t>f = 100.1332 * exp(-0.1191*x)</t>
  </si>
  <si>
    <t>f = 99.7418 * exp(-0.0686*x)</t>
  </si>
  <si>
    <t>f = 101.9854 -2.4222*x</t>
  </si>
  <si>
    <t>f = 99.4983 * exp(-0.0386*x)</t>
  </si>
  <si>
    <t>f = 101.0121 * exp(-0.0279*x)</t>
  </si>
  <si>
    <t>f = 99.1864 -1.7807*x</t>
  </si>
  <si>
    <t>f = 100.1105 * exp(-0.0704*x)</t>
  </si>
  <si>
    <t>f = 98.9809 * exp(-0.0060*x)</t>
  </si>
  <si>
    <t>f = 99.9835 * exp(-0.2021*x)</t>
  </si>
  <si>
    <t>f = 99.9774 * exp(-0.1426*x)</t>
  </si>
  <si>
    <t>f = 100.1934 * exp(-0.0918*x)</t>
  </si>
  <si>
    <t>f = 99.9873 * exp(-0.2028*x)</t>
  </si>
  <si>
    <t>f = 100 - 1.8x</t>
  </si>
  <si>
    <t>f = 100 - 3.0810x</t>
  </si>
  <si>
    <t>f = 102.7070 - 2.7553*x</t>
  </si>
  <si>
    <t>f = 102.7636*exp(-0.1547*x)</t>
  </si>
  <si>
    <t>f = -22.8674 + 119.2352 * exp(-0.0993*x)</t>
  </si>
  <si>
    <t>f = 27.1565 + 79.4597 * exp(-0.1404*x)</t>
  </si>
  <si>
    <t>f = 16.3724 + 26.9558 * exp(-0.0668*x)</t>
  </si>
  <si>
    <t>f = 27.5401 + 79.9230 * exp(-0.1462*x)</t>
  </si>
  <si>
    <t>f = 32.4868 + 83.8573/(1+xp(-(x-4.2055)/-2.6973))</t>
  </si>
  <si>
    <t>f =69.8007*exp(-0.5037*x) + 31.0415*exp(-0.0344*x)</t>
  </si>
  <si>
    <t>f = 16.6416 + 81.6733 * exp(-0.3514*x)</t>
  </si>
  <si>
    <t>sigmoidal</t>
  </si>
  <si>
    <t>sigmoidal - 4 parameter</t>
  </si>
  <si>
    <t>3.8163 + 5.4847/(1+exp(-(x-3.5885)/-0.2310))</t>
  </si>
  <si>
    <t>Exponential decay - 3 parameter [starting Day 3]</t>
  </si>
  <si>
    <t>f = 3.7625 + 28.3170 * exp(-1.7087*x)</t>
  </si>
  <si>
    <t>Exponential decay - 3 parameter [starting Day 2]</t>
  </si>
  <si>
    <t>f = 6.7591 + 4.6585 * exp(-0.3369*x)</t>
  </si>
  <si>
    <t xml:space="preserve">Exponential decay - 3 parameter </t>
  </si>
  <si>
    <t>f = -0.7264 + 10.7644 * exp(-0.1524*x)</t>
  </si>
  <si>
    <t>Exponential decay - 3 parameter [starting from Day 3]</t>
  </si>
  <si>
    <t>f = 6.5293 + 4.5906 * exp(-0.6274*x)</t>
  </si>
  <si>
    <t>f = -1.8379 + 125.1363 * exp(-0.0335*x)</t>
  </si>
  <si>
    <t>f = 98.0908 - 0.5850x</t>
  </si>
  <si>
    <t>f = 105.4047 -0.7327x</t>
  </si>
  <si>
    <t>f = 108.8143 -0.5142</t>
  </si>
  <si>
    <t>f = 92.3487 -0.9111x</t>
  </si>
  <si>
    <t>f = 22.1626 + 76.1692 * exp(-0.0069*x)</t>
  </si>
  <si>
    <t>f = 13.3871 * exp(-0.2354*x)+86.6519*exp(-0.0060*x)</t>
  </si>
  <si>
    <t>f = 19.4548 + 74.0836 * exp(-0.0101*x)</t>
  </si>
  <si>
    <t>f = 101.0775/(1+exp(x-11.4426)/-2.0780))</t>
  </si>
  <si>
    <t>Simple decay [starting Day 7]</t>
  </si>
  <si>
    <t>f = 90.8921*exp(-0.1854*x)</t>
  </si>
  <si>
    <t>f = 99.8744*exp(-0.2434*x)</t>
  </si>
  <si>
    <t>f = 16.3887 + 84.3096 * exp(-0.0931*x)</t>
  </si>
  <si>
    <t>Linear: -4.558</t>
  </si>
  <si>
    <t>Linear: -6.623</t>
  </si>
  <si>
    <t>Linear: - 1.019</t>
  </si>
  <si>
    <t>f = 59.3862 + 40.0483 * exp(-0.4154*x)</t>
  </si>
  <si>
    <t>f = 54.8163 + 41.6184 * exp(-0.3974*x)</t>
  </si>
  <si>
    <t>f = 91.7896 * exp(-0.0375*x)</t>
  </si>
  <si>
    <t>f = 58.1819 + 39.0673 * exp(-0.3365*x)</t>
  </si>
  <si>
    <t>f = 18.6143 + 83.0263 * exp(-0.0118*x)</t>
  </si>
  <si>
    <t>f = 98.5910 - 0.5733*x</t>
  </si>
  <si>
    <t>f = 100.5611 - 0.3644x</t>
  </si>
  <si>
    <t>f = 100 - 0.3296x</t>
  </si>
  <si>
    <t>Gabrielson et al. 1983</t>
  </si>
  <si>
    <t>Linear: 2 phases</t>
  </si>
  <si>
    <t>f = 0.8842 + 14.8507/(1+exp(-(x-19.0444)/-6.3953))</t>
  </si>
  <si>
    <t>f = 14.8309/(1+exp(-(x-32.2315)/-7.7239))</t>
  </si>
  <si>
    <t>f = 2.0640 -0.0567x</t>
  </si>
  <si>
    <t xml:space="preserve">Simple decay </t>
  </si>
  <si>
    <t>f = 2.1718*exp(-0.0451*x)</t>
  </si>
  <si>
    <t>f = -0.9893 + 3.1262*exp(-0.0255*x)</t>
  </si>
  <si>
    <t>f = 94.2072*exp(-0.0660*x)</t>
  </si>
  <si>
    <t>f = 37.7616 + 61.9101*exp(-0.3090*x)</t>
  </si>
  <si>
    <t>f = 54.7674*exp(-0.4315*x)+45.2131*exp(-0.0049*x)</t>
  </si>
  <si>
    <t>f = 97.9849*exp(-0.0548*x)</t>
  </si>
  <si>
    <t>f = 13.3454*exp(-1.7489*x)+86.6929*exp(-0.0203*x)</t>
  </si>
  <si>
    <t>f = 93.0130*exp(-0.0262*x)</t>
  </si>
  <si>
    <t>f = 94.1065*exp(-0.0398*x)</t>
  </si>
  <si>
    <t>f = 92.5664 - 2.6785x</t>
  </si>
  <si>
    <t>f = 93.7669*exp(-0.0384*x)</t>
  </si>
  <si>
    <t>f = 0.5158 + 0.6583*exp(-0.1556*x)</t>
  </si>
  <si>
    <t>f = 13.4280 + 112.7618*exp(-0.1162*x)</t>
  </si>
  <si>
    <t>unclear</t>
  </si>
  <si>
    <t>f = 49.4748 + 50.5195*exp(-0.0474*x)</t>
  </si>
  <si>
    <t>f = 36.1158 + 64.3841*exp(-0.0417*x)</t>
  </si>
  <si>
    <t>f = 54.3748 + 40.2074*exp(-0.0372*x)</t>
  </si>
  <si>
    <t>f = 77.1020 + 20.3559*exp(-0.0309*x)</t>
  </si>
  <si>
    <t>Linear [starting Day 10]</t>
  </si>
  <si>
    <t>f = 114 - 0.5x</t>
  </si>
  <si>
    <t>f = 115  -  0.8x</t>
  </si>
  <si>
    <t xml:space="preserve">Linear </t>
  </si>
  <si>
    <t>f = 101.2 -0.43x</t>
  </si>
  <si>
    <t>f = 77.6891 + 22.1913*exp(-0.1411*x)</t>
  </si>
  <si>
    <t>f = 60.2502 + 39.6349*exp(-0.0824*x)</t>
  </si>
  <si>
    <t>f = 63 + 37*exp(-2.2311*x)</t>
  </si>
  <si>
    <t>f = 40.8348 + 59.3250*exp(-0.0739*x)</t>
  </si>
  <si>
    <t>f = 43.0616 + 56.8474*exp(-0.0927*x)</t>
  </si>
  <si>
    <t>f = 22.6806 + 77.5152*exp(-0.1376*x)</t>
  </si>
  <si>
    <t>f = 102.1249/(1+exp(-(x-27.9162)/-7.2459))</t>
  </si>
  <si>
    <t>f = 54.4762 + 49.0182*exp(-0.0555*x)</t>
  </si>
  <si>
    <t>Exponential decay - 3 parameter [starting Day 5]</t>
  </si>
  <si>
    <t>f = 69.0529 + 47.1522*exp(-0.0352*x)</t>
  </si>
  <si>
    <t>f =27.7795 + 75.9254*exp(-0.0819*x)</t>
  </si>
  <si>
    <t>f = 105.2280*exp(-0.0336*x)</t>
  </si>
  <si>
    <t>f = 104.9064*exp(-0.0216*x)</t>
  </si>
  <si>
    <t>f = 103.1805 - 1.6601x</t>
  </si>
  <si>
    <t>No change after 1 day</t>
  </si>
  <si>
    <t>f = 20.0767 -5.0454x</t>
  </si>
  <si>
    <t>f =14.4541 + 5.4237*exp(-9.0408*x)</t>
  </si>
  <si>
    <t>f =11.4411 + 3.4019*exp(-3.4405*x)</t>
  </si>
  <si>
    <t>f = 100.8050*exp(-0.0871*x)</t>
  </si>
  <si>
    <t>f =23.3312 + 76.4446*exp(-0.2016*x)</t>
  </si>
  <si>
    <t>f = 9.5317 + 91.5355*exp(-0.1649*x)</t>
  </si>
  <si>
    <t>f = 12.1749 + 87.8123*exp(-0.1847*x)</t>
  </si>
  <si>
    <t>f = 603.0242 + 5596.8052/(1+exp(-x-18.4124)/-1.9236))</t>
  </si>
  <si>
    <t>f = 144.9286 + 258.2159*exp(-0.922*x)</t>
  </si>
  <si>
    <t>f = 332.126 + 237.8170*exp(-0.9903*x)</t>
  </si>
  <si>
    <t>f = 143.9382 + 139.674*exp(-0.2896*x)</t>
  </si>
  <si>
    <t>f = 280.2566 + 299.1640*exp(-0.7746*x)</t>
  </si>
  <si>
    <t>f = 150.1741 + 329.2975*exp(-1.2170*x)</t>
  </si>
  <si>
    <t>f = 293.3290 + 302.5804*exp(-0.8598*x)</t>
  </si>
  <si>
    <t>f = 157.4876 + 142.3688*exp(-0.4637*x)</t>
  </si>
  <si>
    <t>f = 287.6818 + 566.1043*exp(-1.4304*x)</t>
  </si>
  <si>
    <t>f = 1.4478 + 3.1207*exp(-0.2338*x)</t>
  </si>
  <si>
    <t>f = 98.969 -0.4113x</t>
  </si>
  <si>
    <t>f = 100.4315*exp(-0.0138*x)</t>
  </si>
  <si>
    <t>f = 94.8712 - 0.7922*x</t>
  </si>
  <si>
    <t>f = 99.8121*exp(-0.0544*x)</t>
  </si>
  <si>
    <t>f = 100.2498*exp(-0.0577*x)</t>
  </si>
  <si>
    <t>f = 100.1667-0.2381x</t>
  </si>
  <si>
    <t>f = 99.7361*exp(-0.0267*x)</t>
  </si>
  <si>
    <t>f = 99.75 -0.0714x</t>
  </si>
  <si>
    <t>f = 100.0035*exp(-0.0106*x)</t>
  </si>
  <si>
    <t>f = 99.1667 -0.8810x</t>
  </si>
  <si>
    <t>f = 99.7268 -0.1361x</t>
  </si>
  <si>
    <t>f = 97.6725*exp(-0.0299*x)</t>
  </si>
  <si>
    <t>f = 99.4138*exp(-0.0044*x)</t>
  </si>
  <si>
    <t>f = 99.1652 -0.3931x</t>
  </si>
  <si>
    <t>f = 99.9604*exp(-0.0116*x)</t>
  </si>
  <si>
    <t>f = 99.307 -0.2251x</t>
  </si>
  <si>
    <t>f = 99.8390*exp(-0.0267*x)</t>
  </si>
  <si>
    <t>Tissues</t>
  </si>
  <si>
    <t>Curve only</t>
  </si>
  <si>
    <t>f = -64.3325 + 164.1783*exp(-0.1060*x)</t>
  </si>
  <si>
    <t>f = 102.3565*exp(-0.0196*x)</t>
  </si>
  <si>
    <t>f = 99.4717-1.4357*x</t>
  </si>
  <si>
    <t>f = 45.4992 + 53.4897*exp(-0.1256*x)</t>
  </si>
  <si>
    <t>f = 80.7675 + 18.1225*exp(-0.1547*x)</t>
  </si>
  <si>
    <t>f = 105.5980/(1+exp(-(x-25.2439)/-3.9731</t>
  </si>
  <si>
    <t>f = 101.0750*exp(-0.0406*x)</t>
  </si>
  <si>
    <t>Linear to decay</t>
  </si>
  <si>
    <t>f = 30.6628 + 59.9506*exp(-0.0447*x)</t>
  </si>
  <si>
    <t>f = 29.6363 + 57.9550*exp(-0.0516*x)</t>
  </si>
  <si>
    <t>f = 79.134*exp(-0.3569*x)+20.1267*exp(-0.0091*x)</t>
  </si>
  <si>
    <t>f = 13.5211 + 83.9151*exp(-0.2806*x)</t>
  </si>
  <si>
    <t>f = 62.4935*exp(-0.1934*x)+38.0039*exp(-0.0075*x)</t>
  </si>
  <si>
    <t>f = 23.8429 + 70.5405*exp(-0.1100*x)</t>
  </si>
  <si>
    <t>f = 63.2024*exp(-1.1917*x)+36.7639*exp(-0.0122*x)</t>
  </si>
  <si>
    <t>f = 23.1848 + 73.1176*exp(-0.4352*x)</t>
  </si>
  <si>
    <t>Exponential decay - 3 parameter [but only simple decay equation provided on graphs?]</t>
  </si>
  <si>
    <t>f = 186.7180 + 5466.3430*exp(-0.0947*x)</t>
  </si>
  <si>
    <t>f = 515.0916*exp(-0.2835*x)+ 259.8889*exp(-0.0218*x)</t>
  </si>
  <si>
    <t>f = 49.1862 + 676.8577*exp(-0.1304*x)</t>
  </si>
  <si>
    <t>f = 71.6198*exp(-0.0846*x)+ 28.4676*exp(-0.0053*x)</t>
  </si>
  <si>
    <t>f = 15.4760 + 84.08*exp(-0.0627*x)</t>
  </si>
  <si>
    <t>Labile: 0.0418, recalcitrant: 0.0062</t>
  </si>
  <si>
    <t>f = 17.9327 + 12.4528/(1+exp(-(x-9.8033)/-2.3387))</t>
  </si>
  <si>
    <t>f = 3.5563 + 22.2801*exp(-0.1169*x)</t>
  </si>
  <si>
    <t>f = 1.1104 + 3.5894*exp(-0.3563*x)</t>
  </si>
  <si>
    <t>f = 109.1796 + 722.8924*exp(-0.14*x)</t>
  </si>
  <si>
    <t>25.8306 + 76.5613/(1 + exp(-(x-7.3070)/-2.0909))</t>
  </si>
  <si>
    <t>Exponential decay - 3 parameter [starting on Day 3]</t>
  </si>
  <si>
    <t>f =-8.3917 + 141.7544*EXP(-0.0972*x)</t>
  </si>
  <si>
    <t>f = 14.5399 + 83.7613*exp(-0.1525*x)</t>
  </si>
  <si>
    <t>f = 95.6606*exp(-0.1073*x)</t>
  </si>
  <si>
    <t>f = 4.7876 + 95.7384*exp(-0.0722*x)</t>
  </si>
  <si>
    <t>f = 7.8968 + 92.0828*exp(-0.2003*x)</t>
  </si>
  <si>
    <t>f = 801.2489/(1+exp(-(x-17.2323)/-3.9315))</t>
  </si>
  <si>
    <t>f = -84.6088 + 881.1577*exp(-0.0773*x)</t>
  </si>
  <si>
    <t>f = 802.0961*exp(-0.0949*x)</t>
  </si>
  <si>
    <t>f = 82.100 -2.5571*x</t>
  </si>
  <si>
    <t>f = 46.6387 + 52.3477*exp(-0.0675*x)</t>
  </si>
  <si>
    <t>f = 62.9945 + 36.9828*exp(-0.2950*x)</t>
  </si>
  <si>
    <t>f = 65.8075 + 34.1413*exp(-0.2924*x)</t>
  </si>
  <si>
    <t>f = 47.6699 + 51.4232*exp(-0.0675*x)</t>
  </si>
  <si>
    <t>f = 101.2123*exp(-0.0406*x)</t>
  </si>
  <si>
    <t>f = -8.3116 + 108.4248*exp(-0.0347*x)</t>
  </si>
  <si>
    <t>f = 101.1952*exp(-0.0404*x)</t>
  </si>
  <si>
    <t>f = -10.1510 + 110.0215*exp(-0.0335*x)</t>
  </si>
  <si>
    <t>Sigmoidal - 3 Parameter</t>
  </si>
  <si>
    <t>f = 115.8173/(1+exp(-(x-13.8295)/-7.5105))</t>
  </si>
  <si>
    <t>Exponential decay - 3 parameter [starting on Day 7]</t>
  </si>
  <si>
    <t xml:space="preserve"> f = -3.8970 + 179.8431/(1 +exp(-(x-5.7913)/-17.1946))</t>
  </si>
  <si>
    <t>f = -9.9006 + 121.8662*exp(-0.0355*x)</t>
  </si>
  <si>
    <t>f = -3.0469 + 135.8542*exp(-0.0636*x)</t>
  </si>
  <si>
    <t>f = -20.2181 + 170.2146*exp(-0.0319*x)</t>
  </si>
  <si>
    <t xml:space="preserve"> f = 107.4387/(1+exp(-(x-21.4528)/-3.4569))</t>
  </si>
  <si>
    <t xml:space="preserve"> f = 107.1107/(1+exp(-(x-23.7617)/-4.9520))</t>
  </si>
  <si>
    <t xml:space="preserve"> f = 107.8776/(1+exp(-(x-24.6489)/--5.1077))</t>
  </si>
  <si>
    <t>f = 103.4444*exp(-0.0171*x)</t>
  </si>
  <si>
    <t>f = 68.1620 + 32.2846*exp(-0.0189*x)</t>
  </si>
  <si>
    <t>f = -10.6098 + 108.2258*exp(-0.0128*x)</t>
  </si>
  <si>
    <t>f = -1.3942 + 110.3415*exp(-0.0363*x)</t>
  </si>
  <si>
    <t>f = 1.5436 + 96.7256*exp(-0.0840*x)</t>
  </si>
  <si>
    <t>halflife</t>
  </si>
  <si>
    <t>natural?</t>
  </si>
  <si>
    <t>Assumed Linear</t>
  </si>
  <si>
    <t>Exponential decay - assumed simple</t>
  </si>
  <si>
    <t>Linear - 2 phases</t>
  </si>
  <si>
    <t>f = 584.4387 + 5118.2660*exp(-0.2539*x)</t>
  </si>
  <si>
    <t>Assumed exponential</t>
  </si>
  <si>
    <t>Linear/exponential decay</t>
  </si>
  <si>
    <t>genus</t>
  </si>
  <si>
    <t>part</t>
  </si>
  <si>
    <t xml:space="preserve">diatoms- not macroalgae </t>
  </si>
  <si>
    <t xml:space="preserve">focused on microbes, no degradation rate </t>
  </si>
  <si>
    <t>Leaching rather than decomposition</t>
  </si>
  <si>
    <t>This is degradation of cDOM</t>
  </si>
  <si>
    <t>5.87 umol C cm^3</t>
  </si>
  <si>
    <t>year_conducted</t>
  </si>
  <si>
    <t xml:space="preserve">glass vial </t>
  </si>
  <si>
    <t>umol C cm^3</t>
  </si>
  <si>
    <t>Germany</t>
  </si>
  <si>
    <t>South Georgia</t>
  </si>
  <si>
    <t>northwest Atlantic</t>
  </si>
  <si>
    <t>southeast Atlantic</t>
  </si>
  <si>
    <t>rinse</t>
  </si>
  <si>
    <t>kept in fridge for 48 h then scraped</t>
  </si>
  <si>
    <t>oven dried</t>
  </si>
  <si>
    <t>sw</t>
  </si>
  <si>
    <t>oven dried then ground</t>
  </si>
  <si>
    <t>pre-killed using 50 deg C seawater bath</t>
  </si>
  <si>
    <t>freeze-dried, thawed &amp; leached</t>
  </si>
  <si>
    <t>air-dried and cut into pieces</t>
  </si>
  <si>
    <t>mucilage drained for 6h then freeze-dried</t>
  </si>
  <si>
    <t>frozen overnight</t>
  </si>
  <si>
    <t xml:space="preserve">washed, oven dried and ground </t>
  </si>
  <si>
    <t>air-dried for 2h</t>
  </si>
  <si>
    <t>oven dried &amp; ground</t>
  </si>
  <si>
    <t>freeze-dried, ground, leached</t>
  </si>
  <si>
    <t>killed in seawater bath at 50C</t>
  </si>
  <si>
    <t>oven dried then freeze dried then ground</t>
  </si>
  <si>
    <t>C14 labelled then frozen</t>
  </si>
  <si>
    <t>homogenized by grinding, NaCl added, centrifuged and filtered</t>
  </si>
  <si>
    <t>labeled with C14, blended, frozen, sieved 750um, rinsed with 63 uM sieve</t>
  </si>
  <si>
    <t>frozen at -80 C</t>
  </si>
  <si>
    <t xml:space="preserve">degradation habitat </t>
  </si>
  <si>
    <t>container type</t>
  </si>
  <si>
    <t>plexiglass cylinder with both ends covered in mesh</t>
  </si>
  <si>
    <t>soft sediment</t>
  </si>
  <si>
    <t>under seaweed</t>
  </si>
  <si>
    <t>1cm into sediment</t>
  </si>
  <si>
    <t xml:space="preserve">was the algae rinsed, and if specified was it a seawater (sw) rinse or freshwater (fw) rinse </t>
  </si>
  <si>
    <t>mesh cage</t>
  </si>
  <si>
    <t>seawater and sediment collected from site</t>
  </si>
  <si>
    <t>57 L aquaria</t>
  </si>
  <si>
    <t>700 L concrete tank</t>
  </si>
  <si>
    <t>buried 15 cm deep under seaweed</t>
  </si>
  <si>
    <t>partially</t>
  </si>
  <si>
    <t>plastic bag</t>
  </si>
  <si>
    <t>hermetic closure glass bottles</t>
  </si>
  <si>
    <t>raceways</t>
  </si>
  <si>
    <t>150 L container</t>
  </si>
  <si>
    <t xml:space="preserve">litterbag in flask </t>
  </si>
  <si>
    <t>yes; 5 cm deep</t>
  </si>
  <si>
    <t>yes; 1 cm deep</t>
  </si>
  <si>
    <t>seawater and natural sediment</t>
  </si>
  <si>
    <t>yes; 1 mm deep</t>
  </si>
  <si>
    <t>litterbag in glassware</t>
  </si>
  <si>
    <t>litterbag placed in PVC tube</t>
  </si>
  <si>
    <t>ns</t>
  </si>
  <si>
    <t xml:space="preserve">na means not applicable </t>
  </si>
  <si>
    <t>ns means not specified</t>
  </si>
  <si>
    <t>stipe and lamina</t>
  </si>
  <si>
    <t>mid-lamina</t>
  </si>
  <si>
    <t>cultured</t>
  </si>
  <si>
    <t>above high tide line</t>
  </si>
  <si>
    <t>sediment type</t>
  </si>
  <si>
    <t>supralittoral</t>
  </si>
  <si>
    <t>at wrack line</t>
  </si>
  <si>
    <t>0.5 m above lowest astronomical tide</t>
  </si>
  <si>
    <t>1 m above wrack line</t>
  </si>
  <si>
    <t>at high tide mark</t>
  </si>
  <si>
    <t>0.5 m above low tide</t>
  </si>
  <si>
    <t>80 L aquaria</t>
  </si>
  <si>
    <t>sediment only; no seawater</t>
  </si>
  <si>
    <t>yes; 15 cm deep</t>
  </si>
  <si>
    <t>natural sand without seawater</t>
  </si>
  <si>
    <t>bucket</t>
  </si>
  <si>
    <t>artifical seawater</t>
  </si>
  <si>
    <t>filtered seawater (55 um)</t>
  </si>
  <si>
    <t>5 ul filtered seawater</t>
  </si>
  <si>
    <t>Fresh</t>
  </si>
  <si>
    <t>pebbled</t>
  </si>
  <si>
    <t xml:space="preserve">soft sediment </t>
  </si>
  <si>
    <t xml:space="preserve">seafloor= detritus was placed on the seafloor </t>
  </si>
  <si>
    <t>intertidal= detritus was placed somewhere in the intertidal</t>
  </si>
  <si>
    <t>suspended = detritus was suspended in the water column in the ocean</t>
  </si>
  <si>
    <t xml:space="preserve">lab= detritus was allowed to degrade indoors in the lab </t>
  </si>
  <si>
    <t>pebbled=small rocks/pebbled habitat</t>
  </si>
  <si>
    <t xml:space="preserve">na= either in lab without sediment or suspended in the water column in situ </t>
  </si>
  <si>
    <t>was the algae collected live, or was beach wrack/debris used</t>
  </si>
  <si>
    <t>sediment_type</t>
  </si>
  <si>
    <t xml:space="preserve">if in lab, what kind of medium was the algae allowed to degrade in? if in situ medium is oceanwater and/or sediment as descibed in other columns </t>
  </si>
  <si>
    <t>reef=reef/rocky habitat</t>
  </si>
  <si>
    <t>soft sediment=sandy/soft bottom habitat</t>
  </si>
  <si>
    <t>flowthrough natural seawater</t>
  </si>
  <si>
    <t>seawater and natural, filtered sediment</t>
  </si>
  <si>
    <t>was the detritus buried under sediment and/or other seaweed?</t>
  </si>
  <si>
    <t>Search</t>
  </si>
  <si>
    <t>Exp</t>
  </si>
  <si>
    <t>each study gets its own reference number</t>
  </si>
  <si>
    <t xml:space="preserve">each observation gets its own reference number </t>
  </si>
  <si>
    <t>obs</t>
  </si>
  <si>
    <t>exp</t>
  </si>
  <si>
    <t>Wrack_or_Fresh</t>
  </si>
  <si>
    <t>in_situ_or_lab</t>
  </si>
  <si>
    <t>mesh size (in mm)</t>
  </si>
  <si>
    <t>initial doc (in um)</t>
  </si>
  <si>
    <t>if reported, what was the initial DOC concentration</t>
  </si>
  <si>
    <t>microbes_spiked</t>
  </si>
  <si>
    <t>num_blades</t>
  </si>
  <si>
    <t>blade_size_cm</t>
  </si>
  <si>
    <t>Lozada, M., Diéguez, M. C., García, P. E., &amp; Dionisi, H. M. (2023). Microbial communities associated with kelp detritus in temperate and subantarctic intertidal sediments. Science of The Total Environment, 857, 159392.</t>
  </si>
  <si>
    <t xml:space="preserve">includes k estimate from Simpkins et al. (under review) without degradation values </t>
  </si>
  <si>
    <t>no degradation values; just degradation photosynthesis changes</t>
  </si>
  <si>
    <t>Kahma, T. I., Norkko, A., &amp; Rodil, I. F. (2023). Macrofauna Community Dynamics and Food Webs in the Canopy-forming Macroalgae and the Associated Detrital Subsidies. Estuaries and Coasts, 1-18.</t>
  </si>
  <si>
    <t>Perkins, A. K., Rose, A. L., Grossart, H. P., Schulz, K. G., Neubauer, D., Tonge, M. P., ... &amp; Oakes, J. M. (2023). Fungi increases kelp (Ecklonia radiata) remineralisation and dissolved organic carbon, alkalinity, and dimethylsulfoniopropionate (DMSP) production. Science of the Total Environment, 905, 166957.</t>
  </si>
  <si>
    <t>Le Bourg, B., Saucède, T., Charpentier, A., Lepoint, G., &amp; Michel, L. N. (2022). What is the menu today in a subantarctic kelp food web from the Kerguelen Islands? Phytodetritus, phytoplankton and phytobenthos; not living kelp. Marine Biology, 169(9), 118.</t>
  </si>
  <si>
    <t>Morrison, E. S., Liu, Y., Rivas-Ubach, A., Amaral, J. H. F., Shields, M., Osborne, T. Z., ... &amp; Bianchi, T. S. (2023). Mangrove peat and algae leachates elicit rapid and contrasting molecular and microbial responses in coastal waters. Communications Earth &amp; Environment, 4(1), 376.</t>
  </si>
  <si>
    <t xml:space="preserve">Uses lab cultivated microalgae Spirulina </t>
  </si>
  <si>
    <t>Reason for Discarding</t>
  </si>
  <si>
    <t>sampling frequency</t>
  </si>
  <si>
    <t>how many times was the detritus sampled? Not including initial sampling at t=0</t>
  </si>
  <si>
    <t>linear_or_exponential_reported</t>
  </si>
  <si>
    <t>k_reported</t>
  </si>
  <si>
    <t>volume_mL</t>
  </si>
  <si>
    <t>half_life_reported</t>
  </si>
  <si>
    <t>percent_recalcitrance_reported</t>
  </si>
  <si>
    <t>days_until_complete_degradation_reported</t>
  </si>
  <si>
    <t>k_calculated</t>
  </si>
  <si>
    <t>degradation_rate_reported</t>
  </si>
  <si>
    <t>days_until_complete_degradation_calculated</t>
  </si>
  <si>
    <t>driving_factor</t>
  </si>
  <si>
    <t>C_N_ratio_initial</t>
  </si>
  <si>
    <t>C_N_ratio_final</t>
  </si>
  <si>
    <t>percent_C_initial</t>
  </si>
  <si>
    <t>Percent_C_final</t>
  </si>
  <si>
    <t>percent_polyphenolic_content</t>
  </si>
  <si>
    <t>percent_water_content</t>
  </si>
  <si>
    <t>References_checked</t>
  </si>
  <si>
    <t>experiment_duration_days</t>
  </si>
  <si>
    <t>was the relationship between detritus biomass/DOC concentration and degradation time reported as linear or exponential in the paper, if reported at all</t>
  </si>
  <si>
    <t xml:space="preserve">k value, if reported </t>
  </si>
  <si>
    <t>unit is %/day loss- if reported</t>
  </si>
  <si>
    <t xml:space="preserve">if reported </t>
  </si>
  <si>
    <t xml:space="preserve">if reported, what percent of detrital matter was assumed recalcitrant </t>
  </si>
  <si>
    <t>if reported, how many days did the detritus take to fully decay</t>
  </si>
  <si>
    <t>the authors of this review calculated a k value, if applicable</t>
  </si>
  <si>
    <t xml:space="preserve">the authors of this review calculated degradation rate as percent loss per day, if applicable </t>
  </si>
  <si>
    <t xml:space="preserve">the authors of this review calcualted half life, if applicable </t>
  </si>
  <si>
    <t xml:space="preserve">the authors of this review calculated the number of days until complete degradation of algal matter, if applicable </t>
  </si>
  <si>
    <t xml:space="preserve">the intial carbon:nitrogen ratio of detritus </t>
  </si>
  <si>
    <t xml:space="preserve">the final carbon:nitrogen ratio of detritus after experiment ceases </t>
  </si>
  <si>
    <t>initial percentage of carbon in tissues</t>
  </si>
  <si>
    <t>final percentage of carbon in tissues after experiment is over</t>
  </si>
  <si>
    <t>lighting_type</t>
  </si>
  <si>
    <t>lighting_level</t>
  </si>
  <si>
    <t>was the lighting dark, natural or artifical</t>
  </si>
  <si>
    <t>if light level was specified, what was it</t>
  </si>
  <si>
    <t xml:space="preserve">units used to describe light level </t>
  </si>
  <si>
    <t>Argentina</t>
  </si>
  <si>
    <t>lat and long</t>
  </si>
  <si>
    <t>carbon_type</t>
  </si>
  <si>
    <t>sediment and filtered, UV-sterilized natural seawater</t>
  </si>
  <si>
    <t>macroalgae vs. seagrass</t>
  </si>
  <si>
    <t>Lozada et al. 2023</t>
  </si>
  <si>
    <t>mg/L</t>
  </si>
  <si>
    <t>microbial community structure</t>
  </si>
  <si>
    <t>natural quartz sand and seawater</t>
  </si>
  <si>
    <t>oven dried then homogenized</t>
  </si>
  <si>
    <t>Temp_min</t>
  </si>
  <si>
    <t>Temp_max</t>
  </si>
  <si>
    <t xml:space="preserve">if specified, what was the max temp over the experimental period? Units: degree celsius </t>
  </si>
  <si>
    <t xml:space="preserve">if specified, what was the min temp over the experimental period? Units: degree celsius </t>
  </si>
  <si>
    <t xml:space="preserve">if temp was held constant then min and max temp are the same </t>
  </si>
  <si>
    <t>0-1550</t>
  </si>
  <si>
    <t>0-1551</t>
  </si>
  <si>
    <t>0-1552</t>
  </si>
  <si>
    <t xml:space="preserve">Ecklonia radiata </t>
  </si>
  <si>
    <t>without fungicide</t>
  </si>
  <si>
    <t>with fungicide</t>
  </si>
  <si>
    <t>biomass remaining (g)</t>
  </si>
  <si>
    <t xml:space="preserve">y=0.32+0.65^(-(x-0)/14.9) </t>
  </si>
  <si>
    <t>single phase exponential decay</t>
  </si>
  <si>
    <t>2 phase exponential decay</t>
  </si>
  <si>
    <t>y=0.75+0.11^(-(x-0)/0.01)+0.14^(-x(x-0)/0.14)</t>
  </si>
  <si>
    <t xml:space="preserve">simple exponential decay </t>
  </si>
  <si>
    <t>microbial mediators of carbon‑sulfur-methane interactions</t>
  </si>
  <si>
    <t xml:space="preserve">No degradation rates; just invert community </t>
  </si>
  <si>
    <t>Only changes in C/N reported, ocean warming (current and future), OA (ambient and future), plastic (none, low, high), kelp and seagrass; says starts with 10 g fw by shows ~ 1.3 g dw on graphs (predried)</t>
  </si>
  <si>
    <t>bvc</t>
  </si>
  <si>
    <t>Q</t>
  </si>
  <si>
    <t>light_level</t>
  </si>
  <si>
    <t>465 (12L:12D)</t>
  </si>
  <si>
    <t>466 (12L:12D)</t>
  </si>
  <si>
    <t>467 (12L:12D)</t>
  </si>
  <si>
    <t>artifical</t>
  </si>
  <si>
    <t>%SI</t>
  </si>
  <si>
    <t xml:space="preserve">degradation of CDOM </t>
  </si>
  <si>
    <t>buried_yn</t>
  </si>
  <si>
    <t>buried_descriptive</t>
  </si>
  <si>
    <t>aeration_descriptive</t>
  </si>
  <si>
    <t>if in lab, were the tanks/containers containing detritus/DOC aerated? If not specified, then we assume tanks were not aerated. If in situ, aeration/oxygen availability is assumed unless otherwise specified</t>
  </si>
  <si>
    <t>killed in 50 C seawater bath, ground and sieved</t>
  </si>
  <si>
    <t>pretreatment_descriptive</t>
  </si>
  <si>
    <t>degradation_depth_m_subtidal</t>
  </si>
  <si>
    <t xml:space="preserve">degradation depth subtidal </t>
  </si>
  <si>
    <t>in metres. If in situ, refers to either the depth where the detritus was placed on the ocean floor</t>
  </si>
  <si>
    <t>intertidal level</t>
  </si>
  <si>
    <t>intertidal_level</t>
  </si>
  <si>
    <t>classification</t>
  </si>
  <si>
    <t>functional group</t>
  </si>
  <si>
    <t xml:space="preserve">not peer reviewed. Also missing a LOT of methodological details </t>
  </si>
  <si>
    <t>Kim, Hyeong-Gi, Lawrence E. Hawkins, Jasmin A. Godbold, Katrin Bohn, Jong Seong Khim, and Stephen J. Hawkins. “The Influence of the Composition of Algal Detritus on Nematode Assemblages.” Regional Studies in Marine Science 48 (November 2021): 102004. https://doi.org/10.1016/j.rsma.2021.102004.</t>
  </si>
  <si>
    <t>focused on herbivory and carbon  flux not degradation</t>
  </si>
  <si>
    <t xml:space="preserve">heavy metal absorption, no degradation values </t>
  </si>
  <si>
    <t>Wen, Y., Wang, S., Shi, Z., Jin, Y., Thomas, J. B., Azzi, E. S., ... &amp; Yang, W. (2022). Pyrolysis of engineered beach-cast seaweed: performances and life cycle assessment. Water Research, 222, 118875.</t>
  </si>
  <si>
    <t xml:space="preserve">thermogravimetric analysis and pyrolysis analysis only </t>
  </si>
  <si>
    <t xml:space="preserve">NPP detritus production study, not degradation </t>
  </si>
  <si>
    <t>Elliott Smith, E. A., &amp; Fox, M. D. (2022). Characterizing energy flow in kelp forest food webs: a geochemical review and call for additional research. Ecography, 2022(6), e05566.</t>
  </si>
  <si>
    <t>van der Mheen, M., Wernberg, T., Pattiaratchi, C., Pessarrodona, A., Janekovic, I., Simpkins, T., ... &amp; Filbee-Dexter, K. (2024). Substantial kelp detritus exported beyond the continental shelf by dense shelf water transport. Scientific Reports, 14(1), 839.</t>
  </si>
  <si>
    <t>Wright, L. S., Simpkins, T., Filbee-Dexter, K., &amp; Wernberg, T. (2023). Temperature sensitivity of detrital photosynthesis. Annals of Botany, mcad167.</t>
  </si>
  <si>
    <t>Luo, H., Xie, S., &amp; Yang, Y. (2022). Potential removal capacity and secondary pollution risk evaluation of heavy metals in Gracilaria lemaneiformis from a typical seaweed farming base. Algal Research, 65, 102749.</t>
  </si>
  <si>
    <t>Dolliver, J., &amp; O’Connor, N. E. (2022). Estimating growth, loss and potential carbon sequestration of farmed kelp: a case study of Saccharina latissima at Strangford Lough, Northern Ireland. Applied Phycology, 3(1), 324-339.</t>
  </si>
  <si>
    <t>microalgae in freshwater</t>
  </si>
  <si>
    <t xml:space="preserve">ambient changes in DOC in seawater over time </t>
  </si>
  <si>
    <t>Xia, Y. F., Zhang, S. Y., Wang, K., Xu, P., Li, N., &amp; Li, X. M. (2023). Decomposition and sedimentation of two species of macro algae detritus at the Gouqi island seaweed beds.</t>
  </si>
  <si>
    <t xml:space="preserve">no degradation rates </t>
  </si>
  <si>
    <t xml:space="preserve">unable to find english version online </t>
  </si>
  <si>
    <t>oven dried at 40 °C</t>
  </si>
  <si>
    <t>degrad_main_purpose</t>
  </si>
  <si>
    <t>Corallina</t>
  </si>
  <si>
    <t>officinalis</t>
  </si>
  <si>
    <t>intestinalis</t>
  </si>
  <si>
    <t>1 m below wrack line</t>
  </si>
  <si>
    <t>assumed linear</t>
  </si>
  <si>
    <t>Urban-Malinga, B., T. Gheskiere, S. Degraer, S. Derycke, K. W. Opalinski, and T. Moens. 2008 “Gradients in Biodiversity and Macroalgal Wrack Decomposition Rate across a Macrotidal, Ultradissipative Sandy Beach.” Marine Biology 155, no. 1 (July 1, 2008): 79–90. https://doi.org/10.1007/s00227-008-1009-9.</t>
  </si>
  <si>
    <t>Belgium</t>
  </si>
  <si>
    <t>10-15 cm deep</t>
  </si>
  <si>
    <t>5.06m above MLWS</t>
  </si>
  <si>
    <t>4.6m above MLWS</t>
  </si>
  <si>
    <t>3.6m above MLWS</t>
  </si>
  <si>
    <t>2.9m above MLWS</t>
  </si>
  <si>
    <t>1.6m avove MLWS</t>
  </si>
  <si>
    <t>0.89m above MLWS</t>
  </si>
  <si>
    <t>0.92m above MLWS</t>
  </si>
  <si>
    <t>Urban-Malinga et al. 2008</t>
  </si>
  <si>
    <t>s1</t>
  </si>
  <si>
    <t>s2</t>
  </si>
  <si>
    <t>s3</t>
  </si>
  <si>
    <t>s4</t>
  </si>
  <si>
    <t>s5</t>
  </si>
  <si>
    <t>s6</t>
  </si>
  <si>
    <t>s7</t>
  </si>
  <si>
    <t>Perkins, Anita K., Isaac R. Santos, Andrew L. Rose, Kai G. Schulz, Hans-Peter Grossart, Bradley D. Eyre, Brendan P. Kelaher, and Joanne M. Oakes. 2022“Production of Dissolved Carbon and Alkalinity during Macroalgal Wrack Degradation on Beaches: A Mesocosm Experiment with Implications for Blue Carbon.” Biogeochemistry 160, no. 2 (September 1, 2022): 159–75. https://doi.org/10.1007/s10533-022-00946-4.</t>
  </si>
  <si>
    <t>Hwang, Jung-Min, Hyeong-Gi Kim, Hyein Kim, Choul-Hee Hwang, and Chul-Woong Oh. 2023. “Meiofaunal Assemblages Associated with Macroalgal Detritus Decomposition.” Regional Studies in Marine Science 68 (December 2023): 103285. https://doi.org/10.1016/j.rsma.2023.103285.</t>
  </si>
  <si>
    <t>Luo, Hongtian, Xiaojuan Dai, Yufeng Yang, and Songguang Xie. 2022. “The Evaluation of C, N, P Release and Contribution to the Water Environment during Gracilaria Litters Biomass Decay.” Estuarine, Coastal and Shelf Science 276 (October 5, 2022): 108052. https://doi.org/10.1016/j.ecss.2022.108052.</t>
  </si>
  <si>
    <t>Luo, Hongtian, Songguang Xie, Xiaojuan Dai, Qing Wang, and Yufeng Yang. 2022. “Biomass Decomposition and Heavy Metal Release from Seaweed Litter, Gracilaria Lemaneiformis, and Secondary Pollution Evaluation.” Journal of Environmental Management 310 (May 15, 2022): 114729. https://doi.org/10.1016/j.jenvman.2022.114729.</t>
  </si>
  <si>
    <t>intial_weight_g</t>
  </si>
  <si>
    <t>natural sediment and filtered seawater</t>
  </si>
  <si>
    <t xml:space="preserve">mesocosm- u-shaped PVC simulated tidal environment  </t>
  </si>
  <si>
    <t>Perkins et al. 2022</t>
  </si>
  <si>
    <t xml:space="preserve">mass remaining </t>
  </si>
  <si>
    <t xml:space="preserve">two-phase exponential decay </t>
  </si>
  <si>
    <t>The Netherlands</t>
  </si>
  <si>
    <t xml:space="preserve">oven dried-put through 38 um sieve </t>
  </si>
  <si>
    <t xml:space="preserve">microcosm </t>
  </si>
  <si>
    <t>natural sediment and asw</t>
  </si>
  <si>
    <t>tide height</t>
  </si>
  <si>
    <t>turf</t>
  </si>
  <si>
    <t>Grateloupia</t>
  </si>
  <si>
    <t>South Korea</t>
  </si>
  <si>
    <t>oven dried at 60 °C shredded</t>
  </si>
  <si>
    <t>midshoreline</t>
  </si>
  <si>
    <t>Hwang et al 2023</t>
  </si>
  <si>
    <t>exponential decay</t>
  </si>
  <si>
    <t xml:space="preserve">degrading plant matter not algae </t>
  </si>
  <si>
    <t>Franzitta, G., Hanley, M. E., Airoldi, L., Baggini, C., Bilton, D. T., Rundle, S. D., &amp; Thompson, R. C. (2015). Home advantage? Decomposition across the freshwater-estuarine transition zone varies with litter origin and local salinity. Marine environmental research, 110, 1-7.</t>
  </si>
  <si>
    <r>
      <t>Robinson, J. D., Mann, K. H., &amp; Novitsky, J. A. (1982). Conversion of the particulate fraction of seaweed detritus to bacterial biomass. </t>
    </r>
    <r>
      <rPr>
        <i/>
        <sz val="11"/>
        <color rgb="FF222222"/>
        <rFont val="Calibri"/>
        <family val="2"/>
        <scheme val="minor"/>
      </rPr>
      <t>Limnology and Oceanography</t>
    </r>
    <r>
      <rPr>
        <sz val="11"/>
        <color rgb="FF222222"/>
        <rFont val="Calibri"/>
        <family val="2"/>
        <scheme val="minor"/>
      </rPr>
      <t>, </t>
    </r>
    <r>
      <rPr>
        <i/>
        <sz val="11"/>
        <color rgb="FF222222"/>
        <rFont val="Calibri"/>
        <family val="2"/>
        <scheme val="minor"/>
      </rPr>
      <t>27</t>
    </r>
    <r>
      <rPr>
        <sz val="11"/>
        <color rgb="FF222222"/>
        <rFont val="Calibri"/>
        <family val="2"/>
        <scheme val="minor"/>
      </rPr>
      <t>(6), 1072-1079.</t>
    </r>
  </si>
  <si>
    <r>
      <t>Boldreel, E. H., Attard, K. M., Hancke, K., &amp; Glud, R. N. (2023). Microbial degradation dynamics of farmed kelp deposits from Saccharina latissima and Alaria esculenta. </t>
    </r>
    <r>
      <rPr>
        <i/>
        <sz val="11"/>
        <color rgb="FF222222"/>
        <rFont val="Calibri"/>
        <family val="2"/>
        <scheme val="minor"/>
      </rPr>
      <t>Marine Ecology Progress Series</t>
    </r>
    <r>
      <rPr>
        <sz val="11"/>
        <color rgb="FF222222"/>
        <rFont val="Calibri"/>
        <family val="2"/>
        <scheme val="minor"/>
      </rPr>
      <t>, </t>
    </r>
    <r>
      <rPr>
        <i/>
        <sz val="11"/>
        <color rgb="FF222222"/>
        <rFont val="Calibri"/>
        <family val="2"/>
        <scheme val="minor"/>
      </rPr>
      <t>709</t>
    </r>
    <r>
      <rPr>
        <sz val="11"/>
        <color rgb="FF222222"/>
        <rFont val="Calibri"/>
        <family val="2"/>
        <scheme val="minor"/>
      </rPr>
      <t>, 1-15.</t>
    </r>
  </si>
  <si>
    <r>
      <t>Kristensen, E., &amp; Mikkelsen, O. L. (2003). Impact of the burrow-dwelling polychaete Nereis diversicolor on the degradation of fresh and aged macroalgal detritus in a coastal marine sediment. </t>
    </r>
    <r>
      <rPr>
        <i/>
        <sz val="11"/>
        <color rgb="FF222222"/>
        <rFont val="Calibri"/>
        <family val="2"/>
        <scheme val="minor"/>
      </rPr>
      <t>Marine Ecology Progress Series</t>
    </r>
    <r>
      <rPr>
        <sz val="11"/>
        <color rgb="FF222222"/>
        <rFont val="Calibri"/>
        <family val="2"/>
        <scheme val="minor"/>
      </rPr>
      <t>, </t>
    </r>
    <r>
      <rPr>
        <i/>
        <sz val="11"/>
        <color rgb="FF222222"/>
        <rFont val="Calibri"/>
        <family val="2"/>
        <scheme val="minor"/>
      </rPr>
      <t>265</t>
    </r>
    <r>
      <rPr>
        <sz val="11"/>
        <color rgb="FF222222"/>
        <rFont val="Calibri"/>
        <family val="2"/>
        <scheme val="minor"/>
      </rPr>
      <t>, 141-153.</t>
    </r>
  </si>
  <si>
    <t>Urban-Malinga, B., &amp; Burska, D. (2009). The colonization of macroalgal wrack by the meiofauna in the Arctic intertidal. Estuarine, Coastal and Shelf Science, 85(4), 666-670.</t>
  </si>
  <si>
    <t>Rothäusler, E., Reinwald, H., López, B. A., Tala, F., &amp; Thiel, M. (2018). High acclimation potential in floating Macrocystis pyrifera to abiotic conditions even under grazing pressure–a field study. Journal of phycology, 54(3), 368-379.</t>
  </si>
  <si>
    <t xml:space="preserve">changes to meiofaunal assemblages </t>
  </si>
  <si>
    <t xml:space="preserve">in situ </t>
  </si>
  <si>
    <t>lemaneiformis</t>
  </si>
  <si>
    <t>lichenoides</t>
  </si>
  <si>
    <t xml:space="preserve">aquatic plant degradation </t>
  </si>
  <si>
    <t>phosphorous release- no degradation rates</t>
  </si>
  <si>
    <t>class</t>
  </si>
  <si>
    <t>filtered seawater and filtered natural sediment</t>
  </si>
  <si>
    <t>Luo et al 2022- C, N and P</t>
  </si>
  <si>
    <t>frozen</t>
  </si>
  <si>
    <t>litterbag in cage</t>
  </si>
  <si>
    <t>stirred once a day for a minute</t>
  </si>
  <si>
    <t>G. lemaneiformis</t>
  </si>
  <si>
    <t>G. lichevoides</t>
  </si>
  <si>
    <t>dried- lab</t>
  </si>
  <si>
    <t>frozen- lab</t>
  </si>
  <si>
    <t>dried- field</t>
  </si>
  <si>
    <t xml:space="preserve">frozen-field </t>
  </si>
  <si>
    <t>weight_fw_dw</t>
  </si>
  <si>
    <t>1 L beakers</t>
  </si>
  <si>
    <t>filtered sw</t>
  </si>
  <si>
    <t>filtered sw + sediment</t>
  </si>
  <si>
    <t>Wright &amp; Kregting 2023</t>
  </si>
  <si>
    <t>1236-11.59</t>
  </si>
  <si>
    <t>umol photons /m2/s</t>
  </si>
  <si>
    <t>data extracted from github</t>
  </si>
  <si>
    <t>freeze dried</t>
  </si>
  <si>
    <t xml:space="preserve">125 ml Erlenmeyer flask </t>
  </si>
  <si>
    <t>filtered seawater PLUS 1.14 mg of NaNO3</t>
  </si>
  <si>
    <t>Robinson et al 1982</t>
  </si>
  <si>
    <t>NO3 enriched</t>
  </si>
  <si>
    <t>un-enriched</t>
  </si>
  <si>
    <t>bacterial abundances</t>
  </si>
  <si>
    <t>photosynthetic activity</t>
  </si>
  <si>
    <t>NO3 enrichment or not</t>
  </si>
  <si>
    <t>*just reported k values and degradation rates, no raw degradation data/figures included</t>
  </si>
  <si>
    <t>No plots of data/raw data just k values reported in paper; first order exponential: 0.023 d-1</t>
  </si>
  <si>
    <t>No plots of data/raw data just k values reported in paper; first order exponential: 0.023 d-3</t>
  </si>
  <si>
    <t xml:space="preserve">was the main purpose of this study to analyse algae degradation dynamics, or were degradation data presented as a secondary/side piece of data. This was determined by whether the main focus presented in the abstract/introduction directly referred to degradation dynamics, and if degradation data were inlcuded in the main text vs. the supplemental </t>
  </si>
  <si>
    <t>they performed a pilot study and concluded that frozen vs. fresh tissues didn't degrade differently.. Can look at this more</t>
  </si>
  <si>
    <t>buried 0.5 cm deep</t>
  </si>
  <si>
    <t>gas-tight bottle</t>
  </si>
  <si>
    <t>natural sediment core and natural seawater</t>
  </si>
  <si>
    <t xml:space="preserve">also no degradation plots, just reported k values </t>
  </si>
  <si>
    <t>Danger, M., Cornut, J., Chauvet, E., Chavez, P., Elger, A., &amp; Lecerf, A. (2013). Benthic algae stimulate leaf litter decomposition in detritus‐based headwater streams: A case of aquatic priming effect?. Ecology, 94(7), 1604-1613.</t>
  </si>
  <si>
    <t>diatom degradation in freshwater</t>
  </si>
  <si>
    <t>12L:12D</t>
  </si>
  <si>
    <t>Finland</t>
  </si>
  <si>
    <t xml:space="preserve"> contact w sediment or not/depth</t>
  </si>
  <si>
    <t>Salovius &amp; Bonsdorff 2004</t>
  </si>
  <si>
    <t>8 m suspended</t>
  </si>
  <si>
    <t>8 m sediment</t>
  </si>
  <si>
    <t>18 m suspended</t>
  </si>
  <si>
    <t>18 m sediment</t>
  </si>
  <si>
    <t>impact of salinity on decomposition rate</t>
  </si>
  <si>
    <t xml:space="preserve">salinity </t>
  </si>
  <si>
    <t>Lopes et al 2011</t>
  </si>
  <si>
    <t>area 1</t>
  </si>
  <si>
    <t>mass remaining (g)</t>
  </si>
  <si>
    <t>area 2</t>
  </si>
  <si>
    <t>area 3</t>
  </si>
  <si>
    <t>area 4</t>
  </si>
  <si>
    <t>area 5</t>
  </si>
  <si>
    <t>algae decayed faster than phragmites; k values are reported</t>
  </si>
  <si>
    <t>air dried for 3 days</t>
  </si>
  <si>
    <t xml:space="preserve">artifical seawater and natural sediment </t>
  </si>
  <si>
    <t>litterbag in black bucket</t>
  </si>
  <si>
    <t>Hu et al 2023</t>
  </si>
  <si>
    <t>dry weight remaining</t>
  </si>
  <si>
    <t>in situ- fresh</t>
  </si>
  <si>
    <t>in situ- air dried</t>
  </si>
  <si>
    <t>litterbag under cage</t>
  </si>
  <si>
    <t xml:space="preserve">in situ-dried </t>
  </si>
  <si>
    <t xml:space="preserve">just reported k and degradation rates, no plots of data </t>
  </si>
  <si>
    <t>low salinity: 12-17 ppt</t>
  </si>
  <si>
    <t>high salinity: 23-20 ppt</t>
  </si>
  <si>
    <t>focus on growth, not degradation</t>
  </si>
  <si>
    <t>not convinved that this isn't a replica of Luo et al 2022…</t>
  </si>
  <si>
    <t>5 L beaker</t>
  </si>
  <si>
    <t>Luo et al 2021</t>
  </si>
  <si>
    <t>wet weight remaining</t>
  </si>
  <si>
    <t>seawater + sediment</t>
  </si>
  <si>
    <t>just seawater</t>
  </si>
  <si>
    <t>with sediment</t>
  </si>
  <si>
    <t>actively growing tips</t>
  </si>
  <si>
    <t>pretreated_yn</t>
  </si>
  <si>
    <t>what was done to the algae before experimentation, if anything</t>
  </si>
  <si>
    <t>pretreatment_yn</t>
  </si>
  <si>
    <t>was the algae subjected to pre-treatment, yes or no? (oven drying, freezing, pre-killing, etc)</t>
  </si>
  <si>
    <t xml:space="preserve">disseration, not published (yet) </t>
  </si>
  <si>
    <t>DOC/DOM production and bacterial activity, but no explicit degradation values</t>
  </si>
  <si>
    <t>Difficult to determine degradation values- CO2 production is measured as response variable</t>
  </si>
  <si>
    <t>assumed exponential</t>
  </si>
  <si>
    <t>natural sediment and artifical seawater</t>
  </si>
  <si>
    <t>14C-labelled then blended THEN "aged" by chemical digestion</t>
  </si>
  <si>
    <t>chemically pre-degraded, surface</t>
  </si>
  <si>
    <t>chemically pre-degraded, subsurface</t>
  </si>
  <si>
    <t>surface</t>
  </si>
  <si>
    <t>subsurface</t>
  </si>
  <si>
    <t>14C-labelled then blended then frozen</t>
  </si>
  <si>
    <t>3 cm deep</t>
  </si>
  <si>
    <t>microcosm</t>
  </si>
  <si>
    <t>reported k values only</t>
  </si>
  <si>
    <t>Luo, H., Yang, Y., &amp; Xie, S. (2023). The ecological effect of large-scale coastal natural and cultivated seaweed litter decay processes: An overview and perspective. Journal of Environmental Management, 341, 118091.</t>
  </si>
  <si>
    <t xml:space="preserve">diatom and seagrass degradation </t>
  </si>
  <si>
    <t>Stuart, V., Lucas, M. I., &amp; Newell, R. C. (1981). Heterotrophic Utilization Of Particulate Matter From The Kelp Laminaria-Pallida. Marine Ecology Progress Series, 4(3), 337-348.</t>
  </si>
  <si>
    <t>microalgae</t>
  </si>
  <si>
    <t xml:space="preserve">no algae degradation rates- only change in water chemistry </t>
  </si>
  <si>
    <t>how algal degradation impacts seagrass growth</t>
  </si>
  <si>
    <t>Pieczyńska, E., &amp; Tarmanowska, A. (1996). Effect of decomposing filamentous algae on the growth of Elodea canadensis Michx.(a laboratory experiment). Aquatic Botany, 54(4), 313-319.</t>
  </si>
  <si>
    <t>no degradtion values</t>
  </si>
  <si>
    <t>Ren, W. (2021). Study on the removable carbon sink estimation and decomposition of influencing factors of mariculture shellfish and algae in China—a two-dimensional perspective based on scale and structure. Environmental Science and Pollution Research, 28(17), 21528-21539.</t>
  </si>
  <si>
    <t>Sudo, R., Ohtake, H., Aiba, S., &amp; Mori, T. (1978). Some ecological observation on the decomposition of periphytic algae and aquatic plants. Water Research, 12(3), 179-184.</t>
  </si>
  <si>
    <t>aquatic</t>
  </si>
  <si>
    <t>nematode colonization on algae- no degradation rates</t>
  </si>
  <si>
    <t>characterizing bacteria that degrade algae- not degradation rates</t>
  </si>
  <si>
    <t>Rice, D. L. (1982). The detritus nitrogen problem: new observations and perspectives from organic geochemistry. Marine Ecology Progress Series, 9, 153-162.</t>
  </si>
  <si>
    <t>frozen and ground then sterilized under ultra-violet light</t>
  </si>
  <si>
    <t xml:space="preserve">sterilized conical flask </t>
  </si>
  <si>
    <t>non-sterilized, natural seawater</t>
  </si>
  <si>
    <t>Stuart et al 1981</t>
  </si>
  <si>
    <t>sterile</t>
  </si>
  <si>
    <t>non-sterile</t>
  </si>
  <si>
    <t xml:space="preserve">bacterial community and biomass </t>
  </si>
  <si>
    <t>lyophilized and ground</t>
  </si>
  <si>
    <t>filtered natural seawater</t>
  </si>
  <si>
    <t xml:space="preserve">glass jars </t>
  </si>
  <si>
    <t xml:space="preserve">carbon, nitrogen and protein content </t>
  </si>
  <si>
    <t>Lill, J. O., Salovius-Laurén, S., Harju, L., Rajander, J., Saarela, K. E., Lindroos, A., &amp; Heselius, S. J. (2012). Temporal changes in elemental composition in decomposing filamentous algae (Cladophora glomerata and Pilayella littoralis) determined with PIXE and PIGE. Science of the Total Environment, 414, 646-652.</t>
  </si>
  <si>
    <t xml:space="preserve">flourecent DOM only </t>
  </si>
  <si>
    <t xml:space="preserve">no degraadation values, just bacterial community changes </t>
  </si>
  <si>
    <t>no degradation values</t>
  </si>
  <si>
    <t>no degradation rates</t>
  </si>
  <si>
    <t>sediment deposition rate</t>
  </si>
  <si>
    <t xml:space="preserve">fungi colonization of detritus, no degradation values </t>
  </si>
  <si>
    <t xml:space="preserve">no english version available </t>
  </si>
  <si>
    <t>Byers, J. E., Gribben, P. E., Yeager, C., &amp; Sotka, E. E. (2012). Impacts of an abundant introduced ecosystem engineer within mudflats of the southeastern US coast. Biological invasions, 14, 2587-2600.</t>
  </si>
  <si>
    <t>Rice, D. L., &amp; Windom, H. L. (1982). Trace metal transfer associated with the decomposition of detritus derived from estuarine macrophytes.</t>
  </si>
  <si>
    <t xml:space="preserve">confounded by growth? </t>
  </si>
  <si>
    <t>feeding preference; live algae</t>
  </si>
  <si>
    <t>Viaroli, P., Naldi, M., Bondavalli, C., &amp; Bencivelli, S. (1996). Growth of the seaweed Ulva rigida C. Agardh in relation to biomass densities, internal nutrient pools and external nutrient supply in the Sacca di Goro lagoon (Northern Italy). Hydrobiologia, 329, 93-103.</t>
  </si>
  <si>
    <t xml:space="preserve">artifical deradation parameters- for composting purposes </t>
  </si>
  <si>
    <t>No degradation values; utilization of p and n</t>
  </si>
  <si>
    <t xml:space="preserve">no degradation values- change in chl a </t>
  </si>
  <si>
    <t>Sagerman, J., Staberg, N., Pavia, H., &amp; Wikström, S. (2015). Decomposition rates differ between two seaweed invaders with different ecophysiological traits.</t>
  </si>
  <si>
    <t>unpublished</t>
  </si>
  <si>
    <t>degrading alginate</t>
  </si>
  <si>
    <t>Krause, S. J. E., Dauhajre, D. P., Bell, T., Miller, R., Valentine, D., &amp; Siegel, D. (2023). Comparing Kelp Conveyance Strategies for Marine Carbon Dioxide Removal with Farmed Macroalgae.</t>
  </si>
  <si>
    <t>preprint</t>
  </si>
  <si>
    <t xml:space="preserve">change in ulva biomass in ecosystem over seasons </t>
  </si>
  <si>
    <t xml:space="preserve">No degradation rates- meiofaunal assembelage changes </t>
  </si>
  <si>
    <t>growth rates, not degradation</t>
  </si>
  <si>
    <t>carbon cycling</t>
  </si>
  <si>
    <t>csp_mentioned</t>
  </si>
  <si>
    <t>ecological impact of seaweed farming</t>
  </si>
  <si>
    <t>ecological impact of algal blooms</t>
  </si>
  <si>
    <t>ecological impact on corals</t>
  </si>
  <si>
    <t>impact of light and temperature on decomposition rate</t>
  </si>
  <si>
    <t>impact of decomposition on N fixation</t>
  </si>
  <si>
    <t>gentle aeration</t>
  </si>
  <si>
    <t>ecological impacts of macroalgal blooms</t>
  </si>
  <si>
    <t>ecological impact of invasion/range shift</t>
  </si>
  <si>
    <t>was carbon sequestration potential (CSP) of macroalgae mentioned anywhere in the paper in relation to the studies' aims/findings</t>
  </si>
  <si>
    <t>nematode Rhabditis (Pellioditis) marina</t>
  </si>
  <si>
    <t>both nematodes Rhabditis (Pellioditis) marina and Panagrolaimus paetzoldi</t>
  </si>
  <si>
    <t>nematode Panagrolaimus paetzoldi</t>
  </si>
  <si>
    <t>both nematodes E. longispiculosus and P. marina</t>
  </si>
  <si>
    <t>predatory nematode Enoploides longispiculosus (EL)</t>
  </si>
  <si>
    <t>nematode E. longispiculosus and P. paetzoldi</t>
  </si>
  <si>
    <t>all nematode treatments except 1 and 2 had higher mass loss rate significantly</t>
  </si>
  <si>
    <t>surface with polychaete</t>
  </si>
  <si>
    <t>subsurface with polychaete</t>
  </si>
  <si>
    <t>chemically pre-degraded, surface w/polychaete</t>
  </si>
  <si>
    <t>chemically pre-degraded, subsurface, with polychaete</t>
  </si>
  <si>
    <t>C. glomerata with grazer Gammarus</t>
  </si>
  <si>
    <t>C. glomerata with grazer Idotea</t>
  </si>
  <si>
    <t>P. littoralis</t>
  </si>
  <si>
    <t>P. littoralis with grazer Gammarus</t>
  </si>
  <si>
    <t xml:space="preserve">P. littoralis with grazer Idotea </t>
  </si>
  <si>
    <t>with grazer Idotea</t>
  </si>
  <si>
    <t>with grazer Gammarus</t>
  </si>
  <si>
    <t>control no grazer</t>
  </si>
  <si>
    <t>citation</t>
  </si>
  <si>
    <t>Wright, L. S., &amp; Kregting, L. (2023). Genus-specific response of kelp photosynthetic pigments to decomposition. Marine Biology, 170(11), 144.</t>
  </si>
  <si>
    <t>Salovius, S., &amp; Bonsdorff, E. (2004). Effects of depth, sediment and grazers on the degradation of drifting filamentous algae (Cladophora glomerata and Pilayella littoralis). Journal of Experimental Marine Biology and Ecology, 298(1), 93-109.</t>
  </si>
  <si>
    <t>Robinson, J. D., Mann, K. H., &amp; Novitsky, J. A. (1982). Conversion of the particulate fraction of seaweed detritus to bacterial biomass. Limnology and Oceanography, 27(6), 1072-1079.</t>
  </si>
  <si>
    <t>Luo, H., Wang, Q., Zhang, C., Zhang, L., &amp; Yang, Y. (2021). Bioaccumulation and release of heavy metals during growth and decomposition of cultivated Gracilaria lemaneiformis. Marine Pollution Bulletin, 173, 113130.</t>
  </si>
  <si>
    <t>Lopes, M. L., Martins, P., Ricardo, F., Rodrigues, A. M., &amp; Quintino, V. (2011). In situ experimental decomposition studies in estuaries: a comparison of Phragmites australis and Fucus vesiculosus. Estuarine, Coastal and Shelf Science, 92(4), 573-580.</t>
  </si>
  <si>
    <t>Kristensen, E., &amp; Mikkelsen, O. L. (2003). Impact of the burrow-dwelling polychaete Nereis diversicolor on the degradation of fresh and aged macroalgal detritus in a coastal marine sediment. Marine Ecology Progress Series, 265, 141-153.</t>
  </si>
  <si>
    <t>Hu, X., Cao, Y., Zhao, X., Su, H., Wen, G., &amp; Yang, Y. (2023). Effect of bacterial community succession on environmental factors during litter decomposition of the seaweed Gracilaria lemaneiformis. Marine Pollution Bulletin, 197, 115797.</t>
  </si>
  <si>
    <t>Hosen, Mohammad J, Mohammod Hossain, Joey G Martinez, Nanette H Sumaya, Yuanyuan Mei, and Shrinkhala Manandhar. 2011. “Effect of Bacterivorous and Predatory Nematodes on Macroalgal Detritus Decomposition.” Proceedings of the Pakistan Academy of Sciences 48, no. 3 (2011): 137–42.</t>
  </si>
  <si>
    <t>Boldreel, E. H., Attard, K. M., Hancke, K., &amp; Glud, R. N. (2023). Microbial degradation dynamics of farmed kelp deposits from Saccharina latissima and Alaria esculenta. Marine Ecology Progress Series, 709, 1-15.</t>
  </si>
  <si>
    <t>photosynthetic_fluorescence</t>
  </si>
  <si>
    <t>both</t>
  </si>
  <si>
    <t>DOC and POM</t>
  </si>
  <si>
    <t>southwest Atlantic</t>
  </si>
  <si>
    <t>Ulvaria</t>
  </si>
  <si>
    <t>obscura</t>
  </si>
  <si>
    <t>virgatum</t>
  </si>
  <si>
    <t>Mastocarpus</t>
  </si>
  <si>
    <t>papillatus</t>
  </si>
  <si>
    <t>manginii</t>
  </si>
  <si>
    <t>Neorhodomela</t>
  </si>
  <si>
    <t xml:space="preserve">PVC tube with ends covered in mesh </t>
  </si>
  <si>
    <t>PVC tube with open ends</t>
  </si>
  <si>
    <t>litter bag in aluminum cage</t>
  </si>
  <si>
    <t>large mesh size- allows grazers</t>
  </si>
  <si>
    <t>year</t>
  </si>
  <si>
    <t>directionality</t>
  </si>
  <si>
    <t>decrease</t>
  </si>
  <si>
    <t>no change</t>
  </si>
  <si>
    <t>increase</t>
  </si>
  <si>
    <t>percent_change</t>
  </si>
  <si>
    <t>exponential decay- 4 parameter</t>
  </si>
  <si>
    <t>f=0.933*exp(-0.028x)</t>
  </si>
  <si>
    <t>f=0.1426*exp(-1.5030x)+0.8568*exp(-0.0032x)</t>
  </si>
  <si>
    <t xml:space="preserve">exponential decay- 3 parameter </t>
  </si>
  <si>
    <t>f=96.98-0.6527x</t>
  </si>
  <si>
    <t>simple decay</t>
  </si>
  <si>
    <t>y=0.2727^(-1.431t) + 0.7331^(-0.02035t)</t>
  </si>
  <si>
    <t>f=0.8399*exp(-0.026x)</t>
  </si>
  <si>
    <t>exponential decay - 3 parameter</t>
  </si>
  <si>
    <t>f=101.105-2.3076x</t>
  </si>
  <si>
    <t>f=97.0632-2.0997x</t>
  </si>
  <si>
    <t>f=101.0229-1.8916x</t>
  </si>
  <si>
    <t>f=100.58-2.4325x</t>
  </si>
  <si>
    <t>f=92.31-0.811x</t>
  </si>
  <si>
    <t>exponential decay- 3 parameter</t>
  </si>
  <si>
    <t>f=5.809+94.0969*exp(-0.2164x)</t>
  </si>
  <si>
    <t>f=22.5363+77.06*exp(-0.1339x)</t>
  </si>
  <si>
    <t>f=2.04+97.798*exp(-0.1951x)</t>
  </si>
  <si>
    <t>f=82.5298*exp(-0.0975x)</t>
  </si>
  <si>
    <t>f=81.199-4.195x</t>
  </si>
  <si>
    <t>f=83.69*exp(-0.1127x)</t>
  </si>
  <si>
    <t>exponential - 3 parameter</t>
  </si>
  <si>
    <t>f=32.567+66.7345*exp(-1.1924x)</t>
  </si>
  <si>
    <t>f=97.898*exp(-0.093x)</t>
  </si>
  <si>
    <t>f=98.2067*exp(-0.0782x)</t>
  </si>
  <si>
    <t>f=98.1995*exp(-0.0724x)</t>
  </si>
  <si>
    <t>f=97.8167*exp(-0.0747x)</t>
  </si>
  <si>
    <t>f=98.2435-0.2161x</t>
  </si>
  <si>
    <t>f=104.79-0.9039x</t>
  </si>
  <si>
    <t>confounded by growth</t>
  </si>
  <si>
    <t>f=108.603-1.8628x</t>
  </si>
  <si>
    <t>f=66.4566+33.28*exp(-0.1886x)</t>
  </si>
  <si>
    <t>f=65.53+34.44*exp(-0.0464x)</t>
  </si>
  <si>
    <t>f=100.4077*exp(-0.0558x)</t>
  </si>
  <si>
    <t>f=99.9262*exp(-0.078x)</t>
  </si>
  <si>
    <t>f=104.4723*exp(-0.0193x)</t>
  </si>
  <si>
    <t>f=102.1478*exp(-0.031x)</t>
  </si>
  <si>
    <t>f=97.2783-0.9623x</t>
  </si>
  <si>
    <t>f=86.66-0.6951x</t>
  </si>
  <si>
    <t>f=93.8568-0.9153x</t>
  </si>
  <si>
    <t>f=102.399-1.5917x</t>
  </si>
  <si>
    <t>f=98.2429-1.5302x</t>
  </si>
  <si>
    <t>f=107.6291-1.686x</t>
  </si>
  <si>
    <t>f=2.8964*exp(-0.0955x)</t>
  </si>
  <si>
    <t>f=2.8549*exp(-0.0947x)</t>
  </si>
  <si>
    <t>f=2.8545*exp(-0.0829x)</t>
  </si>
  <si>
    <t>f=2.6428*exp(-0.0572x)</t>
  </si>
  <si>
    <t xml:space="preserve">simple decay </t>
  </si>
  <si>
    <t>confounded by growth?</t>
  </si>
  <si>
    <t xml:space="preserve"> </t>
  </si>
  <si>
    <t xml:space="preserve">polynomial- cubic </t>
  </si>
  <si>
    <t>f=161.6182+12.4607x-0.1977x^2+0.0007x^3</t>
  </si>
  <si>
    <t>y</t>
  </si>
  <si>
    <t>insufficent_data</t>
  </si>
  <si>
    <t>Alaska</t>
  </si>
  <si>
    <t>BC</t>
  </si>
  <si>
    <t>W Scotland</t>
  </si>
  <si>
    <t>St Lawerence</t>
  </si>
  <si>
    <t>S Norway</t>
  </si>
  <si>
    <t>N Norway</t>
  </si>
  <si>
    <t>New England</t>
  </si>
  <si>
    <t xml:space="preserve">Rhode I </t>
  </si>
  <si>
    <t>Filbee-Dexter et al 2022</t>
  </si>
  <si>
    <t xml:space="preserve">New England </t>
  </si>
  <si>
    <t>Nova Scotia</t>
  </si>
  <si>
    <t>Rhode Island</t>
  </si>
  <si>
    <t>Portugal L</t>
  </si>
  <si>
    <t>England L</t>
  </si>
  <si>
    <t>France L</t>
  </si>
  <si>
    <t>France S</t>
  </si>
  <si>
    <t>Portugal S</t>
  </si>
  <si>
    <t>England S</t>
  </si>
  <si>
    <t>N Norway L</t>
  </si>
  <si>
    <t xml:space="preserve">avg % loss per day </t>
  </si>
  <si>
    <t>f=102.6052-0.496x</t>
  </si>
  <si>
    <t>f=100.36-0.1577x</t>
  </si>
  <si>
    <t>f=91.8336 + 8.1664*exp(-0.6633x)</t>
  </si>
  <si>
    <t>f=98.0282-0.4652x</t>
  </si>
  <si>
    <t>f=107.59-0.394x</t>
  </si>
  <si>
    <t>f=105.2556-0.3499x</t>
  </si>
  <si>
    <t>sigmodial</t>
  </si>
  <si>
    <t>f=100/(1+exp(-(x-52.137)/-1.67))</t>
  </si>
  <si>
    <t>f=99.9527-3.0747x</t>
  </si>
  <si>
    <t>f=100.109*exp(-0.0615x)</t>
  </si>
  <si>
    <t>f=100*exp(-0.0709x)</t>
  </si>
  <si>
    <t>f=100.5147-0.5012x</t>
  </si>
  <si>
    <t>f=96.9945-0.6185x</t>
  </si>
  <si>
    <t>f=73.4583+26.54*exp(-0.0527x)</t>
  </si>
  <si>
    <t>f=16.51+83.487*exp(-0.0281x)</t>
  </si>
  <si>
    <t>f=13.0276+86.97*exp(-0.0072x)</t>
  </si>
  <si>
    <t>f=108.4568*exp(-0.0869x)</t>
  </si>
  <si>
    <t>f=110.5228-1.016x</t>
  </si>
  <si>
    <t>f=93.7139-1.6712x</t>
  </si>
  <si>
    <t>f=104.9218-0.4621x</t>
  </si>
  <si>
    <t>f=66.337 + 40.192*exp(-0.0296x)</t>
  </si>
  <si>
    <t>f=96.5629*exp(-0.0361x)</t>
  </si>
  <si>
    <t>f=112.8421+12.464x</t>
  </si>
  <si>
    <t>f=99.4858-6.42x</t>
  </si>
  <si>
    <t>Gabrielson JO, Birch PB, Hamel KS (1983) Decomposition of Cladophora. II. In vitro studies of nitrogen and phosphorus regeneration. Bot Mar 26:173Ð180</t>
  </si>
  <si>
    <t>Gabrielson JO, Birch PB, Hamel KS (1983) Decomposition of Cladophora. II. In vitro studies of nitrogen and phosphorus regeneration. Bot Mar 26:173Ð181</t>
  </si>
  <si>
    <t>Gabrielson JO, Birch PB, Hamel KS (1983) Decomposition of Cladophora. II. In vitro studies of nitrogen and phosphorus regeneration. Bot Mar 26:173Ð182</t>
  </si>
  <si>
    <t>grazer exclusion</t>
  </si>
  <si>
    <t>grazer access</t>
  </si>
  <si>
    <t>Hunter RD (1976) Changes in carbon and nitrogen content during decomposition of three macrophytes in freshwater and marine environments. Hydrobiologia 51:119Ð129</t>
  </si>
  <si>
    <t>initial_final</t>
  </si>
  <si>
    <t>depth- 10 m</t>
  </si>
  <si>
    <t xml:space="preserve">depth- 300 m </t>
  </si>
  <si>
    <t>no O2 and blade at 4 C</t>
  </si>
  <si>
    <t>O2 and blade at 4 C</t>
  </si>
  <si>
    <t>no O2 and blade at 10 C</t>
  </si>
  <si>
    <t xml:space="preserve">O2 and blade at 10 C </t>
  </si>
  <si>
    <t>no O2 and stipe at 4 C</t>
  </si>
  <si>
    <t>O2 and stipe at 4 C</t>
  </si>
  <si>
    <t>no O2 and stipe at 10 C</t>
  </si>
  <si>
    <t>O2 and atipe at 10 C</t>
  </si>
  <si>
    <t>Raut, Y., Morando, M., Capone D. G. 2018. Diazotrophic macroalgal associations with living and decomposing Sargassum. Front Microbiol 9: 1-15</t>
  </si>
  <si>
    <t>Rice DL, Tenore KR (1981) Dynamics of carbon and nitrogen during the decomposition of detritus derived from estuarine macrophytes. Estuarine Coastal Shelf Sci 13:681Ð691</t>
  </si>
  <si>
    <t>Rice DL, Tenore KR (1981) Dynamics of carbon and nitrogen during the decomposition of detritus derived from estuarine macrophytes. Estuarine Coastal Shelf Sci 13:681Ð692</t>
  </si>
  <si>
    <t>Rice DL, Tenore KR (1981) Dynamics of carbon and nitrogen during the decomposition of detritus derived from estuarine macrophytes. Estuarine Coastal Shelf Sci 13:681Ð693</t>
  </si>
  <si>
    <t>not enriched</t>
  </si>
  <si>
    <t>Sathe-Pathak et al., 1993 “Thraustochytrid and Fungal Component of Marine Detritus .I - Field Studies on Decomposition of the Brown Alga Sargassum Cinereum J. Ag.” Indian Journal of Marine Sciences</t>
  </si>
  <si>
    <t xml:space="preserve">no </t>
  </si>
  <si>
    <t>cinereum</t>
  </si>
  <si>
    <t>no degradation rates, just bacterial abundance/fungi changes and C/N</t>
  </si>
  <si>
    <t>bathed in ethanol, rinsed then oven dried at 60 °C</t>
  </si>
  <si>
    <t>Raut, Y., &amp; Capone, D. G. (2021). Macroalgal detrital systems: An overlooked ecological niche for heterotrophic nitrogen fixation. Environmental Microbiology, 23(8), 4372–4388. https://doi.org/10.1111/1462-2920.15622</t>
  </si>
  <si>
    <t>taxiformis</t>
  </si>
  <si>
    <t>Cystoseira</t>
  </si>
  <si>
    <t>Dictyota</t>
  </si>
  <si>
    <t>Asparagopsis</t>
  </si>
  <si>
    <t>Dictyopteris</t>
  </si>
  <si>
    <t>farlowii</t>
  </si>
  <si>
    <t>Zonaria</t>
  </si>
  <si>
    <t>Duggins, D. O., &amp; Eckman, J. E. (1997). Is kelp detritus a good food for suspension feeders? Effects of kelp species, age and secondary metabolites. Marine Biology, 128(3), 489–495. https://doi.org/10.1007/s002270050115</t>
  </si>
  <si>
    <t>marginata</t>
  </si>
  <si>
    <t>homogenized</t>
  </si>
  <si>
    <t>Levinton, J., Ward, J., &amp; Shumway, S. (2002). Feeding responses of the bivalves Crassostrea gigas and Mytilus trossulus to chemical composition of fresh and aged kelp detritus. Marine Biology, 141(2), 367–376. https://doi.org/10.1007/s00227-002-0830-9</t>
  </si>
  <si>
    <t>Costaria</t>
  </si>
  <si>
    <t>costata</t>
  </si>
  <si>
    <t>percent_change_perday</t>
  </si>
  <si>
    <t>Levinton, J., Ward, J., &amp; Shumway, S. (2002). Feeding responses of the bivalves Crassostrea gigas and Mytilus trossulus to chemical composition of fresh and aged kelp detritus. Marine Biology, 141(2), 367–376. https://doi.org/10.1007/s00227-002-0830-10</t>
  </si>
  <si>
    <t>homogenized and filtered</t>
  </si>
  <si>
    <t>eelgrass vs. algae</t>
  </si>
  <si>
    <t xml:space="preserve">food value </t>
  </si>
  <si>
    <t>Exponential decay - 2 parameter</t>
  </si>
  <si>
    <t>f=49.5062+43.16*exp(-0.1128x)</t>
  </si>
  <si>
    <t>f=104.85-0.5597x</t>
  </si>
  <si>
    <t>f=78.04+19.1*exp(-0.2594x)</t>
  </si>
  <si>
    <t>f= 117.16-2.525x</t>
  </si>
  <si>
    <t xml:space="preserve">polynomial </t>
  </si>
  <si>
    <t>f=95.59 + 00881x -0.0006x^2</t>
  </si>
  <si>
    <t>f=96.6713/(1+exp(-(x-340.6402)/-40.8628)</t>
  </si>
  <si>
    <t>f=96.5872/(1+exp(-(x-97.2782)/-17.4389))</t>
  </si>
  <si>
    <t>f=313.4279-1.449x</t>
  </si>
  <si>
    <t>f=105.7*exp(-0.0521*x)</t>
  </si>
  <si>
    <t>f=104.36*exp(-0.0376*x)</t>
  </si>
  <si>
    <t>f=118.46*exp(-0.028*x)</t>
  </si>
  <si>
    <t>one column per study, not observation</t>
  </si>
  <si>
    <t>contains extracted data used to fit curves to describe degradation:time relationship. Highlighted row=chosen model</t>
  </si>
  <si>
    <t>y=108.59/(1+exp(-(x-40.1)/-5.755))</t>
  </si>
  <si>
    <t>y=107.896/(1+exp(-(x-38.1639)/-9.4158))</t>
  </si>
  <si>
    <t>30 m simulated depth</t>
  </si>
  <si>
    <t>15 m simulated depth</t>
  </si>
  <si>
    <t>0 m simulated depth</t>
  </si>
  <si>
    <t>f=104.277/(1+exp((x-21.9437)/4.5397)</t>
  </si>
  <si>
    <t>f = 117.37* exp(-0.0423*x)</t>
  </si>
  <si>
    <t>best_fit_model_calculated</t>
  </si>
  <si>
    <t>next_best_fit</t>
  </si>
  <si>
    <t>Rsquared1</t>
  </si>
  <si>
    <t>Rsquared2</t>
  </si>
  <si>
    <t>y=116.5225-1.0627x</t>
  </si>
  <si>
    <t>y=113.8255-1.3685x</t>
  </si>
  <si>
    <t>f=108.27/(1+exp(-(x-12.24)/-4.5267))</t>
  </si>
  <si>
    <t>f =102.0055/(1 + exp(-(x-53.7718)/-11.4377</t>
  </si>
  <si>
    <t>y= 112.5186-1.022*x</t>
  </si>
  <si>
    <t>Sigmoidal- 3 parameter</t>
  </si>
  <si>
    <t>y=119.6258-0.8867*x</t>
  </si>
  <si>
    <t>sigmoidal - 3 parameter</t>
  </si>
  <si>
    <t>f=101.5/(1+exp((x-92.4609)/1.015)</t>
  </si>
  <si>
    <t>Sigmoidal- 4 parameter</t>
  </si>
  <si>
    <t>f=104.95*exp(-0.0086x)</t>
  </si>
  <si>
    <t>tissue age- new</t>
  </si>
  <si>
    <t xml:space="preserve">tissue age- old </t>
  </si>
  <si>
    <t>sigmodial- 3 parameter</t>
  </si>
  <si>
    <t>f=99.6/(1-exp((x-17.98)/1.776))</t>
  </si>
  <si>
    <t>y=116.42-3.886x</t>
  </si>
  <si>
    <t>sigmoidal- 3 parameter</t>
  </si>
  <si>
    <t>f=103.2912/(1+exp((x-43.85)/11.47))</t>
  </si>
  <si>
    <t>f=107.69*exp(-0.202x)</t>
  </si>
  <si>
    <t>y=109.524-0.7858x</t>
  </si>
  <si>
    <t>f=105.5/(1+exp((x-73.89)/21.72))</t>
  </si>
  <si>
    <t>f=102.03/(1+exp((x-27.99)/4.38))</t>
  </si>
  <si>
    <t>f=120.299-2.44x</t>
  </si>
  <si>
    <t>f=90.399/(1+exp((x-34.35)/8.66)</t>
  </si>
  <si>
    <t>exponential decay - 2 parameter</t>
  </si>
  <si>
    <t>f=105.25*exp(-0.0311x)</t>
  </si>
  <si>
    <t>y=104.9-0.0962x</t>
  </si>
  <si>
    <t>Crafford &amp; Scholtz 1988</t>
  </si>
  <si>
    <t>exponential decay- 2 parameter</t>
  </si>
  <si>
    <t>f=130.08*exp(-0.1589)</t>
  </si>
  <si>
    <t>f=114.28-3.398*x</t>
  </si>
  <si>
    <t>f=112.97-0.6274x</t>
  </si>
  <si>
    <t>f=98.81-3.677x</t>
  </si>
  <si>
    <t>80 um mesh exp 2</t>
  </si>
  <si>
    <t>80 um mesh exp 1</t>
  </si>
  <si>
    <t>1 mm mesh exp 2</t>
  </si>
  <si>
    <t xml:space="preserve">1 mm mesh exp 1 </t>
  </si>
  <si>
    <t>5 mm mesh exp 1</t>
  </si>
  <si>
    <t>5 mm mesh exp 2</t>
  </si>
  <si>
    <t>f = 109.04 *exp(-0.0631*x)</t>
  </si>
  <si>
    <t>f - 103.62*exp(-0.0551*x)</t>
  </si>
  <si>
    <t>f=112.012/(1+exp(x-18.9027)/8.3277))</t>
  </si>
  <si>
    <t>f = 111.9462*exp(-0.046*x)</t>
  </si>
  <si>
    <t>f=106.6869-1.7733x</t>
  </si>
  <si>
    <t>f=104.5-0.35x</t>
  </si>
  <si>
    <t>Exponential decay- 2 parameter</t>
  </si>
  <si>
    <t>f = 108.1047*exp(-0.0318*x)</t>
  </si>
  <si>
    <t>Lucas, MI; Newell, RC;  Velimirov, B. 1981. Heterotropic utilisation of mucilage released during fragmentation of kelp (Ecklnonia maxima and Laminaria pallida). II. Differential utilisation of dissolved organic components from kelp mucilage. Marine Ecology Progress Series</t>
  </si>
  <si>
    <t>No degradation rates- appears to be a repeat of Lucas et al 1981</t>
  </si>
  <si>
    <t>f=96.9879-2.9573x</t>
  </si>
  <si>
    <t>f = 56.7126 + 42.8349*exp(-0.1200*x)</t>
  </si>
  <si>
    <t>f = 100.39 -1.9020*x</t>
  </si>
  <si>
    <t>f=104.488-5.628x</t>
  </si>
  <si>
    <t>f=108.2125-3.416x</t>
  </si>
  <si>
    <t xml:space="preserve"> f = 107.628/(1 +exp(-(x-25.419)/-5.7072))</t>
  </si>
  <si>
    <t>exponentidal decay - 3 parameter</t>
  </si>
  <si>
    <t>f=-39.95+157.6025exp(-0.0221x)</t>
  </si>
  <si>
    <t>f=-64.973+179.57*exp(-0.0155x)</t>
  </si>
  <si>
    <t>f=-89.31+204.289*exp(-0.0124x)</t>
  </si>
  <si>
    <t>f=18.39 + 67.68*exp(-0.0442x)</t>
  </si>
  <si>
    <t xml:space="preserve">Smith BD, Foreman RE (1984) </t>
  </si>
  <si>
    <t>f=99.98*exp(-0.059x)</t>
  </si>
  <si>
    <t>polynomial</t>
  </si>
  <si>
    <t>impact of abiotic factors</t>
  </si>
  <si>
    <t>cross-species comparison</t>
  </si>
  <si>
    <t>impact of pretreating</t>
  </si>
  <si>
    <t>impact of mesh size</t>
  </si>
  <si>
    <t>meiofaunal community dynamics &amp; influence on degradation</t>
  </si>
  <si>
    <t>microbial community dynamics &amp; influence on degradation</t>
  </si>
  <si>
    <t>descriptive purpose</t>
  </si>
  <si>
    <t>impact of algal blooms</t>
  </si>
  <si>
    <t>impact of seaweed farming; impact of temp and O2</t>
  </si>
  <si>
    <t>compainrg seagrass to macroalgae</t>
  </si>
  <si>
    <t>nitrogen cycling- comapre to marine plants</t>
  </si>
  <si>
    <t>effect of tissue age; bacterial colonization</t>
  </si>
  <si>
    <t>micorbes</t>
  </si>
  <si>
    <t>salinity</t>
  </si>
  <si>
    <t>nitrogen and phosphorous cycling</t>
  </si>
  <si>
    <t>pebbled vs. sandy shores plus mesh size</t>
  </si>
  <si>
    <t>aquatic plant vs. algae</t>
  </si>
  <si>
    <t>influence of plastic, temp and ocean acidification on decomposition</t>
  </si>
  <si>
    <t>impact of sediment, depth and grazer inclusion</t>
  </si>
  <si>
    <t>yes?</t>
  </si>
  <si>
    <t>impact of site, season or species</t>
  </si>
  <si>
    <t>species and sediment type</t>
  </si>
  <si>
    <t>k_value_only</t>
  </si>
  <si>
    <t>half_life</t>
  </si>
  <si>
    <t>degradation_rate</t>
  </si>
  <si>
    <t>percent_carbon_inital</t>
  </si>
  <si>
    <t>search</t>
  </si>
  <si>
    <t>which search number was this study from?</t>
  </si>
  <si>
    <t>no pretreatment</t>
  </si>
  <si>
    <t>f=5.6084+107.886*exp(-0.062x)</t>
  </si>
  <si>
    <t>Exponential decay - 3 parameter (start day 14</t>
  </si>
  <si>
    <t>1 mm mesh</t>
  </si>
  <si>
    <t>50 mm mesh</t>
  </si>
  <si>
    <t>pre treatment and species</t>
  </si>
  <si>
    <t>species and temperature</t>
  </si>
  <si>
    <t>species- Grateloupia</t>
  </si>
  <si>
    <t>species- Ulva</t>
  </si>
  <si>
    <t>species- Undaria</t>
  </si>
  <si>
    <t>metric</t>
  </si>
  <si>
    <t>mg C per g dry weight</t>
  </si>
  <si>
    <t>% carbon</t>
  </si>
  <si>
    <t>% ash free dry weight remaining</t>
  </si>
  <si>
    <t>depth temp or salinity</t>
  </si>
  <si>
    <t>degradation rate</t>
  </si>
  <si>
    <t>k value</t>
  </si>
  <si>
    <t>percent_nitrogen_initial</t>
  </si>
  <si>
    <t>f=93.095/(1+(exp(-(x-19.7087)/-2.3266))</t>
  </si>
  <si>
    <t>f=110.3524-3.196x</t>
  </si>
  <si>
    <t>initial_only</t>
  </si>
  <si>
    <t>final_only</t>
  </si>
  <si>
    <t>S Norway S</t>
  </si>
  <si>
    <t>N Norway S</t>
  </si>
  <si>
    <t>seafloor- buried 15 cm</t>
  </si>
  <si>
    <t>seafloor- buried 5 cm</t>
  </si>
  <si>
    <t>aerated (1500 cm3 min-1)</t>
  </si>
  <si>
    <t>starting dose</t>
  </si>
  <si>
    <t>temp</t>
  </si>
  <si>
    <t>carbon type</t>
  </si>
  <si>
    <t>sediment?</t>
  </si>
  <si>
    <t>low biomass litterbag</t>
  </si>
  <si>
    <t>% dry weight remaining</t>
  </si>
  <si>
    <t>salt marsh</t>
  </si>
  <si>
    <t>rocky shore</t>
  </si>
  <si>
    <t>f=42.22+55.52*exp(-0.2069x)</t>
  </si>
  <si>
    <t>f=70.755*exp(-0.0391x)</t>
  </si>
  <si>
    <t>plastic</t>
  </si>
  <si>
    <t>Winter and species</t>
  </si>
  <si>
    <t>sediment</t>
  </si>
  <si>
    <t>season/aerated</t>
  </si>
  <si>
    <t xml:space="preserve">degradation values are taken from Rice and Tenore 1981 </t>
  </si>
  <si>
    <t xml:space="preserve">shore hieght and site </t>
  </si>
  <si>
    <t>site</t>
  </si>
  <si>
    <t xml:space="preserve">negative weight loss rate=confounded by growth </t>
  </si>
  <si>
    <t>species and mesh size and habitat and depth</t>
  </si>
  <si>
    <t>C/N; neg degrdation rate of -0.484175105</t>
  </si>
  <si>
    <t>4 to 10</t>
  </si>
  <si>
    <t>di water</t>
  </si>
  <si>
    <t>lab_sw_type</t>
  </si>
  <si>
    <t>sterilized</t>
  </si>
  <si>
    <t>distilled water</t>
  </si>
  <si>
    <t>study done in a dump- not ecologically realistic because of extreme high temps- also no vlaues for change in biomass</t>
  </si>
  <si>
    <t xml:space="preserve">not in english, unable to find english version  </t>
  </si>
  <si>
    <t>average_temp</t>
  </si>
  <si>
    <t>temp_range</t>
  </si>
  <si>
    <t>mesh_size_mm</t>
  </si>
  <si>
    <t>lat_comb</t>
  </si>
  <si>
    <t>long_comb</t>
  </si>
  <si>
    <t>num_points</t>
  </si>
  <si>
    <t>latlong</t>
  </si>
  <si>
    <t xml:space="preserve">degradation experiment conducted at 60 C- not biologically realistic </t>
  </si>
  <si>
    <t>Desmarestia anceps</t>
  </si>
  <si>
    <t>Desmarestia menziesii</t>
  </si>
  <si>
    <t>Ascoseira mirabilis</t>
  </si>
  <si>
    <t>Desmarestia ligulata</t>
  </si>
  <si>
    <t>Himantothallus grandifolius</t>
  </si>
  <si>
    <t>Fucus vesiculosus</t>
  </si>
  <si>
    <t>Durvillaea antarctica</t>
  </si>
  <si>
    <t>Fucus serratus</t>
  </si>
  <si>
    <t>Cystosphaea jacquinotii</t>
  </si>
  <si>
    <t>Sargassum muticum</t>
  </si>
  <si>
    <t>Saccorhiza polyschides</t>
  </si>
  <si>
    <t>Alaria esculenta</t>
  </si>
  <si>
    <t>Saccharina latissima</t>
  </si>
  <si>
    <t>Macrocystis pyrifera</t>
  </si>
  <si>
    <t>Saccharina japonica</t>
  </si>
  <si>
    <t>Laminaria digitata</t>
  </si>
  <si>
    <t>Ecklonia maxima</t>
  </si>
  <si>
    <t>Laminaria pallida</t>
  </si>
  <si>
    <t>Codium fragile</t>
  </si>
  <si>
    <t>Caulerpa racemosa</t>
  </si>
  <si>
    <t>Caulerpa cupressoides</t>
  </si>
  <si>
    <t>Cladophora albida</t>
  </si>
  <si>
    <t>Ulvaria obscura</t>
  </si>
  <si>
    <t>Ulva rigida</t>
  </si>
  <si>
    <t>Ulva prolifera</t>
  </si>
  <si>
    <t>Ulva intestinalis</t>
  </si>
  <si>
    <t>Cladophora glomerata</t>
  </si>
  <si>
    <t>Polyculture -</t>
  </si>
  <si>
    <t>Corallina officinalis</t>
  </si>
  <si>
    <t>Eucheuma cottonii</t>
  </si>
  <si>
    <t>Chondrus crispus</t>
  </si>
  <si>
    <t>Palmaria decipiens</t>
  </si>
  <si>
    <t>Curdiea racovitzae</t>
  </si>
  <si>
    <t>Myriogramme manginii</t>
  </si>
  <si>
    <t>Sarcodia antarctica</t>
  </si>
  <si>
    <t>Gracilaria foliifera</t>
  </si>
  <si>
    <t>Gracilaria tikvahiae</t>
  </si>
  <si>
    <t>Gracilaria vermiculophylla</t>
  </si>
  <si>
    <t>Gracilaria lemaneiformis</t>
  </si>
  <si>
    <t>Fujii et al. 2018- removed</t>
  </si>
  <si>
    <t xml:space="preserve">confounded by growth </t>
  </si>
  <si>
    <t>data is available online but modified to be percent loss per day, unable to estimate curve</t>
  </si>
  <si>
    <t>data on carbon and nitrogen changes in studies which reported carbon, nitrogen, or C:N ratio changes</t>
  </si>
  <si>
    <t xml:space="preserve">each unique experiment (nested within study) gets its own reference number </t>
  </si>
  <si>
    <t>publication_year</t>
  </si>
  <si>
    <t>year the study was published</t>
  </si>
  <si>
    <r>
      <t xml:space="preserve">was the study done in a lab or was it done </t>
    </r>
    <r>
      <rPr>
        <i/>
        <sz val="11"/>
        <color theme="1"/>
        <rFont val="Calibri"/>
        <family val="2"/>
        <scheme val="minor"/>
      </rPr>
      <t>in situ</t>
    </r>
  </si>
  <si>
    <t>algal genus</t>
  </si>
  <si>
    <t>algal species</t>
  </si>
  <si>
    <t>country study was conducted in</t>
  </si>
  <si>
    <t>what region was the study conducted in. Including: Indian Ocean Northeast Atlantic Northwest Atlantic Southeast Atlantic Northeast Pacific Northwest Pacific Southeast Pacific Southwest Pacific Southern Ocean</t>
  </si>
  <si>
    <t>how deep was the detritus buried/what was it buried under (other seaweed or sediment)</t>
  </si>
  <si>
    <t>microbes spiked</t>
  </si>
  <si>
    <t>were microbes artifically spiked/added to the experimental medium</t>
  </si>
  <si>
    <t>month_conducted</t>
  </si>
  <si>
    <t>season_conducted</t>
  </si>
  <si>
    <t>how long was the experiment conducted for (in days)</t>
  </si>
  <si>
    <t>R^2 value for the best fit model</t>
  </si>
  <si>
    <t>the second best-fitting model (ie. Next highest r squared value)</t>
  </si>
  <si>
    <t xml:space="preserve">R^2 value for second best fit model </t>
  </si>
  <si>
    <t>percent_recacitrance</t>
  </si>
  <si>
    <t>range of temperature over expreimental period</t>
  </si>
  <si>
    <t xml:space="preserve">average temp over experimental period </t>
  </si>
  <si>
    <t xml:space="preserve">how were the tanks aerated (ie. Stirring, air stones, flow through system) </t>
  </si>
  <si>
    <t xml:space="preserve">if applicable what other measures did the experimenters report </t>
  </si>
  <si>
    <t>aritifical conditions- focus on enzymes</t>
  </si>
  <si>
    <t xml:space="preserve">some graphs report more than a 100% loss in mass which is impossible. Those observations have been removed. </t>
  </si>
  <si>
    <t>extreme_outlier_halflife</t>
  </si>
  <si>
    <t>percent_recalcitrance</t>
  </si>
  <si>
    <t>general_model_type</t>
  </si>
  <si>
    <t>recalcitrant_yn</t>
  </si>
  <si>
    <t>percent_remaining</t>
  </si>
  <si>
    <t>what kind of model was fit- linear, exponential or sigmoidal</t>
  </si>
  <si>
    <t>extreme_outlier_half_life</t>
  </si>
  <si>
    <t>some half life values were exceptionally large so we used R package rstatix to identify extreme outliers for half life, marked in this column as TRUE</t>
  </si>
  <si>
    <t>raw data regarding the portion of original detrital material that remained after the experiment ended</t>
  </si>
  <si>
    <t>Confounded by growt</t>
  </si>
  <si>
    <t>Non-linear</t>
  </si>
  <si>
    <t>incl_in_degradation_sheet</t>
  </si>
  <si>
    <t>lit</t>
  </si>
  <si>
    <t>NA</t>
  </si>
  <si>
    <t>lat_absolute</t>
  </si>
  <si>
    <t>genus_species</t>
  </si>
  <si>
    <t>43.1208880475723, -70.8615136574537</t>
  </si>
  <si>
    <t>49.08, -123.4</t>
  </si>
  <si>
    <t>foliose</t>
  </si>
  <si>
    <t>41.83216667, -71.44141667</t>
  </si>
  <si>
    <t>63.442746994888, 10.3476273421842</t>
  </si>
  <si>
    <t>55.4563935508652, 10.6653910174669</t>
  </si>
  <si>
    <t>56.2953833136841, 10.4344582227421</t>
  </si>
  <si>
    <t>44.8224426524095, 12.3444894347749</t>
  </si>
  <si>
    <t>23.4333074104603, 117.099114742236</t>
  </si>
  <si>
    <t>55.264, -7.675</t>
  </si>
  <si>
    <t>48.7229456031839, -4.00700231680645</t>
  </si>
  <si>
    <t>69.6, 18</t>
  </si>
  <si>
    <t>48.575, -123.0008</t>
  </si>
  <si>
    <t>59.0973843299215, -3.45315419521309</t>
  </si>
  <si>
    <t>Enteromorpha sp.</t>
  </si>
  <si>
    <t>50.363629, -4.144978</t>
  </si>
  <si>
    <t>54.384239, -5.557793</t>
  </si>
  <si>
    <t>77, 15.5</t>
  </si>
  <si>
    <t>54.1832048205304, 7.88376799675022</t>
  </si>
  <si>
    <t>50.6912426497763, -1.93647832277048</t>
  </si>
  <si>
    <t>50.3, -4.07</t>
  </si>
  <si>
    <t>Ulva sp.</t>
  </si>
  <si>
    <t>Fucus sp.</t>
  </si>
  <si>
    <t>50.3557162521545, -4.15390403928552</t>
  </si>
  <si>
    <t>31.9856425834219, -81.0485453081997</t>
  </si>
  <si>
    <t>-32.583581768463, 115.667544</t>
  </si>
  <si>
    <t>-62.1496598039319, -58.4194136166777</t>
  </si>
  <si>
    <t>44.6543073484424, -1.14067654619239</t>
  </si>
  <si>
    <t>51.3517770463169, 3.73410971864587</t>
  </si>
  <si>
    <t>Iridaea sp.</t>
  </si>
  <si>
    <t>50.36306944, -4.15206389</t>
  </si>
  <si>
    <t>-34.1357700201387, 18.3287732081658</t>
  </si>
  <si>
    <t>58.4652365947286, 24.4753147885563</t>
  </si>
  <si>
    <t>-31.0516198841011, -51.2371864995948</t>
  </si>
  <si>
    <t>58.3705345451578, 22.9757648491705</t>
  </si>
  <si>
    <t>50.3, -4.1</t>
  </si>
  <si>
    <t>34.65, 138.933</t>
  </si>
  <si>
    <t>55.4768300956274, 11.0783909106753</t>
  </si>
  <si>
    <t>Polysiphonia sp.</t>
  </si>
  <si>
    <t>-42.78783333, -65.00744444</t>
  </si>
  <si>
    <t>53.15694444, -9.11611111</t>
  </si>
  <si>
    <t>23.482772, 117.107889</t>
  </si>
  <si>
    <t>27.8322652203594, -82.5226224913048</t>
  </si>
  <si>
    <t>48.70895, -3.90133611</t>
  </si>
  <si>
    <t>-62.1625, -58.4625</t>
  </si>
  <si>
    <t>17.7557629994518, -64.6065295229443</t>
  </si>
  <si>
    <t>33.76713889, 132.25675</t>
  </si>
  <si>
    <t>Sargassum spp.</t>
  </si>
  <si>
    <t>51.091667, 2.566944</t>
  </si>
  <si>
    <t>38.6468872938735, -76.3279104654658</t>
  </si>
  <si>
    <t>38.9870391930876, -76.9424899304787</t>
  </si>
  <si>
    <t>-33.9867165229718, 18.3494134588721</t>
  </si>
  <si>
    <t>59.918889, 22.335833</t>
  </si>
  <si>
    <t>42.57583333, -9.05444444</t>
  </si>
  <si>
    <t>44.6468173131391, -63.9997369419599</t>
  </si>
  <si>
    <t>Laminaria sp.</t>
  </si>
  <si>
    <t>41.528961694112, -70.6740067196579</t>
  </si>
  <si>
    <t>33.449, -118.489</t>
  </si>
  <si>
    <t>-30.267583, 153.143741</t>
  </si>
  <si>
    <t>-30.26772222, 153.1445</t>
  </si>
  <si>
    <t>56.8847532902355, 8.85049849035738</t>
  </si>
  <si>
    <t>-33.9493779363693, 25.6145392053875</t>
  </si>
  <si>
    <t>9.28913577912787, 79.1340036725878</t>
  </si>
  <si>
    <t>25.759722, 117.354167</t>
  </si>
  <si>
    <t>40.5, -8.75</t>
  </si>
  <si>
    <t>-30.37318, 153.106668</t>
  </si>
  <si>
    <t>36.05333333, 120.326944</t>
  </si>
  <si>
    <t>37.01, 122.24</t>
  </si>
  <si>
    <t>-62.98138889, -60.65277778</t>
  </si>
  <si>
    <t>44.55916111, -64.03243056</t>
  </si>
  <si>
    <t>55.5049068390061, 10.5380509473952</t>
  </si>
  <si>
    <t>43.9358384875402, -69.5802164308918</t>
  </si>
  <si>
    <t>39.14433333, 2.937</t>
  </si>
  <si>
    <t>-43.5555929119938, 172.751738576182</t>
  </si>
  <si>
    <t>35.048611, 128.972222</t>
  </si>
  <si>
    <t>41.525787683696, -70.6724209040433</t>
  </si>
  <si>
    <t>23.7, 117.43</t>
  </si>
  <si>
    <t>31.96222222, -81.01277778</t>
  </si>
  <si>
    <t>33.445, -118.489</t>
  </si>
  <si>
    <t>-34.08, 18.19</t>
  </si>
  <si>
    <t>-36.73869444, 175.65077778</t>
  </si>
  <si>
    <t>37.0434018450998, 122.567459836742</t>
  </si>
  <si>
    <t>37.0930479576399, 122.465217706749</t>
  </si>
  <si>
    <t>-45.8606526651418, 170.666836853134</t>
  </si>
  <si>
    <t>48.70938333, -3.95343333</t>
  </si>
  <si>
    <t>-46.54, 37.45</t>
  </si>
  <si>
    <t>-54.11, -36.4</t>
  </si>
  <si>
    <t>-13.51, -76.16</t>
  </si>
  <si>
    <t>-60.7125382767221, -45.6010300048197</t>
  </si>
  <si>
    <t>55.721488, -5.267839</t>
  </si>
  <si>
    <t>41.5316257164974, -70.6738334414241</t>
  </si>
  <si>
    <t>Chen, S., Xu, K., Ji, D., Wang, W., Xu, Y., Chen, C., &amp; Xie, C. (2020). Release of dissolved and particulate organic matter by marine macroalgae and its biogeochemical implications. Algal Research, 52, 102096.</t>
  </si>
  <si>
    <t xml:space="preserve">release rates not degradation </t>
  </si>
  <si>
    <t>37.15, 122.583333</t>
  </si>
  <si>
    <t>glass container</t>
  </si>
  <si>
    <t>filter_size_DOC_mm</t>
  </si>
  <si>
    <t>mgC/L</t>
  </si>
  <si>
    <t>36.056560, 121.055714</t>
  </si>
  <si>
    <t>36.056560, 121.055716</t>
  </si>
  <si>
    <t>Li et al. 2023</t>
  </si>
  <si>
    <t>ug/L</t>
  </si>
  <si>
    <t>Ulva polifera</t>
  </si>
  <si>
    <t>addition of microbes</t>
  </si>
  <si>
    <t>no microbe spike</t>
  </si>
  <si>
    <t>nitrate and phosphate were added for nutrients for microbes</t>
  </si>
  <si>
    <t xml:space="preserve">no microbes added </t>
  </si>
  <si>
    <t xml:space="preserve">Zhang et al (2022). </t>
  </si>
  <si>
    <t>filtered + sterilized artifical seawater</t>
  </si>
  <si>
    <t>microbes added</t>
  </si>
  <si>
    <t>sun dried then oven dried then homogenized</t>
  </si>
  <si>
    <t>POC + DOC (TOC)</t>
  </si>
  <si>
    <t>Xie et al. 2024</t>
  </si>
  <si>
    <t>39.066667, 122.15</t>
  </si>
  <si>
    <t xml:space="preserve">placed in the fridge at 4 degrees Celcius </t>
  </si>
  <si>
    <t>20 l container</t>
  </si>
  <si>
    <t>natural seawater</t>
  </si>
  <si>
    <t xml:space="preserve">done outdoors but no temps given </t>
  </si>
  <si>
    <t>latitude and longitude of site where algae were collected and/or where the field experiment took place. Google Maps was used to determine lat/long if only study location or study map was provided. Lastly, all lat and long  data were converted to Decimal Degrees from Degrees Minutes Seconds, if applicable</t>
  </si>
  <si>
    <t>*if not specified, sediment type at the study location/collection site was determined by an internet search and included if the information was available online from multiple trusted sources</t>
  </si>
  <si>
    <t>biomaterial_type</t>
  </si>
  <si>
    <t>Gracilaria verrucosa</t>
  </si>
  <si>
    <t>Ceramium virgatum</t>
  </si>
  <si>
    <t>Halimeda incrassata</t>
  </si>
  <si>
    <t>Adenocystis utricularis</t>
  </si>
  <si>
    <t>Search Number</t>
  </si>
  <si>
    <t>Paper Citation</t>
  </si>
  <si>
    <t>Hardison, A. K. et al. (2013). Microphytobenthos and benthic macroalgae determine sediment organic matter composition in shallow photic sediments. Biogeosciences 10, 5571–5588 (2013).</t>
  </si>
  <si>
    <t xml:space="preserve">DOC fluxes </t>
  </si>
  <si>
    <r>
      <t>Zhou, X., Wang, Q., Guo, Y., Sun, X., Li, T., &amp; Yang, C. (2021). Spectroscopic characterization of dissolved organic matter from macroalgae Ulva pertusa decomposition and its binding behaviors with Cu (II). </t>
    </r>
    <r>
      <rPr>
        <i/>
        <sz val="13"/>
        <color rgb="FF222222"/>
        <rFont val="Arial"/>
        <family val="2"/>
      </rPr>
      <t>Ecotoxicology and Environmental Safety</t>
    </r>
    <r>
      <rPr>
        <sz val="13"/>
        <color rgb="FF222222"/>
        <rFont val="Arial"/>
        <family val="2"/>
      </rPr>
      <t>, </t>
    </r>
    <r>
      <rPr>
        <i/>
        <sz val="13"/>
        <color rgb="FF222222"/>
        <rFont val="Arial"/>
        <family val="2"/>
      </rPr>
      <t>225</t>
    </r>
    <r>
      <rPr>
        <sz val="13"/>
        <color rgb="FF222222"/>
        <rFont val="Arial"/>
        <family val="2"/>
      </rPr>
      <t>, 112811.</t>
    </r>
  </si>
  <si>
    <t>Assimilation of macroalgal DOC by sponges</t>
  </si>
  <si>
    <t>macroalgal biochar-derived DOM dynamics</t>
  </si>
  <si>
    <t xml:space="preserve">DIC fluxes </t>
  </si>
  <si>
    <t>Pizano, V. R. J. (2023). Macroalgal species effects on organic matter uptake by subtidal and beach amphipods–a mechanism for food-web shifts.</t>
  </si>
  <si>
    <t>MSc thesis- unpublished</t>
  </si>
  <si>
    <t>modelling paper no primary data</t>
  </si>
  <si>
    <t>Krause, S. J. E., Matsumura, S., English, C. J., Carlson, C. A., Miller, R., Valentine, D., &amp; Siegel, D. (2023). Methods for assessing Giant Kelp (Macrocystis pyrifera) biomass sinking rates and decomposition for carbon dioxide removal applications.</t>
  </si>
  <si>
    <t>Hu, T., Su, J., Shao, K., Xie, Y., Wei, Y., Ming, H., ... &amp; Fan, J. (2024). Microbial degradation of DOC released by the mixed culture of Crassostrea gigas and Undaria pinnatifida.</t>
  </si>
  <si>
    <t>change in biomass of floating algal rafts</t>
  </si>
  <si>
    <r>
      <t>Sun, M. Y., &amp; Dai, J. (2005). Relative influences of bioturbation and physical mixing on degradation of bloom-derived particulate organic matter: Clue from microcosm experiments. </t>
    </r>
    <r>
      <rPr>
        <i/>
        <sz val="13"/>
        <color rgb="FF222222"/>
        <rFont val="Arial"/>
        <family val="2"/>
      </rPr>
      <t>Marine Chemistry</t>
    </r>
    <r>
      <rPr>
        <sz val="13"/>
        <color rgb="FF222222"/>
        <rFont val="Arial"/>
        <family val="2"/>
      </rPr>
      <t>, </t>
    </r>
    <r>
      <rPr>
        <i/>
        <sz val="13"/>
        <color rgb="FF222222"/>
        <rFont val="Arial"/>
        <family val="2"/>
      </rPr>
      <t>96</t>
    </r>
    <r>
      <rPr>
        <sz val="13"/>
        <color rgb="FF222222"/>
        <rFont val="Arial"/>
        <family val="2"/>
      </rPr>
      <t>(3-4), 201-218.</t>
    </r>
  </si>
  <si>
    <t>thesis- unpublished</t>
  </si>
  <si>
    <t xml:space="preserve">inventory of algal biomass in sediments </t>
  </si>
  <si>
    <r>
      <t>Haas, A. F., Nelson, C. E., Wegley Kelly, L., Carlson, C. A., Rohwer, F., Leichter, J. J., ... &amp; Smith, J. E. (2011). Effects of coral reef benthic primary producers on dissolved organic carbon and microbial activity. </t>
    </r>
    <r>
      <rPr>
        <i/>
        <sz val="13"/>
        <color rgb="FF222222"/>
        <rFont val="Arial"/>
        <family val="2"/>
      </rPr>
      <t>PloS one</t>
    </r>
    <r>
      <rPr>
        <sz val="13"/>
        <color rgb="FF222222"/>
        <rFont val="Arial"/>
        <family val="2"/>
      </rPr>
      <t>, </t>
    </r>
    <r>
      <rPr>
        <i/>
        <sz val="13"/>
        <color rgb="FF222222"/>
        <rFont val="Arial"/>
        <family val="2"/>
      </rPr>
      <t>6</t>
    </r>
    <r>
      <rPr>
        <sz val="13"/>
        <color rgb="FF222222"/>
        <rFont val="Arial"/>
        <family val="2"/>
      </rPr>
      <t>(11), e27973.</t>
    </r>
  </si>
  <si>
    <r>
      <t>Yao, Y., Li, D., Chen, Y., Han, X., Wang, G., &amp; Han, R. (2022). High-resolution characteristics and mechanisms of endogenous phosphorus migration and transformation impacted by algal blooms decomposition. </t>
    </r>
    <r>
      <rPr>
        <i/>
        <sz val="11"/>
        <color rgb="FF222222"/>
        <rFont val="Arial"/>
        <family val="2"/>
      </rPr>
      <t>Science of The Total Environment</t>
    </r>
    <r>
      <rPr>
        <sz val="11"/>
        <color rgb="FF222222"/>
        <rFont val="Arial"/>
        <family val="2"/>
      </rPr>
      <t>, </t>
    </r>
    <r>
      <rPr>
        <i/>
        <sz val="11"/>
        <color rgb="FF222222"/>
        <rFont val="Arial"/>
        <family val="2"/>
      </rPr>
      <t>820</t>
    </r>
    <r>
      <rPr>
        <sz val="11"/>
        <color rgb="FF222222"/>
        <rFont val="Arial"/>
        <family val="2"/>
      </rPr>
      <t>, 152907.</t>
    </r>
  </si>
  <si>
    <r>
      <t>Lozada, M., Zabala, M. S., García, P. E., Diéguez, M. C., Bigatti, G., Fermani, P., ... &amp; Dionisi, H. M. (2022). Microbial assemblages associated with the invasive kelp Undaria pinnatifida in Patagonian coastal waters: Structure and alginolytic potential. </t>
    </r>
    <r>
      <rPr>
        <i/>
        <sz val="11"/>
        <color rgb="FF222222"/>
        <rFont val="Arial"/>
        <family val="2"/>
      </rPr>
      <t>Science of The Total Environment</t>
    </r>
    <r>
      <rPr>
        <sz val="11"/>
        <color rgb="FF222222"/>
        <rFont val="Arial"/>
        <family val="2"/>
      </rPr>
      <t>, </t>
    </r>
    <r>
      <rPr>
        <i/>
        <sz val="11"/>
        <color rgb="FF222222"/>
        <rFont val="Arial"/>
        <family val="2"/>
      </rPr>
      <t>830</t>
    </r>
    <r>
      <rPr>
        <sz val="11"/>
        <color rgb="FF222222"/>
        <rFont val="Arial"/>
        <family val="2"/>
      </rPr>
      <t>, 154629.</t>
    </r>
  </si>
  <si>
    <r>
      <t>Thrush, S. F. (1986). The sublittoral macrobenthic community structure of an Irish sea-lough: effect of decomposing accumulations of seaweed. </t>
    </r>
    <r>
      <rPr>
        <i/>
        <sz val="11"/>
        <color rgb="FF222222"/>
        <rFont val="Arial"/>
        <family val="2"/>
      </rPr>
      <t>Journal of Experimental Marine Biology and Ecology</t>
    </r>
    <r>
      <rPr>
        <sz val="11"/>
        <color rgb="FF222222"/>
        <rFont val="Arial"/>
        <family val="2"/>
      </rPr>
      <t>, </t>
    </r>
    <r>
      <rPr>
        <i/>
        <sz val="11"/>
        <color rgb="FF222222"/>
        <rFont val="Arial"/>
        <family val="2"/>
      </rPr>
      <t>96</t>
    </r>
    <r>
      <rPr>
        <sz val="11"/>
        <color rgb="FF222222"/>
        <rFont val="Arial"/>
        <family val="2"/>
      </rPr>
      <t>(3), 199-212.</t>
    </r>
  </si>
  <si>
    <r>
      <t>Xu, Q., Gao, F., &amp; Yang, H. (2010). Micro organism colonization in different decomposing phases of kelp (Laminaria japonica). </t>
    </r>
    <r>
      <rPr>
        <i/>
        <sz val="11"/>
        <color rgb="FF222222"/>
        <rFont val="Arial"/>
        <family val="2"/>
      </rPr>
      <t>Journal of Fisheries of China</t>
    </r>
    <r>
      <rPr>
        <sz val="11"/>
        <color rgb="FF222222"/>
        <rFont val="Arial"/>
        <family val="2"/>
      </rPr>
      <t>, </t>
    </r>
    <r>
      <rPr>
        <i/>
        <sz val="11"/>
        <color rgb="FF222222"/>
        <rFont val="Arial"/>
        <family val="2"/>
      </rPr>
      <t>34</t>
    </r>
    <r>
      <rPr>
        <sz val="11"/>
        <color rgb="FF222222"/>
        <rFont val="Arial"/>
        <family val="2"/>
      </rPr>
      <t>(12), 1853-1859.</t>
    </r>
  </si>
  <si>
    <r>
      <t>Zhai, J., Anderson, J. T., Yan, G., Cong, L., Wu, Y., Dai, L., ... &amp; Zhang, Z. (2021). Decomposition and nutrient dynamics responses of plant litter to interactive effects of flooding and salinity in Yellow River Delta wetland in northeastern China. </t>
    </r>
    <r>
      <rPr>
        <i/>
        <sz val="11"/>
        <color rgb="FF222222"/>
        <rFont val="Arial"/>
        <family val="2"/>
      </rPr>
      <t>Ecological Indicators</t>
    </r>
    <r>
      <rPr>
        <sz val="11"/>
        <color rgb="FF222222"/>
        <rFont val="Arial"/>
        <family val="2"/>
      </rPr>
      <t>, </t>
    </r>
    <r>
      <rPr>
        <i/>
        <sz val="11"/>
        <color rgb="FF222222"/>
        <rFont val="Arial"/>
        <family val="2"/>
      </rPr>
      <t>120</t>
    </r>
    <r>
      <rPr>
        <sz val="11"/>
        <color rgb="FF222222"/>
        <rFont val="Arial"/>
        <family val="2"/>
      </rPr>
      <t>, 106943.</t>
    </r>
  </si>
  <si>
    <r>
      <t>Bottino, F., Cunha-Santino, M. B., &amp; Bianchini, I. (2016). Decomposition of particulate organic carbon from aquatic macrophytes under different nutrient conditions. </t>
    </r>
    <r>
      <rPr>
        <i/>
        <sz val="11"/>
        <color rgb="FF222222"/>
        <rFont val="Arial"/>
        <family val="2"/>
      </rPr>
      <t>Aquatic geochemistry</t>
    </r>
    <r>
      <rPr>
        <sz val="11"/>
        <color rgb="FF222222"/>
        <rFont val="Arial"/>
        <family val="2"/>
      </rPr>
      <t>, </t>
    </r>
    <r>
      <rPr>
        <i/>
        <sz val="11"/>
        <color rgb="FF222222"/>
        <rFont val="Arial"/>
        <family val="2"/>
      </rPr>
      <t>22</t>
    </r>
    <r>
      <rPr>
        <sz val="11"/>
        <color rgb="FF222222"/>
        <rFont val="Arial"/>
        <family val="2"/>
      </rPr>
      <t>, 17-33.</t>
    </r>
  </si>
  <si>
    <r>
      <t>Gu, Y. G., Wang, Y., Ouyang, J., Jordan, R. W., &amp; Jiang, S. (2021). Impacts of coastal aquaculture on sedimentary phosphorus speciation and fate: Evidence from a seaweed cultivation area off Nan'ao Island, South China. </t>
    </r>
    <r>
      <rPr>
        <i/>
        <sz val="11"/>
        <color rgb="FF222222"/>
        <rFont val="Arial"/>
        <family val="2"/>
      </rPr>
      <t>Marine Pollution Bulletin</t>
    </r>
    <r>
      <rPr>
        <sz val="11"/>
        <color rgb="FF222222"/>
        <rFont val="Arial"/>
        <family val="2"/>
      </rPr>
      <t>, </t>
    </r>
    <r>
      <rPr>
        <i/>
        <sz val="11"/>
        <color rgb="FF222222"/>
        <rFont val="Arial"/>
        <family val="2"/>
      </rPr>
      <t>171</t>
    </r>
    <r>
      <rPr>
        <sz val="11"/>
        <color rgb="FF222222"/>
        <rFont val="Arial"/>
        <family val="2"/>
      </rPr>
      <t>, 112719.</t>
    </r>
  </si>
  <si>
    <r>
      <t>Xiaojuan, Dai., Ren, Hu, Hongtian, L. U. O., Qing, W. A. N. G., Xiaojuan, H. U., Mindong, B. A. I., &amp; Yufeng, Y. A. N. G. (2021). Effects of the decomposition of Gracilaria lemaneiformis on seawater quality. </t>
    </r>
    <r>
      <rPr>
        <i/>
        <sz val="11"/>
        <color rgb="FF222222"/>
        <rFont val="Arial"/>
        <family val="2"/>
      </rPr>
      <t>Journal of Tropical Oceanography</t>
    </r>
    <r>
      <rPr>
        <sz val="11"/>
        <color rgb="FF222222"/>
        <rFont val="Arial"/>
        <family val="2"/>
      </rPr>
      <t>, </t>
    </r>
    <r>
      <rPr>
        <i/>
        <sz val="11"/>
        <color rgb="FF222222"/>
        <rFont val="Arial"/>
        <family val="2"/>
      </rPr>
      <t>40</t>
    </r>
    <r>
      <rPr>
        <sz val="11"/>
        <color rgb="FF222222"/>
        <rFont val="Arial"/>
        <family val="2"/>
      </rPr>
      <t>(1), 91-98.</t>
    </r>
  </si>
  <si>
    <r>
      <t>Sun, Z., Mou, X., &amp; Sun, W. (2016). Decomposition and heavy metal variations of the typical halophyte litters in coastal marshes of the Yellow River estuary, China. </t>
    </r>
    <r>
      <rPr>
        <i/>
        <sz val="11"/>
        <color rgb="FF222222"/>
        <rFont val="Arial"/>
        <family val="2"/>
      </rPr>
      <t>Chemosphere</t>
    </r>
    <r>
      <rPr>
        <sz val="11"/>
        <color rgb="FF222222"/>
        <rFont val="Arial"/>
        <family val="2"/>
      </rPr>
      <t>, </t>
    </r>
    <r>
      <rPr>
        <i/>
        <sz val="11"/>
        <color rgb="FF222222"/>
        <rFont val="Arial"/>
        <family val="2"/>
      </rPr>
      <t>147</t>
    </r>
    <r>
      <rPr>
        <sz val="11"/>
        <color rgb="FF222222"/>
        <rFont val="Arial"/>
        <family val="2"/>
      </rPr>
      <t>, 163-172.</t>
    </r>
  </si>
  <si>
    <r>
      <t>Liu, N. (2023). </t>
    </r>
    <r>
      <rPr>
        <i/>
        <sz val="11"/>
        <color rgb="FF222222"/>
        <rFont val="Arial"/>
        <family val="2"/>
      </rPr>
      <t>Microbial Degradation of Macroalgal Polysaccharides by Members of the Kiritimatiellota phylum: From Lab Cultures to Marine Sediments</t>
    </r>
    <r>
      <rPr>
        <sz val="11"/>
        <color rgb="FF222222"/>
        <rFont val="Arial"/>
        <family val="2"/>
      </rPr>
      <t> (Doctoral dissertation, UC Santa Barbara).</t>
    </r>
  </si>
  <si>
    <r>
      <t>Huang, H., Zan, S., Shao, K., Chen, H., &amp; Fan, J. (2024). Spatial distribution characteristics and interaction effects of DOM and microbial communities in kelp cultivation areas. </t>
    </r>
    <r>
      <rPr>
        <i/>
        <sz val="11"/>
        <color rgb="FF222222"/>
        <rFont val="Arial"/>
        <family val="2"/>
      </rPr>
      <t>Science of The Total Environment</t>
    </r>
    <r>
      <rPr>
        <sz val="11"/>
        <color rgb="FF222222"/>
        <rFont val="Arial"/>
        <family val="2"/>
      </rPr>
      <t>, 170511.</t>
    </r>
  </si>
  <si>
    <r>
      <t>Roman, M. R. (1984). Utilization of detritus by the copepod, Acartia tonsa 1. </t>
    </r>
    <r>
      <rPr>
        <i/>
        <sz val="11"/>
        <color rgb="FF222222"/>
        <rFont val="Arial"/>
        <family val="2"/>
      </rPr>
      <t>Limnology and Oceanography</t>
    </r>
    <r>
      <rPr>
        <sz val="11"/>
        <color rgb="FF222222"/>
        <rFont val="Arial"/>
        <family val="2"/>
      </rPr>
      <t>, </t>
    </r>
    <r>
      <rPr>
        <i/>
        <sz val="11"/>
        <color rgb="FF222222"/>
        <rFont val="Arial"/>
        <family val="2"/>
      </rPr>
      <t>29</t>
    </r>
    <r>
      <rPr>
        <sz val="11"/>
        <color rgb="FF222222"/>
        <rFont val="Arial"/>
        <family val="2"/>
      </rPr>
      <t>(5), 949-959.</t>
    </r>
  </si>
  <si>
    <r>
      <t>Millie, D. F., Schofield, O. M., Kirkpatrick, G. J., Johnsen, G., &amp; Evens, T. J. (2002). Using absorbance and fluorescence spectra to discriminate microalgae. </t>
    </r>
    <r>
      <rPr>
        <i/>
        <sz val="11"/>
        <color rgb="FF222222"/>
        <rFont val="Arial"/>
        <family val="2"/>
      </rPr>
      <t>European Journal of Phycology</t>
    </r>
    <r>
      <rPr>
        <sz val="11"/>
        <color rgb="FF222222"/>
        <rFont val="Arial"/>
        <family val="2"/>
      </rPr>
      <t>, </t>
    </r>
    <r>
      <rPr>
        <i/>
        <sz val="11"/>
        <color rgb="FF222222"/>
        <rFont val="Arial"/>
        <family val="2"/>
      </rPr>
      <t>37</t>
    </r>
    <r>
      <rPr>
        <sz val="11"/>
        <color rgb="FF222222"/>
        <rFont val="Arial"/>
        <family val="2"/>
      </rPr>
      <t>(3), 313-322.</t>
    </r>
  </si>
  <si>
    <r>
      <t>Sassi, R., Kutner, M. B. B., &amp; Moura, G. F. (1988). Studies on the decomposition of drift seaweed from the northeast Brazilian coastal reefs. </t>
    </r>
    <r>
      <rPr>
        <i/>
        <sz val="11"/>
        <color rgb="FF222222"/>
        <rFont val="Arial"/>
        <family val="2"/>
      </rPr>
      <t>Hydrobiologia</t>
    </r>
    <r>
      <rPr>
        <sz val="11"/>
        <color rgb="FF222222"/>
        <rFont val="Arial"/>
        <family val="2"/>
      </rPr>
      <t>, </t>
    </r>
    <r>
      <rPr>
        <i/>
        <sz val="11"/>
        <color rgb="FF222222"/>
        <rFont val="Arial"/>
        <family val="2"/>
      </rPr>
      <t>157</t>
    </r>
    <r>
      <rPr>
        <sz val="11"/>
        <color rgb="FF222222"/>
        <rFont val="Arial"/>
        <family val="2"/>
      </rPr>
      <t>, 187-192.</t>
    </r>
  </si>
  <si>
    <r>
      <t>Purcell, S., &amp; Bellwood, D. (2001). Spatial patterns of epilithic algal and detrital resources on a windward coral reef. </t>
    </r>
    <r>
      <rPr>
        <i/>
        <sz val="11"/>
        <color rgb="FF222222"/>
        <rFont val="Arial"/>
        <family val="2"/>
      </rPr>
      <t>Coral Reefs</t>
    </r>
    <r>
      <rPr>
        <sz val="11"/>
        <color rgb="FF222222"/>
        <rFont val="Arial"/>
        <family val="2"/>
      </rPr>
      <t>, </t>
    </r>
    <r>
      <rPr>
        <i/>
        <sz val="11"/>
        <color rgb="FF222222"/>
        <rFont val="Arial"/>
        <family val="2"/>
      </rPr>
      <t>20</t>
    </r>
    <r>
      <rPr>
        <sz val="11"/>
        <color rgb="FF222222"/>
        <rFont val="Arial"/>
        <family val="2"/>
      </rPr>
      <t>, 117-125.</t>
    </r>
  </si>
  <si>
    <r>
      <t>Derycke, S., Van Vynckt, R., Vanoverbeke, J., Vincx, M., &amp; Moens, T. (2007). Colonization patterns of Nematoda on decomposing algae in the estuarine environment: community assembly and genetic structure of the dominant species Pellioditis marina. </t>
    </r>
    <r>
      <rPr>
        <i/>
        <sz val="11"/>
        <color rgb="FF222222"/>
        <rFont val="Arial"/>
        <family val="2"/>
      </rPr>
      <t>Limnology and Oceanography</t>
    </r>
    <r>
      <rPr>
        <sz val="11"/>
        <color rgb="FF222222"/>
        <rFont val="Arial"/>
        <family val="2"/>
      </rPr>
      <t>, </t>
    </r>
    <r>
      <rPr>
        <i/>
        <sz val="11"/>
        <color rgb="FF222222"/>
        <rFont val="Arial"/>
        <family val="2"/>
      </rPr>
      <t>52</t>
    </r>
    <r>
      <rPr>
        <sz val="11"/>
        <color rgb="FF222222"/>
        <rFont val="Arial"/>
        <family val="2"/>
      </rPr>
      <t>(3), 992-1001.</t>
    </r>
  </si>
  <si>
    <r>
      <t>Uchida, M., Nakayama, A., &amp; Abe, S. (1995). Distribution and characterization of bacteria capable of decomposing brown algae fronds in waters associated with Laminaria vegetation. </t>
    </r>
    <r>
      <rPr>
        <i/>
        <sz val="11"/>
        <color rgb="FF222222"/>
        <rFont val="Arial"/>
        <family val="2"/>
      </rPr>
      <t>Fisheries science</t>
    </r>
    <r>
      <rPr>
        <sz val="11"/>
        <color rgb="FF222222"/>
        <rFont val="Arial"/>
        <family val="2"/>
      </rPr>
      <t>, </t>
    </r>
    <r>
      <rPr>
        <i/>
        <sz val="11"/>
        <color rgb="FF222222"/>
        <rFont val="Arial"/>
        <family val="2"/>
      </rPr>
      <t>61</t>
    </r>
    <r>
      <rPr>
        <sz val="11"/>
        <color rgb="FF222222"/>
        <rFont val="Arial"/>
        <family val="2"/>
      </rPr>
      <t>(1), 117-120.</t>
    </r>
  </si>
  <si>
    <r>
      <t>Enríquez, S. C. M. D., Duarte, C. M., &amp; Sand-Jensen, K. (1993). Patterns in decomposition rates among photosynthetic organisms: the importance of detritus C: N: P content. </t>
    </r>
    <r>
      <rPr>
        <i/>
        <sz val="11"/>
        <color rgb="FF222222"/>
        <rFont val="Arial"/>
        <family val="2"/>
      </rPr>
      <t>Oecologia</t>
    </r>
    <r>
      <rPr>
        <sz val="11"/>
        <color rgb="FF222222"/>
        <rFont val="Arial"/>
        <family val="2"/>
      </rPr>
      <t>, </t>
    </r>
    <r>
      <rPr>
        <i/>
        <sz val="11"/>
        <color rgb="FF222222"/>
        <rFont val="Arial"/>
        <family val="2"/>
      </rPr>
      <t>94</t>
    </r>
    <r>
      <rPr>
        <sz val="11"/>
        <color rgb="FF222222"/>
        <rFont val="Arial"/>
        <family val="2"/>
      </rPr>
      <t>, 457-471.</t>
    </r>
  </si>
  <si>
    <r>
      <t>TEZUKA, Y. (1989). The C: N: P ratio of Microcystis and Anabaena (blue-green algae) and its importance for nutrient regeneration by aerobic decomposition. </t>
    </r>
    <r>
      <rPr>
        <i/>
        <sz val="11"/>
        <color rgb="FF222222"/>
        <rFont val="Arial"/>
        <family val="2"/>
      </rPr>
      <t>Japanese Journal of Limnology (Rikusuigaku Zasshi)</t>
    </r>
    <r>
      <rPr>
        <sz val="11"/>
        <color rgb="FF222222"/>
        <rFont val="Arial"/>
        <family val="2"/>
      </rPr>
      <t>, </t>
    </r>
    <r>
      <rPr>
        <i/>
        <sz val="11"/>
        <color rgb="FF222222"/>
        <rFont val="Arial"/>
        <family val="2"/>
      </rPr>
      <t>50</t>
    </r>
    <r>
      <rPr>
        <sz val="11"/>
        <color rgb="FF222222"/>
        <rFont val="Arial"/>
        <family val="2"/>
      </rPr>
      <t>(2), 149-155.</t>
    </r>
  </si>
  <si>
    <r>
      <t>Liang, H., Pei, F., Ge, J., Xu, P., Wang, M., Liang, P., ... &amp; Wong, M. H. (2024). Algae decomposition released dissolved organic matter subfractions on dark abiotic mercury methylation. </t>
    </r>
    <r>
      <rPr>
        <i/>
        <sz val="11"/>
        <color rgb="FF222222"/>
        <rFont val="Arial"/>
        <family val="2"/>
      </rPr>
      <t>Ecotoxicology and Environmental Safety</t>
    </r>
    <r>
      <rPr>
        <sz val="11"/>
        <color rgb="FF222222"/>
        <rFont val="Arial"/>
        <family val="2"/>
      </rPr>
      <t>, </t>
    </r>
    <r>
      <rPr>
        <i/>
        <sz val="11"/>
        <color rgb="FF222222"/>
        <rFont val="Arial"/>
        <family val="2"/>
      </rPr>
      <t>270</t>
    </r>
    <r>
      <rPr>
        <sz val="11"/>
        <color rgb="FF222222"/>
        <rFont val="Arial"/>
        <family val="2"/>
      </rPr>
      <t>, 115914.</t>
    </r>
  </si>
  <si>
    <r>
      <t>Thorstenson, D. C., &amp; MACKENZIE, F. T. (1971). Experimental decomposition of algae in seawater and early diagenesis. </t>
    </r>
    <r>
      <rPr>
        <i/>
        <sz val="11"/>
        <color rgb="FF222222"/>
        <rFont val="Arial"/>
        <family val="2"/>
      </rPr>
      <t>Nature</t>
    </r>
    <r>
      <rPr>
        <sz val="11"/>
        <color rgb="FF222222"/>
        <rFont val="Arial"/>
        <family val="2"/>
      </rPr>
      <t>, </t>
    </r>
    <r>
      <rPr>
        <i/>
        <sz val="11"/>
        <color rgb="FF222222"/>
        <rFont val="Arial"/>
        <family val="2"/>
      </rPr>
      <t>234</t>
    </r>
    <r>
      <rPr>
        <sz val="11"/>
        <color rgb="FF222222"/>
        <rFont val="Arial"/>
        <family val="2"/>
      </rPr>
      <t>(5331), 543-545.</t>
    </r>
  </si>
  <si>
    <r>
      <t>Martins, P., Lopes, M. L., Rodrigues, A. M., Gomes, N. C., &amp; Quintino, V. (2012). Bacterial communities associated with the decomposition of Fucus vesiculosus in transitional waters. </t>
    </r>
    <r>
      <rPr>
        <i/>
        <sz val="11"/>
        <color rgb="FF222222"/>
        <rFont val="Arial"/>
        <family val="2"/>
      </rPr>
      <t>Estuarine, Coastal and Shelf Science</t>
    </r>
    <r>
      <rPr>
        <sz val="11"/>
        <color rgb="FF222222"/>
        <rFont val="Arial"/>
        <family val="2"/>
      </rPr>
      <t>, </t>
    </r>
    <r>
      <rPr>
        <i/>
        <sz val="11"/>
        <color rgb="FF222222"/>
        <rFont val="Arial"/>
        <family val="2"/>
      </rPr>
      <t>110</t>
    </r>
    <r>
      <rPr>
        <sz val="11"/>
        <color rgb="FF222222"/>
        <rFont val="Arial"/>
        <family val="2"/>
      </rPr>
      <t>, 116-124.</t>
    </r>
  </si>
  <si>
    <r>
      <t>Godbold, J. A., Solan, M., &amp; Killham, K. (2009). Consumer and resource diversity effects on marine macroalgal decomposition. </t>
    </r>
    <r>
      <rPr>
        <i/>
        <sz val="11"/>
        <color rgb="FF222222"/>
        <rFont val="Arial"/>
        <family val="2"/>
      </rPr>
      <t>Oikos</t>
    </r>
    <r>
      <rPr>
        <sz val="11"/>
        <color rgb="FF222222"/>
        <rFont val="Arial"/>
        <family val="2"/>
      </rPr>
      <t>, </t>
    </r>
    <r>
      <rPr>
        <i/>
        <sz val="11"/>
        <color rgb="FF222222"/>
        <rFont val="Arial"/>
        <family val="2"/>
      </rPr>
      <t>118</t>
    </r>
    <r>
      <rPr>
        <sz val="11"/>
        <color rgb="FF222222"/>
        <rFont val="Arial"/>
        <family val="2"/>
      </rPr>
      <t>(1), 77-86.</t>
    </r>
  </si>
  <si>
    <r>
      <t>Sveum, P. (1987). The influence of grazing by Hypogastrura viatica (Insecta: Collembola) on microbial activity in decomposing kelp on Spitsbergen. </t>
    </r>
    <r>
      <rPr>
        <i/>
        <sz val="11"/>
        <color rgb="FF222222"/>
        <rFont val="Arial"/>
        <family val="2"/>
      </rPr>
      <t>Polar Research</t>
    </r>
    <r>
      <rPr>
        <sz val="11"/>
        <color rgb="FF222222"/>
        <rFont val="Arial"/>
        <family val="2"/>
      </rPr>
      <t>, </t>
    </r>
    <r>
      <rPr>
        <i/>
        <sz val="11"/>
        <color rgb="FF222222"/>
        <rFont val="Arial"/>
        <family val="2"/>
      </rPr>
      <t>5</t>
    </r>
    <r>
      <rPr>
        <sz val="11"/>
        <color rgb="FF222222"/>
        <rFont val="Arial"/>
        <family val="2"/>
      </rPr>
      <t>(1), 71-77.</t>
    </r>
  </si>
  <si>
    <r>
      <t>Moore, P. G. (1972). Particulate matter in the sublittoral zone of an exposed coast and its ecological significance with special reference to the fauna inhabiting kelp holdfasts. </t>
    </r>
    <r>
      <rPr>
        <i/>
        <sz val="11"/>
        <color rgb="FF222222"/>
        <rFont val="Arial"/>
        <family val="2"/>
      </rPr>
      <t>Journal of Experimental Marine Biology and Ecology</t>
    </r>
    <r>
      <rPr>
        <sz val="11"/>
        <color rgb="FF222222"/>
        <rFont val="Arial"/>
        <family val="2"/>
      </rPr>
      <t>, </t>
    </r>
    <r>
      <rPr>
        <i/>
        <sz val="11"/>
        <color rgb="FF222222"/>
        <rFont val="Arial"/>
        <family val="2"/>
      </rPr>
      <t>10</t>
    </r>
    <r>
      <rPr>
        <sz val="11"/>
        <color rgb="FF222222"/>
        <rFont val="Arial"/>
        <family val="2"/>
      </rPr>
      <t>(1), 59-80.</t>
    </r>
  </si>
  <si>
    <r>
      <t>Harbour, R. P., Smith, C. R., Simon-Nutbrown, C., Cecchetto, M., Young, E., Coral, C., &amp; Sweetman, A. K. (2021). Biodiversity, community structure and ecosystem function on kelp and wood falls in the Norwegian deep sea. </t>
    </r>
    <r>
      <rPr>
        <i/>
        <sz val="11"/>
        <color rgb="FF222222"/>
        <rFont val="Arial"/>
        <family val="2"/>
      </rPr>
      <t>Marine Ecology Progress Series</t>
    </r>
    <r>
      <rPr>
        <sz val="11"/>
        <color rgb="FF222222"/>
        <rFont val="Arial"/>
        <family val="2"/>
      </rPr>
      <t>, </t>
    </r>
    <r>
      <rPr>
        <i/>
        <sz val="11"/>
        <color rgb="FF222222"/>
        <rFont val="Arial"/>
        <family val="2"/>
      </rPr>
      <t>657</t>
    </r>
    <r>
      <rPr>
        <sz val="11"/>
        <color rgb="FF222222"/>
        <rFont val="Arial"/>
        <family val="2"/>
      </rPr>
      <t>, 73-91.</t>
    </r>
  </si>
  <si>
    <r>
      <t>Sridhar, K. R., Karamchand, K. S., Pascoal, C., &amp; Cássio, F. (2012). Assemblage and diversity of fungi on wood and seaweed litter of seven northwest Portuguese beaches. </t>
    </r>
    <r>
      <rPr>
        <i/>
        <sz val="11"/>
        <color rgb="FF222222"/>
        <rFont val="Arial"/>
        <family val="2"/>
      </rPr>
      <t>Biology of marine fungi</t>
    </r>
    <r>
      <rPr>
        <sz val="11"/>
        <color rgb="FF222222"/>
        <rFont val="Arial"/>
        <family val="2"/>
      </rPr>
      <t>, 209-228.</t>
    </r>
  </si>
  <si>
    <r>
      <t>Morand, P., &amp; Briand, X. (1999). Anaerobic digestion of Ulva sp. 2. Study of Ulva degradation and methanisation of liquefaction juices. </t>
    </r>
    <r>
      <rPr>
        <i/>
        <sz val="11"/>
        <color rgb="FF222222"/>
        <rFont val="Arial"/>
        <family val="2"/>
      </rPr>
      <t>Journal of applied phycology</t>
    </r>
    <r>
      <rPr>
        <sz val="11"/>
        <color rgb="FF222222"/>
        <rFont val="Arial"/>
        <family val="2"/>
      </rPr>
      <t>, </t>
    </r>
    <r>
      <rPr>
        <i/>
        <sz val="11"/>
        <color rgb="FF222222"/>
        <rFont val="Arial"/>
        <family val="2"/>
      </rPr>
      <t>11</t>
    </r>
    <r>
      <rPr>
        <sz val="11"/>
        <color rgb="FF222222"/>
        <rFont val="Arial"/>
        <family val="2"/>
      </rPr>
      <t>, 164-177.</t>
    </r>
  </si>
  <si>
    <r>
      <t>Liu, Y., Zhang, S., Zhou, X., Zhao, X., Xu, S., &amp; Xiang, C. (2016). C/N stable isotope analysis of macro algae litters in kelp bed in Gouqi Island. </t>
    </r>
    <r>
      <rPr>
        <i/>
        <sz val="11"/>
        <color rgb="FF222222"/>
        <rFont val="Arial"/>
        <family val="2"/>
      </rPr>
      <t>Journal of Shanghai Ocean University</t>
    </r>
    <r>
      <rPr>
        <sz val="11"/>
        <color rgb="FF222222"/>
        <rFont val="Arial"/>
        <family val="2"/>
      </rPr>
      <t>, </t>
    </r>
    <r>
      <rPr>
        <i/>
        <sz val="11"/>
        <color rgb="FF222222"/>
        <rFont val="Arial"/>
        <family val="2"/>
      </rPr>
      <t>25</t>
    </r>
    <r>
      <rPr>
        <sz val="11"/>
        <color rgb="FF222222"/>
        <rFont val="Arial"/>
        <family val="2"/>
      </rPr>
      <t>(3), 438-444.</t>
    </r>
  </si>
  <si>
    <r>
      <t>Sosik, E. A., &amp; Simenstad, C. A. (2013). Isotopic evidence and consequences of the role of microbes in macroalgae detritus-based food webs. </t>
    </r>
    <r>
      <rPr>
        <i/>
        <sz val="11"/>
        <color rgb="FF222222"/>
        <rFont val="Arial"/>
        <family val="2"/>
      </rPr>
      <t>Marine Ecology Progress Series</t>
    </r>
    <r>
      <rPr>
        <sz val="11"/>
        <color rgb="FF222222"/>
        <rFont val="Arial"/>
        <family val="2"/>
      </rPr>
      <t>, </t>
    </r>
    <r>
      <rPr>
        <i/>
        <sz val="11"/>
        <color rgb="FF222222"/>
        <rFont val="Arial"/>
        <family val="2"/>
      </rPr>
      <t>494</t>
    </r>
    <r>
      <rPr>
        <sz val="11"/>
        <color rgb="FF222222"/>
        <rFont val="Arial"/>
        <family val="2"/>
      </rPr>
      <t>, 107-119.</t>
    </r>
  </si>
  <si>
    <r>
      <t>Linley, E. A. S., &amp; Newell, R. C. (1981). Microheterotrophic communities associated with the degradation of kelp debris. </t>
    </r>
    <r>
      <rPr>
        <i/>
        <sz val="11"/>
        <color rgb="FF222222"/>
        <rFont val="Arial"/>
        <family val="2"/>
      </rPr>
      <t>Kieler Meeresforschungen-Sonderheft</t>
    </r>
    <r>
      <rPr>
        <sz val="11"/>
        <color rgb="FF222222"/>
        <rFont val="Arial"/>
        <family val="2"/>
      </rPr>
      <t>, </t>
    </r>
    <r>
      <rPr>
        <i/>
        <sz val="11"/>
        <color rgb="FF222222"/>
        <rFont val="Arial"/>
        <family val="2"/>
      </rPr>
      <t>5</t>
    </r>
    <r>
      <rPr>
        <sz val="11"/>
        <color rgb="FF222222"/>
        <rFont val="Arial"/>
        <family val="2"/>
      </rPr>
      <t>, 345-355.</t>
    </r>
  </si>
  <si>
    <r>
      <t>Taylor, S. L., Bishop, M. J., Kelaher, B. P., &amp; Glasby, T. M. (2010). Impacts of detritus from the invasive alga Caulerpa taxifolia on a soft sediment community. </t>
    </r>
    <r>
      <rPr>
        <i/>
        <sz val="11"/>
        <color rgb="FF222222"/>
        <rFont val="Arial"/>
        <family val="2"/>
      </rPr>
      <t>Marine Ecology Progress Series</t>
    </r>
    <r>
      <rPr>
        <sz val="11"/>
        <color rgb="FF222222"/>
        <rFont val="Arial"/>
        <family val="2"/>
      </rPr>
      <t>, </t>
    </r>
    <r>
      <rPr>
        <i/>
        <sz val="11"/>
        <color rgb="FF222222"/>
        <rFont val="Arial"/>
        <family val="2"/>
      </rPr>
      <t>420</t>
    </r>
    <r>
      <rPr>
        <sz val="11"/>
        <color rgb="FF222222"/>
        <rFont val="Arial"/>
        <family val="2"/>
      </rPr>
      <t>, 73-81.</t>
    </r>
  </si>
  <si>
    <r>
      <t>Olafsson, E., Aarnio, K., Bonsdorff, E., &amp; Arroyo, N. L. (2013). Fauna of the green alga Cladophora glomerata in the Baltic Sea: density, diversity, and algal decomposition stage. </t>
    </r>
    <r>
      <rPr>
        <i/>
        <sz val="11"/>
        <color rgb="FF222222"/>
        <rFont val="Arial"/>
        <family val="2"/>
      </rPr>
      <t>Marine Biology</t>
    </r>
    <r>
      <rPr>
        <sz val="11"/>
        <color rgb="FF222222"/>
        <rFont val="Arial"/>
        <family val="2"/>
      </rPr>
      <t>, </t>
    </r>
    <r>
      <rPr>
        <i/>
        <sz val="11"/>
        <color rgb="FF222222"/>
        <rFont val="Arial"/>
        <family val="2"/>
      </rPr>
      <t>160</t>
    </r>
    <r>
      <rPr>
        <sz val="11"/>
        <color rgb="FF222222"/>
        <rFont val="Arial"/>
        <family val="2"/>
      </rPr>
      <t>, 2353-2362.</t>
    </r>
  </si>
  <si>
    <r>
      <t>Duffy, J. E. (1990). Amphipods on seaweeds: partners or pests?. </t>
    </r>
    <r>
      <rPr>
        <i/>
        <sz val="11"/>
        <color rgb="FF222222"/>
        <rFont val="Arial"/>
        <family val="2"/>
      </rPr>
      <t>Oecologia</t>
    </r>
    <r>
      <rPr>
        <sz val="11"/>
        <color rgb="FF222222"/>
        <rFont val="Arial"/>
        <family val="2"/>
      </rPr>
      <t>, </t>
    </r>
    <r>
      <rPr>
        <i/>
        <sz val="11"/>
        <color rgb="FF222222"/>
        <rFont val="Arial"/>
        <family val="2"/>
      </rPr>
      <t>83</t>
    </r>
    <r>
      <rPr>
        <sz val="11"/>
        <color rgb="FF222222"/>
        <rFont val="Arial"/>
        <family val="2"/>
      </rPr>
      <t>, 267-276.</t>
    </r>
  </si>
  <si>
    <r>
      <t>Tang, J. C., Taniguchi, H., Zhou, Q., &amp; Nagata, S. (2010). Recycling of the seaweed wakame through degradation by halotolerant bacteria. </t>
    </r>
    <r>
      <rPr>
        <i/>
        <sz val="11"/>
        <color rgb="FF222222"/>
        <rFont val="Arial"/>
        <family val="2"/>
      </rPr>
      <t>Seaweeds and their role in globally changing environments</t>
    </r>
    <r>
      <rPr>
        <sz val="11"/>
        <color rgb="FF222222"/>
        <rFont val="Arial"/>
        <family val="2"/>
      </rPr>
      <t>, 285-304.</t>
    </r>
  </si>
  <si>
    <r>
      <t>Madejon, E., Panettieri, M., Madejon, P., &amp; Perez-de-Mora, A. (2022). Composting as sustainable managing option for seaweed blooms on recreational beaches. </t>
    </r>
    <r>
      <rPr>
        <i/>
        <sz val="11"/>
        <color rgb="FF222222"/>
        <rFont val="Arial"/>
        <family val="2"/>
      </rPr>
      <t>Waste and Biomass Valorization</t>
    </r>
    <r>
      <rPr>
        <sz val="11"/>
        <color rgb="FF222222"/>
        <rFont val="Arial"/>
        <family val="2"/>
      </rPr>
      <t>, </t>
    </r>
    <r>
      <rPr>
        <i/>
        <sz val="11"/>
        <color rgb="FF222222"/>
        <rFont val="Arial"/>
        <family val="2"/>
      </rPr>
      <t>13</t>
    </r>
    <r>
      <rPr>
        <sz val="11"/>
        <color rgb="FF222222"/>
        <rFont val="Arial"/>
        <family val="2"/>
      </rPr>
      <t>(2), 863-875.</t>
    </r>
  </si>
  <si>
    <r>
      <t>Kouzuma, S., &amp; Fujii, K. (2018). Biochemical characteristics of cellulose and a green alga degradation by Gilvimarinus japonicas 12-2T, and its application potential for seaweed saccharification. </t>
    </r>
    <r>
      <rPr>
        <i/>
        <sz val="11"/>
        <color rgb="FF222222"/>
        <rFont val="Arial"/>
        <family val="2"/>
      </rPr>
      <t>Bioscience, Biotechnology, and Biochemistry</t>
    </r>
    <r>
      <rPr>
        <sz val="11"/>
        <color rgb="FF222222"/>
        <rFont val="Arial"/>
        <family val="2"/>
      </rPr>
      <t>, </t>
    </r>
    <r>
      <rPr>
        <i/>
        <sz val="11"/>
        <color rgb="FF222222"/>
        <rFont val="Arial"/>
        <family val="2"/>
      </rPr>
      <t>82</t>
    </r>
    <r>
      <rPr>
        <sz val="11"/>
        <color rgb="FF222222"/>
        <rFont val="Arial"/>
        <family val="2"/>
      </rPr>
      <t>(12), 2198-2204.</t>
    </r>
  </si>
  <si>
    <r>
      <t>Al Azad, S., Estim, A., Mustafa, S., &amp; Sumbing, M. V. (2017). Assessment of nutrients in seaweed tank from land based integrated multitrophic aquaculture module. </t>
    </r>
    <r>
      <rPr>
        <i/>
        <sz val="11"/>
        <color rgb="FF222222"/>
        <rFont val="Arial"/>
        <family val="2"/>
      </rPr>
      <t>Journal of Geoscience and Environment Protection</t>
    </r>
    <r>
      <rPr>
        <sz val="11"/>
        <color rgb="FF222222"/>
        <rFont val="Arial"/>
        <family val="2"/>
      </rPr>
      <t>, </t>
    </r>
    <r>
      <rPr>
        <i/>
        <sz val="11"/>
        <color rgb="FF222222"/>
        <rFont val="Arial"/>
        <family val="2"/>
      </rPr>
      <t>5</t>
    </r>
    <r>
      <rPr>
        <sz val="11"/>
        <color rgb="FF222222"/>
        <rFont val="Arial"/>
        <family val="2"/>
      </rPr>
      <t>(08), 137.</t>
    </r>
  </si>
  <si>
    <r>
      <t>Bishop, M. J., &amp; Kelaher, B. P. (2013). Replacement of native seagrass with invasive algal detritus: impacts to estuarine sediment communities. </t>
    </r>
    <r>
      <rPr>
        <i/>
        <sz val="11"/>
        <color rgb="FF222222"/>
        <rFont val="Arial"/>
        <family val="2"/>
      </rPr>
      <t>Biological invasions</t>
    </r>
    <r>
      <rPr>
        <sz val="11"/>
        <color rgb="FF222222"/>
        <rFont val="Arial"/>
        <family val="2"/>
      </rPr>
      <t>, </t>
    </r>
    <r>
      <rPr>
        <i/>
        <sz val="11"/>
        <color rgb="FF222222"/>
        <rFont val="Arial"/>
        <family val="2"/>
      </rPr>
      <t>15</t>
    </r>
    <r>
      <rPr>
        <sz val="11"/>
        <color rgb="FF222222"/>
        <rFont val="Arial"/>
        <family val="2"/>
      </rPr>
      <t>, 45-59.</t>
    </r>
  </si>
  <si>
    <r>
      <t>Kim, E. J., Fathoni, A., Jeong, G. T., Do Jeong, H., Nam, T. J., Kong, I. S., &amp; Kim, J. K. (2013). Microbacterium oxydans, a novel alginate-and laminarin-degrading bacterium for the reutilization of brown-seaweed waste. </t>
    </r>
    <r>
      <rPr>
        <i/>
        <sz val="11"/>
        <color rgb="FF222222"/>
        <rFont val="Arial"/>
        <family val="2"/>
      </rPr>
      <t>Journal of environmental management</t>
    </r>
    <r>
      <rPr>
        <sz val="11"/>
        <color rgb="FF222222"/>
        <rFont val="Arial"/>
        <family val="2"/>
      </rPr>
      <t>, </t>
    </r>
    <r>
      <rPr>
        <i/>
        <sz val="11"/>
        <color rgb="FF222222"/>
        <rFont val="Arial"/>
        <family val="2"/>
      </rPr>
      <t>130</t>
    </r>
    <r>
      <rPr>
        <sz val="11"/>
        <color rgb="FF222222"/>
        <rFont val="Arial"/>
        <family val="2"/>
      </rPr>
      <t>, 153-159.</t>
    </r>
  </si>
  <si>
    <r>
      <t>Alongi, D. M., &amp; Hanson, R. B. (1985). Effect of detritus supply on trophic relationships within experimental benthic food webs. II. Microbial responses, fate and composition of decomposing detritus. </t>
    </r>
    <r>
      <rPr>
        <i/>
        <sz val="11"/>
        <color rgb="FF222222"/>
        <rFont val="Arial"/>
        <family val="2"/>
      </rPr>
      <t>Journal of experimental marine biology and ecology</t>
    </r>
    <r>
      <rPr>
        <sz val="11"/>
        <color rgb="FF222222"/>
        <rFont val="Arial"/>
        <family val="2"/>
      </rPr>
      <t>, </t>
    </r>
    <r>
      <rPr>
        <i/>
        <sz val="11"/>
        <color rgb="FF222222"/>
        <rFont val="Arial"/>
        <family val="2"/>
      </rPr>
      <t>88</t>
    </r>
    <r>
      <rPr>
        <sz val="11"/>
        <color rgb="FF222222"/>
        <rFont val="Arial"/>
        <family val="2"/>
      </rPr>
      <t>(2), 167-182.</t>
    </r>
  </si>
  <si>
    <r>
      <t>Tenore, K. R. (1981). Organic nitrogen and caloric content of detritus: I. Utilization by the deposit-feeding polychaete, Capitella capitata. </t>
    </r>
    <r>
      <rPr>
        <i/>
        <sz val="11"/>
        <color rgb="FF222222"/>
        <rFont val="Arial"/>
        <family val="2"/>
      </rPr>
      <t>Estuarine, Coastal and Shelf Science</t>
    </r>
    <r>
      <rPr>
        <sz val="11"/>
        <color rgb="FF222222"/>
        <rFont val="Arial"/>
        <family val="2"/>
      </rPr>
      <t>, </t>
    </r>
    <r>
      <rPr>
        <i/>
        <sz val="11"/>
        <color rgb="FF222222"/>
        <rFont val="Arial"/>
        <family val="2"/>
      </rPr>
      <t>12</t>
    </r>
    <r>
      <rPr>
        <sz val="11"/>
        <color rgb="FF222222"/>
        <rFont val="Arial"/>
        <family val="2"/>
      </rPr>
      <t>(1), 39-47.</t>
    </r>
  </si>
  <si>
    <r>
      <t>Naldi, M., &amp; Viaroli, P. (2002). Nitrate uptake and storage in the seaweed Ulva rigida C. Agardh in relation to nitrate availability and thallus nitrate content in a eutrophic coastal lagoon (Sacca di Goro, Po River Delta, Italy). </t>
    </r>
    <r>
      <rPr>
        <i/>
        <sz val="11"/>
        <color rgb="FF222222"/>
        <rFont val="Arial"/>
        <family val="2"/>
      </rPr>
      <t>Journal of Experimental Marine Biology and Ecology</t>
    </r>
    <r>
      <rPr>
        <sz val="11"/>
        <color rgb="FF222222"/>
        <rFont val="Arial"/>
        <family val="2"/>
      </rPr>
      <t>, </t>
    </r>
    <r>
      <rPr>
        <i/>
        <sz val="11"/>
        <color rgb="FF222222"/>
        <rFont val="Arial"/>
        <family val="2"/>
      </rPr>
      <t>269</t>
    </r>
    <r>
      <rPr>
        <sz val="11"/>
        <color rgb="FF222222"/>
        <rFont val="Arial"/>
        <family val="2"/>
      </rPr>
      <t>(1), 65-83.</t>
    </r>
  </si>
  <si>
    <r>
      <t>Yunxiang, W., Zheng, L., Chuanxin, Q., Pimao, C. H. E. N., Huarong, Y. U. A. N., &amp; Wenli, Z. H. O. U. (2016). Effect of Gracilaria confervoides after falling off on overlying water of seaweed field in different seasons. </t>
    </r>
    <r>
      <rPr>
        <i/>
        <sz val="11"/>
        <color rgb="FF222222"/>
        <rFont val="Arial"/>
        <family val="2"/>
      </rPr>
      <t>South China Fisheries Science</t>
    </r>
    <r>
      <rPr>
        <sz val="11"/>
        <color rgb="FF222222"/>
        <rFont val="Arial"/>
        <family val="2"/>
      </rPr>
      <t>, </t>
    </r>
    <r>
      <rPr>
        <i/>
        <sz val="11"/>
        <color rgb="FF222222"/>
        <rFont val="Arial"/>
        <family val="2"/>
      </rPr>
      <t>12</t>
    </r>
    <r>
      <rPr>
        <sz val="11"/>
        <color rgb="FF222222"/>
        <rFont val="Arial"/>
        <family val="2"/>
      </rPr>
      <t>(2), 13-20.</t>
    </r>
  </si>
  <si>
    <r>
      <t>Rizzo, L., Pusceddu, A., Bianchelli, S., &amp; Fraschetti, S. (2020). Potentially combined effect of the invasive seaweed Caulerpa cylindracea (Sonder) and sediment deposition rates on organic matter and meiofaunal assemblages. </t>
    </r>
    <r>
      <rPr>
        <i/>
        <sz val="11"/>
        <color rgb="FF222222"/>
        <rFont val="Arial"/>
        <family val="2"/>
      </rPr>
      <t>Marine environmental research</t>
    </r>
    <r>
      <rPr>
        <sz val="11"/>
        <color rgb="FF222222"/>
        <rFont val="Arial"/>
        <family val="2"/>
      </rPr>
      <t>, </t>
    </r>
    <r>
      <rPr>
        <i/>
        <sz val="11"/>
        <color rgb="FF222222"/>
        <rFont val="Arial"/>
        <family val="2"/>
      </rPr>
      <t>159</t>
    </r>
    <r>
      <rPr>
        <sz val="11"/>
        <color rgb="FF222222"/>
        <rFont val="Arial"/>
        <family val="2"/>
      </rPr>
      <t>, 104966.</t>
    </r>
  </si>
  <si>
    <r>
      <t>Findlay, S. E. G. (1982). Effect of detrital nutritional quality on population dynamics of a marine nematode (Diplolaimella chitwoodi). </t>
    </r>
    <r>
      <rPr>
        <i/>
        <sz val="11"/>
        <color rgb="FF222222"/>
        <rFont val="Arial"/>
        <family val="2"/>
      </rPr>
      <t>Marine Biology</t>
    </r>
    <r>
      <rPr>
        <sz val="11"/>
        <color rgb="FF222222"/>
        <rFont val="Arial"/>
        <family val="2"/>
      </rPr>
      <t>, </t>
    </r>
    <r>
      <rPr>
        <i/>
        <sz val="11"/>
        <color rgb="FF222222"/>
        <rFont val="Arial"/>
        <family val="2"/>
      </rPr>
      <t>68</t>
    </r>
    <r>
      <rPr>
        <sz val="11"/>
        <color rgb="FF222222"/>
        <rFont val="Arial"/>
        <family val="2"/>
      </rPr>
      <t>, 223-227.</t>
    </r>
  </si>
  <si>
    <r>
      <t>Helen, O. K., Tiina, P., Ilmar, K., &amp; Henn, K. (2006). Seasonal changes in situ grazing of the mesoherbivores Idotea baltica and Gammarus oceanicus on the brown algae Fucus vesiculosus and Pylaiella littoralis in the central Gulf of Finland, Baltic Sea. </t>
    </r>
    <r>
      <rPr>
        <i/>
        <sz val="11"/>
        <color rgb="FF222222"/>
        <rFont val="Arial"/>
        <family val="2"/>
      </rPr>
      <t>Hydrobiologia</t>
    </r>
    <r>
      <rPr>
        <sz val="11"/>
        <color rgb="FF222222"/>
        <rFont val="Arial"/>
        <family val="2"/>
      </rPr>
      <t>, </t>
    </r>
    <r>
      <rPr>
        <i/>
        <sz val="11"/>
        <color rgb="FF222222"/>
        <rFont val="Arial"/>
        <family val="2"/>
      </rPr>
      <t>554</t>
    </r>
    <r>
      <rPr>
        <sz val="11"/>
        <color rgb="FF222222"/>
        <rFont val="Arial"/>
        <family val="2"/>
      </rPr>
      <t>, 117-125.</t>
    </r>
  </si>
  <si>
    <r>
      <t>Uchida, M. (1995). Enzyme activities of marine bacteria involved in Laminaria-thallus decomposition and the resulting sugar release. </t>
    </r>
    <r>
      <rPr>
        <i/>
        <sz val="11"/>
        <color rgb="FF222222"/>
        <rFont val="Arial"/>
        <family val="2"/>
      </rPr>
      <t>Marine Biology</t>
    </r>
    <r>
      <rPr>
        <sz val="11"/>
        <color rgb="FF222222"/>
        <rFont val="Arial"/>
        <family val="2"/>
      </rPr>
      <t>, </t>
    </r>
    <r>
      <rPr>
        <i/>
        <sz val="11"/>
        <color rgb="FF222222"/>
        <rFont val="Arial"/>
        <family val="2"/>
      </rPr>
      <t>123</t>
    </r>
    <r>
      <rPr>
        <sz val="11"/>
        <color rgb="FF222222"/>
        <rFont val="Arial"/>
        <family val="2"/>
      </rPr>
      <t>, 639-644.</t>
    </r>
  </si>
  <si>
    <r>
      <t>Heery, E. C. (2018). Reduced macrofauna diversity and abundance in response to red macroalgal detritus. </t>
    </r>
    <r>
      <rPr>
        <i/>
        <sz val="11"/>
        <color rgb="FF222222"/>
        <rFont val="Arial"/>
        <family val="2"/>
      </rPr>
      <t>Journal of Experimental Marine Biology and Ecology</t>
    </r>
    <r>
      <rPr>
        <sz val="11"/>
        <color rgb="FF222222"/>
        <rFont val="Arial"/>
        <family val="2"/>
      </rPr>
      <t>, </t>
    </r>
    <r>
      <rPr>
        <i/>
        <sz val="11"/>
        <color rgb="FF222222"/>
        <rFont val="Arial"/>
        <family val="2"/>
      </rPr>
      <t>505</t>
    </r>
    <r>
      <rPr>
        <sz val="11"/>
        <color rgb="FF222222"/>
        <rFont val="Arial"/>
        <family val="2"/>
      </rPr>
      <t>, 1-8.</t>
    </r>
  </si>
  <si>
    <r>
      <t>Wyatt, K. H., Rober, A. R., Schmidt, N., &amp; Davison, I. R. (2014). Effects of desiccation and rewetting on the release and decomposition of dissolved organic carbon from benthic macroalgae. </t>
    </r>
    <r>
      <rPr>
        <i/>
        <sz val="11"/>
        <color rgb="FF222222"/>
        <rFont val="Arial"/>
        <family val="2"/>
      </rPr>
      <t>Freshwater Biology</t>
    </r>
    <r>
      <rPr>
        <sz val="11"/>
        <color rgb="FF222222"/>
        <rFont val="Arial"/>
        <family val="2"/>
      </rPr>
      <t>, </t>
    </r>
    <r>
      <rPr>
        <i/>
        <sz val="11"/>
        <color rgb="FF222222"/>
        <rFont val="Arial"/>
        <family val="2"/>
      </rPr>
      <t>59</t>
    </r>
    <r>
      <rPr>
        <sz val="11"/>
        <color rgb="FF222222"/>
        <rFont val="Arial"/>
        <family val="2"/>
      </rPr>
      <t>(2), 407-416.</t>
    </r>
  </si>
  <si>
    <r>
      <t>Zhao, Z. F., Huang, Z. J., Sun, Z. D., Liu, Z. Y., Qin, S., Han, T., ... &amp; Zhong, Z. H. (2023). Effects of instantaneous changes in temperature, light, and salinity on the dynamics of dissolved organic carbon release by Sargassum thunbergii. </t>
    </r>
    <r>
      <rPr>
        <i/>
        <sz val="11"/>
        <color rgb="FF222222"/>
        <rFont val="Arial"/>
        <family val="2"/>
      </rPr>
      <t>Marine Pollution Bulletin</t>
    </r>
    <r>
      <rPr>
        <sz val="11"/>
        <color rgb="FF222222"/>
        <rFont val="Arial"/>
        <family val="2"/>
      </rPr>
      <t>, </t>
    </r>
    <r>
      <rPr>
        <i/>
        <sz val="11"/>
        <color rgb="FF222222"/>
        <rFont val="Arial"/>
        <family val="2"/>
      </rPr>
      <t>190</t>
    </r>
    <r>
      <rPr>
        <sz val="11"/>
        <color rgb="FF222222"/>
        <rFont val="Arial"/>
        <family val="2"/>
      </rPr>
      <t>, 114865.</t>
    </r>
  </si>
  <si>
    <r>
      <t>Egea, L. G., Jiménez-Ramos, R., Hernández, I., &amp; Brun, F. G. (2020). Differential effects of nutrient enrichment on carbon metabolism and dissolved organic carbon (DOC) fluxes in macrophytic benthic communities. </t>
    </r>
    <r>
      <rPr>
        <i/>
        <sz val="11"/>
        <color rgb="FF222222"/>
        <rFont val="Arial"/>
        <family val="2"/>
      </rPr>
      <t>Marine Environmental Research</t>
    </r>
    <r>
      <rPr>
        <sz val="11"/>
        <color rgb="FF222222"/>
        <rFont val="Arial"/>
        <family val="2"/>
      </rPr>
      <t>, </t>
    </r>
    <r>
      <rPr>
        <i/>
        <sz val="11"/>
        <color rgb="FF222222"/>
        <rFont val="Arial"/>
        <family val="2"/>
      </rPr>
      <t>162</t>
    </r>
    <r>
      <rPr>
        <sz val="11"/>
        <color rgb="FF222222"/>
        <rFont val="Arial"/>
        <family val="2"/>
      </rPr>
      <t>, 105179.</t>
    </r>
  </si>
  <si>
    <r>
      <t>Jiménez-Ramos, R., Brun, F. G., Pérez-Lloréns, J. L., Vergara, J. J., Delgado-Cabezas, F., Sena-Soria, N., &amp; Egea, L. G. (2023). Resistance and recovery of benthic marine macrophyte communities to light reduction: Insights from carbon metabolism and dissolved organic carbon (DOC) fluxes, and implications for resilience. </t>
    </r>
    <r>
      <rPr>
        <i/>
        <sz val="11"/>
        <color rgb="FF222222"/>
        <rFont val="Arial"/>
        <family val="2"/>
      </rPr>
      <t>Marine Pollution Bulletin</t>
    </r>
    <r>
      <rPr>
        <sz val="11"/>
        <color rgb="FF222222"/>
        <rFont val="Arial"/>
        <family val="2"/>
      </rPr>
      <t>, </t>
    </r>
    <r>
      <rPr>
        <i/>
        <sz val="11"/>
        <color rgb="FF222222"/>
        <rFont val="Arial"/>
        <family val="2"/>
      </rPr>
      <t>188</t>
    </r>
    <r>
      <rPr>
        <sz val="11"/>
        <color rgb="FF222222"/>
        <rFont val="Arial"/>
        <family val="2"/>
      </rPr>
      <t>, 114630.</t>
    </r>
  </si>
  <si>
    <r>
      <t>Campana, S., Hudspith, M., Lankes, D., De Kluijver, A., Demey, C., Schoorl, J., ... &amp; de Goeij, J. M. (2021). Processing of naturally sourced macroalgal-and coral-dissolved organic matter (DOM) by high and low microbial abundance encrusting sponges. </t>
    </r>
    <r>
      <rPr>
        <i/>
        <sz val="11"/>
        <color rgb="FF222222"/>
        <rFont val="Arial"/>
        <family val="2"/>
      </rPr>
      <t>Frontiers in Marine Science</t>
    </r>
    <r>
      <rPr>
        <sz val="11"/>
        <color rgb="FF222222"/>
        <rFont val="Arial"/>
        <family val="2"/>
      </rPr>
      <t>, </t>
    </r>
    <r>
      <rPr>
        <i/>
        <sz val="11"/>
        <color rgb="FF222222"/>
        <rFont val="Arial"/>
        <family val="2"/>
      </rPr>
      <t>8</t>
    </r>
    <r>
      <rPr>
        <sz val="11"/>
        <color rgb="FF222222"/>
        <rFont val="Arial"/>
        <family val="2"/>
      </rPr>
      <t>, 640583.</t>
    </r>
  </si>
  <si>
    <r>
      <t>Liu, Y., Zhou, S., Fu, Y., Sun, X., Li, T., &amp; Yang, C. (2023). Characterization of dissolved organic matter in biochar derived from various macroalgae (Phaeophyta, Rhodophyta, and Chlorophyta): Effects of pyrolysis temperature and extraction solution pH. </t>
    </r>
    <r>
      <rPr>
        <i/>
        <sz val="11"/>
        <color rgb="FF222222"/>
        <rFont val="Arial"/>
        <family val="2"/>
      </rPr>
      <t>Science of The Total Environment</t>
    </r>
    <r>
      <rPr>
        <sz val="11"/>
        <color rgb="FF222222"/>
        <rFont val="Arial"/>
        <family val="2"/>
      </rPr>
      <t>, </t>
    </r>
    <r>
      <rPr>
        <i/>
        <sz val="11"/>
        <color rgb="FF222222"/>
        <rFont val="Arial"/>
        <family val="2"/>
      </rPr>
      <t>869</t>
    </r>
    <r>
      <rPr>
        <sz val="11"/>
        <color rgb="FF222222"/>
        <rFont val="Arial"/>
        <family val="2"/>
      </rPr>
      <t>, 161786.</t>
    </r>
  </si>
  <si>
    <r>
      <t>Xiong, T., Li, H., Yue, Y., Hu, Y., Zhai, W. D., Xue, L., ... &amp; Zhang, Y. (2023). Legacy effects of late macroalgal blooms on dissolved inorganic carbon pool through alkalinity enhancement in coastal ocean. </t>
    </r>
    <r>
      <rPr>
        <i/>
        <sz val="11"/>
        <color rgb="FF222222"/>
        <rFont val="Arial"/>
        <family val="2"/>
      </rPr>
      <t>Environmental Science &amp; Technology</t>
    </r>
    <r>
      <rPr>
        <sz val="11"/>
        <color rgb="FF222222"/>
        <rFont val="Arial"/>
        <family val="2"/>
      </rPr>
      <t>, </t>
    </r>
    <r>
      <rPr>
        <i/>
        <sz val="11"/>
        <color rgb="FF222222"/>
        <rFont val="Arial"/>
        <family val="2"/>
      </rPr>
      <t>57</t>
    </r>
    <r>
      <rPr>
        <sz val="11"/>
        <color rgb="FF222222"/>
        <rFont val="Arial"/>
        <family val="2"/>
      </rPr>
      <t>(5), 2186-2196.</t>
    </r>
  </si>
  <si>
    <r>
      <t>Haas, A. F., Jantzen, C., Naumann, M. S., Iglesias-Prieto, R., &amp; Wild, C. (2010). Organic matter release by the dominant primary producers in a Caribbean reef lagoon: implication for in situ O2 availability. </t>
    </r>
    <r>
      <rPr>
        <i/>
        <sz val="11"/>
        <color rgb="FF222222"/>
        <rFont val="Arial"/>
        <family val="2"/>
      </rPr>
      <t>Marine Ecology Progress Series</t>
    </r>
    <r>
      <rPr>
        <sz val="11"/>
        <color rgb="FF222222"/>
        <rFont val="Arial"/>
        <family val="2"/>
      </rPr>
      <t>, </t>
    </r>
    <r>
      <rPr>
        <i/>
        <sz val="11"/>
        <color rgb="FF222222"/>
        <rFont val="Arial"/>
        <family val="2"/>
      </rPr>
      <t>409</t>
    </r>
    <r>
      <rPr>
        <sz val="11"/>
        <color rgb="FF222222"/>
        <rFont val="Arial"/>
        <family val="2"/>
      </rPr>
      <t>, 27-39.</t>
    </r>
  </si>
  <si>
    <r>
      <t>Xu, N., Wang, W., Xu, Y., Ji, D., Chen, C., Xie, C., &amp; Xu, K. (2021). Effects of nutrient availability on the release of dissolved and particulate organic carbon by Pyropia haitanensis and its implications. </t>
    </r>
    <r>
      <rPr>
        <i/>
        <sz val="11"/>
        <color rgb="FF222222"/>
        <rFont val="Arial"/>
        <family val="2"/>
      </rPr>
      <t>Frontiers in Marine Science</t>
    </r>
    <r>
      <rPr>
        <sz val="11"/>
        <color rgb="FF222222"/>
        <rFont val="Arial"/>
        <family val="2"/>
      </rPr>
      <t>, </t>
    </r>
    <r>
      <rPr>
        <i/>
        <sz val="11"/>
        <color rgb="FF222222"/>
        <rFont val="Arial"/>
        <family val="2"/>
      </rPr>
      <t>8</t>
    </r>
    <r>
      <rPr>
        <sz val="11"/>
        <color rgb="FF222222"/>
        <rFont val="Arial"/>
        <family val="2"/>
      </rPr>
      <t>, 696938.</t>
    </r>
  </si>
  <si>
    <r>
      <t>Chen, S., Strong-Wright, J., &amp; Taylor, J. R. (2024). Modeling carbon dioxide removal via sinking of particulate organic carbon from macroalgae cultivation. </t>
    </r>
    <r>
      <rPr>
        <i/>
        <sz val="11"/>
        <color rgb="FF222222"/>
        <rFont val="Arial"/>
        <family val="2"/>
      </rPr>
      <t>Frontiers in Marine Science</t>
    </r>
    <r>
      <rPr>
        <sz val="11"/>
        <color rgb="FF222222"/>
        <rFont val="Arial"/>
        <family val="2"/>
      </rPr>
      <t>, </t>
    </r>
    <r>
      <rPr>
        <i/>
        <sz val="11"/>
        <color rgb="FF222222"/>
        <rFont val="Arial"/>
        <family val="2"/>
      </rPr>
      <t>11</t>
    </r>
    <r>
      <rPr>
        <sz val="11"/>
        <color rgb="FF222222"/>
        <rFont val="Arial"/>
        <family val="2"/>
      </rPr>
      <t>, 1359614.</t>
    </r>
  </si>
  <si>
    <r>
      <t>Zhao, C., Sun, J., Shen, Y., Xia, Z., Hu, M., Wu, T., ... &amp; He, P. (2023). Removable carbon and storage carbon of golden tides. </t>
    </r>
    <r>
      <rPr>
        <i/>
        <sz val="11"/>
        <color rgb="FF222222"/>
        <rFont val="Arial"/>
        <family val="2"/>
      </rPr>
      <t>Marine Pollution Bulletin</t>
    </r>
    <r>
      <rPr>
        <sz val="11"/>
        <color rgb="FF222222"/>
        <rFont val="Arial"/>
        <family val="2"/>
      </rPr>
      <t>, </t>
    </r>
    <r>
      <rPr>
        <i/>
        <sz val="11"/>
        <color rgb="FF222222"/>
        <rFont val="Arial"/>
        <family val="2"/>
      </rPr>
      <t>191</t>
    </r>
    <r>
      <rPr>
        <sz val="11"/>
        <color rgb="FF222222"/>
        <rFont val="Arial"/>
        <family val="2"/>
      </rPr>
      <t>, 114974.</t>
    </r>
  </si>
  <si>
    <r>
      <t>Wang, X., Chen, R. F., Cable, J. E., &amp; Cherrier, J. (2014). Leaching and microbial degradation of dissolved organic matter from salt marsh plants and seagrasses. </t>
    </r>
    <r>
      <rPr>
        <i/>
        <sz val="11"/>
        <color rgb="FF222222"/>
        <rFont val="Arial"/>
        <family val="2"/>
      </rPr>
      <t>Aquatic Sciences</t>
    </r>
    <r>
      <rPr>
        <sz val="11"/>
        <color rgb="FF222222"/>
        <rFont val="Arial"/>
        <family val="2"/>
      </rPr>
      <t>, </t>
    </r>
    <r>
      <rPr>
        <i/>
        <sz val="11"/>
        <color rgb="FF222222"/>
        <rFont val="Arial"/>
        <family val="2"/>
      </rPr>
      <t>76</t>
    </r>
    <r>
      <rPr>
        <sz val="11"/>
        <color rgb="FF222222"/>
        <rFont val="Arial"/>
        <family val="2"/>
      </rPr>
      <t>, 595-609.</t>
    </r>
  </si>
  <si>
    <r>
      <t>Ager, T. G., Krause-Jensen, D., Olesen, B., Carlson, D. F., Winding, M. H. S., &amp; Sejr, M. K. (2023). Macroalgal habitats support a sustained flux of floating biomass but limited carbon export beyond a Greenland fjord. </t>
    </r>
    <r>
      <rPr>
        <i/>
        <sz val="11"/>
        <color rgb="FF222222"/>
        <rFont val="Arial"/>
        <family val="2"/>
      </rPr>
      <t>Science of the Total Environment</t>
    </r>
    <r>
      <rPr>
        <sz val="11"/>
        <color rgb="FF222222"/>
        <rFont val="Arial"/>
        <family val="2"/>
      </rPr>
      <t>, </t>
    </r>
    <r>
      <rPr>
        <i/>
        <sz val="11"/>
        <color rgb="FF222222"/>
        <rFont val="Arial"/>
        <family val="2"/>
      </rPr>
      <t>872</t>
    </r>
    <r>
      <rPr>
        <sz val="11"/>
        <color rgb="FF222222"/>
        <rFont val="Arial"/>
        <family val="2"/>
      </rPr>
      <t>, 162224.</t>
    </r>
  </si>
  <si>
    <r>
      <t>Fjærtoft, K. L. (2018). </t>
    </r>
    <r>
      <rPr>
        <i/>
        <sz val="11"/>
        <color rgb="FF222222"/>
        <rFont val="Arial"/>
        <family val="2"/>
      </rPr>
      <t>Macroalgal detritus: Physical variables and impacts on the benthic macrofaunal community</t>
    </r>
    <r>
      <rPr>
        <sz val="11"/>
        <color rgb="FF222222"/>
        <rFont val="Arial"/>
        <family val="2"/>
      </rPr>
      <t> (Master's thesis, NTNU).</t>
    </r>
  </si>
  <si>
    <r>
      <t>Jain, A., Krishnan, K. P., Begum, N., Singh, A., Thomas, F. A., &amp; Gopinath, A. (2020). Response of bacterial communities from Kongsfjorden (Svalbard, Arctic Ocean) to macroalgal polysaccharide amendments. </t>
    </r>
    <r>
      <rPr>
        <i/>
        <sz val="11"/>
        <color rgb="FF222222"/>
        <rFont val="Arial"/>
        <family val="2"/>
      </rPr>
      <t>Marine environmental research</t>
    </r>
    <r>
      <rPr>
        <sz val="11"/>
        <color rgb="FF222222"/>
        <rFont val="Arial"/>
        <family val="2"/>
      </rPr>
      <t>, </t>
    </r>
    <r>
      <rPr>
        <i/>
        <sz val="11"/>
        <color rgb="FF222222"/>
        <rFont val="Arial"/>
        <family val="2"/>
      </rPr>
      <t>155</t>
    </r>
    <r>
      <rPr>
        <sz val="11"/>
        <color rgb="FF222222"/>
        <rFont val="Arial"/>
        <family val="2"/>
      </rPr>
      <t>, 104874.</t>
    </r>
  </si>
  <si>
    <r>
      <t>Oakes, J. M., Bautista, M. D., Maher, D., Jones, W. B., &amp; Eyre, B. D. (2011). Carbon self‐utilization may assist Caulerpa taxifolia invasion. </t>
    </r>
    <r>
      <rPr>
        <i/>
        <sz val="11"/>
        <color rgb="FF222222"/>
        <rFont val="Arial"/>
        <family val="2"/>
      </rPr>
      <t>Limnology and oceanography</t>
    </r>
    <r>
      <rPr>
        <sz val="11"/>
        <color rgb="FF222222"/>
        <rFont val="Arial"/>
        <family val="2"/>
      </rPr>
      <t>, </t>
    </r>
    <r>
      <rPr>
        <i/>
        <sz val="11"/>
        <color rgb="FF222222"/>
        <rFont val="Arial"/>
        <family val="2"/>
      </rPr>
      <t>56</t>
    </r>
    <r>
      <rPr>
        <sz val="11"/>
        <color rgb="FF222222"/>
        <rFont val="Arial"/>
        <family val="2"/>
      </rPr>
      <t>(5), 1824-1831.</t>
    </r>
  </si>
  <si>
    <r>
      <t>Gorain, P. C., Sengupta, S., Satpati, G. G., Paul, I., Tripathi, S., &amp; Pal, R. (2018). Carbon sequestration in macroalgal mats of brackish-water habitats in Indian Sunderbans: potential as renewable organic resource. </t>
    </r>
    <r>
      <rPr>
        <i/>
        <sz val="11"/>
        <color rgb="FF222222"/>
        <rFont val="Arial"/>
        <family val="2"/>
      </rPr>
      <t>Science of the Total Environment</t>
    </r>
    <r>
      <rPr>
        <sz val="11"/>
        <color rgb="FF222222"/>
        <rFont val="Arial"/>
        <family val="2"/>
      </rPr>
      <t>, </t>
    </r>
    <r>
      <rPr>
        <i/>
        <sz val="11"/>
        <color rgb="FF222222"/>
        <rFont val="Arial"/>
        <family val="2"/>
      </rPr>
      <t>626</t>
    </r>
    <r>
      <rPr>
        <sz val="11"/>
        <color rgb="FF222222"/>
        <rFont val="Arial"/>
        <family val="2"/>
      </rPr>
      <t>, 689-702.</t>
    </r>
  </si>
  <si>
    <r>
      <t>Xiong, T., Li, H., Hu, Y., Zhai, W. D., Zhang, Z., Liu, Y., ... &amp; Zhang, Y. (2024). Seaweed farming environments do not always function as CO2 sink under synergistic influence of macroalgae and microorganisms. </t>
    </r>
    <r>
      <rPr>
        <i/>
        <sz val="11"/>
        <color rgb="FF222222"/>
        <rFont val="Arial"/>
        <family val="2"/>
      </rPr>
      <t>Agriculture, Ecosystems &amp; Environment</t>
    </r>
    <r>
      <rPr>
        <sz val="11"/>
        <color rgb="FF222222"/>
        <rFont val="Arial"/>
        <family val="2"/>
      </rPr>
      <t>, </t>
    </r>
    <r>
      <rPr>
        <i/>
        <sz val="11"/>
        <color rgb="FF222222"/>
        <rFont val="Arial"/>
        <family val="2"/>
      </rPr>
      <t>361</t>
    </r>
    <r>
      <rPr>
        <sz val="11"/>
        <color rgb="FF222222"/>
        <rFont val="Arial"/>
        <family val="2"/>
      </rPr>
      <t>, 108824.</t>
    </r>
  </si>
  <si>
    <r>
      <t>Zhang, M., Qin, H., Ma, Y., Qi, Y., Zhao, Y., Wang, Z., &amp; Li, B. (2023). Carbon sequestration from refractory dissolved organic carbon produced by biodegradation of Saccharina japonica. </t>
    </r>
    <r>
      <rPr>
        <i/>
        <sz val="11"/>
        <color rgb="FF222222"/>
        <rFont val="Arial"/>
        <family val="2"/>
      </rPr>
      <t>Marine Environmental Research</t>
    </r>
    <r>
      <rPr>
        <sz val="11"/>
        <color rgb="FF222222"/>
        <rFont val="Arial"/>
        <family val="2"/>
      </rPr>
      <t>, </t>
    </r>
    <r>
      <rPr>
        <i/>
        <sz val="11"/>
        <color rgb="FF222222"/>
        <rFont val="Arial"/>
        <family val="2"/>
      </rPr>
      <t>183</t>
    </r>
    <r>
      <rPr>
        <sz val="11"/>
        <color rgb="FF222222"/>
        <rFont val="Arial"/>
        <family val="2"/>
      </rPr>
      <t>, 105803.</t>
    </r>
  </si>
  <si>
    <t>Caulerpa prolifera</t>
  </si>
  <si>
    <t>Yamuza-Magdaleno et al 2024</t>
  </si>
  <si>
    <t>36.48883, 6.264736</t>
  </si>
  <si>
    <t>borosilicate glass bottles</t>
  </si>
  <si>
    <t>autoclaved artificial seawater</t>
  </si>
  <si>
    <t>percent remaining</t>
  </si>
  <si>
    <t>32.243 mg/L</t>
  </si>
  <si>
    <t>initial_DOC</t>
  </si>
  <si>
    <t xml:space="preserve">degradation rate similar to seagrasses- no stats done on difference in degradation </t>
  </si>
  <si>
    <t>natural sw and sediment</t>
  </si>
  <si>
    <t>tank</t>
  </si>
  <si>
    <t>placed in darkness w air bubbling for 1 wk prior to start of experiment</t>
  </si>
  <si>
    <t>low initial biomass</t>
  </si>
  <si>
    <t>high initial biomass</t>
  </si>
  <si>
    <t>low initial biomass + seagrass</t>
  </si>
  <si>
    <t>high initial biomass + seagrass</t>
  </si>
  <si>
    <t>55.454801, 10.458813</t>
  </si>
  <si>
    <t>buried 3-4 cm deep</t>
  </si>
  <si>
    <t>tanks</t>
  </si>
  <si>
    <t>natural sediment (homogenized) + natural sw</t>
  </si>
  <si>
    <t>effect of bioturbation by polychaete Arenicola marina- presence of polychaete increases degradation rate</t>
  </si>
  <si>
    <t>no polychaete</t>
  </si>
  <si>
    <t>polychaete</t>
  </si>
  <si>
    <t>no polychaete + seagrass detritus</t>
  </si>
  <si>
    <t>polychaete + seagrass detritus</t>
  </si>
  <si>
    <t>Thomson, A. C., Kristensen, E., Valdemarsen, T., &amp; Quintana, C. O. (2020). Short-term fate of seagrass and macroalgal detritus in Arenicola marina bioturbated sediments. Marine Ecology Progress Series, 639, 21-35.</t>
  </si>
  <si>
    <t>artifical seawater + 5ml filtered natural sw</t>
  </si>
  <si>
    <t>Ishii et al 2021</t>
  </si>
  <si>
    <r>
      <t>Li, X., Li, C., Bai, Y., Shi, X., &amp; Su, R. (2019). Composition variations and spatiotemporal dynamics of dissolved organic matters during the occurrence of green tide (Ulva prolifera blooms) in the Southern Yellow Sea, China. </t>
    </r>
    <r>
      <rPr>
        <i/>
        <sz val="13"/>
        <color rgb="FF222222"/>
        <rFont val="Arial"/>
        <family val="2"/>
      </rPr>
      <t>Marine Pollution Bulletin</t>
    </r>
    <r>
      <rPr>
        <sz val="13"/>
        <color rgb="FF222222"/>
        <rFont val="Arial"/>
        <family val="2"/>
      </rPr>
      <t>, </t>
    </r>
    <r>
      <rPr>
        <i/>
        <sz val="13"/>
        <color rgb="FF222222"/>
        <rFont val="Arial"/>
        <family val="2"/>
      </rPr>
      <t>146</t>
    </r>
    <r>
      <rPr>
        <sz val="13"/>
        <color rgb="FF222222"/>
        <rFont val="Arial"/>
        <family val="2"/>
      </rPr>
      <t>, 619-630.</t>
    </r>
  </si>
  <si>
    <t>no nutrients added</t>
  </si>
  <si>
    <t>low nutirents added</t>
  </si>
  <si>
    <t>medium nutrients</t>
  </si>
  <si>
    <t>high nutrients</t>
  </si>
  <si>
    <t>floating mesocosm  &gt; metal circular frame with a diameter of 1.8 m, and a double-layeredPE bag fixedon the metal frame at a depth of 1 m</t>
  </si>
  <si>
    <t>interesting design- floating plastic bag in situ is where degradation exp took place. Chl a content decreased throughout. High nutrients increased degradation rate</t>
  </si>
  <si>
    <t>Yang et al 2021</t>
  </si>
  <si>
    <t>wet weight remaing (kg)</t>
  </si>
  <si>
    <t>low nutrient addition</t>
  </si>
  <si>
    <t>medium nutrient addition</t>
  </si>
  <si>
    <t>high nutrient addition</t>
  </si>
  <si>
    <t>open top</t>
  </si>
  <si>
    <t xml:space="preserve">TOC estimates include bacterial carbon </t>
  </si>
  <si>
    <t>DOC leaching</t>
  </si>
  <si>
    <t>3 parameter exponential decay</t>
  </si>
  <si>
    <t>f=14.132+85.15*exp(-0.1x)</t>
  </si>
  <si>
    <t>f=86.0402+13.4628*exp(-0.1152x)</t>
  </si>
  <si>
    <t>f=57.3578+43.1933*exp(-0.1268x)</t>
  </si>
  <si>
    <t>f=91.4552+8.1001*exp(-0.0808x)</t>
  </si>
  <si>
    <t>f=84.1204+12.1837*exp(-0.1003x)</t>
  </si>
  <si>
    <t>f=30.3428+63.7103*exp(-0.1662x)</t>
  </si>
  <si>
    <t>f=63.8875+37.2811*exp(-0.3798x)</t>
  </si>
  <si>
    <t>f=29.2516+70.713*exp(-0.1031x)</t>
  </si>
  <si>
    <t>f=57.0678+42.6751*exp(-0.349x)</t>
  </si>
  <si>
    <t>f=93.7873-2.0937x</t>
  </si>
  <si>
    <t>f=</t>
  </si>
  <si>
    <t>36.0488, 120.319</t>
  </si>
  <si>
    <t>Yang, X., Lin, K., Tan, L., &amp; Wang, J. (2021). Utilization and release of biogenic elements by macroalgae Ulva prolifera: A mesocosm experiment off the coast of Qingdao, China. Marine Pollution Bulletin, 170, 112612.</t>
  </si>
  <si>
    <t>34.524, 136.75</t>
  </si>
  <si>
    <t>Ishii, Y., Kokubu, H., Miyazaki, H., Borjigin, S., &amp; Yabe, T. (2021). Laboratory studies on the biodegradation of organisms for estimating carbon storage potential in coastal aquatic ecosystems. Coastal Engineering Journal, 63(3), 323-334.</t>
  </si>
  <si>
    <t>-38.25, 144.716667</t>
  </si>
  <si>
    <t>Liu, S., Trevathan-Tackett, S. M., Ewers Lewis, C. J., Huang, X., &amp; Macreadie, P. I. (2020). Macroalgal blooms trigger the breakdown of seagrass blue carbon. Environmental science &amp; technology, 54(22), 14750-14760.</t>
  </si>
  <si>
    <t>Yamuza-Magdaleno, A., Jiménez-Ramos, R., Casal-Porras, I., Brun, F. G., &amp; Egea, L. G. (2024). Long-term sediment organic carbon remineralization in different seagrass and macroalgae habitats: implication for blue carbon storage. Frontiers in Marine Science, 11, 1370768.</t>
  </si>
  <si>
    <t>Xie, Y., Su, J., Shao, K., Hu, T., Ming, H., Shi, T., ... &amp; Fan, J. (2024). Long-term response of the microbial community to the degradation of DOC released from Undaria pinnatifida. Marine Environmental Research, 194, 106313.</t>
  </si>
  <si>
    <t>Li, H., Feng, X., Xiong, T., He, C., Wu, W., Shi, Q., ... &amp; Zhang, Y. (2022). Green tides significantly alter the molecular composition and properties of coastal DOC and perform dissolved carbon sequestration. Environmental Science &amp; Technology, 57(1), 770-779.</t>
  </si>
  <si>
    <t>Li, H., Feng, X., Xiong, T., Shao, W., Wu, W., &amp; Zhang, Y. (2023). Particulate organic carbon released during macroalgal growth has significant carbon sequestration potential in the ocean. Environmental Science &amp; Technology, 57(48), 19723-19731.</t>
  </si>
  <si>
    <t>Zhang, M., Qin, H., Wang, Z., Li, B., &amp; Ma, Y. (2022). The interaction between DOC released by cultured kelp (Saccharina japonica) and the bacterial community reveals the potential for increasing marine carbon sequestration by macroalgae culture. Frontiers in Marine Science, 9, 985548.</t>
  </si>
  <si>
    <t>DOC and POC</t>
  </si>
  <si>
    <t>Smith BD, Foreman RE (1984) An assessment of seaweed decomposition within a southern Strait of Georgia seaweed community. Mar Biol 84:197−206</t>
  </si>
  <si>
    <t>Smith BD, Foreman RE (1984) An assessment of seaweed decomposition within a southern Strait of Georgia seaweed community. Mar Biol 84:197−207</t>
  </si>
  <si>
    <t>Smith BD, Foreman RE (1984) An assessment of seaweed decomposition within a southern Strait of Georgia seaweed community. Mar Biol 84:197−208</t>
  </si>
  <si>
    <t>Smith BD, Foreman RE (1984) An assessment of seaweed decomposition within a southern Strait of Georgia seaweed community. Mar Biol 84:197−209</t>
  </si>
  <si>
    <t>Smith BD, Foreman RE (1984) An assessment of seaweed decomposition within a southern Strait of Georgia seaweed community. Mar Biol 84:197−210</t>
  </si>
  <si>
    <t>Smith BD, Foreman RE (1984) An assessment of seaweed decomposition within a southern Strait of Georgia seaweed community. Mar Biol 84:197−211</t>
  </si>
  <si>
    <t>Smith BD, Foreman RE (1984) An assessment of seaweed decomposition within a southern Strait of Georgia seaweed community. Mar Biol 84:197−212</t>
  </si>
  <si>
    <t>Smith BD, Foreman RE (1984) An assessment of seaweed decomposition within a southern Strait of Georgia seaweed community. Mar Biol 84:197−213</t>
  </si>
  <si>
    <t>Smith BD, Foreman RE (1984) An assessment of seaweed decomposition within a southern Strait of Georgia seaweed community. Mar Biol 84:197−214</t>
  </si>
  <si>
    <t>Smith BD, Foreman RE (1984) An assessment of seaweed decomposition within a southern Strait of Georgia seaweed community. Mar Biol 84:197−215</t>
  </si>
  <si>
    <t>Smith BD, Foreman RE (1984) An assessment of seaweed decomposition within a southern Strait of Georgia seaweed community. Mar Biol 84:197−216</t>
  </si>
  <si>
    <t>Smith BD, Foreman RE (1984) An assessment of seaweed decomposition within a southern Strait of Georgia seaweed community. Mar Biol 84:197−217</t>
  </si>
  <si>
    <t>Smith BD, Foreman RE (1984) An assessment of seaweed decomposition within a southern Strait of Georgia seaweed community. Mar Biol 84:197−218</t>
  </si>
  <si>
    <t>Smith BD, Foreman RE (1984) An assessment of seaweed decomposition within a southern Strait of Georgia seaweed community. Mar Biol 84:197−219</t>
  </si>
  <si>
    <t>Smith BD, Foreman RE (1984) An assessment of seaweed decomposition within a southern Strait of Georgia seaweed community. Mar Biol 84:197−220</t>
  </si>
  <si>
    <t>Smith BD, Foreman RE (1984) An assessment of seaweed decomposition within a southern Strait of Georgia seaweed community. Mar Biol 84:197−221</t>
  </si>
  <si>
    <t>Smith BD, Foreman RE (1984) An assessment of seaweed decomposition within a southern Strait of Georgia seaweed community. Mar Biol 84:197−222</t>
  </si>
  <si>
    <t>Smith BD, Foreman RE (1984) An assessment of seaweed decomposition within a southern Strait of Georgia seaweed community. Mar Biol 84:197−223</t>
  </si>
  <si>
    <t>Smith BD, Foreman RE (1984) An assessment of seaweed decomposition within a southern Strait of Georgia seaweed community. Mar Biol 84:197−224</t>
  </si>
  <si>
    <t>Smith BD, Foreman RE (1984) An assessment of seaweed decomposition within a southern Strait of Georgia seaweed community. Mar Biol 84:197−225</t>
  </si>
  <si>
    <t>Smith BD, Foreman RE (1984) An assessment of seaweed decomposition within a southern Strait of Georgia seaweed community. Mar Biol 84:197−226</t>
  </si>
  <si>
    <t>Scopus</t>
  </si>
  <si>
    <t>Carlson, A. K., Yoshimura, T., &amp; Kudo, I. (2024). Kelp dissolved organic carbon release is seasonal and annually enhanced during senescence. Journal of Phycology, jpy.13483. https://doi.org/10.1111/jpy.13483</t>
  </si>
  <si>
    <r>
      <t>Luo, H., Dai, X., Wang, Q., Yang, Y., &amp; Xie, S. (2023). The accumulation and release characteristics of heavy metals on the cultivation environment in Gracilaria litters during decay process. </t>
    </r>
    <r>
      <rPr>
        <i/>
        <sz val="13"/>
        <color rgb="FF222222"/>
        <rFont val="Arial"/>
        <family val="2"/>
      </rPr>
      <t>Science of The Total Environment</t>
    </r>
    <r>
      <rPr>
        <sz val="13"/>
        <color rgb="FF222222"/>
        <rFont val="Arial"/>
        <family val="2"/>
      </rPr>
      <t>, </t>
    </r>
    <r>
      <rPr>
        <i/>
        <sz val="13"/>
        <color rgb="FF222222"/>
        <rFont val="Arial"/>
        <family val="2"/>
      </rPr>
      <t>879</t>
    </r>
    <r>
      <rPr>
        <sz val="13"/>
        <color rgb="FF222222"/>
        <rFont val="Arial"/>
        <family val="2"/>
      </rPr>
      <t>, 163091.</t>
    </r>
  </si>
  <si>
    <t>Hodge, S., &amp; Arthur, W. (1997). Asymmetric Interactions between Species of Seaweed Fly. The Journal of Animal Ecology, 66(5), 743. https://doi.org/10.2307/5925</t>
  </si>
  <si>
    <t>Orr, M., Zimmer, M., Jelinski, D. E., &amp; Mews, M. (2005). Wrack Deposition on Different Beach Types: Spatial and Temporal Variation in the Pattern of Subsidy. Ecology, 86(6), 1496–1507. https://doi.org/10.1890/04-1486</t>
  </si>
  <si>
    <t>wrack deposition not degradation</t>
  </si>
  <si>
    <t>O’Brien, A. L., Morris, L., &amp; Keough, M. J. (2017). Rapid invertebrate responses to macroalgal wrack: Two novel field experiments on intertidal mudflats in Southern Australia. Marine Ecology, 38(1), e12391. https://doi.org/10.1111/maec.12391</t>
  </si>
  <si>
    <t>Poore, A. G. B., &amp; Gallagher, K. M. (2013). Strong consequences of diet choice in a talitrid amphipod consuming seagrass and algal wrack. Hydrobiologia, 701(1), 117–128. https://doi.org/10.1007/s10750-012-1263-1</t>
  </si>
  <si>
    <t>Ruiz-Delgado, M. C., Vieira, J. V., Reyes-Martínez, M. J., Borzone, C. A., Outerelo, R., Sánchez-Moyano, J. E., &amp; García-García, F. J. (2015). Colonisation patterns of supralittoral arthropods in naturally stranded wrack debris on Atlantic sandy beaches of Brazil and Spain. Marine and Freshwater Research, 67(11), 1634–1643. https://doi.org/10.1071/MF14407</t>
  </si>
  <si>
    <t>Graca, B., Jędruch, A., Bełdowska, M., Bełdowski, J., Kotwicki, L., Siedlewicz, G., Korejwo, E., Popińska, W., &amp; Łukawska-Matuszewska, K. (2022). Effects of beach wrack on the fate of mercury at the land-sea interface – A preliminary study. Environmental Pollution, 315, 120394. https://doi.org/10.1016/j.envpol.2022.120394</t>
  </si>
  <si>
    <t>Quintanilla-Ahumada, D., Lynn, K. D., Duarte, C., &amp; Quijón, P. A. (2023). Sandy beach wrack as a resource: Nutrient quality explains amphipod preferences but not temporal variation. Marine Biology, 170(4), 1–7. https://doi.org/10.1007/s00227-023-04185-5</t>
  </si>
  <si>
    <t>Lastra, M., López, J., &amp; Rodil, I. F. (2018). Warming intensify CO2 flux and nutrient release from algal wrack subsidies on sandy beaches. Global Change Biology, 24(8), 3766–3779. https://doi.org/10.1111/gcb.14278</t>
  </si>
  <si>
    <t>Gómez, M., Barreiro, F., López, J., &amp; Lastra, M. (2022). Evaluation of phenolic content of wrack debris on estuarine beaches: The effect on upper beach macrofauna. Marine Ecology, 43(1), e12692. https://doi.org/10.1111/maec.12692</t>
  </si>
  <si>
    <t xml:space="preserve">phenolic content- no degradation values </t>
  </si>
  <si>
    <t>Olabarria, C., Lastra, M., &amp; Garrido, J. (2007). Succession of macrofauna on macroalgal wrack of an exposed sandy beach: Effects of patch size and site. Marine Environmental Research, 63(1), 19–40. https://doi.org/10.1016/j.marenvres.2006.06.001</t>
  </si>
  <si>
    <t>Lastra, M., Lopez, J., &amp; Neves, G. (2015). Algal decay, temperature and body size influencing trophic behaviour of wrack consumers in sandy beaches. Marine Biology, 162(1), 221–234. https://doi.org/10.1007/s00227-014-2562-z</t>
  </si>
  <si>
    <t>Ulaski, B. P., Sikes, D. S., &amp; Konar, B. (2023). Beach-cast and drifting seaweed wrack is an important resource for marine and terrestrial macroinvertebrates in high latitudes. Marine Environmental Research, 187, 105970. https://doi.org/10.1016/j.marenvres.2023.105970</t>
  </si>
  <si>
    <t>Van Egmond, E. M., Van Bodegom, P. M., Van Hal, J. R., Van Logtestijn, R. S. P., Broekman, R. A., Berg, M. P., &amp; Aerts, R. (2019). Growth of pioneer beach plants is strongly driven by buried macroalgal wrack, whereas macroinvertebrates affect plant nutrient dynamics. Journal of Experimental Marine Biology and Ecology, 514–515, 87–94. https://doi.org/10.1016/j.jembe.2019.03.015</t>
  </si>
  <si>
    <r>
      <t xml:space="preserve">Jedrzejczak, M. F. (2002). Stranded </t>
    </r>
    <r>
      <rPr>
        <i/>
        <sz val="11"/>
        <color theme="1"/>
        <rFont val="Calibri"/>
        <family val="2"/>
        <scheme val="minor"/>
      </rPr>
      <t>Zostera marina</t>
    </r>
    <r>
      <rPr>
        <sz val="11"/>
        <color theme="1"/>
        <rFont val="Calibri"/>
        <family val="2"/>
        <scheme val="minor"/>
      </rPr>
      <t xml:space="preserve"> L. vs wrack fauna community interactions on a Baltic sandy beach (Hel, Poland): A short-term pilot study.: Part II.: Driftline effects of succession changes and colonisation of beach fauna. </t>
    </r>
    <r>
      <rPr>
        <i/>
        <sz val="11"/>
        <color theme="1"/>
        <rFont val="Calibri"/>
        <family val="2"/>
        <scheme val="minor"/>
      </rPr>
      <t>OCEANOLOGIA</t>
    </r>
    <r>
      <rPr>
        <sz val="11"/>
        <color theme="1"/>
        <rFont val="Calibri"/>
        <family val="2"/>
        <scheme val="minor"/>
      </rPr>
      <t xml:space="preserve">, </t>
    </r>
    <r>
      <rPr>
        <i/>
        <sz val="11"/>
        <color theme="1"/>
        <rFont val="Calibri"/>
        <family val="2"/>
        <scheme val="minor"/>
      </rPr>
      <t>44</t>
    </r>
    <r>
      <rPr>
        <sz val="11"/>
        <color theme="1"/>
        <rFont val="Calibri"/>
        <family val="2"/>
        <scheme val="minor"/>
      </rPr>
      <t>(3), 367–387.</t>
    </r>
  </si>
  <si>
    <t>Lozada, M., Zabala, M. S., García, P. E., Diéguez, M. C., Bigatti, G., Fermani, P., Unrein, F., &amp; Dionisi, H. M. (2022). Microbial assemblages associated with the invasive kelp Undaria pinnatifida in Patagonian coastal waters: Structure and alginolytic potential. Science of The Total Environment, 830, 154629. https://doi.org/10.1016/j.scitotenv.2022.154629</t>
  </si>
  <si>
    <t>Vieira, J. V., Ruiz-Delgado, M. C., Reyes-Martínez, M. J., Borzone, C. A., Asenjo, A., Sánchez-Moyano, J. E., &amp; García-García, F. J. (2016). Assessment the short-term effects of wrack removal on supralittoral arthropods using the M-BACI design on Atlantic sandy beaches of Brazil and Spain. Marine Environmental Research, 119, 222–237. https://doi.org/10.1016/j.marenvres.2016.06.007</t>
  </si>
  <si>
    <t>Tzetlin, A. B., Mokievsky, V. O., Melnikov, A. N., Saphonov, M. V., Simdyanov, T. G., &amp; Ivanov, I. E. (1997). Fauna associated with detached kelp in different types of subtidal habitats of the White Sea. Hydrobiologia, 355(1–3), 91–100. https://doi.org/10.1023/A:1003098616811</t>
  </si>
  <si>
    <r>
      <t>Rodil, I. F., Fernandes, J. P., &amp; Mucha, A. P. (2015). Disentangling the effects of solar radiation, wrack macroalgae and beach macrofauna on associated bacterial assemblages. </t>
    </r>
    <r>
      <rPr>
        <i/>
        <sz val="13"/>
        <color rgb="FF222222"/>
        <rFont val="Arial"/>
        <family val="2"/>
      </rPr>
      <t>Marine Environmental Research</t>
    </r>
    <r>
      <rPr>
        <sz val="13"/>
        <color rgb="FF222222"/>
        <rFont val="Arial"/>
        <family val="2"/>
      </rPr>
      <t>, </t>
    </r>
    <r>
      <rPr>
        <i/>
        <sz val="13"/>
        <color rgb="FF222222"/>
        <rFont val="Arial"/>
        <family val="2"/>
      </rPr>
      <t>112</t>
    </r>
    <r>
      <rPr>
        <sz val="13"/>
        <color rgb="FF222222"/>
        <rFont val="Arial"/>
        <family val="2"/>
      </rPr>
      <t>, 104-112.</t>
    </r>
  </si>
  <si>
    <r>
      <t>Holden, J. J., MacNeill, S. K., Juanes, F., &amp; Dudas, S. E. (2018). Beach-cast deposition and commercial harvesting of a non-indigenous alga, Mazzaella japonica: Implications for macrofauna communities in Baynes Sound, British Columbia. </t>
    </r>
    <r>
      <rPr>
        <i/>
        <sz val="13"/>
        <color rgb="FF222222"/>
        <rFont val="Arial"/>
        <family val="2"/>
      </rPr>
      <t>Estuarine, Coastal and Shelf Science</t>
    </r>
    <r>
      <rPr>
        <sz val="13"/>
        <color rgb="FF222222"/>
        <rFont val="Arial"/>
        <family val="2"/>
      </rPr>
      <t>, </t>
    </r>
    <r>
      <rPr>
        <i/>
        <sz val="13"/>
        <color rgb="FF222222"/>
        <rFont val="Arial"/>
        <family val="2"/>
      </rPr>
      <t>210</t>
    </r>
    <r>
      <rPr>
        <sz val="13"/>
        <color rgb="FF222222"/>
        <rFont val="Arial"/>
        <family val="2"/>
      </rPr>
      <t>, 162-171.</t>
    </r>
  </si>
  <si>
    <t>seasonal change in wrack depsoiton/age</t>
  </si>
  <si>
    <t>Lanari, M., Busk, T., Holmer, M., Möller-Raid, T., Torn, K., Schubert, H., &amp; Quintana, C. O. (2024). From sink to source: Dynamic of greenhouse gases emissions from beach wrack accumulations in a temperate coastal bay. Science of The Total Environment, 925, 171783. https://doi.org/10.1016/j.scitotenv.2024.171783</t>
  </si>
  <si>
    <t>Xu, K., Li, M., Wang, W., Xu, Y., Ji, D., Chen, C., &amp; Xie, C. (2022). Differences in organic carbon release between conchocelis and thalli of Pyropia haitanensis and responses to changes in light intensity and pH. Algal Research, 61, 102574. https://doi.org/10.1016/j.algal.2021.102574</t>
  </si>
  <si>
    <r>
      <t>DUONG, H. S., &amp; Fairweather, P. G. (2011). Effects of sandy beach cusps on wrack accumulation, sediment characteristics and macrofaunal assemblages. </t>
    </r>
    <r>
      <rPr>
        <i/>
        <sz val="13"/>
        <color rgb="FF222222"/>
        <rFont val="Arial"/>
        <family val="2"/>
      </rPr>
      <t>Austral Ecology</t>
    </r>
    <r>
      <rPr>
        <sz val="13"/>
        <color rgb="FF222222"/>
        <rFont val="Arial"/>
        <family val="2"/>
      </rPr>
      <t>, </t>
    </r>
    <r>
      <rPr>
        <i/>
        <sz val="13"/>
        <color rgb="FF222222"/>
        <rFont val="Arial"/>
        <family val="2"/>
      </rPr>
      <t>36</t>
    </r>
    <r>
      <rPr>
        <sz val="13"/>
        <color rgb="FF222222"/>
        <rFont val="Arial"/>
        <family val="2"/>
      </rPr>
      <t>(6), 733-744.</t>
    </r>
  </si>
  <si>
    <r>
      <t>Rodil, I. F., Lastra, M., Lopez, J., Mucha, A. P., Fernandes, J. P., Fernandes, S. V., &amp; Olabarria, C. (2019). Sandy beaches as biogeochemical hotspots: the metabolic role of macroalgal wrack on low-productive shores. </t>
    </r>
    <r>
      <rPr>
        <i/>
        <sz val="13"/>
        <color rgb="FF222222"/>
        <rFont val="Arial"/>
        <family val="2"/>
      </rPr>
      <t>Ecosystems</t>
    </r>
    <r>
      <rPr>
        <sz val="13"/>
        <color rgb="FF222222"/>
        <rFont val="Arial"/>
        <family val="2"/>
      </rPr>
      <t>, </t>
    </r>
    <r>
      <rPr>
        <i/>
        <sz val="13"/>
        <color rgb="FF222222"/>
        <rFont val="Arial"/>
        <family val="2"/>
      </rPr>
      <t>22</t>
    </r>
    <r>
      <rPr>
        <sz val="13"/>
        <color rgb="FF222222"/>
        <rFont val="Arial"/>
        <family val="2"/>
      </rPr>
      <t>, 49-63.</t>
    </r>
  </si>
  <si>
    <r>
      <t>MacMillan, M. R., &amp; Quijón, P. A. (2012). Wrack patches and their influence on upper-shore macrofaunal abundance in an Atlantic Canada sandy beach system. </t>
    </r>
    <r>
      <rPr>
        <i/>
        <sz val="13"/>
        <color rgb="FF222222"/>
        <rFont val="Arial"/>
        <family val="2"/>
      </rPr>
      <t>Journal of Sea Research</t>
    </r>
    <r>
      <rPr>
        <sz val="13"/>
        <color rgb="FF222222"/>
        <rFont val="Arial"/>
        <family val="2"/>
      </rPr>
      <t>, </t>
    </r>
    <r>
      <rPr>
        <i/>
        <sz val="13"/>
        <color rgb="FF222222"/>
        <rFont val="Arial"/>
        <family val="2"/>
      </rPr>
      <t>72</t>
    </r>
    <r>
      <rPr>
        <sz val="13"/>
        <color rgb="FF222222"/>
        <rFont val="Arial"/>
        <family val="2"/>
      </rPr>
      <t>, 28-37.</t>
    </r>
  </si>
  <si>
    <r>
      <t>Harb, T. B., &amp; Chow, F. (2022). An overview of beach-cast seaweeds: Potential and opportunities for the valorization of underused waste biomass. </t>
    </r>
    <r>
      <rPr>
        <i/>
        <sz val="13"/>
        <color rgb="FF222222"/>
        <rFont val="Arial"/>
        <family val="2"/>
      </rPr>
      <t>Algal Research</t>
    </r>
    <r>
      <rPr>
        <sz val="13"/>
        <color rgb="FF222222"/>
        <rFont val="Arial"/>
        <family val="2"/>
      </rPr>
      <t>, </t>
    </r>
    <r>
      <rPr>
        <i/>
        <sz val="13"/>
        <color rgb="FF222222"/>
        <rFont val="Arial"/>
        <family val="2"/>
      </rPr>
      <t>62</t>
    </r>
    <r>
      <rPr>
        <sz val="13"/>
        <color rgb="FF222222"/>
        <rFont val="Arial"/>
        <family val="2"/>
      </rPr>
      <t>, 102643.</t>
    </r>
  </si>
  <si>
    <t>no primary data</t>
  </si>
  <si>
    <r>
      <t>Wang, X., Wu, Y., Jiang, Z., Ma, Q., Zhang, J., &amp; Liu, S. (2017). Quantifying aquaculture‐derived dissolved organic matter in the mesocosms of Sanggou Bay using excitation‐emission matrix spectra and parallel factor analysis. </t>
    </r>
    <r>
      <rPr>
        <i/>
        <sz val="13"/>
        <color rgb="FF222222"/>
        <rFont val="Arial"/>
        <family val="2"/>
      </rPr>
      <t>Journal of the World Aquaculture Society</t>
    </r>
    <r>
      <rPr>
        <sz val="13"/>
        <color rgb="FF222222"/>
        <rFont val="Arial"/>
        <family val="2"/>
      </rPr>
      <t>, </t>
    </r>
    <r>
      <rPr>
        <i/>
        <sz val="13"/>
        <color rgb="FF222222"/>
        <rFont val="Arial"/>
        <family val="2"/>
      </rPr>
      <t>48</t>
    </r>
    <r>
      <rPr>
        <sz val="13"/>
        <color rgb="FF222222"/>
        <rFont val="Arial"/>
        <family val="2"/>
      </rPr>
      <t>(6), 909-926.</t>
    </r>
  </si>
  <si>
    <t>Bedford, A. P., &amp; Moore, P. G. (1985). Macrofaunal involvement in the sublittoral decay of kelp debris: The sea urchin Psammechinus miliaris (Gmelin) (Echinodermata: Echinoidea). Estuarine, Coastal and Shelf Science, 20(1), 19–40. https://doi.org/10.1016/0272-7714(85)90116-7</t>
  </si>
  <si>
    <r>
      <t>Damare, V. S., Fernandes, E. T., Naik, A. A., Cardozo, S. P., Borges, V., &amp; Phuge, P. (2021). Occurrence of thraustochytrids: the fungoid protists vis-a-vis marine macroalgae (seaweeds) along the coast of Goa, India. </t>
    </r>
    <r>
      <rPr>
        <i/>
        <sz val="13"/>
        <color rgb="FF222222"/>
        <rFont val="Arial"/>
        <family val="2"/>
      </rPr>
      <t>Botanica Marina</t>
    </r>
    <r>
      <rPr>
        <sz val="13"/>
        <color rgb="FF222222"/>
        <rFont val="Arial"/>
        <family val="2"/>
      </rPr>
      <t>, </t>
    </r>
    <r>
      <rPr>
        <i/>
        <sz val="13"/>
        <color rgb="FF222222"/>
        <rFont val="Arial"/>
        <family val="2"/>
      </rPr>
      <t>64</t>
    </r>
    <r>
      <rPr>
        <sz val="13"/>
        <color rgb="FF222222"/>
        <rFont val="Arial"/>
        <family val="2"/>
      </rPr>
      <t>(6), 461-475.</t>
    </r>
  </si>
  <si>
    <r>
      <t>Mueller, B., Brocke, H. J., Rohwer, F. L., Dittmar, T., Huisman, J., Vermeij, M. J., &amp; de Goeij, J. M. (2022). Nocturnal dissolved organic matter release by turf algae and its role in the microbialization of reefs. </t>
    </r>
    <r>
      <rPr>
        <i/>
        <sz val="13"/>
        <color rgb="FF222222"/>
        <rFont val="Arial"/>
        <family val="2"/>
      </rPr>
      <t>Functional Ecology</t>
    </r>
    <r>
      <rPr>
        <sz val="13"/>
        <color rgb="FF222222"/>
        <rFont val="Arial"/>
        <family val="2"/>
      </rPr>
      <t>, </t>
    </r>
    <r>
      <rPr>
        <i/>
        <sz val="13"/>
        <color rgb="FF222222"/>
        <rFont val="Arial"/>
        <family val="2"/>
      </rPr>
      <t>36</t>
    </r>
    <r>
      <rPr>
        <sz val="13"/>
        <color rgb="FF222222"/>
        <rFont val="Arial"/>
        <family val="2"/>
      </rPr>
      <t>(8), 2104-2118.</t>
    </r>
  </si>
  <si>
    <r>
      <t>Barreiro, F., Gómez, M., López, J., Lastra, M., &amp; De la Huz, R. (2013). Coupling between macroalgal inputs and nutrients outcrop in exposed sandy beaches. </t>
    </r>
    <r>
      <rPr>
        <i/>
        <sz val="13"/>
        <color rgb="FF222222"/>
        <rFont val="Arial"/>
        <family val="2"/>
      </rPr>
      <t>Hydrobiologia</t>
    </r>
    <r>
      <rPr>
        <sz val="13"/>
        <color rgb="FF222222"/>
        <rFont val="Arial"/>
        <family val="2"/>
      </rPr>
      <t>, </t>
    </r>
    <r>
      <rPr>
        <i/>
        <sz val="13"/>
        <color rgb="FF222222"/>
        <rFont val="Arial"/>
        <family val="2"/>
      </rPr>
      <t>700</t>
    </r>
    <r>
      <rPr>
        <sz val="13"/>
        <color rgb="FF222222"/>
        <rFont val="Arial"/>
        <family val="2"/>
      </rPr>
      <t>, 73-84.</t>
    </r>
  </si>
  <si>
    <r>
      <t>Lewis, T. L., Mews, M., Jelinski, D. E., &amp; Zimmer, M. (2007). Detrital subsidy to the supratidal zone provides feeding habitat for intertidal crabs.</t>
    </r>
    <r>
      <rPr>
        <i/>
        <sz val="12"/>
        <color rgb="FF555555"/>
        <rFont val="Verdana"/>
        <family val="2"/>
      </rPr>
      <t> Estuaries and Coasts, 30</t>
    </r>
    <r>
      <rPr>
        <sz val="12"/>
        <color rgb="FF555555"/>
        <rFont val="Verdana"/>
        <family val="2"/>
      </rPr>
      <t>(3), 451-458. https://doi-org.ezproxy.auckland.ac.nz/10.1007/BF02819391</t>
    </r>
  </si>
  <si>
    <r>
      <t xml:space="preserve">Higgins, H. W., &amp; Mackey, D. J. (n.d.). </t>
    </r>
    <r>
      <rPr>
        <i/>
        <sz val="11"/>
        <color theme="1"/>
        <rFont val="Calibri"/>
        <family val="2"/>
        <scheme val="minor"/>
      </rPr>
      <t>Role of Ecklonia radiata (C. Ag.) J. Agardh in Determining Trace Metal Availability in Coastal Waters. 11." Trace Metal Speciation</t>
    </r>
    <r>
      <rPr>
        <sz val="11"/>
        <color theme="1"/>
        <rFont val="Calibri"/>
        <family val="2"/>
        <scheme val="minor"/>
      </rPr>
      <t>.</t>
    </r>
  </si>
  <si>
    <t>leaching</t>
  </si>
  <si>
    <t>Chen, S., Liu, L., Li, F., Luo, H., Yang, J., &amp; Zhou, H. (2022). Effect of floating and attached macroalgal mats on the decomposition of riparian leaf litter. Limnologica, 96, 126009. https://doi.org/10.1016/j.limno.2022.126009</t>
  </si>
  <si>
    <t>Hollohan, B. T., Dabinett, P. E., &amp; Gow, J. A. (1986). Bacterial succession during biodegradation of the kelp Alaria esculenta (L.) Greville. Canadian Journal of Microbiology, 32(6), 505–512. https://doi.org/10.1139/m86-092</t>
  </si>
  <si>
    <r>
      <t>Fairbanks Jr, D. O., McArthur, J. V., Young, C. M., &amp; Rader, R. B. (2018). Consumption of terrestrial organic matter in the rocky intertidal zone along the central Oregon coast. </t>
    </r>
    <r>
      <rPr>
        <i/>
        <sz val="13"/>
        <color rgb="FF222222"/>
        <rFont val="Arial"/>
        <family val="2"/>
      </rPr>
      <t>Ecosphere</t>
    </r>
    <r>
      <rPr>
        <sz val="13"/>
        <color rgb="FF222222"/>
        <rFont val="Arial"/>
        <family val="2"/>
      </rPr>
      <t>, </t>
    </r>
    <r>
      <rPr>
        <i/>
        <sz val="13"/>
        <color rgb="FF222222"/>
        <rFont val="Arial"/>
        <family val="2"/>
      </rPr>
      <t>9</t>
    </r>
    <r>
      <rPr>
        <sz val="13"/>
        <color rgb="FF222222"/>
        <rFont val="Arial"/>
        <family val="2"/>
      </rPr>
      <t>(3), e02138.</t>
    </r>
  </si>
  <si>
    <r>
      <t>Ramirez-Llodra, E., Rinde, E., Gundersen, H., Christie, H., Fagerli, C. W., Fredriksen, S., ... &amp; Norderhaug, K. M. (2016). A snap shot of the short-term response of crustaceans to macrophyte detritus in the deep Oslofjord. </t>
    </r>
    <r>
      <rPr>
        <i/>
        <sz val="13"/>
        <color rgb="FF222222"/>
        <rFont val="Arial"/>
        <family val="2"/>
      </rPr>
      <t>Scientific Reports</t>
    </r>
    <r>
      <rPr>
        <sz val="13"/>
        <color rgb="FF222222"/>
        <rFont val="Arial"/>
        <family val="2"/>
      </rPr>
      <t>, </t>
    </r>
    <r>
      <rPr>
        <i/>
        <sz val="13"/>
        <color rgb="FF222222"/>
        <rFont val="Arial"/>
        <family val="2"/>
      </rPr>
      <t>6</t>
    </r>
    <r>
      <rPr>
        <sz val="13"/>
        <color rgb="FF222222"/>
        <rFont val="Arial"/>
        <family val="2"/>
      </rPr>
      <t>(1), 23800.</t>
    </r>
  </si>
  <si>
    <t>no quantitative degradation values</t>
  </si>
  <si>
    <t>Liu, S., Deng, Y., Jiang, Z., Wu, Y., Huang, X., &amp; Macreadie, P. I. (2020). Nutrient loading diminishes the dissolved organic carbon drawdown capacity of seagrass ecosystems. Science of The Total Environment, 740, 140185. https://doi.org/10.1016/j.scitotenv.2020.140185</t>
  </si>
  <si>
    <r>
      <t>Hansen, K., &amp; Kristensen, E. (1998). The impact of the polychaete Nereis diversicolor and enrichment with macroalgal (Chaetomorpha linum) detritus on benthic metabolism and nutrient dynamics in organic-poor and organic-rich sediment. </t>
    </r>
    <r>
      <rPr>
        <i/>
        <sz val="13"/>
        <color rgb="FF222222"/>
        <rFont val="Arial"/>
        <family val="2"/>
      </rPr>
      <t>Journal of Experimental Marine Biology and Ecology</t>
    </r>
    <r>
      <rPr>
        <sz val="13"/>
        <color rgb="FF222222"/>
        <rFont val="Arial"/>
        <family val="2"/>
      </rPr>
      <t>, </t>
    </r>
    <r>
      <rPr>
        <i/>
        <sz val="13"/>
        <color rgb="FF222222"/>
        <rFont val="Arial"/>
        <family val="2"/>
      </rPr>
      <t>231</t>
    </r>
    <r>
      <rPr>
        <sz val="13"/>
        <color rgb="FF222222"/>
        <rFont val="Arial"/>
        <family val="2"/>
      </rPr>
      <t>(2), 201-223.</t>
    </r>
  </si>
  <si>
    <t>TCO2 and DOC dynamics presented together</t>
  </si>
  <si>
    <r>
      <t>Raut, Y., Barr, C. R., Paris, E. R., Kapili, B. J., Dekas, A. E., &amp; Capone, D. G. (2024). Autochthonous carbon loading of macroalgae stimulates benthic biological nitrogen fixation rates in shallow coastal marine sediments. </t>
    </r>
    <r>
      <rPr>
        <i/>
        <sz val="13"/>
        <color rgb="FF222222"/>
        <rFont val="Arial"/>
        <family val="2"/>
      </rPr>
      <t>Frontiers in Microbiology</t>
    </r>
    <r>
      <rPr>
        <sz val="13"/>
        <color rgb="FF222222"/>
        <rFont val="Arial"/>
        <family val="2"/>
      </rPr>
      <t>, </t>
    </r>
    <r>
      <rPr>
        <i/>
        <sz val="13"/>
        <color rgb="FF222222"/>
        <rFont val="Arial"/>
        <family val="2"/>
      </rPr>
      <t>14</t>
    </r>
    <r>
      <rPr>
        <sz val="13"/>
        <color rgb="FF222222"/>
        <rFont val="Arial"/>
        <family val="2"/>
      </rPr>
      <t>, 1312843.</t>
    </r>
  </si>
  <si>
    <r>
      <t>Bridier, G., Meziane, T., Grall, J., Chauvaud, L., Donnet, S., Lazure, P., &amp; Olivier, F. (2021). Sources, quality and transfers of organic matter in a highly-stratified sub-Arctic coastal system (Saint-Pierre-et-Miquelon, NW Atlantic). </t>
    </r>
    <r>
      <rPr>
        <i/>
        <sz val="13"/>
        <color rgb="FF222222"/>
        <rFont val="Arial"/>
        <family val="2"/>
      </rPr>
      <t>Progress in Oceanography</t>
    </r>
    <r>
      <rPr>
        <sz val="13"/>
        <color rgb="FF222222"/>
        <rFont val="Arial"/>
        <family val="2"/>
      </rPr>
      <t>, </t>
    </r>
    <r>
      <rPr>
        <i/>
        <sz val="13"/>
        <color rgb="FF222222"/>
        <rFont val="Arial"/>
        <family val="2"/>
      </rPr>
      <t>190</t>
    </r>
    <r>
      <rPr>
        <sz val="13"/>
        <color rgb="FF222222"/>
        <rFont val="Arial"/>
        <family val="2"/>
      </rPr>
      <t>, 102483.</t>
    </r>
  </si>
  <si>
    <t>no algae degradation rates</t>
  </si>
  <si>
    <r>
      <t>Turnewitsch, R., Domeyer, B., &amp; Graf, G. (2007). Experimental evidence for an effect of early-diagenetic interaction between labile and refractory marine sedimentary organic matter on nitrogen dynamics. </t>
    </r>
    <r>
      <rPr>
        <i/>
        <sz val="13"/>
        <color rgb="FF222222"/>
        <rFont val="Arial"/>
        <family val="2"/>
      </rPr>
      <t>Journal of Sea Research</t>
    </r>
    <r>
      <rPr>
        <sz val="13"/>
        <color rgb="FF222222"/>
        <rFont val="Arial"/>
        <family val="2"/>
      </rPr>
      <t>, </t>
    </r>
    <r>
      <rPr>
        <i/>
        <sz val="13"/>
        <color rgb="FF222222"/>
        <rFont val="Arial"/>
        <family val="2"/>
      </rPr>
      <t>57</t>
    </r>
    <r>
      <rPr>
        <sz val="13"/>
        <color rgb="FF222222"/>
        <rFont val="Arial"/>
        <family val="2"/>
      </rPr>
      <t>(4), 270-280.</t>
    </r>
  </si>
  <si>
    <t>mix of detrital material incl algae</t>
  </si>
  <si>
    <r>
      <t>Lomstein, B. A., Guldberg, L. B., Neubauer, A. T. A., Hansen, J., Donnelly, A., Herbert, R. A., ... &amp; Finster, K. (2006). Benthic decomposition of Ulva lactuca: a controlled laboratory experiment. </t>
    </r>
    <r>
      <rPr>
        <i/>
        <sz val="13"/>
        <color rgb="FF222222"/>
        <rFont val="Arial"/>
        <family val="2"/>
      </rPr>
      <t>Aquatic Botany</t>
    </r>
    <r>
      <rPr>
        <sz val="13"/>
        <color rgb="FF222222"/>
        <rFont val="Arial"/>
        <family val="2"/>
      </rPr>
      <t>, </t>
    </r>
    <r>
      <rPr>
        <i/>
        <sz val="13"/>
        <color rgb="FF222222"/>
        <rFont val="Arial"/>
        <family val="2"/>
      </rPr>
      <t>85</t>
    </r>
    <r>
      <rPr>
        <sz val="13"/>
        <color rgb="FF222222"/>
        <rFont val="Arial"/>
        <family val="2"/>
      </rPr>
      <t>(4), 271-281.</t>
    </r>
  </si>
  <si>
    <r>
      <t>Hanson, R. B., &amp; Tenore, K. R. (1981). Microbial metabolism and incorporation by the polychaete Capitella capitata of aerobically and anaerobically decomposed detritus. </t>
    </r>
    <r>
      <rPr>
        <i/>
        <sz val="13"/>
        <color rgb="FF222222"/>
        <rFont val="Arial"/>
        <family val="2"/>
      </rPr>
      <t>Mar. Ecol. Prog. Ser</t>
    </r>
    <r>
      <rPr>
        <sz val="13"/>
        <color rgb="FF222222"/>
        <rFont val="Arial"/>
        <family val="2"/>
      </rPr>
      <t>, </t>
    </r>
    <r>
      <rPr>
        <i/>
        <sz val="13"/>
        <color rgb="FF222222"/>
        <rFont val="Arial"/>
        <family val="2"/>
      </rPr>
      <t>6</t>
    </r>
    <r>
      <rPr>
        <sz val="13"/>
        <color rgb="FF222222"/>
        <rFont val="Arial"/>
        <family val="2"/>
      </rPr>
      <t>, 299-307.</t>
    </r>
  </si>
  <si>
    <r>
      <t>Bourke, M. F., Kessler, A. J., &amp; Cook, P. L. (2014). Influence of buried Ulva lactuca on denitrification in permeable sediments. </t>
    </r>
    <r>
      <rPr>
        <i/>
        <sz val="13"/>
        <color rgb="FF222222"/>
        <rFont val="Arial"/>
        <family val="2"/>
      </rPr>
      <t>Marine Ecology Progress Series</t>
    </r>
    <r>
      <rPr>
        <sz val="13"/>
        <color rgb="FF222222"/>
        <rFont val="Arial"/>
        <family val="2"/>
      </rPr>
      <t>, </t>
    </r>
    <r>
      <rPr>
        <i/>
        <sz val="13"/>
        <color rgb="FF222222"/>
        <rFont val="Arial"/>
        <family val="2"/>
      </rPr>
      <t>498</t>
    </r>
    <r>
      <rPr>
        <sz val="13"/>
        <color rgb="FF222222"/>
        <rFont val="Arial"/>
        <family val="2"/>
      </rPr>
      <t>, 85-94.</t>
    </r>
  </si>
  <si>
    <r>
      <t>Aromokeye, D. A., Willis-Poratti, G., Wunder, L. C., Yin, X., Wendt, J., Richter-Heitmann, T., ... &amp; Friedrich, M. W. (2021). Macroalgae degradation promotes microbial iron reduction via electron shuttling in coastal Antarctic sediments. </t>
    </r>
    <r>
      <rPr>
        <i/>
        <sz val="13"/>
        <color rgb="FF222222"/>
        <rFont val="Arial"/>
        <family val="2"/>
      </rPr>
      <t>Environment International</t>
    </r>
    <r>
      <rPr>
        <sz val="13"/>
        <color rgb="FF222222"/>
        <rFont val="Arial"/>
        <family val="2"/>
      </rPr>
      <t>, </t>
    </r>
    <r>
      <rPr>
        <i/>
        <sz val="13"/>
        <color rgb="FF222222"/>
        <rFont val="Arial"/>
        <family val="2"/>
      </rPr>
      <t>156</t>
    </r>
    <r>
      <rPr>
        <sz val="13"/>
        <color rgb="FF222222"/>
        <rFont val="Arial"/>
        <family val="2"/>
      </rPr>
      <t>, 106602.</t>
    </r>
  </si>
  <si>
    <r>
      <t>Meziane, T., &amp; Tsuchiya, M. (2002). Organic matter in a subtropical mangrove-estuary subjected to wastewater discharge: origin and utilisation by two macrozoobenthic species. </t>
    </r>
    <r>
      <rPr>
        <i/>
        <sz val="13"/>
        <color rgb="FF222222"/>
        <rFont val="Arial"/>
        <family val="2"/>
      </rPr>
      <t>Journal of Sea Research</t>
    </r>
    <r>
      <rPr>
        <sz val="13"/>
        <color rgb="FF222222"/>
        <rFont val="Arial"/>
        <family val="2"/>
      </rPr>
      <t>, </t>
    </r>
    <r>
      <rPr>
        <i/>
        <sz val="13"/>
        <color rgb="FF222222"/>
        <rFont val="Arial"/>
        <family val="2"/>
      </rPr>
      <t>47</t>
    </r>
    <r>
      <rPr>
        <sz val="13"/>
        <color rgb="FF222222"/>
        <rFont val="Arial"/>
        <family val="2"/>
      </rPr>
      <t>(1), 1-11.</t>
    </r>
  </si>
  <si>
    <r>
      <t>Guo, C., Yang, S., Zhai, W., Niu, Y., &amp; Liu, C. (2022). Biological–physical oceanographic coupling influencing particulate organic matter in the South Yellow Sea. </t>
    </r>
    <r>
      <rPr>
        <i/>
        <sz val="13"/>
        <color rgb="FF222222"/>
        <rFont val="Arial"/>
        <family val="2"/>
      </rPr>
      <t>Frontiers in Marine Science</t>
    </r>
    <r>
      <rPr>
        <sz val="13"/>
        <color rgb="FF222222"/>
        <rFont val="Arial"/>
        <family val="2"/>
      </rPr>
      <t>, </t>
    </r>
    <r>
      <rPr>
        <i/>
        <sz val="13"/>
        <color rgb="FF222222"/>
        <rFont val="Arial"/>
        <family val="2"/>
      </rPr>
      <t>9</t>
    </r>
    <r>
      <rPr>
        <sz val="13"/>
        <color rgb="FF222222"/>
        <rFont val="Arial"/>
        <family val="2"/>
      </rPr>
      <t>, 919423.</t>
    </r>
  </si>
  <si>
    <t>mix of POM sources incl macroalgae</t>
  </si>
  <si>
    <r>
      <t>Vázquez-Delfín, E., Robledo, D., &amp; Freile-Pelegrín, Y. (2024). Temporal Characterization of Sargassum (Sargassaceae, Phaeophyceae) Strandings in a Sandy Beach of Quintana Roo, Mexico: Ecological Implications for Coastal Ecosystems and Management. </t>
    </r>
    <r>
      <rPr>
        <i/>
        <sz val="13"/>
        <color rgb="FF222222"/>
        <rFont val="Arial"/>
        <family val="2"/>
      </rPr>
      <t>Thalassas: An International Journal of Marine Sciences</t>
    </r>
    <r>
      <rPr>
        <sz val="13"/>
        <color rgb="FF222222"/>
        <rFont val="Arial"/>
        <family val="2"/>
      </rPr>
      <t>, 1-15.</t>
    </r>
  </si>
  <si>
    <r>
      <t>Rossi, F., Gribsholt, B., Gazeau, F., Di Santo, V., &amp; Middelburg, J. J. (2013). Complex effects of ecosystem engineer loss on benthic ecosystem response to detrital macroalgae. </t>
    </r>
    <r>
      <rPr>
        <i/>
        <sz val="13"/>
        <color rgb="FF222222"/>
        <rFont val="Arial"/>
        <family val="2"/>
      </rPr>
      <t>PLoS One</t>
    </r>
    <r>
      <rPr>
        <sz val="13"/>
        <color rgb="FF222222"/>
        <rFont val="Arial"/>
        <family val="2"/>
      </rPr>
      <t>, </t>
    </r>
    <r>
      <rPr>
        <i/>
        <sz val="13"/>
        <color rgb="FF222222"/>
        <rFont val="Arial"/>
        <family val="2"/>
      </rPr>
      <t>8</t>
    </r>
    <r>
      <rPr>
        <sz val="13"/>
        <color rgb="FF222222"/>
        <rFont val="Arial"/>
        <family val="2"/>
      </rPr>
      <t>(6), e66650.</t>
    </r>
  </si>
  <si>
    <r>
      <t>Wiedemeyer, W. L., &amp; Schwamborn, R. (1996). Detritus derived from eelgrass and macroalgae as potential carbon source for Mytilus edulis in Kiel Fjord, Germany: a preliminary carbon isotopic study. </t>
    </r>
    <r>
      <rPr>
        <i/>
        <sz val="13"/>
        <color rgb="FF222222"/>
        <rFont val="Arial"/>
        <family val="2"/>
      </rPr>
      <t>Helgoländer Meeresuntersuchungen</t>
    </r>
    <r>
      <rPr>
        <sz val="13"/>
        <color rgb="FF222222"/>
        <rFont val="Arial"/>
        <family val="2"/>
      </rPr>
      <t>, </t>
    </r>
    <r>
      <rPr>
        <i/>
        <sz val="13"/>
        <color rgb="FF222222"/>
        <rFont val="Arial"/>
        <family val="2"/>
      </rPr>
      <t>50</t>
    </r>
    <r>
      <rPr>
        <sz val="13"/>
        <color rgb="FF222222"/>
        <rFont val="Arial"/>
        <family val="2"/>
      </rPr>
      <t>, 409-413.</t>
    </r>
  </si>
  <si>
    <r>
      <t>Neves, J. R., Valença, A. P., Botter-Carvalho, M. L., &amp; Santos, P. J. (2019). Do the presence and physiological stage of algal mats affect the meiobenthic community in a tropical estuary?. </t>
    </r>
    <r>
      <rPr>
        <i/>
        <sz val="13"/>
        <color rgb="FF222222"/>
        <rFont val="Arial"/>
        <family val="2"/>
      </rPr>
      <t>Journal of Experimental Marine Biology and Ecology</t>
    </r>
    <r>
      <rPr>
        <sz val="13"/>
        <color rgb="FF222222"/>
        <rFont val="Arial"/>
        <family val="2"/>
      </rPr>
      <t>, </t>
    </r>
    <r>
      <rPr>
        <i/>
        <sz val="13"/>
        <color rgb="FF222222"/>
        <rFont val="Arial"/>
        <family val="2"/>
      </rPr>
      <t>511</t>
    </r>
    <r>
      <rPr>
        <sz val="13"/>
        <color rgb="FF222222"/>
        <rFont val="Arial"/>
        <family val="2"/>
      </rPr>
      <t>, 75-81.</t>
    </r>
  </si>
  <si>
    <r>
      <t>Cebrian, J. (2002). Variability and control of carbon consumption, export, and accumulation in marine communities. </t>
    </r>
    <r>
      <rPr>
        <i/>
        <sz val="13"/>
        <color rgb="FF222222"/>
        <rFont val="Arial"/>
        <family val="2"/>
      </rPr>
      <t>Limnology and oceanography</t>
    </r>
    <r>
      <rPr>
        <sz val="13"/>
        <color rgb="FF222222"/>
        <rFont val="Arial"/>
        <family val="2"/>
      </rPr>
      <t>, </t>
    </r>
    <r>
      <rPr>
        <i/>
        <sz val="13"/>
        <color rgb="FF222222"/>
        <rFont val="Arial"/>
        <family val="2"/>
      </rPr>
      <t>47</t>
    </r>
    <r>
      <rPr>
        <sz val="13"/>
        <color rgb="FF222222"/>
        <rFont val="Arial"/>
        <family val="2"/>
      </rPr>
      <t>(1), 11-22.</t>
    </r>
  </si>
  <si>
    <r>
      <t>Papaspyrou, S., Thessalou-Legaki, M., &amp; Kristensen, E. (2004). Impact of Pestarella tyrrhena on benthic metabolism in sediment microcosms enriched with seagrass and macroalgal detritus. </t>
    </r>
    <r>
      <rPr>
        <i/>
        <sz val="13"/>
        <color rgb="FF222222"/>
        <rFont val="Arial"/>
        <family val="2"/>
      </rPr>
      <t>Marine Ecology Progress Series</t>
    </r>
    <r>
      <rPr>
        <sz val="13"/>
        <color rgb="FF222222"/>
        <rFont val="Arial"/>
        <family val="2"/>
      </rPr>
      <t>, </t>
    </r>
    <r>
      <rPr>
        <i/>
        <sz val="13"/>
        <color rgb="FF222222"/>
        <rFont val="Arial"/>
        <family val="2"/>
      </rPr>
      <t>281</t>
    </r>
    <r>
      <rPr>
        <sz val="13"/>
        <color rgb="FF222222"/>
        <rFont val="Arial"/>
        <family val="2"/>
      </rPr>
      <t>, 165-179.</t>
    </r>
  </si>
  <si>
    <r>
      <t>Valença, A. P., Clemente, C. C., Neves, J. R., Silva, J. F., Bezerra, R. S., Botter-Carvalho, M. L., ... &amp; Santos, P. J. (2016). Effects of algal mats on a tropical estuarine benthic system: sediment biogeochemistry and macrofauna. </t>
    </r>
    <r>
      <rPr>
        <i/>
        <sz val="13"/>
        <color rgb="FF222222"/>
        <rFont val="Arial"/>
        <family val="2"/>
      </rPr>
      <t>Hydrobiologia</t>
    </r>
    <r>
      <rPr>
        <sz val="13"/>
        <color rgb="FF222222"/>
        <rFont val="Arial"/>
        <family val="2"/>
      </rPr>
      <t>, </t>
    </r>
    <r>
      <rPr>
        <i/>
        <sz val="13"/>
        <color rgb="FF222222"/>
        <rFont val="Arial"/>
        <family val="2"/>
      </rPr>
      <t>775</t>
    </r>
    <r>
      <rPr>
        <sz val="13"/>
        <color rgb="FF222222"/>
        <rFont val="Arial"/>
        <family val="2"/>
      </rPr>
      <t>, 197-211.</t>
    </r>
  </si>
  <si>
    <r>
      <t>Lanari, M., Busk, T., Holmer, M., Möller-Raid, T., Torn, K., Schubert, H., &amp; Quintana, C. O. (2024). From sink to source: Dynamic of greenhouse gases emissions from beach wrack accumulations in a temperate coastal bay. </t>
    </r>
    <r>
      <rPr>
        <i/>
        <sz val="13"/>
        <color rgb="FF222222"/>
        <rFont val="Arial"/>
        <family val="2"/>
      </rPr>
      <t>Science of the Total Environment</t>
    </r>
    <r>
      <rPr>
        <sz val="13"/>
        <color rgb="FF222222"/>
        <rFont val="Arial"/>
        <family val="2"/>
      </rPr>
      <t>, </t>
    </r>
    <r>
      <rPr>
        <i/>
        <sz val="13"/>
        <color rgb="FF222222"/>
        <rFont val="Arial"/>
        <family val="2"/>
      </rPr>
      <t>925</t>
    </r>
    <r>
      <rPr>
        <sz val="13"/>
        <color rgb="FF222222"/>
        <rFont val="Arial"/>
        <family val="2"/>
      </rPr>
      <t>, 171783.</t>
    </r>
  </si>
  <si>
    <r>
      <t>Rodil, I. F., Rodriguez, V. P., Bernal-Ibáñez, A., Pardiello, M., Soccio, F., &amp; Gestoso, I. (2024). High contribution of an invasive macroalgae species to beach wrack CO2 emissions. </t>
    </r>
    <r>
      <rPr>
        <i/>
        <sz val="13"/>
        <color rgb="FF222222"/>
        <rFont val="Arial"/>
        <family val="2"/>
      </rPr>
      <t>Journal of Environmental Management</t>
    </r>
    <r>
      <rPr>
        <sz val="13"/>
        <color rgb="FF222222"/>
        <rFont val="Arial"/>
        <family val="2"/>
      </rPr>
      <t>, </t>
    </r>
    <r>
      <rPr>
        <i/>
        <sz val="13"/>
        <color rgb="FF222222"/>
        <rFont val="Arial"/>
        <family val="2"/>
      </rPr>
      <t>367</t>
    </r>
    <r>
      <rPr>
        <sz val="13"/>
        <color rgb="FF222222"/>
        <rFont val="Arial"/>
        <family val="2"/>
      </rPr>
      <t>, 122021.</t>
    </r>
  </si>
  <si>
    <t>wrack deposition and co2 flux</t>
  </si>
  <si>
    <r>
      <t>Huang, H., Zan, S., Shao, K., Chen, H., &amp; Fan, J. (2024). Spatial distribution characteristics and interaction effects of DOM and microbial communities in kelp cultivation areas. </t>
    </r>
    <r>
      <rPr>
        <i/>
        <sz val="13"/>
        <color rgb="FF222222"/>
        <rFont val="Arial"/>
        <family val="2"/>
      </rPr>
      <t>Science of The Total Environment</t>
    </r>
    <r>
      <rPr>
        <sz val="13"/>
        <color rgb="FF222222"/>
        <rFont val="Arial"/>
        <family val="2"/>
      </rPr>
      <t>, </t>
    </r>
    <r>
      <rPr>
        <i/>
        <sz val="13"/>
        <color rgb="FF222222"/>
        <rFont val="Arial"/>
        <family val="2"/>
      </rPr>
      <t>920</t>
    </r>
    <r>
      <rPr>
        <sz val="13"/>
        <color rgb="FF222222"/>
        <rFont val="Arial"/>
        <family val="2"/>
      </rPr>
      <t>, 170511.</t>
    </r>
  </si>
  <si>
    <t>change in DOC near algal cultivation areas</t>
  </si>
  <si>
    <r>
      <t>Wai, T. C., Ng, J. S., Leung, K. M., Dudgeon, D., &amp; Williams, G. A. (2008). The source and fate of organic matter and the significance of detrital pathways in a tropical coastal ecosystem. </t>
    </r>
    <r>
      <rPr>
        <i/>
        <sz val="13"/>
        <color rgb="FF222222"/>
        <rFont val="Arial"/>
        <family val="2"/>
      </rPr>
      <t>Limnology and Oceanography</t>
    </r>
    <r>
      <rPr>
        <sz val="13"/>
        <color rgb="FF222222"/>
        <rFont val="Arial"/>
        <family val="2"/>
      </rPr>
      <t>, </t>
    </r>
    <r>
      <rPr>
        <i/>
        <sz val="13"/>
        <color rgb="FF222222"/>
        <rFont val="Arial"/>
        <family val="2"/>
      </rPr>
      <t>53</t>
    </r>
    <r>
      <rPr>
        <sz val="13"/>
        <color rgb="FF222222"/>
        <rFont val="Arial"/>
        <family val="2"/>
      </rPr>
      <t>(4), 1479-1492.</t>
    </r>
  </si>
  <si>
    <r>
      <t>Marcelina, Z., Adam, S., &amp; Pierre, R. (2018). Spatial and temporal variability of organic matter sources and food web structure across benthic habitats in a low diversity system (southern Baltic Sea). </t>
    </r>
    <r>
      <rPr>
        <i/>
        <sz val="13"/>
        <color rgb="FF222222"/>
        <rFont val="Arial"/>
        <family val="2"/>
      </rPr>
      <t>Journal of Sea Research</t>
    </r>
    <r>
      <rPr>
        <sz val="13"/>
        <color rgb="FF222222"/>
        <rFont val="Arial"/>
        <family val="2"/>
      </rPr>
      <t>, </t>
    </r>
    <r>
      <rPr>
        <i/>
        <sz val="13"/>
        <color rgb="FF222222"/>
        <rFont val="Arial"/>
        <family val="2"/>
      </rPr>
      <t>141</t>
    </r>
    <r>
      <rPr>
        <sz val="13"/>
        <color rgb="FF222222"/>
        <rFont val="Arial"/>
        <family val="2"/>
      </rPr>
      <t>, 47-60.</t>
    </r>
  </si>
  <si>
    <r>
      <t>Thomas, F., Le Duff, N., Leroux, C., Dartevelle, L., &amp; Riera, P. (2020). Isotopic labeling of cultured macroalgae and isolation of 13C-labeled cell wall polysaccharides for trophic investigations. In </t>
    </r>
    <r>
      <rPr>
        <i/>
        <sz val="13"/>
        <color rgb="FF222222"/>
        <rFont val="Arial"/>
        <family val="2"/>
      </rPr>
      <t>Advances in Botanical Research</t>
    </r>
    <r>
      <rPr>
        <sz val="13"/>
        <color rgb="FF222222"/>
        <rFont val="Arial"/>
        <family val="2"/>
      </rPr>
      <t> (Vol. 95, pp. 1-17). Academic Press.</t>
    </r>
  </si>
  <si>
    <t>Jȩdrzejczak, M. F. (2002). Spatio-temporal decay “hot spots” of stranded wrack in a Baltic sandy coastal system. Part I. Comparative study of the pattern: 1 type of wrack vs 3 beach sites. Oceanologia, 44(4), 491–512.</t>
  </si>
  <si>
    <r>
      <t>Xu, K., Li, M., Wang, W., Xu, Y., Ji, D., Chen, C., &amp; Xie, C. (2022). Differences in organic carbon release between conchocelis and thalli of Pyropia haitanensis and responses to changes in light intensity and pH. </t>
    </r>
    <r>
      <rPr>
        <i/>
        <sz val="13"/>
        <color rgb="FF222222"/>
        <rFont val="Arial"/>
        <family val="2"/>
      </rPr>
      <t>Algal Research</t>
    </r>
    <r>
      <rPr>
        <sz val="13"/>
        <color rgb="FF222222"/>
        <rFont val="Arial"/>
        <family val="2"/>
      </rPr>
      <t>, </t>
    </r>
    <r>
      <rPr>
        <i/>
        <sz val="13"/>
        <color rgb="FF222222"/>
        <rFont val="Arial"/>
        <family val="2"/>
      </rPr>
      <t>61</t>
    </r>
    <r>
      <rPr>
        <sz val="13"/>
        <color rgb="FF222222"/>
        <rFont val="Arial"/>
        <family val="2"/>
      </rPr>
      <t>, 102574.</t>
    </r>
  </si>
  <si>
    <r>
      <t>Lastra, M., Lopez, J., Troncoso, J. S., &amp; Sampedro, L. (2021). Warming and Wrack Supply Will Accelerate CO 2 Emission and Nutrients Release on Antarctic Sedimentary Shores: A Case Study on a Volcanic Island. </t>
    </r>
    <r>
      <rPr>
        <i/>
        <sz val="13"/>
        <color rgb="FF222222"/>
        <rFont val="Arial"/>
        <family val="2"/>
      </rPr>
      <t>Ecosystems</t>
    </r>
    <r>
      <rPr>
        <sz val="13"/>
        <color rgb="FF222222"/>
        <rFont val="Arial"/>
        <family val="2"/>
      </rPr>
      <t>, </t>
    </r>
    <r>
      <rPr>
        <i/>
        <sz val="13"/>
        <color rgb="FF222222"/>
        <rFont val="Arial"/>
        <family val="2"/>
      </rPr>
      <t>24</t>
    </r>
    <r>
      <rPr>
        <sz val="13"/>
        <color rgb="FF222222"/>
        <rFont val="Arial"/>
        <family val="2"/>
      </rPr>
      <t>, 855-874.</t>
    </r>
  </si>
  <si>
    <r>
      <t>Lepoint, G., &amp; Hyndes, G. A. (2022). Tropicalization of seagrass macrophytodetritus accumulations and associated food webs. </t>
    </r>
    <r>
      <rPr>
        <i/>
        <sz val="13"/>
        <color rgb="FF222222"/>
        <rFont val="Arial"/>
        <family val="2"/>
      </rPr>
      <t>Frontiers in Marine Science</t>
    </r>
    <r>
      <rPr>
        <sz val="13"/>
        <color rgb="FF222222"/>
        <rFont val="Arial"/>
        <family val="2"/>
      </rPr>
      <t>, </t>
    </r>
    <r>
      <rPr>
        <i/>
        <sz val="13"/>
        <color rgb="FF222222"/>
        <rFont val="Arial"/>
        <family val="2"/>
      </rPr>
      <t>9</t>
    </r>
    <r>
      <rPr>
        <sz val="13"/>
        <color rgb="FF222222"/>
        <rFont val="Arial"/>
        <family val="2"/>
      </rPr>
      <t>, 943841.</t>
    </r>
  </si>
  <si>
    <r>
      <t>Jaiswar, S., Mungalapara, U., Kazi, M. A., &amp; Balar, N. (2022). Evidence from preliminary experiments revealed drifted Ulva biomass has seedling and aquaculture potential. </t>
    </r>
    <r>
      <rPr>
        <i/>
        <sz val="13"/>
        <color rgb="FF222222"/>
        <rFont val="Arial"/>
        <family val="2"/>
      </rPr>
      <t>Aquaculture International</t>
    </r>
    <r>
      <rPr>
        <sz val="13"/>
        <color rgb="FF222222"/>
        <rFont val="Arial"/>
        <family val="2"/>
      </rPr>
      <t>, </t>
    </r>
    <r>
      <rPr>
        <i/>
        <sz val="13"/>
        <color rgb="FF222222"/>
        <rFont val="Arial"/>
        <family val="2"/>
      </rPr>
      <t>30</t>
    </r>
    <r>
      <rPr>
        <sz val="13"/>
        <color rgb="FF222222"/>
        <rFont val="Arial"/>
        <family val="2"/>
      </rPr>
      <t>(6), 2833-2846.</t>
    </r>
  </si>
  <si>
    <r>
      <t>Lane-Medeiros, L., Puppin-Gonçalves, C. T., Angelini, R., Lira, A. S., Lucena-Frédou, F., &amp; Freire, F. A. M. (2023). Macroalgal blooms affect the food web of tropical coastal ecosystems impacted by fisheries. </t>
    </r>
    <r>
      <rPr>
        <i/>
        <sz val="13"/>
        <color rgb="FF222222"/>
        <rFont val="Arial"/>
        <family val="2"/>
      </rPr>
      <t>Marine Environmental Research</t>
    </r>
    <r>
      <rPr>
        <sz val="13"/>
        <color rgb="FF222222"/>
        <rFont val="Arial"/>
        <family val="2"/>
      </rPr>
      <t>, </t>
    </r>
    <r>
      <rPr>
        <i/>
        <sz val="13"/>
        <color rgb="FF222222"/>
        <rFont val="Arial"/>
        <family val="2"/>
      </rPr>
      <t>184</t>
    </r>
    <r>
      <rPr>
        <sz val="13"/>
        <color rgb="FF222222"/>
        <rFont val="Arial"/>
        <family val="2"/>
      </rPr>
      <t>, 105858.</t>
    </r>
  </si>
  <si>
    <r>
      <t>Casal-Porras, I., Yamuza-Magdaleno, A., Jiménez-Ramos, R., Egea, L. G., Pérez-Lloréns, J. L., &amp; Brun, F. G. (2024). Effects of a chronic impact on Cymodocea nodosa community carbon metabolism and dissolved organic carbon fluxes. </t>
    </r>
    <r>
      <rPr>
        <i/>
        <sz val="13"/>
        <color rgb="FF222222"/>
        <rFont val="Arial"/>
        <family val="2"/>
      </rPr>
      <t>Science of the Total Environment</t>
    </r>
    <r>
      <rPr>
        <sz val="13"/>
        <color rgb="FF222222"/>
        <rFont val="Arial"/>
        <family val="2"/>
      </rPr>
      <t>, </t>
    </r>
    <r>
      <rPr>
        <i/>
        <sz val="13"/>
        <color rgb="FF222222"/>
        <rFont val="Arial"/>
        <family val="2"/>
      </rPr>
      <t>906</t>
    </r>
    <r>
      <rPr>
        <sz val="13"/>
        <color rgb="FF222222"/>
        <rFont val="Arial"/>
        <family val="2"/>
      </rPr>
      <t>, 167740.</t>
    </r>
  </si>
  <si>
    <r>
      <t>Bedford, A. P., &amp; Moore, P. G. (1985). Macrofaunal involvement in the sublittoral decay of kelp debris: the polychaete Platynereis dumerilii (Audouin and Milne-Edwards)(Annelida: Polychaeta). </t>
    </r>
    <r>
      <rPr>
        <i/>
        <sz val="13"/>
        <color rgb="FF222222"/>
        <rFont val="Arial"/>
        <family val="2"/>
      </rPr>
      <t>Estuarine, Coastal and Shelf Science</t>
    </r>
    <r>
      <rPr>
        <sz val="13"/>
        <color rgb="FF222222"/>
        <rFont val="Arial"/>
        <family val="2"/>
      </rPr>
      <t>, </t>
    </r>
    <r>
      <rPr>
        <i/>
        <sz val="13"/>
        <color rgb="FF222222"/>
        <rFont val="Arial"/>
        <family val="2"/>
      </rPr>
      <t>20</t>
    </r>
    <r>
      <rPr>
        <sz val="13"/>
        <color rgb="FF222222"/>
        <rFont val="Arial"/>
        <family val="2"/>
      </rPr>
      <t>(2), 117-134.</t>
    </r>
  </si>
  <si>
    <t xml:space="preserve">list of rejected studies and reasons why these studies were rejected </t>
  </si>
  <si>
    <t xml:space="preserve">Legend </t>
  </si>
  <si>
    <t>Not a primary source: meta-analysis, review, modelling paper</t>
  </si>
  <si>
    <t xml:space="preserve">stable isotopes/trophic flow study </t>
  </si>
  <si>
    <t>macroalgal feeding assay</t>
  </si>
  <si>
    <t xml:space="preserve">Degradation of CDOM </t>
  </si>
  <si>
    <t xml:space="preserve">Degradation performed at extremely high temperatures </t>
  </si>
  <si>
    <t>Not peer reviewed</t>
  </si>
  <si>
    <t>DOC production/leaching</t>
  </si>
  <si>
    <t xml:space="preserve">TGA </t>
  </si>
  <si>
    <t>lake</t>
  </si>
  <si>
    <t>No marine macroalgal degradation data included (includes aquatic studies, studies on other types of marophytes, studies on phytoplankton degradation)</t>
  </si>
  <si>
    <t>issues with data</t>
  </si>
  <si>
    <t>Search number legend</t>
  </si>
  <si>
    <t xml:space="preserve">Google scholar (supplemental search) </t>
  </si>
  <si>
    <t>degradation rates taken from Raut and Capone 2021</t>
  </si>
  <si>
    <t>repeat of Luo et al 2022 "The evaluation of C, N, P release and contribution to the water environment during &lt;i&gt;Gracilaria&lt;/i&gt; litters biomass decay"</t>
  </si>
  <si>
    <t>acclimated for 3 days to allow mucilage to leach</t>
  </si>
  <si>
    <t>300 ml biological oxygen demand (BOD) bottles</t>
  </si>
  <si>
    <t xml:space="preserve">300 ml </t>
  </si>
  <si>
    <t>natural seawater + added nutrients</t>
  </si>
  <si>
    <t>Lozada et al 2021</t>
  </si>
  <si>
    <t>Lastra, M., López, J., &amp; Rodil, I. F. (2018). Warming intensify CO2 flux and nutrient release from algal wrack subsidies on sandy beaches. Global Change Biology, 24(8), 3766–3779. https://doi.org/10.1111/gcb.14279</t>
  </si>
  <si>
    <t>Lastra, M., López, J., &amp; Rodil, I. F. (2018). Warming intensify CO2 flux and nutrient release from algal wrack subsidies on sandy beaches. Global Change Biology, 24(8), 3766–3779. https://doi.org/10.1111/gcb.14280</t>
  </si>
  <si>
    <t>Lastra, M., López, J., &amp; Rodil, I. F. (2018). Warming intensify CO2 flux and nutrient release from algal wrack subsidies on sandy beaches. Global Change Biology, 24(8), 3766–3779. https://doi.org/10.1111/gcb.14281</t>
  </si>
  <si>
    <t>42.201389, -8.80444</t>
  </si>
  <si>
    <t>holding 1 mm mesh bags loaded with 10 kg of fresh algae at 5 m depth during 1 week</t>
  </si>
  <si>
    <t>+0.5 m in height above the drift line</t>
  </si>
  <si>
    <t>warming chamber</t>
  </si>
  <si>
    <t>no container</t>
  </si>
  <si>
    <t>Lastra et al 2018</t>
  </si>
  <si>
    <t>% weight loss respect initial</t>
  </si>
  <si>
    <t>started with only 90% of initial material ??</t>
  </si>
  <si>
    <t>fresh algae control</t>
  </si>
  <si>
    <t>aged algae control</t>
  </si>
  <si>
    <t>aged warmed algae</t>
  </si>
  <si>
    <t xml:space="preserve">warmed fresh algae </t>
  </si>
  <si>
    <t>Olabarria, C., Lastra, M., &amp; Garrido, J. (2007). Succession of macrofauna on macroalgal wrack of an exposed sandy beach: Effects of patch size and site. Marine Environmental Research, 63(1), 19–40. https://doi.org/10.1016/j.marenvres.2006.06.002</t>
  </si>
  <si>
    <t>Olabarria, C., Lastra, M., &amp; Garrido, J. (2007). Succession of macrofauna on macroalgal wrack of an exposed sandy beach: Effects of patch size and site. Marine Environmental Research, 63(1), 19–40. https://doi.org/10.1016/j.marenvres.2006.06.003</t>
  </si>
  <si>
    <t>42.85056, -9.145833</t>
  </si>
  <si>
    <t>3 m above the drift line</t>
  </si>
  <si>
    <t>fresh algae warmed</t>
  </si>
  <si>
    <t>small patch</t>
  </si>
  <si>
    <t>medium patch</t>
  </si>
  <si>
    <t>large patch</t>
  </si>
  <si>
    <t>Olabarria et al 2007</t>
  </si>
  <si>
    <t>small patch (1 kg)</t>
  </si>
  <si>
    <t>medium patch (3 kg)</t>
  </si>
  <si>
    <t>large patch (5 kg)</t>
  </si>
  <si>
    <t>herbivore_addition</t>
  </si>
  <si>
    <t>herbviore access; species specific</t>
  </si>
  <si>
    <t>herbivore inclusion</t>
  </si>
  <si>
    <t>wrack deposition tied w degradation</t>
  </si>
  <si>
    <t>Ulva clathrata</t>
  </si>
  <si>
    <t>clathrata</t>
  </si>
  <si>
    <t>reticulata</t>
  </si>
  <si>
    <t>Ulva reticulata</t>
  </si>
  <si>
    <t>Pakistan</t>
  </si>
  <si>
    <t>24.946824779355193, 67.12240882972554</t>
  </si>
  <si>
    <t>U intestinalis</t>
  </si>
  <si>
    <t>U clathrata</t>
  </si>
  <si>
    <t>U reticulata</t>
  </si>
  <si>
    <t>Shafique et al 2010</t>
  </si>
  <si>
    <t>religiosa</t>
  </si>
  <si>
    <t>Saccharina religiosa</t>
  </si>
  <si>
    <t>43.3833, 141.433333</t>
  </si>
  <si>
    <t>Kochi, K., &amp; Yanai, S. (2006).</t>
  </si>
  <si>
    <t>present data on initial not final C:N</t>
  </si>
  <si>
    <t>kelp broke down faster than oak tree leaves</t>
  </si>
  <si>
    <t>47.628282944262196, -52.662204450479685</t>
  </si>
  <si>
    <t xml:space="preserve">Hollohan, et al (1986). </t>
  </si>
  <si>
    <t>Tissue carbon content</t>
  </si>
  <si>
    <t xml:space="preserve">Rhizoclonium sp. </t>
  </si>
  <si>
    <t>Rhizoclonium</t>
  </si>
  <si>
    <t>Lanari, et al (2018).</t>
  </si>
  <si>
    <t>% TOC remaining</t>
  </si>
  <si>
    <t>carbon content in tissue</t>
  </si>
  <si>
    <t>Lanari, M., Claudino, M. C., Garcia, A. M., &amp; da Silva Copertino, M. (2018). Changes in the elemental (C, N) and isotopic (δ13C, δ15N) composition of estuarine plants during diagenesis and implications for ecological studies. Journal of Experimental Marine Biology and Ecology, 500, 46-54.</t>
  </si>
  <si>
    <t>no initial values given, also multiple sites and species but only one set of data presented- not clear if global mean</t>
  </si>
  <si>
    <t xml:space="preserve">Repeat of Rieper-Kirchner 1989 Bot mar. </t>
  </si>
  <si>
    <t xml:space="preserve">no initial values given </t>
  </si>
  <si>
    <t>y=99.963*exp(-0.677x)</t>
  </si>
  <si>
    <t>y=99.97*exp(-0.6813x)</t>
  </si>
  <si>
    <t>y=99.5731*exp(-0.4332x)</t>
  </si>
  <si>
    <t>y=99.8557*exp(-0.5142x)</t>
  </si>
  <si>
    <t>3 parameter exp decay</t>
  </si>
  <si>
    <t>y=29.7627 + 70.146*exp(-0.5599x)</t>
  </si>
  <si>
    <t>y=87.9176*exp(-0.153x)</t>
  </si>
  <si>
    <t>y=24.9552+74.505*e^(-0.3597x)</t>
  </si>
  <si>
    <t>y=24.4167+74.7146*exp(-0.6064x)</t>
  </si>
  <si>
    <t>y=22.52 +70.7009*exp(-0.144x)</t>
  </si>
  <si>
    <t>y=17.9409+78.6705*exp(-0.171x)</t>
  </si>
  <si>
    <t>y=88.748-3.5714x</t>
  </si>
  <si>
    <t>y=98.9425-0.7093x</t>
  </si>
  <si>
    <t>y=91.9005-2.654x</t>
  </si>
  <si>
    <t xml:space="preserve">24 hrs degradation- too short. </t>
  </si>
  <si>
    <t>24 hrs degradation- too short</t>
  </si>
  <si>
    <t>Nereocystis shallow</t>
  </si>
  <si>
    <t>Nereocystis deep</t>
  </si>
  <si>
    <t>Agarum shallow</t>
  </si>
  <si>
    <t>Agarum deep</t>
  </si>
  <si>
    <t>y=98.393-1.0175x</t>
  </si>
  <si>
    <t>Kochi, K., &amp; Yanai, S. (2006). Decomposition of leaves in coastal brackish water and their use by the macroinvertebrate Anisogammarus pugettensis (Gammaridea). Marine and freshwater research, 57(5), 545-551.</t>
  </si>
  <si>
    <t>Shafique, S., Siddiqui, P. J. S., Aziz, R. A., Burhan, Z., &amp; Mansoor, S. N. (2010). Weight loss and changes in organic, inorganic and chlorophyll contents in three species of seaweeds during decomposition. Pak. J. Bot, 42(4), 2599-2604.</t>
  </si>
  <si>
    <t>-42.783333, -64.95</t>
  </si>
  <si>
    <t>Lozada, M., Dieguez, M., Garcia, P., Bigatti, G., Livore, J. P., Giarratano, E., Gil, M., &amp; Dionisi, H. (2021). Undaria pinnatifida exudates trigger shifts in seawater chemistry and microbial communities from Atlantic Patagonian coasts—ProQuest. Biological Invasions, 23, 1781–1801.</t>
  </si>
  <si>
    <t>-32.0176498, -52.112569</t>
  </si>
  <si>
    <t>DOC and tissues</t>
  </si>
  <si>
    <t>POM and Tissue</t>
  </si>
  <si>
    <t>model_type_reported</t>
  </si>
  <si>
    <t>Supplemental file 2: all_studies</t>
  </si>
  <si>
    <t>Supplemental file 3: model fitting</t>
  </si>
  <si>
    <t>Supplemental file 4: CN changes</t>
  </si>
  <si>
    <t>Supplemental File 5: Rejected Studies</t>
  </si>
  <si>
    <t>Metadata for Supplemental Files 1-5</t>
  </si>
  <si>
    <t>Additional notes for File S1</t>
  </si>
  <si>
    <t>Supplemental File 1: All Observations</t>
  </si>
  <si>
    <t>S1 column name</t>
  </si>
  <si>
    <t>S1 column meaning</t>
  </si>
  <si>
    <t>Algal Species</t>
  </si>
  <si>
    <t>Functional Group</t>
  </si>
  <si>
    <t>Classification</t>
  </si>
  <si>
    <t>Agardhiella subulata</t>
  </si>
  <si>
    <t>Agarum fimbriatum</t>
  </si>
  <si>
    <t>Chondrus ocellatus</t>
  </si>
  <si>
    <t>Cladophora japonica</t>
  </si>
  <si>
    <t>Cystosphaea grandifolius</t>
  </si>
  <si>
    <t>Delesseria sanguinea</t>
  </si>
  <si>
    <t>Desmarestia aculeata</t>
  </si>
  <si>
    <t>Gracilaria lichenoides</t>
  </si>
  <si>
    <t>Halidrys siliquosa</t>
  </si>
  <si>
    <t xml:space="preserve">Halimeda sp. </t>
  </si>
  <si>
    <t>Hypnea musciformis</t>
  </si>
  <si>
    <t>Leptosomia rosea</t>
  </si>
  <si>
    <t>Macrocystis integrifolia</t>
  </si>
  <si>
    <t>Mastocarpus papillatus</t>
  </si>
  <si>
    <t>Membranoptera alata</t>
  </si>
  <si>
    <t>Neorhodomela larix</t>
  </si>
  <si>
    <t>Padina gymnospora</t>
  </si>
  <si>
    <t>Pilayella littoralis</t>
  </si>
  <si>
    <t xml:space="preserve">Polyculture </t>
  </si>
  <si>
    <t>Polyopes lancifolia</t>
  </si>
  <si>
    <t>Sacchorhiza polyschides</t>
  </si>
  <si>
    <t>Sargassum filapenula</t>
  </si>
  <si>
    <t>Sargassum tenerrimum</t>
  </si>
  <si>
    <t>Scytosiphon lomentaria</t>
  </si>
  <si>
    <t>Spatoglossum schroederi</t>
  </si>
  <si>
    <t>Turbinaria ornata</t>
  </si>
  <si>
    <t>Ulva compressa</t>
  </si>
  <si>
    <t>Ulva pertusa</t>
  </si>
  <si>
    <t xml:space="preserve">Fucus sp. </t>
  </si>
  <si>
    <t xml:space="preserve">Grateloupia sp. </t>
  </si>
  <si>
    <t xml:space="preserve">Iridaea sp. </t>
  </si>
  <si>
    <t xml:space="preserve">Laminaria sp. </t>
  </si>
  <si>
    <t xml:space="preserve">Polysiphonia sp. </t>
  </si>
  <si>
    <t>Rhizoclonium sp.</t>
  </si>
  <si>
    <t>Supplemental file 6: Macroalgal Taxonomy</t>
  </si>
  <si>
    <t>no accounting for total change in biomass- tied up with change in sediment OM- DOC fluxes only without initial value</t>
  </si>
  <si>
    <t>DOC leaching in vascular plants + seagrasses</t>
  </si>
  <si>
    <t>Change in DOC near algal bloom</t>
  </si>
  <si>
    <t>Kubo, A., &amp; Tanaka, H. (2023). Recalcitrant dissolved organic carbon release and production from aquatic plants leachate. Marine Pollution Bulletin, 189, 114742.</t>
  </si>
  <si>
    <t>bacterial carbon demand</t>
  </si>
  <si>
    <t>unclear what the starting values are. Are they taken from control tanks? Change in BDOC only?</t>
  </si>
  <si>
    <t>percent_C_final</t>
  </si>
  <si>
    <t xml:space="preserve">DOC leaching. Importantly, no initial estimate of DOC concentration on day 0 </t>
  </si>
  <si>
    <t>DOC leaching. No initial assessment of ambient DOC</t>
  </si>
  <si>
    <t>25 h leaching in outdoor tanks</t>
  </si>
  <si>
    <t>24 h leaching in transparent bag encapsulating algae growing on substrate in situ</t>
  </si>
  <si>
    <t>30 day leaching in 12L:12D aquaria at 22 °C</t>
  </si>
  <si>
    <t>leaching_conditions</t>
  </si>
  <si>
    <t>50 - 100 h of leaching using plastic bag tied around kelp stipe in situ</t>
  </si>
  <si>
    <t>tissue + exudates</t>
  </si>
  <si>
    <t>exudate_study_approach</t>
  </si>
  <si>
    <t>freeze dried tissue that was ground then passed through a 0.22 um filter</t>
  </si>
  <si>
    <t>48 h leaching in tanks</t>
  </si>
  <si>
    <t>48 h leaching in outdoor tanks</t>
  </si>
  <si>
    <t>12 h leaching at 25 °C + natural daylight tanks</t>
  </si>
  <si>
    <t>48 h leaching at 14 °C in 12L:12D conditions in tanks</t>
  </si>
  <si>
    <t>5 d leaching of freeze-dried tissue in the dark at 15 C in tanks</t>
  </si>
  <si>
    <t>80 L of seawater was collected from oceanic kelp farms to extract DOC using a solid phase extraction (SPE) method</t>
  </si>
  <si>
    <t>30 day leaching in tanks at 20 °C in darkness</t>
  </si>
  <si>
    <t>leaching_time_days</t>
  </si>
  <si>
    <t>10 day leaching at 20 °C under 12L:12D</t>
  </si>
  <si>
    <t>DOC only</t>
  </si>
  <si>
    <t>POC only</t>
  </si>
  <si>
    <t>POM only</t>
  </si>
  <si>
    <t>for studies that look at only exudate (DOC or POM/POC) degradation- how were the exudates collected?</t>
  </si>
  <si>
    <t>&lt;500</t>
  </si>
  <si>
    <t>&gt;0.7</t>
  </si>
  <si>
    <t>&gt;0.2</t>
  </si>
  <si>
    <t>&lt;750</t>
  </si>
  <si>
    <t>90-250</t>
  </si>
  <si>
    <t>&lt;10</t>
  </si>
  <si>
    <t>&lt;425</t>
  </si>
  <si>
    <t>&gt;3</t>
  </si>
  <si>
    <t>43-63</t>
  </si>
  <si>
    <t>&lt;120</t>
  </si>
  <si>
    <t>POM_particle_size_micrometre</t>
  </si>
  <si>
    <t>DOC_filter_size_micrometre</t>
  </si>
  <si>
    <t>how long was the macroalgae allowed to "leach" exudates that were then used in the exudate degradation study?</t>
  </si>
  <si>
    <t>buried_y_n</t>
  </si>
  <si>
    <t>wrack or fresh</t>
  </si>
  <si>
    <t>for POC/POM studies, what size particles did the authors designate as particulate matter for their study?</t>
  </si>
  <si>
    <t>was the study measuring the degradation of: DOC (dissolved organic carbon), POM (particulate organic carbon), POC (particulate organic carbon), tissue (macroscopic algae tissue larger than particulate matter), percent carbon in tissues, or TOC (DOC + POC combined)</t>
  </si>
  <si>
    <t xml:space="preserve">for studies looking at macroalgal exudate decay (DOC, POC/POM) authors could either a) TISSUE + EXUDATES: measure the change in exudate concentrations in experimental vessels which contain degrading macroalgal tissues also or b) EXUDATE (DOC or POM/POC) ONLY: only measure change in exudate concentration through time- without tissue </t>
  </si>
  <si>
    <t xml:space="preserve">for DOC studies- what size in micrometers did the authors designate as DOC (ie. what filter pore size did they use) </t>
  </si>
  <si>
    <t>what was the main purpose of this study (as stated by authors in the abstract- ie. what was the justification for real-world application of results</t>
  </si>
  <si>
    <t xml:space="preserve">if it was an insitu intertidal study, what was the intertidal shore level where detritus was degrading </t>
  </si>
  <si>
    <t>what kind of container was the algae kept in? (if a lab study)</t>
  </si>
  <si>
    <t xml:space="preserve">if applicable, what was the size of mesh used for the litterbag/mesh cage surrounding the detritus </t>
  </si>
  <si>
    <t>we extracted data from papers whenever possible and assessed whether the relationship between time and degradation was linear or exponential. See file S3</t>
  </si>
  <si>
    <t xml:space="preserve">the authors of this review calculated percent of algal matter which is assumed recalcitrant, see paper text for how we define "recalcitrance" </t>
  </si>
  <si>
    <t>the driving factor that determined differences in degradation rates within that study, if applicable</t>
  </si>
  <si>
    <t xml:space="preserve">seawater + nutrients </t>
  </si>
  <si>
    <t>DOC leaching. there is no day 0 initial assessment of DOC in seawater. First measurement is day 0.5</t>
  </si>
  <si>
    <t>model_type</t>
  </si>
  <si>
    <t>Sigmoidal (4 parameter)</t>
  </si>
  <si>
    <t>3 parameter decay</t>
  </si>
  <si>
    <t>C content in tissues</t>
  </si>
  <si>
    <t>Biomaterial type</t>
  </si>
  <si>
    <t>Pessarrodona et al. 2019</t>
  </si>
  <si>
    <t>Bourgues et al. 1996</t>
  </si>
  <si>
    <t>general_biomaterial_type</t>
  </si>
  <si>
    <t>classified as kelp (order laminariales), fucoid (order fucales), foliose (defined as macroalgae larger than turf and not within the kelp or fucoid functional groups), turf (defined as low lying species). NA refrers to studies which tested a ployculture of various algal species</t>
  </si>
  <si>
    <t>classifed as either brown, red or green algae (NAs refer to studies which tested a polyculture of various algal species)</t>
  </si>
  <si>
    <t xml:space="preserve">a list of all maroalgal species included in this review plus what functional group and class we designated each species as </t>
  </si>
  <si>
    <r>
      <t>Liu, S., Trevathan-Tackett, S. M., Ewers Lewis, C. J., Huang, X., &amp; Macreadie, P. I. (2020). Macroalgal blooms trigger the breakdown of seagrass blue carbon. </t>
    </r>
    <r>
      <rPr>
        <i/>
        <sz val="12"/>
        <color rgb="FF222222"/>
        <rFont val="Arial"/>
        <family val="2"/>
      </rPr>
      <t>Environmental science &amp; technology</t>
    </r>
    <r>
      <rPr>
        <sz val="12"/>
        <color rgb="FF222222"/>
        <rFont val="Arial"/>
        <family val="2"/>
      </rPr>
      <t>, </t>
    </r>
    <r>
      <rPr>
        <i/>
        <sz val="12"/>
        <color rgb="FF222222"/>
        <rFont val="Arial"/>
        <family val="2"/>
      </rPr>
      <t>54</t>
    </r>
    <r>
      <rPr>
        <sz val="12"/>
        <color rgb="FF222222"/>
        <rFont val="Arial"/>
        <family val="2"/>
      </rPr>
      <t>(22), 14750-14760.</t>
    </r>
  </si>
  <si>
    <r>
      <t>Shafique, S., Siddiqui, P. J. S., Aziz, R. A., Burhan, Z., &amp; Mansoor, S. N. (2010). Weight loss and changes in organic, inorganic and chlorophyll contents in three species of seaweeds during decomposition. </t>
    </r>
    <r>
      <rPr>
        <i/>
        <sz val="12"/>
        <color rgb="FF222222"/>
        <rFont val="Arial"/>
        <family val="2"/>
      </rPr>
      <t>Pak. J. Bot</t>
    </r>
    <r>
      <rPr>
        <sz val="12"/>
        <color rgb="FF222222"/>
        <rFont val="Arial"/>
        <family val="2"/>
      </rPr>
      <t>, </t>
    </r>
    <r>
      <rPr>
        <i/>
        <sz val="12"/>
        <color rgb="FF222222"/>
        <rFont val="Arial"/>
        <family val="2"/>
      </rPr>
      <t>42</t>
    </r>
    <r>
      <rPr>
        <sz val="12"/>
        <color rgb="FF222222"/>
        <rFont val="Arial"/>
        <family val="2"/>
      </rPr>
      <t>(4), 2599-2604.</t>
    </r>
  </si>
  <si>
    <r>
      <t>Yamuza-Magdaleno, A., Jiménez-Ramos, R., Casal-Porras, I., Brun, F. G., &amp; Egea, L. G. (2024). Long-term sediment organic carbon remineralization in different seagrass and macroalgae habitats: implication for blue carbon storage. </t>
    </r>
    <r>
      <rPr>
        <i/>
        <sz val="12"/>
        <color rgb="FF222222"/>
        <rFont val="Arial"/>
        <family val="2"/>
      </rPr>
      <t>Frontiers in Marine Science</t>
    </r>
    <r>
      <rPr>
        <sz val="12"/>
        <color rgb="FF222222"/>
        <rFont val="Arial"/>
        <family val="2"/>
      </rPr>
      <t>, </t>
    </r>
    <r>
      <rPr>
        <i/>
        <sz val="12"/>
        <color rgb="FF222222"/>
        <rFont val="Arial"/>
        <family val="2"/>
      </rPr>
      <t>11</t>
    </r>
    <r>
      <rPr>
        <sz val="12"/>
        <color rgb="FF222222"/>
        <rFont val="Arial"/>
        <family val="2"/>
      </rPr>
      <t>, 1370768.</t>
    </r>
  </si>
  <si>
    <r>
      <t>Thomson, A. C., Kristensen, E., Valdemarsen, T., &amp; Quintana, C. O. (2020). Short-term fate of seagrass and macroalgal detritus in Arenicola marina bioturbated sediments. </t>
    </r>
    <r>
      <rPr>
        <i/>
        <sz val="12"/>
        <color rgb="FF222222"/>
        <rFont val="Arial"/>
        <family val="2"/>
      </rPr>
      <t>Marine Ecology Progress Series</t>
    </r>
    <r>
      <rPr>
        <sz val="12"/>
        <color rgb="FF222222"/>
        <rFont val="Arial"/>
        <family val="2"/>
      </rPr>
      <t>, </t>
    </r>
    <r>
      <rPr>
        <i/>
        <sz val="12"/>
        <color rgb="FF222222"/>
        <rFont val="Arial"/>
        <family val="2"/>
      </rPr>
      <t>639</t>
    </r>
    <r>
      <rPr>
        <sz val="12"/>
        <color rgb="FF222222"/>
        <rFont val="Arial"/>
        <family val="2"/>
      </rPr>
      <t>, 21-35.</t>
    </r>
  </si>
  <si>
    <r>
      <t>Yang, X., Lin, K., Tan, L., &amp; Wang, J. (2021). Utilization and release of biogenic elements by macroalgae Ulva prolifera: A mesocosm experiment off the coast of Qingdao, China. </t>
    </r>
    <r>
      <rPr>
        <i/>
        <sz val="12"/>
        <color rgb="FF222222"/>
        <rFont val="Arial"/>
        <family val="2"/>
      </rPr>
      <t>Marine Pollution Bulletin</t>
    </r>
    <r>
      <rPr>
        <sz val="12"/>
        <color rgb="FF222222"/>
        <rFont val="Arial"/>
        <family val="2"/>
      </rPr>
      <t>, </t>
    </r>
    <r>
      <rPr>
        <i/>
        <sz val="12"/>
        <color rgb="FF222222"/>
        <rFont val="Arial"/>
        <family val="2"/>
      </rPr>
      <t>170</t>
    </r>
    <r>
      <rPr>
        <sz val="12"/>
        <color rgb="FF222222"/>
        <rFont val="Arial"/>
        <family val="2"/>
      </rPr>
      <t>, 112612.</t>
    </r>
  </si>
  <si>
    <r>
      <t>Zhang, M., Qin, H., Wang, Z., Li, B., &amp; Ma, Y. (2022). The interaction between DOC released by cultured kelp (Saccharina japonica) and the bacterial community reveals the potential for increasing marine carbon sequestration by macroalgae culture. </t>
    </r>
    <r>
      <rPr>
        <i/>
        <sz val="12"/>
        <color rgb="FF222222"/>
        <rFont val="Arial"/>
        <family val="2"/>
      </rPr>
      <t>Frontiers in Marine Science</t>
    </r>
    <r>
      <rPr>
        <sz val="12"/>
        <color rgb="FF222222"/>
        <rFont val="Arial"/>
        <family val="2"/>
      </rPr>
      <t>, </t>
    </r>
    <r>
      <rPr>
        <i/>
        <sz val="12"/>
        <color rgb="FF222222"/>
        <rFont val="Arial"/>
        <family val="2"/>
      </rPr>
      <t>9</t>
    </r>
    <r>
      <rPr>
        <sz val="12"/>
        <color rgb="FF222222"/>
        <rFont val="Arial"/>
        <family val="2"/>
      </rPr>
      <t>, 985548.</t>
    </r>
  </si>
  <si>
    <r>
      <t>Li, H., Feng, X., Xiong, T., Shao, W., Wu, W., &amp; Zhang, Y. (2023). Particulate organic carbon released during macroalgal growth has significant carbon sequestration potential in the ocean. </t>
    </r>
    <r>
      <rPr>
        <i/>
        <sz val="12"/>
        <color rgb="FF222222"/>
        <rFont val="Arial"/>
        <family val="2"/>
      </rPr>
      <t>Environmental Science &amp; Technology</t>
    </r>
    <r>
      <rPr>
        <sz val="12"/>
        <color rgb="FF222222"/>
        <rFont val="Arial"/>
        <family val="2"/>
      </rPr>
      <t>, </t>
    </r>
    <r>
      <rPr>
        <i/>
        <sz val="12"/>
        <color rgb="FF222222"/>
        <rFont val="Arial"/>
        <family val="2"/>
      </rPr>
      <t>57</t>
    </r>
    <r>
      <rPr>
        <sz val="12"/>
        <color rgb="FF222222"/>
        <rFont val="Arial"/>
        <family val="2"/>
      </rPr>
      <t>(48), 19723-19731.</t>
    </r>
  </si>
  <si>
    <r>
      <t>Li, H., Feng, X., Xiong, T., He, C., Wu, W., Shi, Q., ... &amp; Zhang, Y. (2022). Green tides significantly alter the molecular composition and properties of coastal DOC and perform dissolved carbon sequestration. </t>
    </r>
    <r>
      <rPr>
        <i/>
        <sz val="12"/>
        <color rgb="FF222222"/>
        <rFont val="Arial"/>
        <family val="2"/>
      </rPr>
      <t>Environmental Science &amp; Technology</t>
    </r>
    <r>
      <rPr>
        <sz val="12"/>
        <color rgb="FF222222"/>
        <rFont val="Arial"/>
        <family val="2"/>
      </rPr>
      <t>, </t>
    </r>
    <r>
      <rPr>
        <i/>
        <sz val="12"/>
        <color rgb="FF222222"/>
        <rFont val="Arial"/>
        <family val="2"/>
      </rPr>
      <t>57</t>
    </r>
    <r>
      <rPr>
        <sz val="12"/>
        <color rgb="FF222222"/>
        <rFont val="Arial"/>
        <family val="2"/>
      </rPr>
      <t>(1), 770-779.</t>
    </r>
  </si>
  <si>
    <r>
      <t>Xie, Y., Su, J., Shao, K., Hu, T., Ming, H., Shi, T., ... &amp; Fan, J. (2024). Long-term response of the microbial community to the degradation of DOC released from Undaria pinnatifida. </t>
    </r>
    <r>
      <rPr>
        <i/>
        <sz val="12"/>
        <color rgb="FF222222"/>
        <rFont val="Arial"/>
        <family val="2"/>
      </rPr>
      <t>Marine Environmental Research</t>
    </r>
    <r>
      <rPr>
        <sz val="12"/>
        <color rgb="FF222222"/>
        <rFont val="Arial"/>
        <family val="2"/>
      </rPr>
      <t>, </t>
    </r>
    <r>
      <rPr>
        <i/>
        <sz val="12"/>
        <color rgb="FF222222"/>
        <rFont val="Arial"/>
        <family val="2"/>
      </rPr>
      <t>194</t>
    </r>
    <r>
      <rPr>
        <sz val="12"/>
        <color rgb="FF222222"/>
        <rFont val="Arial"/>
        <family val="2"/>
      </rPr>
      <t>, 106313.</t>
    </r>
  </si>
  <si>
    <r>
      <t>Ishii, Y., Kokubu, H., Miyazaki, H., Borjigin, S., &amp; Yabe, T. (2021). Laboratory studies on the biodegradation of organisms for estimating carbon storage potential in coastal aquatic ecosystems. </t>
    </r>
    <r>
      <rPr>
        <i/>
        <sz val="12"/>
        <color rgb="FF222222"/>
        <rFont val="Arial"/>
        <family val="2"/>
      </rPr>
      <t>Coastal Engineering Journal</t>
    </r>
    <r>
      <rPr>
        <sz val="12"/>
        <color rgb="FF222222"/>
        <rFont val="Arial"/>
        <family val="2"/>
      </rPr>
      <t>, </t>
    </r>
    <r>
      <rPr>
        <i/>
        <sz val="12"/>
        <color rgb="FF222222"/>
        <rFont val="Arial"/>
        <family val="2"/>
      </rPr>
      <t>63</t>
    </r>
    <r>
      <rPr>
        <sz val="12"/>
        <color rgb="FF222222"/>
        <rFont val="Arial"/>
        <family val="2"/>
      </rPr>
      <t>(3), 323-334.</t>
    </r>
  </si>
  <si>
    <r>
      <t>Kochi, K., &amp; Yanai, S. (2006). Decomposition of leaves in coastal brackish water and their use by the macroinvertebrate Anisogammarus pugettensis (Gammaridea). </t>
    </r>
    <r>
      <rPr>
        <i/>
        <sz val="12"/>
        <color rgb="FF222222"/>
        <rFont val="Arial"/>
        <family val="2"/>
      </rPr>
      <t>Marine and freshwater research</t>
    </r>
    <r>
      <rPr>
        <sz val="12"/>
        <color rgb="FF222222"/>
        <rFont val="Arial"/>
        <family val="2"/>
      </rPr>
      <t>, </t>
    </r>
    <r>
      <rPr>
        <i/>
        <sz val="12"/>
        <color rgb="FF222222"/>
        <rFont val="Arial"/>
        <family val="2"/>
      </rPr>
      <t>57</t>
    </r>
    <r>
      <rPr>
        <sz val="12"/>
        <color rgb="FF222222"/>
        <rFont val="Arial"/>
        <family val="2"/>
      </rPr>
      <t>(5), 545-551.</t>
    </r>
  </si>
  <si>
    <r>
      <t xml:space="preserve">Lozada, M., Dieguez, M., Garcia, P., Bigatti, G., Livore, J. P., Giarratano, E., Gil, M., &amp; Dionisi, H. (2021). Undaria pinnatifida exudates trigger shifts in seawater chemistry and microbial communities from Atlantic Patagonian coasts—ProQuest. </t>
    </r>
    <r>
      <rPr>
        <i/>
        <sz val="12"/>
        <color theme="1"/>
        <rFont val="Arial"/>
        <family val="2"/>
      </rPr>
      <t>Biological Invasions</t>
    </r>
    <r>
      <rPr>
        <sz val="12"/>
        <color theme="1"/>
        <rFont val="Arial"/>
        <family val="2"/>
      </rPr>
      <t xml:space="preserve">, </t>
    </r>
    <r>
      <rPr>
        <i/>
        <sz val="12"/>
        <color theme="1"/>
        <rFont val="Arial"/>
        <family val="2"/>
      </rPr>
      <t>23</t>
    </r>
    <r>
      <rPr>
        <sz val="12"/>
        <color theme="1"/>
        <rFont val="Arial"/>
        <family val="2"/>
      </rPr>
      <t>, 1781–1801.</t>
    </r>
  </si>
  <si>
    <r>
      <t>Lanari, M., Claudino, M. C., Garcia, A. M., &amp; da Silva Copertino, M. (2018). Changes in the elemental (C, N) and isotopic (δ13C, δ15N) composition of estuarine plants during diagenesis and implications for ecological studies. </t>
    </r>
    <r>
      <rPr>
        <i/>
        <sz val="12"/>
        <color rgb="FF222222"/>
        <rFont val="Arial"/>
        <family val="2"/>
      </rPr>
      <t>Journal of Experimental Marine Biology and Ecology</t>
    </r>
    <r>
      <rPr>
        <sz val="12"/>
        <color rgb="FF222222"/>
        <rFont val="Arial"/>
        <family val="2"/>
      </rPr>
      <t>, </t>
    </r>
    <r>
      <rPr>
        <i/>
        <sz val="12"/>
        <color rgb="FF222222"/>
        <rFont val="Arial"/>
        <family val="2"/>
      </rPr>
      <t>500</t>
    </r>
    <r>
      <rPr>
        <sz val="12"/>
        <color rgb="FF222222"/>
        <rFont val="Arial"/>
        <family val="2"/>
      </rPr>
      <t>, 46-54.</t>
    </r>
  </si>
  <si>
    <t>ABSOLUTE_lat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</si>
</sst>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9">
    <font>
      <sz val="11"/>
      <color theme="1"/>
      <name val="Calibri"/>
      <family val="2"/>
      <scheme val="minor"/>
    </font>
    <font>
      <sz val="12"/>
      <color theme="1"/>
      <name val="ArialMT"/>
      <family val="2"/>
    </font>
    <font>
      <sz val="12"/>
      <color theme="1"/>
      <name val="ArialMT"/>
      <family val="2"/>
    </font>
    <font>
      <sz val="12"/>
      <color theme="1"/>
      <name val="ArialMT"/>
      <family val="2"/>
    </font>
    <font>
      <sz val="12"/>
      <color theme="1"/>
      <name val="ArialMT"/>
      <family val="2"/>
    </font>
    <font>
      <sz val="12"/>
      <color theme="1"/>
      <name val="Calibri"/>
      <family val="2"/>
      <scheme val="minor"/>
    </font>
    <font>
      <sz val="11"/>
      <color rgb="FFFF0000"/>
      <name val="Calibri"/>
      <family val="2"/>
      <scheme val="minor"/>
    </font>
    <font>
      <sz val="11"/>
      <name val="Calibri"/>
      <family val="2"/>
      <scheme val="minor"/>
    </font>
    <font>
      <b/>
      <i/>
      <sz val="11"/>
      <color theme="1"/>
      <name val="Calibri"/>
      <family val="2"/>
      <scheme val="minor"/>
    </font>
    <font>
      <b/>
      <sz val="11"/>
      <color rgb="FFFF0000"/>
      <name val="Calibri"/>
      <family val="2"/>
      <scheme val="minor"/>
    </font>
    <font>
      <sz val="8"/>
      <name val="Calibri"/>
      <family val="2"/>
      <scheme val="minor"/>
    </font>
    <font>
      <b/>
      <sz val="11"/>
      <color theme="1"/>
      <name val="Calibri"/>
      <family val="2"/>
      <scheme val="minor"/>
    </font>
    <font>
      <b/>
      <i/>
      <sz val="11"/>
      <color rgb="FFFF0000"/>
      <name val="Calibri"/>
      <family val="2"/>
      <scheme val="minor"/>
    </font>
    <font>
      <b/>
      <sz val="11"/>
      <name val="Calibri"/>
      <family val="2"/>
      <scheme val="minor"/>
    </font>
    <font>
      <i/>
      <sz val="11"/>
      <color rgb="FFFF0000"/>
      <name val="Calibri"/>
      <family val="2"/>
      <scheme val="minor"/>
    </font>
    <font>
      <b/>
      <sz val="9"/>
      <color rgb="FF000000"/>
      <name val="Tahoma"/>
      <family val="2"/>
    </font>
    <font>
      <sz val="9"/>
      <color rgb="FF000000"/>
      <name val="Tahoma"/>
      <family val="2"/>
    </font>
    <font>
      <sz val="12"/>
      <color rgb="FF2C2C2C"/>
      <name val="Calibri"/>
      <family val="2"/>
      <scheme val="minor"/>
    </font>
    <font>
      <sz val="11"/>
      <color rgb="FF000000"/>
      <name val="Calibri"/>
      <family val="2"/>
      <scheme val="minor"/>
    </font>
    <font>
      <sz val="13"/>
      <color rgb="FF222222"/>
      <name val="Arial"/>
      <family val="2"/>
    </font>
    <font>
      <i/>
      <sz val="13"/>
      <color rgb="FF222222"/>
      <name val="Arial"/>
      <family val="2"/>
    </font>
    <font>
      <i/>
      <sz val="11"/>
      <color theme="1"/>
      <name val="Calibri"/>
      <family val="2"/>
      <scheme val="minor"/>
    </font>
    <font>
      <sz val="11"/>
      <name val="Arial"/>
      <family val="2"/>
    </font>
    <font>
      <sz val="11"/>
      <color rgb="FF222222"/>
      <name val="Calibri"/>
      <family val="2"/>
      <scheme val="minor"/>
    </font>
    <font>
      <i/>
      <sz val="11"/>
      <color rgb="FF222222"/>
      <name val="Calibri"/>
      <family val="2"/>
      <scheme val="minor"/>
    </font>
    <font>
      <sz val="11"/>
      <color indexed="8"/>
      <name val="Calibri"/>
      <family val="2"/>
      <scheme val="minor"/>
    </font>
    <font>
      <sz val="11"/>
      <color rgb="FF222222"/>
      <name val="Arial"/>
      <family val="2"/>
    </font>
    <font>
      <i/>
      <sz val="11"/>
      <color rgb="FF222222"/>
      <name val="Arial"/>
      <family val="2"/>
    </font>
    <font>
      <sz val="12"/>
      <color rgb="FF1F1F1F"/>
      <name val="Calibri"/>
      <family val="2"/>
      <scheme val="minor"/>
    </font>
    <font>
      <sz val="12"/>
      <color theme="1"/>
      <name val="ArialMT"/>
    </font>
    <font>
      <sz val="12"/>
      <color rgb="FF555555"/>
      <name val="Verdana"/>
      <family val="2"/>
    </font>
    <font>
      <i/>
      <sz val="12"/>
      <color rgb="FF555555"/>
      <name val="Verdana"/>
      <family val="2"/>
    </font>
    <font>
      <sz val="10.5"/>
      <color rgb="FF000000"/>
      <name val="Aptos"/>
    </font>
    <font>
      <sz val="13"/>
      <color theme="1"/>
      <name val="ArialMT"/>
      <family val="2"/>
    </font>
    <font>
      <sz val="12"/>
      <color rgb="FF2C2C2C"/>
      <name val="Var(--inter)"/>
    </font>
    <font>
      <i/>
      <sz val="12"/>
      <color rgb="FF222222"/>
      <name val="Arial"/>
      <family val="2"/>
    </font>
    <font>
      <sz val="12"/>
      <color rgb="FF222222"/>
      <name val="Arial"/>
      <family val="2"/>
    </font>
    <font>
      <i/>
      <sz val="12"/>
      <color theme="1"/>
      <name val="Arial"/>
      <family val="2"/>
    </font>
    <font>
      <sz val="12"/>
      <color theme="1"/>
      <name val="Arial"/>
      <family val="2"/>
    </font>
  </fonts>
  <fills count="1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99111"/>
        <bgColor indexed="64"/>
      </patternFill>
    </fill>
    <fill>
      <patternFill patternType="solid">
        <fgColor rgb="FFFFA59E"/>
        <bgColor indexed="64"/>
      </patternFill>
    </fill>
    <fill>
      <patternFill patternType="solid">
        <fgColor rgb="FFF5C9FF"/>
        <bgColor indexed="64"/>
      </patternFill>
    </fill>
    <fill>
      <patternFill patternType="solid">
        <fgColor rgb="FF31FF00"/>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FBCEC8"/>
        <bgColor indexed="64"/>
      </patternFill>
    </fill>
    <fill>
      <patternFill patternType="solid">
        <fgColor rgb="FF8EA9DC"/>
        <bgColor indexed="64"/>
      </patternFill>
    </fill>
  </fills>
  <borders count="2">
    <border>
      <left/>
      <right/>
      <top/>
      <bottom/>
      <diagonal/>
    </border>
    <border>
      <left/>
      <right/>
      <top/>
      <bottom style="thin">
        <color indexed="64"/>
      </bottom>
      <diagonal/>
    </border>
  </borders>
  <cellStyleXfs count="5">
    <xf numFmtId="0" fontId="0" fillId="0" borderId="0"/>
    <xf numFmtId="0" fontId="25" fillId="0" borderId="0"/>
    <xf numFmtId="0" fontId="4" fillId="0" borderId="0"/>
    <xf numFmtId="0" fontId="3" fillId="0" borderId="0"/>
    <xf numFmtId="0" fontId="1" fillId="0" borderId="0"/>
  </cellStyleXfs>
  <cellXfs count="112">
    <xf numFmtId="0" fontId="0" fillId="0" borderId="0" xfId="0"/>
    <xf numFmtId="0" fontId="7" fillId="0" borderId="0" xfId="0" applyFont="1"/>
    <xf numFmtId="0" fontId="6" fillId="0" borderId="0" xfId="0" applyFont="1"/>
    <xf numFmtId="0" fontId="8" fillId="0" borderId="1" xfId="0" applyFont="1" applyBorder="1" applyAlignment="1">
      <alignment horizontal="center" vertical="center" wrapText="1"/>
    </xf>
    <xf numFmtId="0" fontId="8" fillId="0" borderId="1" xfId="0" applyFont="1" applyBorder="1" applyAlignment="1">
      <alignment horizontal="center"/>
    </xf>
    <xf numFmtId="14" fontId="0" fillId="0" borderId="0" xfId="0" applyNumberFormat="1"/>
    <xf numFmtId="0" fontId="9" fillId="0" borderId="0" xfId="0" applyFont="1"/>
    <xf numFmtId="9" fontId="0" fillId="0" borderId="0" xfId="0" applyNumberFormat="1"/>
    <xf numFmtId="16" fontId="0" fillId="0" borderId="0" xfId="0" applyNumberFormat="1"/>
    <xf numFmtId="0" fontId="0" fillId="3" borderId="0" xfId="0" applyFill="1"/>
    <xf numFmtId="0" fontId="6" fillId="3" borderId="0" xfId="0" applyFont="1" applyFill="1"/>
    <xf numFmtId="17" fontId="0" fillId="0" borderId="0" xfId="0" applyNumberFormat="1"/>
    <xf numFmtId="0" fontId="7" fillId="3" borderId="0" xfId="0" applyFont="1" applyFill="1"/>
    <xf numFmtId="0" fontId="13" fillId="0" borderId="0" xfId="0" applyFont="1"/>
    <xf numFmtId="0" fontId="8" fillId="0" borderId="0" xfId="0" applyFont="1"/>
    <xf numFmtId="0" fontId="12" fillId="0" borderId="0" xfId="0" applyFont="1"/>
    <xf numFmtId="0" fontId="8" fillId="0" borderId="1" xfId="0" applyFont="1" applyBorder="1" applyAlignment="1">
      <alignment horizontal="center" wrapText="1"/>
    </xf>
    <xf numFmtId="0" fontId="14" fillId="0" borderId="0" xfId="0" applyFont="1"/>
    <xf numFmtId="0" fontId="17" fillId="0" borderId="0" xfId="0" applyFont="1"/>
    <xf numFmtId="0" fontId="18" fillId="0" borderId="0" xfId="0" applyFont="1"/>
    <xf numFmtId="0" fontId="11" fillId="0" borderId="0" xfId="0" applyFont="1"/>
    <xf numFmtId="0" fontId="19" fillId="0" borderId="0" xfId="0" applyFont="1"/>
    <xf numFmtId="0" fontId="0" fillId="0" borderId="0" xfId="0" applyAlignment="1">
      <alignment horizontal="center" vertical="center" wrapText="1"/>
    </xf>
    <xf numFmtId="0" fontId="25" fillId="0" borderId="0" xfId="1"/>
    <xf numFmtId="0" fontId="8" fillId="0" borderId="0" xfId="0" applyFont="1" applyAlignment="1">
      <alignment horizontal="center" vertical="center" wrapText="1"/>
    </xf>
    <xf numFmtId="0" fontId="0" fillId="6" borderId="0" xfId="0" applyFill="1"/>
    <xf numFmtId="0" fontId="6" fillId="5" borderId="0" xfId="0" applyFont="1" applyFill="1"/>
    <xf numFmtId="0" fontId="8" fillId="0" borderId="0" xfId="0" applyFont="1" applyAlignment="1">
      <alignment horizontal="center" vertical="center"/>
    </xf>
    <xf numFmtId="0" fontId="4" fillId="0" borderId="0" xfId="2"/>
    <xf numFmtId="0" fontId="4" fillId="8" borderId="0" xfId="2" applyFill="1"/>
    <xf numFmtId="0" fontId="5" fillId="0" borderId="0" xfId="0" applyFont="1"/>
    <xf numFmtId="0" fontId="28" fillId="0" borderId="0" xfId="0" applyFont="1"/>
    <xf numFmtId="0" fontId="26" fillId="6" borderId="0" xfId="0" applyFont="1" applyFill="1"/>
    <xf numFmtId="14" fontId="7" fillId="0" borderId="0" xfId="0" applyNumberFormat="1" applyFont="1"/>
    <xf numFmtId="3" fontId="0" fillId="0" borderId="0" xfId="0" applyNumberFormat="1"/>
    <xf numFmtId="0" fontId="7" fillId="2" borderId="0" xfId="0" applyFont="1" applyFill="1"/>
    <xf numFmtId="0" fontId="0" fillId="2" borderId="0" xfId="0" applyFill="1"/>
    <xf numFmtId="0" fontId="6" fillId="2" borderId="0" xfId="0" applyFont="1" applyFill="1"/>
    <xf numFmtId="0" fontId="7" fillId="4" borderId="0" xfId="0" applyFont="1" applyFill="1"/>
    <xf numFmtId="0" fontId="0" fillId="4" borderId="0" xfId="0" applyFill="1"/>
    <xf numFmtId="0" fontId="6" fillId="4" borderId="0" xfId="0" applyFont="1" applyFill="1"/>
    <xf numFmtId="0" fontId="7" fillId="7" borderId="0" xfId="0" applyFont="1" applyFill="1"/>
    <xf numFmtId="0" fontId="0" fillId="7" borderId="0" xfId="0" applyFill="1"/>
    <xf numFmtId="0" fontId="6" fillId="7" borderId="0" xfId="0" applyFont="1" applyFill="1"/>
    <xf numFmtId="0" fontId="26" fillId="4" borderId="0" xfId="0" applyFont="1" applyFill="1"/>
    <xf numFmtId="0" fontId="19" fillId="4" borderId="0" xfId="0" applyFont="1" applyFill="1"/>
    <xf numFmtId="0" fontId="19" fillId="6" borderId="0" xfId="0" applyFont="1" applyFill="1"/>
    <xf numFmtId="0" fontId="7" fillId="6" borderId="0" xfId="0" applyFont="1" applyFill="1"/>
    <xf numFmtId="0" fontId="6" fillId="6" borderId="0" xfId="0" applyFont="1" applyFill="1"/>
    <xf numFmtId="14" fontId="6" fillId="6" borderId="0" xfId="0" applyNumberFormat="1" applyFont="1" applyFill="1"/>
    <xf numFmtId="0" fontId="22" fillId="6" borderId="0" xfId="0" applyFont="1" applyFill="1"/>
    <xf numFmtId="0" fontId="26" fillId="2" borderId="0" xfId="0" applyFont="1" applyFill="1"/>
    <xf numFmtId="0" fontId="19" fillId="2" borderId="0" xfId="0" applyFont="1" applyFill="1"/>
    <xf numFmtId="0" fontId="26" fillId="9" borderId="0" xfId="0" applyFont="1" applyFill="1"/>
    <xf numFmtId="0" fontId="7" fillId="9" borderId="0" xfId="0" applyFont="1" applyFill="1"/>
    <xf numFmtId="0" fontId="0" fillId="9" borderId="0" xfId="0" applyFill="1"/>
    <xf numFmtId="0" fontId="26" fillId="10" borderId="0" xfId="0" applyFont="1" applyFill="1"/>
    <xf numFmtId="0" fontId="7" fillId="10" borderId="0" xfId="0" applyFont="1" applyFill="1"/>
    <xf numFmtId="0" fontId="0" fillId="10" borderId="0" xfId="0" applyFill="1"/>
    <xf numFmtId="0" fontId="6" fillId="10" borderId="0" xfId="0" applyFont="1" applyFill="1"/>
    <xf numFmtId="0" fontId="30" fillId="7" borderId="0" xfId="0" applyFont="1" applyFill="1"/>
    <xf numFmtId="0" fontId="19" fillId="7" borderId="0" xfId="0" applyFont="1" applyFill="1"/>
    <xf numFmtId="0" fontId="26" fillId="7" borderId="0" xfId="0" applyFont="1" applyFill="1"/>
    <xf numFmtId="0" fontId="7" fillId="11" borderId="0" xfId="0" applyFont="1" applyFill="1"/>
    <xf numFmtId="0" fontId="0" fillId="11" borderId="0" xfId="0" applyFill="1"/>
    <xf numFmtId="0" fontId="6" fillId="11" borderId="0" xfId="0" applyFont="1" applyFill="1"/>
    <xf numFmtId="0" fontId="11" fillId="6" borderId="0" xfId="0" applyFont="1" applyFill="1"/>
    <xf numFmtId="0" fontId="9" fillId="6" borderId="0" xfId="0" applyFont="1" applyFill="1"/>
    <xf numFmtId="0" fontId="13" fillId="6" borderId="0" xfId="0" applyFont="1" applyFill="1"/>
    <xf numFmtId="0" fontId="11" fillId="2" borderId="0" xfId="0" applyFont="1" applyFill="1"/>
    <xf numFmtId="0" fontId="9" fillId="2" borderId="0" xfId="0" applyFont="1" applyFill="1"/>
    <xf numFmtId="0" fontId="13" fillId="2" borderId="0" xfId="0" applyFont="1" applyFill="1"/>
    <xf numFmtId="14" fontId="0" fillId="6" borderId="0" xfId="0" applyNumberFormat="1" applyFill="1"/>
    <xf numFmtId="14" fontId="7" fillId="2" borderId="0" xfId="0" applyNumberFormat="1" applyFont="1" applyFill="1"/>
    <xf numFmtId="0" fontId="11" fillId="0" borderId="0" xfId="0" applyFont="1" applyAlignment="1">
      <alignment horizontal="center" vertical="center" wrapText="1"/>
    </xf>
    <xf numFmtId="0" fontId="26" fillId="12" borderId="0" xfId="0" applyFont="1" applyFill="1"/>
    <xf numFmtId="0" fontId="7" fillId="12" borderId="0" xfId="0" applyFont="1" applyFill="1"/>
    <xf numFmtId="0" fontId="0" fillId="12" borderId="0" xfId="0" applyFill="1"/>
    <xf numFmtId="0" fontId="6" fillId="12" borderId="0" xfId="0" applyFont="1" applyFill="1"/>
    <xf numFmtId="0" fontId="32" fillId="12" borderId="0" xfId="0" applyFont="1" applyFill="1"/>
    <xf numFmtId="0" fontId="32" fillId="11" borderId="0" xfId="0" applyFont="1" applyFill="1"/>
    <xf numFmtId="0" fontId="0" fillId="13" borderId="0" xfId="0" applyFill="1"/>
    <xf numFmtId="0" fontId="7" fillId="13" borderId="0" xfId="0" applyFont="1" applyFill="1"/>
    <xf numFmtId="0" fontId="0" fillId="14" borderId="0" xfId="0" applyFill="1"/>
    <xf numFmtId="0" fontId="7" fillId="14" borderId="0" xfId="0" applyFont="1" applyFill="1"/>
    <xf numFmtId="0" fontId="6" fillId="14" borderId="0" xfId="0" applyFont="1" applyFill="1"/>
    <xf numFmtId="0" fontId="19" fillId="14" borderId="0" xfId="0" applyFont="1" applyFill="1"/>
    <xf numFmtId="0" fontId="26" fillId="14" borderId="0" xfId="0" applyFont="1" applyFill="1"/>
    <xf numFmtId="14" fontId="7" fillId="14" borderId="0" xfId="0" applyNumberFormat="1" applyFont="1" applyFill="1"/>
    <xf numFmtId="0" fontId="2" fillId="0" borderId="0" xfId="2" applyFont="1"/>
    <xf numFmtId="0" fontId="34" fillId="0" borderId="0" xfId="0" applyFont="1"/>
    <xf numFmtId="0" fontId="4" fillId="7" borderId="0" xfId="2" applyFill="1"/>
    <xf numFmtId="0" fontId="2" fillId="7" borderId="0" xfId="2" applyFont="1" applyFill="1"/>
    <xf numFmtId="0" fontId="33" fillId="6" borderId="0" xfId="2" applyFont="1" applyFill="1"/>
    <xf numFmtId="0" fontId="7" fillId="8" borderId="0" xfId="0" applyFont="1" applyFill="1"/>
    <xf numFmtId="0" fontId="7" fillId="8" borderId="0" xfId="2" applyFont="1" applyFill="1"/>
    <xf numFmtId="0" fontId="1" fillId="0" borderId="0" xfId="4"/>
    <xf numFmtId="0" fontId="29" fillId="0" borderId="0" xfId="4" applyFont="1"/>
    <xf numFmtId="0" fontId="25" fillId="8" borderId="0" xfId="1" applyFill="1"/>
    <xf numFmtId="0" fontId="25" fillId="2" borderId="0" xfId="1" applyFill="1"/>
    <xf numFmtId="164" fontId="25" fillId="2" borderId="0" xfId="1" applyNumberFormat="1" applyFill="1"/>
    <xf numFmtId="0" fontId="25" fillId="6" borderId="0" xfId="1" applyFill="1"/>
    <xf numFmtId="0" fontId="25" fillId="4" borderId="0" xfId="1" applyFill="1"/>
    <xf numFmtId="164" fontId="25" fillId="4" borderId="0" xfId="1" applyNumberFormat="1" applyFill="1"/>
    <xf numFmtId="0" fontId="25" fillId="15" borderId="0" xfId="1" applyFill="1"/>
    <xf numFmtId="0" fontId="25" fillId="16" borderId="0" xfId="1" applyFill="1"/>
    <xf numFmtId="0" fontId="0" fillId="0" borderId="0" xfId="0" quotePrefix="1"/>
    <xf numFmtId="0" fontId="19" fillId="17" borderId="0" xfId="0" applyFont="1" applyFill="1"/>
    <xf numFmtId="0" fontId="7" fillId="17" borderId="0" xfId="0" applyFont="1" applyFill="1"/>
    <xf numFmtId="0" fontId="26" fillId="17" borderId="0" xfId="0" applyFont="1" applyFill="1"/>
    <xf numFmtId="0" fontId="5" fillId="0" borderId="0" xfId="0" applyFont="1" applyBorder="1"/>
    <xf numFmtId="0" fontId="5" fillId="0" borderId="0" xfId="0" applyFont="1" applyBorder="1" applyAlignment="1">
      <alignment horizontal="center"/>
    </xf>
  </cellXfs>
  <cellStyles count="5">
    <cellStyle name="Normal" xfId="0" builtinId="0"/>
    <cellStyle name="Normal 2" xfId="1" xr:uid="{49A6391A-6E38-7B4F-AC16-C0A995707E28}"/>
    <cellStyle name="Normal 3" xfId="2" xr:uid="{CAC3F1A9-3C6A-5845-93AD-7F183B6F55FF}"/>
    <cellStyle name="Normal 3 2" xfId="4" xr:uid="{754A2B18-62D6-2844-8C86-882E269D7005}"/>
    <cellStyle name="Normal 4" xfId="3" xr:uid="{B5C6D7BB-294D-1845-ABB0-9C069EC4D8DB}"/>
  </cellStyles>
  <dxfs count="11">
    <dxf>
      <fill>
        <patternFill patternType="solid">
          <fgColor rgb="FFD0CECE"/>
          <bgColor rgb="FF000000"/>
        </patternFill>
      </fill>
    </dxf>
    <dxf>
      <fill>
        <patternFill patternType="solid">
          <fgColor rgb="FFF5C9FF"/>
          <bgColor rgb="FF000000"/>
        </patternFill>
      </fill>
    </dxf>
    <dxf>
      <fill>
        <patternFill patternType="solid">
          <fgColor rgb="FF8EA9DB"/>
          <bgColor rgb="FF000000"/>
        </patternFill>
      </fill>
    </dxf>
    <dxf>
      <fill>
        <patternFill patternType="solid">
          <fgColor rgb="FF31FF00"/>
          <bgColor rgb="FF000000"/>
        </patternFill>
      </fill>
    </dxf>
    <dxf>
      <fill>
        <patternFill patternType="solid">
          <fgColor rgb="FFFFA59E"/>
          <bgColor rgb="FF000000"/>
        </patternFill>
      </fill>
    </dxf>
    <dxf>
      <fill>
        <patternFill patternType="solid">
          <fgColor rgb="FFFFC000"/>
          <bgColor rgb="FF000000"/>
        </patternFill>
      </fill>
    </dxf>
    <dxf>
      <fill>
        <patternFill patternType="solid">
          <fgColor rgb="FFF99111"/>
          <bgColor rgb="FF000000"/>
        </patternFill>
      </fill>
    </dxf>
    <dxf>
      <fill>
        <patternFill patternType="solid">
          <fgColor rgb="FFE2EFDA"/>
          <bgColor rgb="FF000000"/>
        </patternFill>
      </fill>
    </dxf>
    <dxf>
      <fill>
        <patternFill patternType="none">
          <fgColor indexed="64"/>
          <bgColor indexed="65"/>
        </patternFill>
      </fill>
    </dxf>
    <dxf>
      <fill>
        <patternFill patternType="solid">
          <fgColor rgb="FFDDEBF7"/>
          <bgColor rgb="FF000000"/>
        </patternFill>
      </fill>
    </dxf>
    <dxf>
      <fill>
        <patternFill patternType="solid">
          <fgColor rgb="FFFFF2CC"/>
          <bgColor rgb="FF000000"/>
        </patternFill>
      </fill>
    </dxf>
  </dxfs>
  <tableStyles count="0" defaultTableStyle="TableStyleMedium2" defaultPivotStyle="PivotStyleLight16"/>
  <colors>
    <mruColors>
      <color rgb="FF8EA9DC"/>
      <color rgb="FFFBCEC8"/>
      <color rgb="FFFFB2AA"/>
      <color rgb="FFF5C9FF"/>
      <color rgb="FFE273FF"/>
      <color rgb="FFF99111"/>
      <color rgb="FFFFA59E"/>
      <color rgb="FF31FF00"/>
      <color rgb="FFBC6E1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S3_model_fitting!$D$2:$D$14</c:f>
              <c:numCache>
                <c:formatCode>General</c:formatCode>
                <c:ptCount val="13"/>
                <c:pt idx="0">
                  <c:v>0</c:v>
                </c:pt>
                <c:pt idx="1">
                  <c:v>1</c:v>
                </c:pt>
                <c:pt idx="2">
                  <c:v>2</c:v>
                </c:pt>
                <c:pt idx="3">
                  <c:v>5</c:v>
                </c:pt>
                <c:pt idx="4">
                  <c:v>10</c:v>
                </c:pt>
                <c:pt idx="5">
                  <c:v>15</c:v>
                </c:pt>
                <c:pt idx="6">
                  <c:v>20</c:v>
                </c:pt>
                <c:pt idx="7">
                  <c:v>30</c:v>
                </c:pt>
                <c:pt idx="8">
                  <c:v>40</c:v>
                </c:pt>
                <c:pt idx="9">
                  <c:v>50</c:v>
                </c:pt>
                <c:pt idx="10">
                  <c:v>60</c:v>
                </c:pt>
                <c:pt idx="11">
                  <c:v>180</c:v>
                </c:pt>
                <c:pt idx="12">
                  <c:v>360</c:v>
                </c:pt>
              </c:numCache>
            </c:numRef>
          </c:xVal>
          <c:yVal>
            <c:numRef>
              <c:f>S3_model_fitting!$E$2:$E$14</c:f>
              <c:numCache>
                <c:formatCode>General</c:formatCode>
                <c:ptCount val="13"/>
                <c:pt idx="0">
                  <c:v>100</c:v>
                </c:pt>
                <c:pt idx="1">
                  <c:v>96.428981513376968</c:v>
                </c:pt>
                <c:pt idx="2">
                  <c:v>88.276495579285793</c:v>
                </c:pt>
                <c:pt idx="3">
                  <c:v>84.096911241244683</c:v>
                </c:pt>
                <c:pt idx="4">
                  <c:v>81.318176598920658</c:v>
                </c:pt>
                <c:pt idx="5">
                  <c:v>85.888161671833743</c:v>
                </c:pt>
                <c:pt idx="6">
                  <c:v>87.4842117349868</c:v>
                </c:pt>
                <c:pt idx="7">
                  <c:v>76.736709151452516</c:v>
                </c:pt>
                <c:pt idx="8">
                  <c:v>72.568607187966478</c:v>
                </c:pt>
                <c:pt idx="9">
                  <c:v>68.389022849925368</c:v>
                </c:pt>
                <c:pt idx="10">
                  <c:v>64.611321621311291</c:v>
                </c:pt>
                <c:pt idx="11">
                  <c:v>62.027787346423239</c:v>
                </c:pt>
                <c:pt idx="12">
                  <c:v>61.235503502124246</c:v>
                </c:pt>
              </c:numCache>
            </c:numRef>
          </c:yVal>
          <c:smooth val="0"/>
          <c:extLst>
            <c:ext xmlns:c16="http://schemas.microsoft.com/office/drawing/2014/chart" uri="{C3380CC4-5D6E-409C-BE32-E72D297353CC}">
              <c16:uniqueId val="{00000001-E72E-3744-A51E-C166841E4096}"/>
            </c:ext>
          </c:extLst>
        </c:ser>
        <c:dLbls>
          <c:showLegendKey val="0"/>
          <c:showVal val="0"/>
          <c:showCatName val="0"/>
          <c:showSerName val="0"/>
          <c:showPercent val="0"/>
          <c:showBubbleSize val="0"/>
        </c:dLbls>
        <c:axId val="1637123903"/>
        <c:axId val="1636394367"/>
      </c:scatterChart>
      <c:valAx>
        <c:axId val="16371239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36394367"/>
        <c:crosses val="autoZero"/>
        <c:crossBetween val="midCat"/>
      </c:valAx>
      <c:valAx>
        <c:axId val="163639436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371239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S3_model_fitting!$D$36:$D$42</c:f>
              <c:numCache>
                <c:formatCode>General</c:formatCode>
                <c:ptCount val="7"/>
                <c:pt idx="0">
                  <c:v>0</c:v>
                </c:pt>
                <c:pt idx="1">
                  <c:v>7</c:v>
                </c:pt>
                <c:pt idx="2">
                  <c:v>12</c:v>
                </c:pt>
                <c:pt idx="3">
                  <c:v>20</c:v>
                </c:pt>
                <c:pt idx="4">
                  <c:v>26</c:v>
                </c:pt>
                <c:pt idx="5">
                  <c:v>33</c:v>
                </c:pt>
                <c:pt idx="6">
                  <c:v>40</c:v>
                </c:pt>
              </c:numCache>
            </c:numRef>
          </c:xVal>
          <c:yVal>
            <c:numRef>
              <c:f>S3_model_fitting!$E$36:$E$42</c:f>
              <c:numCache>
                <c:formatCode>General</c:formatCode>
                <c:ptCount val="7"/>
                <c:pt idx="0">
                  <c:v>100</c:v>
                </c:pt>
                <c:pt idx="1">
                  <c:v>104.5</c:v>
                </c:pt>
                <c:pt idx="2">
                  <c:v>115.4</c:v>
                </c:pt>
                <c:pt idx="3">
                  <c:v>111.8</c:v>
                </c:pt>
                <c:pt idx="4">
                  <c:v>101</c:v>
                </c:pt>
                <c:pt idx="5">
                  <c:v>79.5</c:v>
                </c:pt>
                <c:pt idx="6">
                  <c:v>56.8</c:v>
                </c:pt>
              </c:numCache>
            </c:numRef>
          </c:yVal>
          <c:smooth val="0"/>
          <c:extLst>
            <c:ext xmlns:c16="http://schemas.microsoft.com/office/drawing/2014/chart" uri="{C3380CC4-5D6E-409C-BE32-E72D297353CC}">
              <c16:uniqueId val="{00000000-43EA-A24A-9E70-B0C3517DEA37}"/>
            </c:ext>
          </c:extLst>
        </c:ser>
        <c:dLbls>
          <c:showLegendKey val="0"/>
          <c:showVal val="0"/>
          <c:showCatName val="0"/>
          <c:showSerName val="0"/>
          <c:showPercent val="0"/>
          <c:showBubbleSize val="0"/>
        </c:dLbls>
        <c:axId val="241761056"/>
        <c:axId val="2137309599"/>
      </c:scatterChart>
      <c:valAx>
        <c:axId val="24176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09599"/>
        <c:crosses val="autoZero"/>
        <c:crossBetween val="midCat"/>
      </c:valAx>
      <c:valAx>
        <c:axId val="213730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61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S3_model_fitting!$D$58:$D$67</c:f>
              <c:numCache>
                <c:formatCode>General</c:formatCode>
                <c:ptCount val="10"/>
                <c:pt idx="0">
                  <c:v>0</c:v>
                </c:pt>
                <c:pt idx="1">
                  <c:v>5</c:v>
                </c:pt>
                <c:pt idx="2">
                  <c:v>7</c:v>
                </c:pt>
                <c:pt idx="3">
                  <c:v>8</c:v>
                </c:pt>
                <c:pt idx="4">
                  <c:v>11</c:v>
                </c:pt>
                <c:pt idx="5">
                  <c:v>12</c:v>
                </c:pt>
                <c:pt idx="6">
                  <c:v>14</c:v>
                </c:pt>
                <c:pt idx="7">
                  <c:v>15</c:v>
                </c:pt>
                <c:pt idx="8">
                  <c:v>18</c:v>
                </c:pt>
                <c:pt idx="9">
                  <c:v>20</c:v>
                </c:pt>
              </c:numCache>
            </c:numRef>
          </c:xVal>
          <c:yVal>
            <c:numRef>
              <c:f>S3_model_fitting!$E$58:$E$67</c:f>
              <c:numCache>
                <c:formatCode>General</c:formatCode>
                <c:ptCount val="10"/>
                <c:pt idx="0">
                  <c:v>100</c:v>
                </c:pt>
                <c:pt idx="1">
                  <c:v>80.599999999999994</c:v>
                </c:pt>
                <c:pt idx="2">
                  <c:v>61.3</c:v>
                </c:pt>
                <c:pt idx="3">
                  <c:v>48.6</c:v>
                </c:pt>
                <c:pt idx="4">
                  <c:v>45.9</c:v>
                </c:pt>
                <c:pt idx="5">
                  <c:v>39.799999999999997</c:v>
                </c:pt>
                <c:pt idx="6">
                  <c:v>30.7</c:v>
                </c:pt>
                <c:pt idx="7">
                  <c:v>30.4</c:v>
                </c:pt>
                <c:pt idx="8">
                  <c:v>29.9</c:v>
                </c:pt>
                <c:pt idx="9">
                  <c:v>29.2</c:v>
                </c:pt>
              </c:numCache>
            </c:numRef>
          </c:yVal>
          <c:smooth val="0"/>
          <c:extLst>
            <c:ext xmlns:c16="http://schemas.microsoft.com/office/drawing/2014/chart" uri="{C3380CC4-5D6E-409C-BE32-E72D297353CC}">
              <c16:uniqueId val="{00000000-1789-B646-9AD2-9117307C5E7A}"/>
            </c:ext>
          </c:extLst>
        </c:ser>
        <c:dLbls>
          <c:showLegendKey val="0"/>
          <c:showVal val="0"/>
          <c:showCatName val="0"/>
          <c:showSerName val="0"/>
          <c:showPercent val="0"/>
          <c:showBubbleSize val="0"/>
        </c:dLbls>
        <c:axId val="688225936"/>
        <c:axId val="688227648"/>
      </c:scatterChart>
      <c:valAx>
        <c:axId val="68822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7648"/>
        <c:crosses val="autoZero"/>
        <c:crossBetween val="midCat"/>
      </c:valAx>
      <c:valAx>
        <c:axId val="68822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59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S3_model_fitting!$D$78:$D$82</c:f>
              <c:numCache>
                <c:formatCode>General</c:formatCode>
                <c:ptCount val="5"/>
                <c:pt idx="0">
                  <c:v>0</c:v>
                </c:pt>
                <c:pt idx="1">
                  <c:v>3</c:v>
                </c:pt>
                <c:pt idx="2">
                  <c:v>9</c:v>
                </c:pt>
                <c:pt idx="3">
                  <c:v>17</c:v>
                </c:pt>
                <c:pt idx="4">
                  <c:v>24</c:v>
                </c:pt>
              </c:numCache>
            </c:numRef>
          </c:xVal>
          <c:yVal>
            <c:numRef>
              <c:f>S3_model_fitting!$E$78:$E$82</c:f>
              <c:numCache>
                <c:formatCode>General</c:formatCode>
                <c:ptCount val="5"/>
                <c:pt idx="0">
                  <c:v>100.16</c:v>
                </c:pt>
                <c:pt idx="1">
                  <c:v>84.02</c:v>
                </c:pt>
                <c:pt idx="2">
                  <c:v>53.63</c:v>
                </c:pt>
                <c:pt idx="3">
                  <c:v>22.78</c:v>
                </c:pt>
                <c:pt idx="4">
                  <c:v>10.4</c:v>
                </c:pt>
              </c:numCache>
            </c:numRef>
          </c:yVal>
          <c:smooth val="0"/>
          <c:extLst>
            <c:ext xmlns:c16="http://schemas.microsoft.com/office/drawing/2014/chart" uri="{C3380CC4-5D6E-409C-BE32-E72D297353CC}">
              <c16:uniqueId val="{00000000-A1A3-A749-A878-C0F7FFAAB21D}"/>
            </c:ext>
          </c:extLst>
        </c:ser>
        <c:dLbls>
          <c:showLegendKey val="0"/>
          <c:showVal val="0"/>
          <c:showCatName val="0"/>
          <c:showSerName val="0"/>
          <c:showPercent val="0"/>
          <c:showBubbleSize val="0"/>
        </c:dLbls>
        <c:axId val="2137080847"/>
        <c:axId val="78789984"/>
      </c:scatterChart>
      <c:valAx>
        <c:axId val="2137080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9984"/>
        <c:crosses val="autoZero"/>
        <c:crossBetween val="midCat"/>
      </c:valAx>
      <c:valAx>
        <c:axId val="7878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80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S3_model_fitting!$D$83:$D$93</c:f>
              <c:numCache>
                <c:formatCode>General</c:formatCode>
                <c:ptCount val="11"/>
                <c:pt idx="0">
                  <c:v>0</c:v>
                </c:pt>
                <c:pt idx="1">
                  <c:v>7</c:v>
                </c:pt>
                <c:pt idx="2">
                  <c:v>21</c:v>
                </c:pt>
                <c:pt idx="3">
                  <c:v>49</c:v>
                </c:pt>
                <c:pt idx="4">
                  <c:v>77</c:v>
                </c:pt>
                <c:pt idx="5">
                  <c:v>105</c:v>
                </c:pt>
                <c:pt idx="6">
                  <c:v>126</c:v>
                </c:pt>
                <c:pt idx="7">
                  <c:v>149</c:v>
                </c:pt>
                <c:pt idx="8">
                  <c:v>193</c:v>
                </c:pt>
                <c:pt idx="9">
                  <c:v>229</c:v>
                </c:pt>
                <c:pt idx="10">
                  <c:v>280</c:v>
                </c:pt>
              </c:numCache>
            </c:numRef>
          </c:xVal>
          <c:yVal>
            <c:numRef>
              <c:f>S3_model_fitting!$E$83:$E$93</c:f>
              <c:numCache>
                <c:formatCode>General</c:formatCode>
                <c:ptCount val="11"/>
                <c:pt idx="0">
                  <c:v>100</c:v>
                </c:pt>
                <c:pt idx="1">
                  <c:v>64.099999999999994</c:v>
                </c:pt>
                <c:pt idx="2">
                  <c:v>56.9</c:v>
                </c:pt>
                <c:pt idx="3">
                  <c:v>31.7</c:v>
                </c:pt>
                <c:pt idx="4">
                  <c:v>27.4</c:v>
                </c:pt>
                <c:pt idx="5">
                  <c:v>28.1</c:v>
                </c:pt>
                <c:pt idx="6">
                  <c:v>27.8</c:v>
                </c:pt>
                <c:pt idx="7">
                  <c:v>31.4</c:v>
                </c:pt>
                <c:pt idx="8">
                  <c:v>34.4</c:v>
                </c:pt>
                <c:pt idx="9">
                  <c:v>21.2</c:v>
                </c:pt>
                <c:pt idx="10">
                  <c:v>23.5</c:v>
                </c:pt>
              </c:numCache>
            </c:numRef>
          </c:yVal>
          <c:smooth val="0"/>
          <c:extLst>
            <c:ext xmlns:c16="http://schemas.microsoft.com/office/drawing/2014/chart" uri="{C3380CC4-5D6E-409C-BE32-E72D297353CC}">
              <c16:uniqueId val="{00000000-636F-984C-84D6-329206607366}"/>
            </c:ext>
          </c:extLst>
        </c:ser>
        <c:dLbls>
          <c:showLegendKey val="0"/>
          <c:showVal val="0"/>
          <c:showCatName val="0"/>
          <c:showSerName val="0"/>
          <c:showPercent val="0"/>
          <c:showBubbleSize val="0"/>
        </c:dLbls>
        <c:axId val="688205600"/>
        <c:axId val="688222112"/>
      </c:scatterChart>
      <c:valAx>
        <c:axId val="688205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2112"/>
        <c:crosses val="autoZero"/>
        <c:crossBetween val="midCat"/>
      </c:valAx>
      <c:valAx>
        <c:axId val="68822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05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S3_model_fitting!$D$94:$D$104</c:f>
              <c:numCache>
                <c:formatCode>General</c:formatCode>
                <c:ptCount val="11"/>
                <c:pt idx="0">
                  <c:v>0</c:v>
                </c:pt>
                <c:pt idx="1">
                  <c:v>7</c:v>
                </c:pt>
                <c:pt idx="2">
                  <c:v>21</c:v>
                </c:pt>
                <c:pt idx="3">
                  <c:v>49</c:v>
                </c:pt>
                <c:pt idx="4">
                  <c:v>77</c:v>
                </c:pt>
                <c:pt idx="5">
                  <c:v>105</c:v>
                </c:pt>
                <c:pt idx="6">
                  <c:v>126</c:v>
                </c:pt>
                <c:pt idx="7">
                  <c:v>149</c:v>
                </c:pt>
                <c:pt idx="8">
                  <c:v>193</c:v>
                </c:pt>
                <c:pt idx="9">
                  <c:v>229</c:v>
                </c:pt>
                <c:pt idx="10">
                  <c:v>280</c:v>
                </c:pt>
              </c:numCache>
            </c:numRef>
          </c:xVal>
          <c:yVal>
            <c:numRef>
              <c:f>S3_model_fitting!$E$94:$E$104</c:f>
              <c:numCache>
                <c:formatCode>General</c:formatCode>
                <c:ptCount val="11"/>
                <c:pt idx="0">
                  <c:v>100</c:v>
                </c:pt>
                <c:pt idx="1">
                  <c:v>60.5</c:v>
                </c:pt>
                <c:pt idx="2">
                  <c:v>59.2</c:v>
                </c:pt>
                <c:pt idx="3">
                  <c:v>31.7</c:v>
                </c:pt>
                <c:pt idx="4">
                  <c:v>23.5</c:v>
                </c:pt>
                <c:pt idx="5">
                  <c:v>27.1</c:v>
                </c:pt>
                <c:pt idx="6">
                  <c:v>20.2</c:v>
                </c:pt>
                <c:pt idx="7">
                  <c:v>20.5</c:v>
                </c:pt>
                <c:pt idx="8">
                  <c:v>8.9</c:v>
                </c:pt>
                <c:pt idx="9">
                  <c:v>6.9</c:v>
                </c:pt>
                <c:pt idx="10">
                  <c:v>4.5999999999999996</c:v>
                </c:pt>
              </c:numCache>
            </c:numRef>
          </c:yVal>
          <c:smooth val="0"/>
          <c:extLst>
            <c:ext xmlns:c16="http://schemas.microsoft.com/office/drawing/2014/chart" uri="{C3380CC4-5D6E-409C-BE32-E72D297353CC}">
              <c16:uniqueId val="{00000000-B025-DC4F-914B-D3744CBF62D5}"/>
            </c:ext>
          </c:extLst>
        </c:ser>
        <c:dLbls>
          <c:showLegendKey val="0"/>
          <c:showVal val="0"/>
          <c:showCatName val="0"/>
          <c:showSerName val="0"/>
          <c:showPercent val="0"/>
          <c:showBubbleSize val="0"/>
        </c:dLbls>
        <c:axId val="388673936"/>
        <c:axId val="388675648"/>
      </c:scatterChart>
      <c:valAx>
        <c:axId val="38867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75648"/>
        <c:crosses val="autoZero"/>
        <c:crossBetween val="midCat"/>
      </c:valAx>
      <c:valAx>
        <c:axId val="3886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739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S3_model_fitting!$D$105:$D$115</c:f>
              <c:numCache>
                <c:formatCode>General</c:formatCode>
                <c:ptCount val="11"/>
                <c:pt idx="0">
                  <c:v>0</c:v>
                </c:pt>
                <c:pt idx="1">
                  <c:v>7</c:v>
                </c:pt>
                <c:pt idx="2">
                  <c:v>21</c:v>
                </c:pt>
                <c:pt idx="3">
                  <c:v>49</c:v>
                </c:pt>
                <c:pt idx="4">
                  <c:v>77</c:v>
                </c:pt>
                <c:pt idx="5">
                  <c:v>105</c:v>
                </c:pt>
                <c:pt idx="6">
                  <c:v>126</c:v>
                </c:pt>
                <c:pt idx="7">
                  <c:v>149</c:v>
                </c:pt>
                <c:pt idx="8">
                  <c:v>193</c:v>
                </c:pt>
                <c:pt idx="9">
                  <c:v>229</c:v>
                </c:pt>
                <c:pt idx="10">
                  <c:v>280</c:v>
                </c:pt>
              </c:numCache>
            </c:numRef>
          </c:xVal>
          <c:yVal>
            <c:numRef>
              <c:f>S3_model_fitting!$E$105:$E$115</c:f>
              <c:numCache>
                <c:formatCode>General</c:formatCode>
                <c:ptCount val="11"/>
                <c:pt idx="0">
                  <c:v>100</c:v>
                </c:pt>
                <c:pt idx="1">
                  <c:v>61.7</c:v>
                </c:pt>
                <c:pt idx="2">
                  <c:v>41.2</c:v>
                </c:pt>
                <c:pt idx="3">
                  <c:v>31.5</c:v>
                </c:pt>
                <c:pt idx="4">
                  <c:v>27.9</c:v>
                </c:pt>
                <c:pt idx="5">
                  <c:v>26.6</c:v>
                </c:pt>
                <c:pt idx="6">
                  <c:v>22.2</c:v>
                </c:pt>
                <c:pt idx="7">
                  <c:v>21.9</c:v>
                </c:pt>
                <c:pt idx="8">
                  <c:v>21.9</c:v>
                </c:pt>
                <c:pt idx="9">
                  <c:v>26.9</c:v>
                </c:pt>
                <c:pt idx="10">
                  <c:v>17.899999999999999</c:v>
                </c:pt>
              </c:numCache>
            </c:numRef>
          </c:yVal>
          <c:smooth val="0"/>
          <c:extLst>
            <c:ext xmlns:c16="http://schemas.microsoft.com/office/drawing/2014/chart" uri="{C3380CC4-5D6E-409C-BE32-E72D297353CC}">
              <c16:uniqueId val="{00000000-4E94-A64E-9911-FEF84B35D60C}"/>
            </c:ext>
          </c:extLst>
        </c:ser>
        <c:dLbls>
          <c:showLegendKey val="0"/>
          <c:showVal val="0"/>
          <c:showCatName val="0"/>
          <c:showSerName val="0"/>
          <c:showPercent val="0"/>
          <c:showBubbleSize val="0"/>
        </c:dLbls>
        <c:axId val="408684032"/>
        <c:axId val="408685744"/>
      </c:scatterChart>
      <c:valAx>
        <c:axId val="40868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85744"/>
        <c:crosses val="autoZero"/>
        <c:crossBetween val="midCat"/>
      </c:valAx>
      <c:valAx>
        <c:axId val="40868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840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S3_model_fitting!$D$116:$D$126</c:f>
              <c:numCache>
                <c:formatCode>General</c:formatCode>
                <c:ptCount val="11"/>
                <c:pt idx="0">
                  <c:v>0</c:v>
                </c:pt>
                <c:pt idx="1">
                  <c:v>7</c:v>
                </c:pt>
                <c:pt idx="2">
                  <c:v>21</c:v>
                </c:pt>
                <c:pt idx="3">
                  <c:v>49</c:v>
                </c:pt>
                <c:pt idx="4">
                  <c:v>77</c:v>
                </c:pt>
                <c:pt idx="5">
                  <c:v>105</c:v>
                </c:pt>
                <c:pt idx="6">
                  <c:v>126</c:v>
                </c:pt>
                <c:pt idx="7">
                  <c:v>149</c:v>
                </c:pt>
                <c:pt idx="8">
                  <c:v>193</c:v>
                </c:pt>
                <c:pt idx="9">
                  <c:v>229</c:v>
                </c:pt>
                <c:pt idx="10">
                  <c:v>280</c:v>
                </c:pt>
              </c:numCache>
            </c:numRef>
          </c:xVal>
          <c:yVal>
            <c:numRef>
              <c:f>S3_model_fitting!$E$116:$E$126</c:f>
              <c:numCache>
                <c:formatCode>General</c:formatCode>
                <c:ptCount val="11"/>
                <c:pt idx="0">
                  <c:v>100</c:v>
                </c:pt>
                <c:pt idx="1">
                  <c:v>37.6</c:v>
                </c:pt>
                <c:pt idx="2">
                  <c:v>30.7</c:v>
                </c:pt>
                <c:pt idx="3">
                  <c:v>18.5</c:v>
                </c:pt>
                <c:pt idx="4">
                  <c:v>21.5</c:v>
                </c:pt>
                <c:pt idx="5">
                  <c:v>15.5</c:v>
                </c:pt>
                <c:pt idx="6">
                  <c:v>7.9</c:v>
                </c:pt>
                <c:pt idx="7">
                  <c:v>3.3</c:v>
                </c:pt>
                <c:pt idx="8">
                  <c:v>2</c:v>
                </c:pt>
                <c:pt idx="9">
                  <c:v>0.7</c:v>
                </c:pt>
                <c:pt idx="10">
                  <c:v>0.3</c:v>
                </c:pt>
              </c:numCache>
            </c:numRef>
          </c:yVal>
          <c:smooth val="0"/>
          <c:extLst>
            <c:ext xmlns:c16="http://schemas.microsoft.com/office/drawing/2014/chart" uri="{C3380CC4-5D6E-409C-BE32-E72D297353CC}">
              <c16:uniqueId val="{00000000-8472-9B44-B377-97C754491E71}"/>
            </c:ext>
          </c:extLst>
        </c:ser>
        <c:dLbls>
          <c:showLegendKey val="0"/>
          <c:showVal val="0"/>
          <c:showCatName val="0"/>
          <c:showSerName val="0"/>
          <c:showPercent val="0"/>
          <c:showBubbleSize val="0"/>
        </c:dLbls>
        <c:axId val="678931696"/>
        <c:axId val="678933408"/>
      </c:scatterChart>
      <c:valAx>
        <c:axId val="67893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33408"/>
        <c:crosses val="autoZero"/>
        <c:crossBetween val="midCat"/>
      </c:valAx>
      <c:valAx>
        <c:axId val="67893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31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S3_model_fitting!$D$127:$D$137</c:f>
              <c:numCache>
                <c:formatCode>General</c:formatCode>
                <c:ptCount val="11"/>
                <c:pt idx="0">
                  <c:v>0</c:v>
                </c:pt>
                <c:pt idx="1">
                  <c:v>7</c:v>
                </c:pt>
                <c:pt idx="2">
                  <c:v>21</c:v>
                </c:pt>
                <c:pt idx="3">
                  <c:v>49</c:v>
                </c:pt>
                <c:pt idx="4">
                  <c:v>77</c:v>
                </c:pt>
                <c:pt idx="5">
                  <c:v>105</c:v>
                </c:pt>
                <c:pt idx="6">
                  <c:v>140</c:v>
                </c:pt>
                <c:pt idx="7">
                  <c:v>193</c:v>
                </c:pt>
                <c:pt idx="8">
                  <c:v>229</c:v>
                </c:pt>
                <c:pt idx="9">
                  <c:v>280</c:v>
                </c:pt>
                <c:pt idx="10">
                  <c:v>308</c:v>
                </c:pt>
              </c:numCache>
            </c:numRef>
          </c:xVal>
          <c:yVal>
            <c:numRef>
              <c:f>S3_model_fitting!$E$127:$E$137</c:f>
              <c:numCache>
                <c:formatCode>General</c:formatCode>
                <c:ptCount val="11"/>
                <c:pt idx="0">
                  <c:v>100</c:v>
                </c:pt>
                <c:pt idx="1">
                  <c:v>56.1</c:v>
                </c:pt>
                <c:pt idx="2">
                  <c:v>61.1</c:v>
                </c:pt>
                <c:pt idx="3">
                  <c:v>49.1</c:v>
                </c:pt>
                <c:pt idx="4">
                  <c:v>33.9</c:v>
                </c:pt>
                <c:pt idx="5">
                  <c:v>42.8</c:v>
                </c:pt>
                <c:pt idx="6">
                  <c:v>27.6</c:v>
                </c:pt>
                <c:pt idx="7">
                  <c:v>27.2</c:v>
                </c:pt>
                <c:pt idx="8">
                  <c:v>33.9</c:v>
                </c:pt>
                <c:pt idx="9">
                  <c:v>20.9</c:v>
                </c:pt>
                <c:pt idx="10">
                  <c:v>28.5</c:v>
                </c:pt>
              </c:numCache>
            </c:numRef>
          </c:yVal>
          <c:smooth val="0"/>
          <c:extLst>
            <c:ext xmlns:c16="http://schemas.microsoft.com/office/drawing/2014/chart" uri="{C3380CC4-5D6E-409C-BE32-E72D297353CC}">
              <c16:uniqueId val="{00000000-687B-1B4E-ADEB-6CBFFB91FFF8}"/>
            </c:ext>
          </c:extLst>
        </c:ser>
        <c:dLbls>
          <c:showLegendKey val="0"/>
          <c:showVal val="0"/>
          <c:showCatName val="0"/>
          <c:showSerName val="0"/>
          <c:showPercent val="0"/>
          <c:showBubbleSize val="0"/>
        </c:dLbls>
        <c:axId val="557401408"/>
        <c:axId val="556185856"/>
      </c:scatterChart>
      <c:valAx>
        <c:axId val="55740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85856"/>
        <c:crosses val="autoZero"/>
        <c:crossBetween val="midCat"/>
      </c:valAx>
      <c:valAx>
        <c:axId val="55618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014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S3_model_fitting!$D$138:$D$148</c:f>
              <c:numCache>
                <c:formatCode>General</c:formatCode>
                <c:ptCount val="11"/>
                <c:pt idx="0">
                  <c:v>0</c:v>
                </c:pt>
                <c:pt idx="1">
                  <c:v>7</c:v>
                </c:pt>
                <c:pt idx="2">
                  <c:v>21</c:v>
                </c:pt>
                <c:pt idx="3">
                  <c:v>49</c:v>
                </c:pt>
                <c:pt idx="4">
                  <c:v>77</c:v>
                </c:pt>
                <c:pt idx="5">
                  <c:v>105</c:v>
                </c:pt>
                <c:pt idx="6">
                  <c:v>140</c:v>
                </c:pt>
                <c:pt idx="7">
                  <c:v>193</c:v>
                </c:pt>
                <c:pt idx="8">
                  <c:v>229</c:v>
                </c:pt>
                <c:pt idx="9">
                  <c:v>280</c:v>
                </c:pt>
                <c:pt idx="10">
                  <c:v>308</c:v>
                </c:pt>
              </c:numCache>
            </c:numRef>
          </c:xVal>
          <c:yVal>
            <c:numRef>
              <c:f>S3_model_fitting!$E$138:$E$148</c:f>
              <c:numCache>
                <c:formatCode>General</c:formatCode>
                <c:ptCount val="11"/>
                <c:pt idx="0">
                  <c:v>100</c:v>
                </c:pt>
                <c:pt idx="1">
                  <c:v>70.400000000000006</c:v>
                </c:pt>
                <c:pt idx="2">
                  <c:v>68</c:v>
                </c:pt>
                <c:pt idx="3">
                  <c:v>43.2</c:v>
                </c:pt>
                <c:pt idx="4">
                  <c:v>42.2</c:v>
                </c:pt>
                <c:pt idx="5">
                  <c:v>40.700000000000003</c:v>
                </c:pt>
                <c:pt idx="6">
                  <c:v>31.5</c:v>
                </c:pt>
                <c:pt idx="7">
                  <c:v>21.9</c:v>
                </c:pt>
                <c:pt idx="8">
                  <c:v>18.899999999999999</c:v>
                </c:pt>
                <c:pt idx="9">
                  <c:v>11.6</c:v>
                </c:pt>
                <c:pt idx="10">
                  <c:v>12.9</c:v>
                </c:pt>
              </c:numCache>
            </c:numRef>
          </c:yVal>
          <c:smooth val="0"/>
          <c:extLst>
            <c:ext xmlns:c16="http://schemas.microsoft.com/office/drawing/2014/chart" uri="{C3380CC4-5D6E-409C-BE32-E72D297353CC}">
              <c16:uniqueId val="{00000000-4C30-524C-B129-48316819B887}"/>
            </c:ext>
          </c:extLst>
        </c:ser>
        <c:dLbls>
          <c:showLegendKey val="0"/>
          <c:showVal val="0"/>
          <c:showCatName val="0"/>
          <c:showSerName val="0"/>
          <c:showPercent val="0"/>
          <c:showBubbleSize val="0"/>
        </c:dLbls>
        <c:axId val="557218976"/>
        <c:axId val="557362000"/>
      </c:scatterChart>
      <c:valAx>
        <c:axId val="55721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362000"/>
        <c:crosses val="autoZero"/>
        <c:crossBetween val="midCat"/>
      </c:valAx>
      <c:valAx>
        <c:axId val="5573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18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S3_model_fitting!$D$149:$D$159</c:f>
              <c:numCache>
                <c:formatCode>General</c:formatCode>
                <c:ptCount val="11"/>
                <c:pt idx="0">
                  <c:v>0</c:v>
                </c:pt>
                <c:pt idx="1">
                  <c:v>7</c:v>
                </c:pt>
                <c:pt idx="2">
                  <c:v>21</c:v>
                </c:pt>
                <c:pt idx="3">
                  <c:v>49</c:v>
                </c:pt>
                <c:pt idx="4">
                  <c:v>77</c:v>
                </c:pt>
                <c:pt idx="5">
                  <c:v>105</c:v>
                </c:pt>
                <c:pt idx="6">
                  <c:v>140</c:v>
                </c:pt>
                <c:pt idx="7">
                  <c:v>193</c:v>
                </c:pt>
                <c:pt idx="8">
                  <c:v>229</c:v>
                </c:pt>
                <c:pt idx="9">
                  <c:v>280</c:v>
                </c:pt>
                <c:pt idx="10">
                  <c:v>308</c:v>
                </c:pt>
              </c:numCache>
            </c:numRef>
          </c:xVal>
          <c:yVal>
            <c:numRef>
              <c:f>S3_model_fitting!$E$149:$E$159</c:f>
              <c:numCache>
                <c:formatCode>General</c:formatCode>
                <c:ptCount val="11"/>
                <c:pt idx="0">
                  <c:v>100</c:v>
                </c:pt>
                <c:pt idx="1">
                  <c:v>67</c:v>
                </c:pt>
                <c:pt idx="2">
                  <c:v>58</c:v>
                </c:pt>
                <c:pt idx="3">
                  <c:v>36.700000000000003</c:v>
                </c:pt>
                <c:pt idx="4">
                  <c:v>36</c:v>
                </c:pt>
                <c:pt idx="5">
                  <c:v>39.700000000000003</c:v>
                </c:pt>
                <c:pt idx="6">
                  <c:v>27</c:v>
                </c:pt>
                <c:pt idx="7">
                  <c:v>28.7</c:v>
                </c:pt>
                <c:pt idx="8">
                  <c:v>25</c:v>
                </c:pt>
                <c:pt idx="9">
                  <c:v>16.3</c:v>
                </c:pt>
                <c:pt idx="10">
                  <c:v>22.3</c:v>
                </c:pt>
              </c:numCache>
            </c:numRef>
          </c:yVal>
          <c:smooth val="0"/>
          <c:extLst>
            <c:ext xmlns:c16="http://schemas.microsoft.com/office/drawing/2014/chart" uri="{C3380CC4-5D6E-409C-BE32-E72D297353CC}">
              <c16:uniqueId val="{00000000-3998-234F-B7F7-F97BE68558B3}"/>
            </c:ext>
          </c:extLst>
        </c:ser>
        <c:dLbls>
          <c:showLegendKey val="0"/>
          <c:showVal val="0"/>
          <c:showCatName val="0"/>
          <c:showSerName val="0"/>
          <c:showPercent val="0"/>
          <c:showBubbleSize val="0"/>
        </c:dLbls>
        <c:axId val="688356416"/>
        <c:axId val="688337536"/>
      </c:scatterChart>
      <c:valAx>
        <c:axId val="68835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37536"/>
        <c:crosses val="autoZero"/>
        <c:crossBetween val="midCat"/>
      </c:valAx>
      <c:valAx>
        <c:axId val="6883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564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S3_model_fitting!$D$160:$D$170</c:f>
              <c:numCache>
                <c:formatCode>General</c:formatCode>
                <c:ptCount val="11"/>
                <c:pt idx="0">
                  <c:v>0</c:v>
                </c:pt>
                <c:pt idx="1">
                  <c:v>7</c:v>
                </c:pt>
                <c:pt idx="2">
                  <c:v>21</c:v>
                </c:pt>
                <c:pt idx="3">
                  <c:v>49</c:v>
                </c:pt>
                <c:pt idx="4">
                  <c:v>77</c:v>
                </c:pt>
                <c:pt idx="5">
                  <c:v>105</c:v>
                </c:pt>
                <c:pt idx="6">
                  <c:v>140</c:v>
                </c:pt>
                <c:pt idx="7">
                  <c:v>193</c:v>
                </c:pt>
                <c:pt idx="8">
                  <c:v>229</c:v>
                </c:pt>
                <c:pt idx="9">
                  <c:v>280</c:v>
                </c:pt>
                <c:pt idx="10">
                  <c:v>308</c:v>
                </c:pt>
              </c:numCache>
            </c:numRef>
          </c:xVal>
          <c:yVal>
            <c:numRef>
              <c:f>S3_model_fitting!$E$160:$E$170</c:f>
              <c:numCache>
                <c:formatCode>General</c:formatCode>
                <c:ptCount val="11"/>
                <c:pt idx="0">
                  <c:v>100</c:v>
                </c:pt>
                <c:pt idx="1">
                  <c:v>60.3</c:v>
                </c:pt>
                <c:pt idx="2">
                  <c:v>74</c:v>
                </c:pt>
                <c:pt idx="3">
                  <c:v>39.700000000000003</c:v>
                </c:pt>
                <c:pt idx="4">
                  <c:v>29.3</c:v>
                </c:pt>
                <c:pt idx="5">
                  <c:v>31.3</c:v>
                </c:pt>
                <c:pt idx="6">
                  <c:v>22</c:v>
                </c:pt>
                <c:pt idx="7">
                  <c:v>12.7</c:v>
                </c:pt>
                <c:pt idx="8">
                  <c:v>12.7</c:v>
                </c:pt>
                <c:pt idx="9">
                  <c:v>13.3</c:v>
                </c:pt>
                <c:pt idx="10">
                  <c:v>12.7</c:v>
                </c:pt>
              </c:numCache>
            </c:numRef>
          </c:yVal>
          <c:smooth val="0"/>
          <c:extLst>
            <c:ext xmlns:c16="http://schemas.microsoft.com/office/drawing/2014/chart" uri="{C3380CC4-5D6E-409C-BE32-E72D297353CC}">
              <c16:uniqueId val="{00000000-514C-5149-B371-E1BD5A684532}"/>
            </c:ext>
          </c:extLst>
        </c:ser>
        <c:dLbls>
          <c:showLegendKey val="0"/>
          <c:showVal val="0"/>
          <c:showCatName val="0"/>
          <c:showSerName val="0"/>
          <c:showPercent val="0"/>
          <c:showBubbleSize val="0"/>
        </c:dLbls>
        <c:axId val="237497936"/>
        <c:axId val="2137765231"/>
      </c:scatterChart>
      <c:valAx>
        <c:axId val="23749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65231"/>
        <c:crosses val="autoZero"/>
        <c:crossBetween val="midCat"/>
      </c:valAx>
      <c:valAx>
        <c:axId val="213776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979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S3_model_fitting!$D$73:$D$77</c:f>
              <c:numCache>
                <c:formatCode>General</c:formatCode>
                <c:ptCount val="5"/>
                <c:pt idx="0">
                  <c:v>0</c:v>
                </c:pt>
                <c:pt idx="1">
                  <c:v>3</c:v>
                </c:pt>
                <c:pt idx="2">
                  <c:v>9</c:v>
                </c:pt>
                <c:pt idx="3">
                  <c:v>17</c:v>
                </c:pt>
                <c:pt idx="4">
                  <c:v>24</c:v>
                </c:pt>
              </c:numCache>
            </c:numRef>
          </c:xVal>
          <c:yVal>
            <c:numRef>
              <c:f>S3_model_fitting!$E$73:$E$77</c:f>
              <c:numCache>
                <c:formatCode>General</c:formatCode>
                <c:ptCount val="5"/>
                <c:pt idx="0">
                  <c:v>100</c:v>
                </c:pt>
                <c:pt idx="1">
                  <c:v>74.05</c:v>
                </c:pt>
                <c:pt idx="2">
                  <c:v>32.75</c:v>
                </c:pt>
                <c:pt idx="3">
                  <c:v>10.44</c:v>
                </c:pt>
                <c:pt idx="4">
                  <c:v>7.12</c:v>
                </c:pt>
              </c:numCache>
            </c:numRef>
          </c:yVal>
          <c:smooth val="0"/>
          <c:extLst>
            <c:ext xmlns:c16="http://schemas.microsoft.com/office/drawing/2014/chart" uri="{C3380CC4-5D6E-409C-BE32-E72D297353CC}">
              <c16:uniqueId val="{00000000-77EF-4445-890B-C56DB54DE6E5}"/>
            </c:ext>
          </c:extLst>
        </c:ser>
        <c:dLbls>
          <c:showLegendKey val="0"/>
          <c:showVal val="0"/>
          <c:showCatName val="0"/>
          <c:showSerName val="0"/>
          <c:showPercent val="0"/>
          <c:showBubbleSize val="0"/>
        </c:dLbls>
        <c:axId val="688385152"/>
        <c:axId val="688386864"/>
      </c:scatterChart>
      <c:valAx>
        <c:axId val="68838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86864"/>
        <c:crosses val="autoZero"/>
        <c:crossBetween val="midCat"/>
      </c:valAx>
      <c:valAx>
        <c:axId val="68838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85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S3_model_fitting!$D$184:$D$191</c:f>
              <c:numCache>
                <c:formatCode>General</c:formatCode>
                <c:ptCount val="8"/>
                <c:pt idx="0">
                  <c:v>0</c:v>
                </c:pt>
                <c:pt idx="1">
                  <c:v>9</c:v>
                </c:pt>
                <c:pt idx="2">
                  <c:v>16</c:v>
                </c:pt>
                <c:pt idx="3">
                  <c:v>23</c:v>
                </c:pt>
                <c:pt idx="4">
                  <c:v>30</c:v>
                </c:pt>
                <c:pt idx="5">
                  <c:v>36</c:v>
                </c:pt>
                <c:pt idx="6">
                  <c:v>56</c:v>
                </c:pt>
                <c:pt idx="7">
                  <c:v>108</c:v>
                </c:pt>
              </c:numCache>
            </c:numRef>
          </c:xVal>
          <c:yVal>
            <c:numRef>
              <c:f>S3_model_fitting!$E$184:$E$191</c:f>
              <c:numCache>
                <c:formatCode>General</c:formatCode>
                <c:ptCount val="8"/>
                <c:pt idx="0">
                  <c:v>100</c:v>
                </c:pt>
                <c:pt idx="1">
                  <c:v>99.8</c:v>
                </c:pt>
                <c:pt idx="2">
                  <c:v>99</c:v>
                </c:pt>
                <c:pt idx="3">
                  <c:v>96.5</c:v>
                </c:pt>
                <c:pt idx="4">
                  <c:v>80.400000000000006</c:v>
                </c:pt>
                <c:pt idx="5">
                  <c:v>66.400000000000006</c:v>
                </c:pt>
                <c:pt idx="6">
                  <c:v>52</c:v>
                </c:pt>
                <c:pt idx="7">
                  <c:v>51.6</c:v>
                </c:pt>
              </c:numCache>
            </c:numRef>
          </c:yVal>
          <c:smooth val="0"/>
          <c:extLst>
            <c:ext xmlns:c16="http://schemas.microsoft.com/office/drawing/2014/chart" uri="{C3380CC4-5D6E-409C-BE32-E72D297353CC}">
              <c16:uniqueId val="{00000000-198B-2C4D-BE93-73C09FAD25A7}"/>
            </c:ext>
          </c:extLst>
        </c:ser>
        <c:dLbls>
          <c:showLegendKey val="0"/>
          <c:showVal val="0"/>
          <c:showCatName val="0"/>
          <c:showSerName val="0"/>
          <c:showPercent val="0"/>
          <c:showBubbleSize val="0"/>
        </c:dLbls>
        <c:axId val="388750688"/>
        <c:axId val="388705792"/>
      </c:scatterChart>
      <c:valAx>
        <c:axId val="38875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05792"/>
        <c:crosses val="autoZero"/>
        <c:crossBetween val="midCat"/>
      </c:valAx>
      <c:valAx>
        <c:axId val="38870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50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S3_model_fitting!$D$192:$D$199</c:f>
              <c:numCache>
                <c:formatCode>General</c:formatCode>
                <c:ptCount val="8"/>
                <c:pt idx="0">
                  <c:v>0</c:v>
                </c:pt>
                <c:pt idx="1">
                  <c:v>9</c:v>
                </c:pt>
                <c:pt idx="2">
                  <c:v>16</c:v>
                </c:pt>
                <c:pt idx="3">
                  <c:v>23</c:v>
                </c:pt>
                <c:pt idx="4">
                  <c:v>30</c:v>
                </c:pt>
                <c:pt idx="5">
                  <c:v>36</c:v>
                </c:pt>
                <c:pt idx="6">
                  <c:v>56</c:v>
                </c:pt>
                <c:pt idx="7">
                  <c:v>108</c:v>
                </c:pt>
              </c:numCache>
            </c:numRef>
          </c:xVal>
          <c:yVal>
            <c:numRef>
              <c:f>S3_model_fitting!$E$192:$E$199</c:f>
              <c:numCache>
                <c:formatCode>General</c:formatCode>
                <c:ptCount val="8"/>
                <c:pt idx="0">
                  <c:v>100</c:v>
                </c:pt>
                <c:pt idx="1">
                  <c:v>100.7</c:v>
                </c:pt>
                <c:pt idx="2">
                  <c:v>86.2</c:v>
                </c:pt>
                <c:pt idx="3">
                  <c:v>40.4</c:v>
                </c:pt>
                <c:pt idx="4">
                  <c:v>18.600000000000001</c:v>
                </c:pt>
                <c:pt idx="5">
                  <c:v>9.5</c:v>
                </c:pt>
                <c:pt idx="6">
                  <c:v>0</c:v>
                </c:pt>
                <c:pt idx="7">
                  <c:v>0</c:v>
                </c:pt>
              </c:numCache>
            </c:numRef>
          </c:yVal>
          <c:smooth val="0"/>
          <c:extLst>
            <c:ext xmlns:c16="http://schemas.microsoft.com/office/drawing/2014/chart" uri="{C3380CC4-5D6E-409C-BE32-E72D297353CC}">
              <c16:uniqueId val="{00000000-CE29-2440-9388-6448B2FAEE02}"/>
            </c:ext>
          </c:extLst>
        </c:ser>
        <c:dLbls>
          <c:showLegendKey val="0"/>
          <c:showVal val="0"/>
          <c:showCatName val="0"/>
          <c:showSerName val="0"/>
          <c:showPercent val="0"/>
          <c:showBubbleSize val="0"/>
        </c:dLbls>
        <c:axId val="679183232"/>
        <c:axId val="679184944"/>
      </c:scatterChart>
      <c:valAx>
        <c:axId val="67918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84944"/>
        <c:crosses val="autoZero"/>
        <c:crossBetween val="midCat"/>
      </c:valAx>
      <c:valAx>
        <c:axId val="67918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832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S3_model_fitting!$D$200:$D$207</c:f>
              <c:numCache>
                <c:formatCode>General</c:formatCode>
                <c:ptCount val="8"/>
                <c:pt idx="0">
                  <c:v>0</c:v>
                </c:pt>
                <c:pt idx="1">
                  <c:v>9</c:v>
                </c:pt>
                <c:pt idx="2">
                  <c:v>16</c:v>
                </c:pt>
                <c:pt idx="3">
                  <c:v>23</c:v>
                </c:pt>
                <c:pt idx="4">
                  <c:v>30</c:v>
                </c:pt>
                <c:pt idx="5">
                  <c:v>36</c:v>
                </c:pt>
                <c:pt idx="6">
                  <c:v>56</c:v>
                </c:pt>
                <c:pt idx="7">
                  <c:v>108</c:v>
                </c:pt>
              </c:numCache>
            </c:numRef>
          </c:xVal>
          <c:yVal>
            <c:numRef>
              <c:f>S3_model_fitting!$E$200:$E$207</c:f>
              <c:numCache>
                <c:formatCode>General</c:formatCode>
                <c:ptCount val="8"/>
                <c:pt idx="0">
                  <c:v>100</c:v>
                </c:pt>
                <c:pt idx="1">
                  <c:v>99.8</c:v>
                </c:pt>
                <c:pt idx="2">
                  <c:v>98.2</c:v>
                </c:pt>
                <c:pt idx="3">
                  <c:v>101.1</c:v>
                </c:pt>
                <c:pt idx="4">
                  <c:v>105.6</c:v>
                </c:pt>
                <c:pt idx="5">
                  <c:v>103.5</c:v>
                </c:pt>
                <c:pt idx="6">
                  <c:v>102.3</c:v>
                </c:pt>
                <c:pt idx="7">
                  <c:v>0</c:v>
                </c:pt>
              </c:numCache>
            </c:numRef>
          </c:yVal>
          <c:smooth val="0"/>
          <c:extLst>
            <c:ext xmlns:c16="http://schemas.microsoft.com/office/drawing/2014/chart" uri="{C3380CC4-5D6E-409C-BE32-E72D297353CC}">
              <c16:uniqueId val="{00000000-E0B8-6441-B690-46D2A2F800C1}"/>
            </c:ext>
          </c:extLst>
        </c:ser>
        <c:dLbls>
          <c:showLegendKey val="0"/>
          <c:showVal val="0"/>
          <c:showCatName val="0"/>
          <c:showSerName val="0"/>
          <c:showPercent val="0"/>
          <c:showBubbleSize val="0"/>
        </c:dLbls>
        <c:axId val="388690304"/>
        <c:axId val="388765680"/>
      </c:scatterChart>
      <c:valAx>
        <c:axId val="38869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65680"/>
        <c:crosses val="autoZero"/>
        <c:crossBetween val="midCat"/>
      </c:valAx>
      <c:valAx>
        <c:axId val="38876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90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S3_model_fitting!$D$224:$D$231</c:f>
              <c:numCache>
                <c:formatCode>General</c:formatCode>
                <c:ptCount val="8"/>
                <c:pt idx="0">
                  <c:v>0</c:v>
                </c:pt>
                <c:pt idx="1">
                  <c:v>5</c:v>
                </c:pt>
                <c:pt idx="2">
                  <c:v>15</c:v>
                </c:pt>
                <c:pt idx="3">
                  <c:v>30</c:v>
                </c:pt>
                <c:pt idx="4">
                  <c:v>60</c:v>
                </c:pt>
                <c:pt idx="5">
                  <c:v>90</c:v>
                </c:pt>
                <c:pt idx="6">
                  <c:v>120</c:v>
                </c:pt>
                <c:pt idx="7">
                  <c:v>150</c:v>
                </c:pt>
              </c:numCache>
            </c:numRef>
          </c:xVal>
          <c:yVal>
            <c:numRef>
              <c:f>S3_model_fitting!$E$224:$E$231</c:f>
              <c:numCache>
                <c:formatCode>General</c:formatCode>
                <c:ptCount val="8"/>
                <c:pt idx="0">
                  <c:v>100</c:v>
                </c:pt>
                <c:pt idx="1">
                  <c:v>92.857142857142861</c:v>
                </c:pt>
                <c:pt idx="2">
                  <c:v>85.714285714285708</c:v>
                </c:pt>
                <c:pt idx="3">
                  <c:v>52.857142857142861</c:v>
                </c:pt>
                <c:pt idx="4">
                  <c:v>47.142857142857139</c:v>
                </c:pt>
                <c:pt idx="5">
                  <c:v>42.857142857142854</c:v>
                </c:pt>
                <c:pt idx="6">
                  <c:v>38.571428571428577</c:v>
                </c:pt>
                <c:pt idx="7">
                  <c:v>37.142857142857146</c:v>
                </c:pt>
              </c:numCache>
            </c:numRef>
          </c:yVal>
          <c:smooth val="0"/>
          <c:extLst>
            <c:ext xmlns:c16="http://schemas.microsoft.com/office/drawing/2014/chart" uri="{C3380CC4-5D6E-409C-BE32-E72D297353CC}">
              <c16:uniqueId val="{00000000-4A98-6B41-A709-13DF32B4C78D}"/>
            </c:ext>
          </c:extLst>
        </c:ser>
        <c:dLbls>
          <c:showLegendKey val="0"/>
          <c:showVal val="0"/>
          <c:showCatName val="0"/>
          <c:showSerName val="0"/>
          <c:showPercent val="0"/>
          <c:showBubbleSize val="0"/>
        </c:dLbls>
        <c:axId val="679169088"/>
        <c:axId val="679155424"/>
      </c:scatterChart>
      <c:valAx>
        <c:axId val="67916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55424"/>
        <c:crosses val="autoZero"/>
        <c:crossBetween val="midCat"/>
      </c:valAx>
      <c:valAx>
        <c:axId val="6791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690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S3_model_fitting!$D$232:$D$239</c:f>
              <c:numCache>
                <c:formatCode>General</c:formatCode>
                <c:ptCount val="8"/>
                <c:pt idx="0">
                  <c:v>0</c:v>
                </c:pt>
                <c:pt idx="1">
                  <c:v>5</c:v>
                </c:pt>
                <c:pt idx="2">
                  <c:v>15</c:v>
                </c:pt>
                <c:pt idx="3">
                  <c:v>30</c:v>
                </c:pt>
                <c:pt idx="4">
                  <c:v>60</c:v>
                </c:pt>
                <c:pt idx="5">
                  <c:v>90</c:v>
                </c:pt>
                <c:pt idx="6">
                  <c:v>120</c:v>
                </c:pt>
                <c:pt idx="7">
                  <c:v>150</c:v>
                </c:pt>
              </c:numCache>
            </c:numRef>
          </c:xVal>
          <c:yVal>
            <c:numRef>
              <c:f>S3_model_fitting!$E$232:$E$239</c:f>
              <c:numCache>
                <c:formatCode>General</c:formatCode>
                <c:ptCount val="8"/>
                <c:pt idx="0">
                  <c:v>100</c:v>
                </c:pt>
                <c:pt idx="1">
                  <c:v>70.967741935483872</c:v>
                </c:pt>
                <c:pt idx="2">
                  <c:v>54.838709677419352</c:v>
                </c:pt>
                <c:pt idx="3">
                  <c:v>48.387096774193544</c:v>
                </c:pt>
                <c:pt idx="4">
                  <c:v>40.322580645161288</c:v>
                </c:pt>
                <c:pt idx="5">
                  <c:v>38.70967741935484</c:v>
                </c:pt>
                <c:pt idx="6">
                  <c:v>38.70967741935484</c:v>
                </c:pt>
                <c:pt idx="7">
                  <c:v>38.70967741935484</c:v>
                </c:pt>
              </c:numCache>
            </c:numRef>
          </c:yVal>
          <c:smooth val="0"/>
          <c:extLst>
            <c:ext xmlns:c16="http://schemas.microsoft.com/office/drawing/2014/chart" uri="{C3380CC4-5D6E-409C-BE32-E72D297353CC}">
              <c16:uniqueId val="{00000000-5329-AD42-A3D7-F8DC41777AF8}"/>
            </c:ext>
          </c:extLst>
        </c:ser>
        <c:dLbls>
          <c:showLegendKey val="0"/>
          <c:showVal val="0"/>
          <c:showCatName val="0"/>
          <c:showSerName val="0"/>
          <c:showPercent val="0"/>
          <c:showBubbleSize val="0"/>
        </c:dLbls>
        <c:axId val="408761504"/>
        <c:axId val="408825008"/>
      </c:scatterChart>
      <c:valAx>
        <c:axId val="40876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25008"/>
        <c:crosses val="autoZero"/>
        <c:crossBetween val="midCat"/>
      </c:valAx>
      <c:valAx>
        <c:axId val="4088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61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S3_model_fitting!$D$240:$D$243</c:f>
              <c:numCache>
                <c:formatCode>General</c:formatCode>
                <c:ptCount val="4"/>
                <c:pt idx="0">
                  <c:v>0</c:v>
                </c:pt>
                <c:pt idx="1">
                  <c:v>5</c:v>
                </c:pt>
                <c:pt idx="2">
                  <c:v>10</c:v>
                </c:pt>
                <c:pt idx="3">
                  <c:v>20</c:v>
                </c:pt>
              </c:numCache>
            </c:numRef>
          </c:xVal>
          <c:yVal>
            <c:numRef>
              <c:f>S3_model_fitting!$E$240:$E$243</c:f>
              <c:numCache>
                <c:formatCode>General</c:formatCode>
                <c:ptCount val="4"/>
                <c:pt idx="0">
                  <c:v>100</c:v>
                </c:pt>
                <c:pt idx="1">
                  <c:v>51.2</c:v>
                </c:pt>
                <c:pt idx="2">
                  <c:v>44.800000000000004</c:v>
                </c:pt>
                <c:pt idx="3">
                  <c:v>27.200000000000003</c:v>
                </c:pt>
              </c:numCache>
            </c:numRef>
          </c:yVal>
          <c:smooth val="0"/>
          <c:extLst>
            <c:ext xmlns:c16="http://schemas.microsoft.com/office/drawing/2014/chart" uri="{C3380CC4-5D6E-409C-BE32-E72D297353CC}">
              <c16:uniqueId val="{00000000-980E-444B-8004-E16EBB561C7D}"/>
            </c:ext>
          </c:extLst>
        </c:ser>
        <c:dLbls>
          <c:showLegendKey val="0"/>
          <c:showVal val="0"/>
          <c:showCatName val="0"/>
          <c:showSerName val="0"/>
          <c:showPercent val="0"/>
          <c:showBubbleSize val="0"/>
        </c:dLbls>
        <c:axId val="907388592"/>
        <c:axId val="907875552"/>
      </c:scatterChart>
      <c:valAx>
        <c:axId val="907388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75552"/>
        <c:crosses val="autoZero"/>
        <c:crossBetween val="midCat"/>
      </c:valAx>
      <c:valAx>
        <c:axId val="90787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3885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S3_model_fitting!$D$268:$D$275</c:f>
              <c:numCache>
                <c:formatCode>General</c:formatCode>
                <c:ptCount val="8"/>
                <c:pt idx="0">
                  <c:v>0</c:v>
                </c:pt>
                <c:pt idx="1">
                  <c:v>14</c:v>
                </c:pt>
                <c:pt idx="2">
                  <c:v>28</c:v>
                </c:pt>
                <c:pt idx="3">
                  <c:v>42</c:v>
                </c:pt>
                <c:pt idx="4">
                  <c:v>77</c:v>
                </c:pt>
                <c:pt idx="5">
                  <c:v>105</c:v>
                </c:pt>
                <c:pt idx="6">
                  <c:v>140</c:v>
                </c:pt>
                <c:pt idx="7">
                  <c:v>168</c:v>
                </c:pt>
              </c:numCache>
            </c:numRef>
          </c:xVal>
          <c:yVal>
            <c:numRef>
              <c:f>S3_model_fitting!$E$268:$E$275</c:f>
              <c:numCache>
                <c:formatCode>General</c:formatCode>
                <c:ptCount val="8"/>
                <c:pt idx="0">
                  <c:v>100</c:v>
                </c:pt>
                <c:pt idx="1">
                  <c:v>104.7</c:v>
                </c:pt>
                <c:pt idx="2">
                  <c:v>80.599999999999994</c:v>
                </c:pt>
                <c:pt idx="3">
                  <c:v>61.6</c:v>
                </c:pt>
                <c:pt idx="4">
                  <c:v>38.799999999999997</c:v>
                </c:pt>
                <c:pt idx="5">
                  <c:v>28.9</c:v>
                </c:pt>
                <c:pt idx="6">
                  <c:v>23.3</c:v>
                </c:pt>
                <c:pt idx="7">
                  <c:v>17.2</c:v>
                </c:pt>
              </c:numCache>
            </c:numRef>
          </c:yVal>
          <c:smooth val="0"/>
          <c:extLst>
            <c:ext xmlns:c16="http://schemas.microsoft.com/office/drawing/2014/chart" uri="{C3380CC4-5D6E-409C-BE32-E72D297353CC}">
              <c16:uniqueId val="{00000000-E8EB-5049-952B-8D99864ABB70}"/>
            </c:ext>
          </c:extLst>
        </c:ser>
        <c:dLbls>
          <c:showLegendKey val="0"/>
          <c:showVal val="0"/>
          <c:showCatName val="0"/>
          <c:showSerName val="0"/>
          <c:showPercent val="0"/>
          <c:showBubbleSize val="0"/>
        </c:dLbls>
        <c:axId val="688438320"/>
        <c:axId val="688440032"/>
      </c:scatterChart>
      <c:valAx>
        <c:axId val="68843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40032"/>
        <c:crosses val="autoZero"/>
        <c:crossBetween val="midCat"/>
      </c:valAx>
      <c:valAx>
        <c:axId val="68844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38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S3_model_fitting!$D$276:$D$281</c:f>
              <c:numCache>
                <c:formatCode>General</c:formatCode>
                <c:ptCount val="6"/>
                <c:pt idx="0">
                  <c:v>0</c:v>
                </c:pt>
                <c:pt idx="1">
                  <c:v>28</c:v>
                </c:pt>
                <c:pt idx="2">
                  <c:v>42</c:v>
                </c:pt>
                <c:pt idx="3">
                  <c:v>77</c:v>
                </c:pt>
                <c:pt idx="4">
                  <c:v>105</c:v>
                </c:pt>
                <c:pt idx="5">
                  <c:v>140</c:v>
                </c:pt>
              </c:numCache>
            </c:numRef>
          </c:xVal>
          <c:yVal>
            <c:numRef>
              <c:f>S3_model_fitting!$E$276:$E$281</c:f>
              <c:numCache>
                <c:formatCode>General</c:formatCode>
                <c:ptCount val="6"/>
                <c:pt idx="0">
                  <c:v>100</c:v>
                </c:pt>
                <c:pt idx="1">
                  <c:v>25</c:v>
                </c:pt>
                <c:pt idx="2">
                  <c:v>27.6</c:v>
                </c:pt>
                <c:pt idx="3">
                  <c:v>16.399999999999999</c:v>
                </c:pt>
                <c:pt idx="4">
                  <c:v>2.2000000000000002</c:v>
                </c:pt>
                <c:pt idx="5">
                  <c:v>5.2</c:v>
                </c:pt>
              </c:numCache>
            </c:numRef>
          </c:yVal>
          <c:smooth val="0"/>
          <c:extLst>
            <c:ext xmlns:c16="http://schemas.microsoft.com/office/drawing/2014/chart" uri="{C3380CC4-5D6E-409C-BE32-E72D297353CC}">
              <c16:uniqueId val="{00000000-965E-A348-83DC-391102C2CC1E}"/>
            </c:ext>
          </c:extLst>
        </c:ser>
        <c:dLbls>
          <c:showLegendKey val="0"/>
          <c:showVal val="0"/>
          <c:showCatName val="0"/>
          <c:showSerName val="0"/>
          <c:showPercent val="0"/>
          <c:showBubbleSize val="0"/>
        </c:dLbls>
        <c:axId val="388719552"/>
        <c:axId val="388882656"/>
      </c:scatterChart>
      <c:valAx>
        <c:axId val="38871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82656"/>
        <c:crosses val="autoZero"/>
        <c:crossBetween val="midCat"/>
      </c:valAx>
      <c:valAx>
        <c:axId val="3888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19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S3_model_fitting!$D$282:$D$287</c:f>
              <c:numCache>
                <c:formatCode>General</c:formatCode>
                <c:ptCount val="6"/>
                <c:pt idx="0">
                  <c:v>0</c:v>
                </c:pt>
                <c:pt idx="1">
                  <c:v>3</c:v>
                </c:pt>
                <c:pt idx="2">
                  <c:v>10</c:v>
                </c:pt>
                <c:pt idx="3">
                  <c:v>30</c:v>
                </c:pt>
                <c:pt idx="4">
                  <c:v>90</c:v>
                </c:pt>
                <c:pt idx="5">
                  <c:v>150</c:v>
                </c:pt>
              </c:numCache>
            </c:numRef>
          </c:xVal>
          <c:yVal>
            <c:numRef>
              <c:f>S3_model_fitting!$E$282:$E$287</c:f>
              <c:numCache>
                <c:formatCode>General</c:formatCode>
                <c:ptCount val="6"/>
                <c:pt idx="0">
                  <c:v>100</c:v>
                </c:pt>
                <c:pt idx="1">
                  <c:v>100.66481589713618</c:v>
                </c:pt>
                <c:pt idx="2">
                  <c:v>95.170952659263591</c:v>
                </c:pt>
                <c:pt idx="3">
                  <c:v>77.834599649327885</c:v>
                </c:pt>
                <c:pt idx="4">
                  <c:v>57.670952659263577</c:v>
                </c:pt>
                <c:pt idx="5">
                  <c:v>55.749561659848034</c:v>
                </c:pt>
              </c:numCache>
            </c:numRef>
          </c:yVal>
          <c:smooth val="0"/>
          <c:extLst>
            <c:ext xmlns:c16="http://schemas.microsoft.com/office/drawing/2014/chart" uri="{C3380CC4-5D6E-409C-BE32-E72D297353CC}">
              <c16:uniqueId val="{00000000-93A8-ED4C-8AF4-A2EEDB4F540D}"/>
            </c:ext>
          </c:extLst>
        </c:ser>
        <c:dLbls>
          <c:showLegendKey val="0"/>
          <c:showVal val="0"/>
          <c:showCatName val="0"/>
          <c:showSerName val="0"/>
          <c:showPercent val="0"/>
          <c:showBubbleSize val="0"/>
        </c:dLbls>
        <c:axId val="934962576"/>
        <c:axId val="899159008"/>
      </c:scatterChart>
      <c:valAx>
        <c:axId val="93496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59008"/>
        <c:crosses val="autoZero"/>
        <c:crossBetween val="midCat"/>
      </c:valAx>
      <c:valAx>
        <c:axId val="89915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62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S3_model_fitting!$D$288:$D$293</c:f>
              <c:numCache>
                <c:formatCode>General</c:formatCode>
                <c:ptCount val="6"/>
                <c:pt idx="0">
                  <c:v>0</c:v>
                </c:pt>
                <c:pt idx="1">
                  <c:v>3</c:v>
                </c:pt>
                <c:pt idx="2">
                  <c:v>10</c:v>
                </c:pt>
                <c:pt idx="3">
                  <c:v>30</c:v>
                </c:pt>
                <c:pt idx="4">
                  <c:v>90</c:v>
                </c:pt>
                <c:pt idx="5">
                  <c:v>150</c:v>
                </c:pt>
              </c:numCache>
            </c:numRef>
          </c:xVal>
          <c:yVal>
            <c:numRef>
              <c:f>S3_model_fitting!$E$288:$E$293</c:f>
              <c:numCache>
                <c:formatCode>General</c:formatCode>
                <c:ptCount val="6"/>
                <c:pt idx="0">
                  <c:v>100.00000000000004</c:v>
                </c:pt>
                <c:pt idx="1">
                  <c:v>107.46829497416633</c:v>
                </c:pt>
                <c:pt idx="2">
                  <c:v>100.09394081728513</c:v>
                </c:pt>
                <c:pt idx="3">
                  <c:v>92.672616251761411</c:v>
                </c:pt>
                <c:pt idx="4">
                  <c:v>77.829967120713917</c:v>
                </c:pt>
                <c:pt idx="5">
                  <c:v>77.829967120713988</c:v>
                </c:pt>
              </c:numCache>
            </c:numRef>
          </c:yVal>
          <c:smooth val="0"/>
          <c:extLst>
            <c:ext xmlns:c16="http://schemas.microsoft.com/office/drawing/2014/chart" uri="{C3380CC4-5D6E-409C-BE32-E72D297353CC}">
              <c16:uniqueId val="{00000000-9B71-7946-91B0-2A66207D0259}"/>
            </c:ext>
          </c:extLst>
        </c:ser>
        <c:dLbls>
          <c:showLegendKey val="0"/>
          <c:showVal val="0"/>
          <c:showCatName val="0"/>
          <c:showSerName val="0"/>
          <c:showPercent val="0"/>
          <c:showBubbleSize val="0"/>
        </c:dLbls>
        <c:axId val="934502640"/>
        <c:axId val="219588752"/>
      </c:scatterChart>
      <c:valAx>
        <c:axId val="93450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88752"/>
        <c:crosses val="autoZero"/>
        <c:crossBetween val="midCat"/>
      </c:valAx>
      <c:valAx>
        <c:axId val="21958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502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S3_model_fitting!$D$298:$D$304</c:f>
              <c:numCache>
                <c:formatCode>General</c:formatCode>
                <c:ptCount val="7"/>
                <c:pt idx="0">
                  <c:v>0</c:v>
                </c:pt>
                <c:pt idx="1">
                  <c:v>1</c:v>
                </c:pt>
                <c:pt idx="2">
                  <c:v>3</c:v>
                </c:pt>
                <c:pt idx="3">
                  <c:v>9</c:v>
                </c:pt>
                <c:pt idx="4">
                  <c:v>16</c:v>
                </c:pt>
                <c:pt idx="5">
                  <c:v>24</c:v>
                </c:pt>
                <c:pt idx="6">
                  <c:v>43</c:v>
                </c:pt>
              </c:numCache>
            </c:numRef>
          </c:xVal>
          <c:yVal>
            <c:numRef>
              <c:f>S3_model_fitting!$E$298:$E$304</c:f>
              <c:numCache>
                <c:formatCode>General</c:formatCode>
                <c:ptCount val="7"/>
                <c:pt idx="0">
                  <c:v>100</c:v>
                </c:pt>
                <c:pt idx="1">
                  <c:v>45.2</c:v>
                </c:pt>
                <c:pt idx="2">
                  <c:v>34.5</c:v>
                </c:pt>
                <c:pt idx="3">
                  <c:v>39.6</c:v>
                </c:pt>
                <c:pt idx="4">
                  <c:v>30.900000000000006</c:v>
                </c:pt>
                <c:pt idx="5">
                  <c:v>44.3</c:v>
                </c:pt>
                <c:pt idx="6">
                  <c:v>28.099999999999994</c:v>
                </c:pt>
              </c:numCache>
            </c:numRef>
          </c:yVal>
          <c:smooth val="0"/>
          <c:extLst>
            <c:ext xmlns:c16="http://schemas.microsoft.com/office/drawing/2014/chart" uri="{C3380CC4-5D6E-409C-BE32-E72D297353CC}">
              <c16:uniqueId val="{00000000-9856-8E4A-9566-F2331801D9E2}"/>
            </c:ext>
          </c:extLst>
        </c:ser>
        <c:dLbls>
          <c:showLegendKey val="0"/>
          <c:showVal val="0"/>
          <c:showCatName val="0"/>
          <c:showSerName val="0"/>
          <c:showPercent val="0"/>
          <c:showBubbleSize val="0"/>
        </c:dLbls>
        <c:axId val="876003392"/>
        <c:axId val="875854080"/>
      </c:scatterChart>
      <c:valAx>
        <c:axId val="876003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54080"/>
        <c:crosses val="autoZero"/>
        <c:crossBetween val="midCat"/>
      </c:valAx>
      <c:valAx>
        <c:axId val="8758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03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S3_model_fitting!$D$305:$D$311</c:f>
              <c:numCache>
                <c:formatCode>General</c:formatCode>
                <c:ptCount val="7"/>
                <c:pt idx="0">
                  <c:v>0</c:v>
                </c:pt>
                <c:pt idx="1">
                  <c:v>1</c:v>
                </c:pt>
                <c:pt idx="2">
                  <c:v>3</c:v>
                </c:pt>
                <c:pt idx="3">
                  <c:v>9</c:v>
                </c:pt>
                <c:pt idx="4">
                  <c:v>16</c:v>
                </c:pt>
                <c:pt idx="5">
                  <c:v>24</c:v>
                </c:pt>
                <c:pt idx="6">
                  <c:v>43</c:v>
                </c:pt>
              </c:numCache>
            </c:numRef>
          </c:xVal>
          <c:yVal>
            <c:numRef>
              <c:f>S3_model_fitting!$E$305:$E$311</c:f>
              <c:numCache>
                <c:formatCode>General</c:formatCode>
                <c:ptCount val="7"/>
                <c:pt idx="0">
                  <c:v>100</c:v>
                </c:pt>
                <c:pt idx="1">
                  <c:v>43.9</c:v>
                </c:pt>
                <c:pt idx="2">
                  <c:v>36.4</c:v>
                </c:pt>
                <c:pt idx="3">
                  <c:v>24.400000000000006</c:v>
                </c:pt>
                <c:pt idx="4">
                  <c:v>15.400000000000006</c:v>
                </c:pt>
                <c:pt idx="5">
                  <c:v>10.599999999999994</c:v>
                </c:pt>
                <c:pt idx="6">
                  <c:v>1.7000000000000028</c:v>
                </c:pt>
              </c:numCache>
            </c:numRef>
          </c:yVal>
          <c:smooth val="0"/>
          <c:extLst>
            <c:ext xmlns:c16="http://schemas.microsoft.com/office/drawing/2014/chart" uri="{C3380CC4-5D6E-409C-BE32-E72D297353CC}">
              <c16:uniqueId val="{00000000-8320-7747-B83E-D394E1D77F23}"/>
            </c:ext>
          </c:extLst>
        </c:ser>
        <c:dLbls>
          <c:showLegendKey val="0"/>
          <c:showVal val="0"/>
          <c:showCatName val="0"/>
          <c:showSerName val="0"/>
          <c:showPercent val="0"/>
          <c:showBubbleSize val="0"/>
        </c:dLbls>
        <c:axId val="408860880"/>
        <c:axId val="408862592"/>
      </c:scatterChart>
      <c:valAx>
        <c:axId val="40886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62592"/>
        <c:crosses val="autoZero"/>
        <c:crossBetween val="midCat"/>
      </c:valAx>
      <c:valAx>
        <c:axId val="40886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60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S3_model_fitting!$D$312:$D$318</c:f>
              <c:numCache>
                <c:formatCode>General</c:formatCode>
                <c:ptCount val="7"/>
                <c:pt idx="0">
                  <c:v>0</c:v>
                </c:pt>
                <c:pt idx="1">
                  <c:v>1</c:v>
                </c:pt>
                <c:pt idx="2">
                  <c:v>3</c:v>
                </c:pt>
                <c:pt idx="3">
                  <c:v>9</c:v>
                </c:pt>
                <c:pt idx="4">
                  <c:v>16</c:v>
                </c:pt>
                <c:pt idx="5">
                  <c:v>24</c:v>
                </c:pt>
                <c:pt idx="6">
                  <c:v>43</c:v>
                </c:pt>
              </c:numCache>
            </c:numRef>
          </c:xVal>
          <c:yVal>
            <c:numRef>
              <c:f>S3_model_fitting!$E$312:$E$318</c:f>
              <c:numCache>
                <c:formatCode>General</c:formatCode>
                <c:ptCount val="7"/>
                <c:pt idx="0">
                  <c:v>100</c:v>
                </c:pt>
                <c:pt idx="1">
                  <c:v>39</c:v>
                </c:pt>
                <c:pt idx="2">
                  <c:v>34.700000000000003</c:v>
                </c:pt>
                <c:pt idx="3">
                  <c:v>32.900000000000006</c:v>
                </c:pt>
                <c:pt idx="4">
                  <c:v>10.799999999999997</c:v>
                </c:pt>
                <c:pt idx="5">
                  <c:v>9</c:v>
                </c:pt>
                <c:pt idx="6">
                  <c:v>10.099999999999994</c:v>
                </c:pt>
              </c:numCache>
            </c:numRef>
          </c:yVal>
          <c:smooth val="0"/>
          <c:extLst>
            <c:ext xmlns:c16="http://schemas.microsoft.com/office/drawing/2014/chart" uri="{C3380CC4-5D6E-409C-BE32-E72D297353CC}">
              <c16:uniqueId val="{00000000-1515-C247-A5FC-153EFB68E776}"/>
            </c:ext>
          </c:extLst>
        </c:ser>
        <c:dLbls>
          <c:showLegendKey val="0"/>
          <c:showVal val="0"/>
          <c:showCatName val="0"/>
          <c:showSerName val="0"/>
          <c:showPercent val="0"/>
          <c:showBubbleSize val="0"/>
        </c:dLbls>
        <c:axId val="907842784"/>
        <c:axId val="259994272"/>
      </c:scatterChart>
      <c:valAx>
        <c:axId val="90784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4272"/>
        <c:crosses val="autoZero"/>
        <c:crossBetween val="midCat"/>
      </c:valAx>
      <c:valAx>
        <c:axId val="25999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42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S3_model_fitting!$D$319:$D$326</c:f>
              <c:numCache>
                <c:formatCode>General</c:formatCode>
                <c:ptCount val="8"/>
                <c:pt idx="0">
                  <c:v>0</c:v>
                </c:pt>
                <c:pt idx="1">
                  <c:v>1</c:v>
                </c:pt>
                <c:pt idx="2">
                  <c:v>2</c:v>
                </c:pt>
                <c:pt idx="3">
                  <c:v>3</c:v>
                </c:pt>
                <c:pt idx="4">
                  <c:v>4</c:v>
                </c:pt>
                <c:pt idx="5">
                  <c:v>5</c:v>
                </c:pt>
                <c:pt idx="6">
                  <c:v>6</c:v>
                </c:pt>
                <c:pt idx="7">
                  <c:v>7</c:v>
                </c:pt>
              </c:numCache>
            </c:numRef>
          </c:xVal>
          <c:yVal>
            <c:numRef>
              <c:f>S3_model_fitting!$E$319:$E$326</c:f>
              <c:numCache>
                <c:formatCode>General</c:formatCode>
                <c:ptCount val="8"/>
                <c:pt idx="0">
                  <c:v>100</c:v>
                </c:pt>
                <c:pt idx="1">
                  <c:v>67.3</c:v>
                </c:pt>
                <c:pt idx="2">
                  <c:v>56</c:v>
                </c:pt>
                <c:pt idx="3">
                  <c:v>41.5</c:v>
                </c:pt>
                <c:pt idx="4">
                  <c:v>26.4</c:v>
                </c:pt>
                <c:pt idx="5">
                  <c:v>4.97</c:v>
                </c:pt>
                <c:pt idx="6">
                  <c:v>3.82</c:v>
                </c:pt>
                <c:pt idx="7">
                  <c:v>4</c:v>
                </c:pt>
              </c:numCache>
            </c:numRef>
          </c:yVal>
          <c:smooth val="0"/>
          <c:extLst>
            <c:ext xmlns:c16="http://schemas.microsoft.com/office/drawing/2014/chart" uri="{C3380CC4-5D6E-409C-BE32-E72D297353CC}">
              <c16:uniqueId val="{00000000-67D7-6448-A954-F15A5906BB83}"/>
            </c:ext>
          </c:extLst>
        </c:ser>
        <c:dLbls>
          <c:showLegendKey val="0"/>
          <c:showVal val="0"/>
          <c:showCatName val="0"/>
          <c:showSerName val="0"/>
          <c:showPercent val="0"/>
          <c:showBubbleSize val="0"/>
        </c:dLbls>
        <c:axId val="408757216"/>
        <c:axId val="408710800"/>
      </c:scatterChart>
      <c:valAx>
        <c:axId val="40875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10800"/>
        <c:crosses val="autoZero"/>
        <c:crossBetween val="midCat"/>
      </c:valAx>
      <c:valAx>
        <c:axId val="40871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57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S3_model_fitting!$D$367:$D$371</c:f>
              <c:numCache>
                <c:formatCode>General</c:formatCode>
                <c:ptCount val="5"/>
                <c:pt idx="0">
                  <c:v>0</c:v>
                </c:pt>
                <c:pt idx="1">
                  <c:v>3</c:v>
                </c:pt>
                <c:pt idx="2">
                  <c:v>5</c:v>
                </c:pt>
                <c:pt idx="3">
                  <c:v>7</c:v>
                </c:pt>
                <c:pt idx="4">
                  <c:v>14</c:v>
                </c:pt>
              </c:numCache>
            </c:numRef>
          </c:xVal>
          <c:yVal>
            <c:numRef>
              <c:f>S3_model_fitting!$E$367:$E$371</c:f>
              <c:numCache>
                <c:formatCode>General</c:formatCode>
                <c:ptCount val="5"/>
                <c:pt idx="0">
                  <c:v>100</c:v>
                </c:pt>
                <c:pt idx="1">
                  <c:v>87.3</c:v>
                </c:pt>
                <c:pt idx="2">
                  <c:v>82.6</c:v>
                </c:pt>
                <c:pt idx="3">
                  <c:v>77.7</c:v>
                </c:pt>
                <c:pt idx="4">
                  <c:v>78</c:v>
                </c:pt>
              </c:numCache>
            </c:numRef>
          </c:yVal>
          <c:smooth val="0"/>
          <c:extLst>
            <c:ext xmlns:c16="http://schemas.microsoft.com/office/drawing/2014/chart" uri="{C3380CC4-5D6E-409C-BE32-E72D297353CC}">
              <c16:uniqueId val="{00000000-FA58-2241-B688-9A91C8AAB5DB}"/>
            </c:ext>
          </c:extLst>
        </c:ser>
        <c:dLbls>
          <c:showLegendKey val="0"/>
          <c:showVal val="0"/>
          <c:showCatName val="0"/>
          <c:showSerName val="0"/>
          <c:showPercent val="0"/>
          <c:showBubbleSize val="0"/>
        </c:dLbls>
        <c:axId val="388892384"/>
        <c:axId val="388975792"/>
      </c:scatterChart>
      <c:valAx>
        <c:axId val="38889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975792"/>
        <c:crosses val="autoZero"/>
        <c:crossBetween val="midCat"/>
      </c:valAx>
      <c:valAx>
        <c:axId val="3889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923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S3_model_fitting!$D$372:$D$376</c:f>
              <c:numCache>
                <c:formatCode>General</c:formatCode>
                <c:ptCount val="5"/>
                <c:pt idx="0">
                  <c:v>0</c:v>
                </c:pt>
                <c:pt idx="1">
                  <c:v>3</c:v>
                </c:pt>
                <c:pt idx="2">
                  <c:v>5</c:v>
                </c:pt>
                <c:pt idx="3">
                  <c:v>7</c:v>
                </c:pt>
                <c:pt idx="4">
                  <c:v>14</c:v>
                </c:pt>
              </c:numCache>
            </c:numRef>
          </c:xVal>
          <c:yVal>
            <c:numRef>
              <c:f>S3_model_fitting!$E$372:$E$376</c:f>
              <c:numCache>
                <c:formatCode>General</c:formatCode>
                <c:ptCount val="5"/>
                <c:pt idx="0">
                  <c:v>100</c:v>
                </c:pt>
                <c:pt idx="1">
                  <c:v>80.5</c:v>
                </c:pt>
                <c:pt idx="2">
                  <c:v>58.6</c:v>
                </c:pt>
                <c:pt idx="3">
                  <c:v>61.6</c:v>
                </c:pt>
                <c:pt idx="4">
                  <c:v>64.900000000000006</c:v>
                </c:pt>
              </c:numCache>
            </c:numRef>
          </c:yVal>
          <c:smooth val="0"/>
          <c:extLst>
            <c:ext xmlns:c16="http://schemas.microsoft.com/office/drawing/2014/chart" uri="{C3380CC4-5D6E-409C-BE32-E72D297353CC}">
              <c16:uniqueId val="{00000000-C387-DA45-BA00-77748560FAEF}"/>
            </c:ext>
          </c:extLst>
        </c:ser>
        <c:dLbls>
          <c:showLegendKey val="0"/>
          <c:showVal val="0"/>
          <c:showCatName val="0"/>
          <c:showSerName val="0"/>
          <c:showPercent val="0"/>
          <c:showBubbleSize val="0"/>
        </c:dLbls>
        <c:axId val="389008992"/>
        <c:axId val="389010704"/>
      </c:scatterChart>
      <c:valAx>
        <c:axId val="389008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10704"/>
        <c:crosses val="autoZero"/>
        <c:crossBetween val="midCat"/>
      </c:valAx>
      <c:valAx>
        <c:axId val="38901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08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S3_model_fitting!$D$377:$D$383</c:f>
              <c:numCache>
                <c:formatCode>General</c:formatCode>
                <c:ptCount val="7"/>
                <c:pt idx="0">
                  <c:v>0</c:v>
                </c:pt>
                <c:pt idx="1">
                  <c:v>1</c:v>
                </c:pt>
                <c:pt idx="2">
                  <c:v>3</c:v>
                </c:pt>
                <c:pt idx="3">
                  <c:v>6</c:v>
                </c:pt>
                <c:pt idx="4">
                  <c:v>10</c:v>
                </c:pt>
                <c:pt idx="5">
                  <c:v>20</c:v>
                </c:pt>
                <c:pt idx="6">
                  <c:v>30</c:v>
                </c:pt>
              </c:numCache>
            </c:numRef>
          </c:xVal>
          <c:yVal>
            <c:numRef>
              <c:f>S3_model_fitting!$E$377:$E$383</c:f>
              <c:numCache>
                <c:formatCode>General</c:formatCode>
                <c:ptCount val="7"/>
                <c:pt idx="0">
                  <c:v>100</c:v>
                </c:pt>
                <c:pt idx="1">
                  <c:v>67.099999999999994</c:v>
                </c:pt>
                <c:pt idx="2">
                  <c:v>52.7</c:v>
                </c:pt>
                <c:pt idx="3">
                  <c:v>48.6</c:v>
                </c:pt>
                <c:pt idx="4">
                  <c:v>47.3</c:v>
                </c:pt>
                <c:pt idx="5">
                  <c:v>41.9</c:v>
                </c:pt>
                <c:pt idx="6">
                  <c:v>42.3</c:v>
                </c:pt>
              </c:numCache>
            </c:numRef>
          </c:yVal>
          <c:smooth val="0"/>
          <c:extLst>
            <c:ext xmlns:c16="http://schemas.microsoft.com/office/drawing/2014/chart" uri="{C3380CC4-5D6E-409C-BE32-E72D297353CC}">
              <c16:uniqueId val="{00000000-B860-2C47-BC0C-BF9500FAE1DE}"/>
            </c:ext>
          </c:extLst>
        </c:ser>
        <c:dLbls>
          <c:showLegendKey val="0"/>
          <c:showVal val="0"/>
          <c:showCatName val="0"/>
          <c:showSerName val="0"/>
          <c:showPercent val="0"/>
          <c:showBubbleSize val="0"/>
        </c:dLbls>
        <c:axId val="388653248"/>
        <c:axId val="388856656"/>
      </c:scatterChart>
      <c:valAx>
        <c:axId val="38865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56656"/>
        <c:crosses val="autoZero"/>
        <c:crossBetween val="midCat"/>
      </c:valAx>
      <c:valAx>
        <c:axId val="38885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532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S3_model_fitting!$D$384:$D$390</c:f>
              <c:numCache>
                <c:formatCode>General</c:formatCode>
                <c:ptCount val="7"/>
                <c:pt idx="0">
                  <c:v>0</c:v>
                </c:pt>
                <c:pt idx="1">
                  <c:v>1</c:v>
                </c:pt>
                <c:pt idx="2">
                  <c:v>3</c:v>
                </c:pt>
                <c:pt idx="3">
                  <c:v>6</c:v>
                </c:pt>
                <c:pt idx="4">
                  <c:v>10</c:v>
                </c:pt>
                <c:pt idx="5">
                  <c:v>20</c:v>
                </c:pt>
                <c:pt idx="6">
                  <c:v>30</c:v>
                </c:pt>
              </c:numCache>
            </c:numRef>
          </c:xVal>
          <c:yVal>
            <c:numRef>
              <c:f>S3_model_fitting!$E$384:$E$390</c:f>
              <c:numCache>
                <c:formatCode>General</c:formatCode>
                <c:ptCount val="7"/>
                <c:pt idx="0">
                  <c:v>100</c:v>
                </c:pt>
                <c:pt idx="1">
                  <c:v>71.2</c:v>
                </c:pt>
                <c:pt idx="2">
                  <c:v>58.1</c:v>
                </c:pt>
                <c:pt idx="3">
                  <c:v>65.8</c:v>
                </c:pt>
                <c:pt idx="4">
                  <c:v>63.1</c:v>
                </c:pt>
                <c:pt idx="5">
                  <c:v>69.8</c:v>
                </c:pt>
                <c:pt idx="6">
                  <c:v>54.5</c:v>
                </c:pt>
              </c:numCache>
            </c:numRef>
          </c:yVal>
          <c:smooth val="0"/>
          <c:extLst>
            <c:ext xmlns:c16="http://schemas.microsoft.com/office/drawing/2014/chart" uri="{C3380CC4-5D6E-409C-BE32-E72D297353CC}">
              <c16:uniqueId val="{00000000-4F5A-B246-B0C5-A091E5A80B80}"/>
            </c:ext>
          </c:extLst>
        </c:ser>
        <c:dLbls>
          <c:showLegendKey val="0"/>
          <c:showVal val="0"/>
          <c:showCatName val="0"/>
          <c:showSerName val="0"/>
          <c:showPercent val="0"/>
          <c:showBubbleSize val="0"/>
        </c:dLbls>
        <c:axId val="688507120"/>
        <c:axId val="688508832"/>
      </c:scatterChart>
      <c:valAx>
        <c:axId val="68850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08832"/>
        <c:crosses val="autoZero"/>
        <c:crossBetween val="midCat"/>
      </c:valAx>
      <c:valAx>
        <c:axId val="68850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07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S3_model_fitting!$D$414:$D$419</c:f>
              <c:numCache>
                <c:formatCode>General</c:formatCode>
                <c:ptCount val="6"/>
                <c:pt idx="0">
                  <c:v>0</c:v>
                </c:pt>
                <c:pt idx="1">
                  <c:v>8</c:v>
                </c:pt>
                <c:pt idx="2">
                  <c:v>11</c:v>
                </c:pt>
                <c:pt idx="3">
                  <c:v>13</c:v>
                </c:pt>
                <c:pt idx="4">
                  <c:v>15</c:v>
                </c:pt>
                <c:pt idx="5">
                  <c:v>18</c:v>
                </c:pt>
              </c:numCache>
            </c:numRef>
          </c:xVal>
          <c:yVal>
            <c:numRef>
              <c:f>S3_model_fitting!$E$414:$E$419</c:f>
              <c:numCache>
                <c:formatCode>General</c:formatCode>
                <c:ptCount val="6"/>
                <c:pt idx="0">
                  <c:v>100</c:v>
                </c:pt>
                <c:pt idx="1">
                  <c:v>43</c:v>
                </c:pt>
                <c:pt idx="2">
                  <c:v>33</c:v>
                </c:pt>
                <c:pt idx="3">
                  <c:v>21</c:v>
                </c:pt>
                <c:pt idx="4">
                  <c:v>48</c:v>
                </c:pt>
                <c:pt idx="5">
                  <c:v>26</c:v>
                </c:pt>
              </c:numCache>
            </c:numRef>
          </c:yVal>
          <c:smooth val="0"/>
          <c:extLst>
            <c:ext xmlns:c16="http://schemas.microsoft.com/office/drawing/2014/chart" uri="{C3380CC4-5D6E-409C-BE32-E72D297353CC}">
              <c16:uniqueId val="{00000000-BEA2-294D-BD3A-F6B2A8951925}"/>
            </c:ext>
          </c:extLst>
        </c:ser>
        <c:dLbls>
          <c:showLegendKey val="0"/>
          <c:showVal val="0"/>
          <c:showCatName val="0"/>
          <c:showSerName val="0"/>
          <c:showPercent val="0"/>
          <c:showBubbleSize val="0"/>
        </c:dLbls>
        <c:axId val="679265888"/>
        <c:axId val="679073328"/>
      </c:scatterChart>
      <c:valAx>
        <c:axId val="67926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73328"/>
        <c:crosses val="autoZero"/>
        <c:crossBetween val="midCat"/>
      </c:valAx>
      <c:valAx>
        <c:axId val="67907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658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S3_model_fitting!$D$436:$D$444</c:f>
              <c:numCache>
                <c:formatCode>General</c:formatCode>
                <c:ptCount val="9"/>
                <c:pt idx="0">
                  <c:v>1</c:v>
                </c:pt>
                <c:pt idx="1">
                  <c:v>6</c:v>
                </c:pt>
                <c:pt idx="2">
                  <c:v>9</c:v>
                </c:pt>
                <c:pt idx="3">
                  <c:v>15</c:v>
                </c:pt>
                <c:pt idx="4">
                  <c:v>22</c:v>
                </c:pt>
                <c:pt idx="5">
                  <c:v>29</c:v>
                </c:pt>
                <c:pt idx="6">
                  <c:v>35</c:v>
                </c:pt>
                <c:pt idx="7">
                  <c:v>41</c:v>
                </c:pt>
                <c:pt idx="8">
                  <c:v>48</c:v>
                </c:pt>
              </c:numCache>
            </c:numRef>
          </c:xVal>
          <c:yVal>
            <c:numRef>
              <c:f>S3_model_fitting!$E$436:$E$444</c:f>
              <c:numCache>
                <c:formatCode>General</c:formatCode>
                <c:ptCount val="9"/>
                <c:pt idx="0">
                  <c:v>100</c:v>
                </c:pt>
                <c:pt idx="1">
                  <c:v>60</c:v>
                </c:pt>
                <c:pt idx="2">
                  <c:v>37</c:v>
                </c:pt>
                <c:pt idx="3">
                  <c:v>46</c:v>
                </c:pt>
                <c:pt idx="4">
                  <c:v>29</c:v>
                </c:pt>
                <c:pt idx="5">
                  <c:v>30</c:v>
                </c:pt>
                <c:pt idx="6">
                  <c:v>14</c:v>
                </c:pt>
                <c:pt idx="7">
                  <c:v>21</c:v>
                </c:pt>
                <c:pt idx="8">
                  <c:v>18</c:v>
                </c:pt>
              </c:numCache>
            </c:numRef>
          </c:yVal>
          <c:smooth val="0"/>
          <c:extLst>
            <c:ext xmlns:c16="http://schemas.microsoft.com/office/drawing/2014/chart" uri="{C3380CC4-5D6E-409C-BE32-E72D297353CC}">
              <c16:uniqueId val="{00000000-A2A0-0B48-B739-3262C12C3BE6}"/>
            </c:ext>
          </c:extLst>
        </c:ser>
        <c:dLbls>
          <c:showLegendKey val="0"/>
          <c:showVal val="0"/>
          <c:showCatName val="0"/>
          <c:showSerName val="0"/>
          <c:showPercent val="0"/>
          <c:showBubbleSize val="0"/>
        </c:dLbls>
        <c:axId val="173062176"/>
        <c:axId val="173063888"/>
      </c:scatterChart>
      <c:valAx>
        <c:axId val="1730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3888"/>
        <c:crosses val="autoZero"/>
        <c:crossBetween val="midCat"/>
      </c:valAx>
      <c:valAx>
        <c:axId val="17306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2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S3_model_fitting!$D$467:$D$476</c:f>
              <c:numCache>
                <c:formatCode>General</c:formatCode>
                <c:ptCount val="10"/>
                <c:pt idx="0">
                  <c:v>0</c:v>
                </c:pt>
                <c:pt idx="1">
                  <c:v>26</c:v>
                </c:pt>
                <c:pt idx="2">
                  <c:v>34</c:v>
                </c:pt>
                <c:pt idx="3">
                  <c:v>41</c:v>
                </c:pt>
                <c:pt idx="4">
                  <c:v>48</c:v>
                </c:pt>
                <c:pt idx="5">
                  <c:v>55</c:v>
                </c:pt>
                <c:pt idx="6">
                  <c:v>61</c:v>
                </c:pt>
                <c:pt idx="7">
                  <c:v>70</c:v>
                </c:pt>
                <c:pt idx="8">
                  <c:v>76</c:v>
                </c:pt>
                <c:pt idx="9">
                  <c:v>83</c:v>
                </c:pt>
              </c:numCache>
            </c:numRef>
          </c:xVal>
          <c:yVal>
            <c:numRef>
              <c:f>S3_model_fitting!$E$467:$E$476</c:f>
              <c:numCache>
                <c:formatCode>General</c:formatCode>
                <c:ptCount val="10"/>
                <c:pt idx="0">
                  <c:v>100</c:v>
                </c:pt>
                <c:pt idx="1">
                  <c:v>60</c:v>
                </c:pt>
                <c:pt idx="2">
                  <c:v>44</c:v>
                </c:pt>
                <c:pt idx="3">
                  <c:v>35</c:v>
                </c:pt>
                <c:pt idx="4">
                  <c:v>25</c:v>
                </c:pt>
                <c:pt idx="5">
                  <c:v>6</c:v>
                </c:pt>
                <c:pt idx="6">
                  <c:v>10</c:v>
                </c:pt>
                <c:pt idx="7">
                  <c:v>6</c:v>
                </c:pt>
                <c:pt idx="8">
                  <c:v>2</c:v>
                </c:pt>
                <c:pt idx="9">
                  <c:v>3</c:v>
                </c:pt>
              </c:numCache>
            </c:numRef>
          </c:yVal>
          <c:smooth val="0"/>
          <c:extLst>
            <c:ext xmlns:c16="http://schemas.microsoft.com/office/drawing/2014/chart" uri="{C3380CC4-5D6E-409C-BE32-E72D297353CC}">
              <c16:uniqueId val="{00000000-4E72-C147-BB72-1F71B6E72675}"/>
            </c:ext>
          </c:extLst>
        </c:ser>
        <c:dLbls>
          <c:showLegendKey val="0"/>
          <c:showVal val="0"/>
          <c:showCatName val="0"/>
          <c:showSerName val="0"/>
          <c:showPercent val="0"/>
          <c:showBubbleSize val="0"/>
        </c:dLbls>
        <c:axId val="896335696"/>
        <c:axId val="896022832"/>
      </c:scatterChart>
      <c:valAx>
        <c:axId val="89633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22832"/>
        <c:crosses val="autoZero"/>
        <c:crossBetween val="midCat"/>
      </c:valAx>
      <c:valAx>
        <c:axId val="89602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35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S3_model_fitting!$D$477:$D$482</c:f>
              <c:numCache>
                <c:formatCode>General</c:formatCode>
                <c:ptCount val="6"/>
                <c:pt idx="0">
                  <c:v>0</c:v>
                </c:pt>
                <c:pt idx="1">
                  <c:v>1</c:v>
                </c:pt>
                <c:pt idx="2">
                  <c:v>2</c:v>
                </c:pt>
                <c:pt idx="3">
                  <c:v>3</c:v>
                </c:pt>
                <c:pt idx="4">
                  <c:v>4</c:v>
                </c:pt>
                <c:pt idx="5">
                  <c:v>7</c:v>
                </c:pt>
              </c:numCache>
            </c:numRef>
          </c:xVal>
          <c:yVal>
            <c:numRef>
              <c:f>S3_model_fitting!$E$477:$E$482</c:f>
              <c:numCache>
                <c:formatCode>General</c:formatCode>
                <c:ptCount val="6"/>
                <c:pt idx="0">
                  <c:v>100</c:v>
                </c:pt>
                <c:pt idx="1">
                  <c:v>54.444444444444443</c:v>
                </c:pt>
                <c:pt idx="2">
                  <c:v>51.555555555555557</c:v>
                </c:pt>
                <c:pt idx="3">
                  <c:v>46.888888888888893</c:v>
                </c:pt>
                <c:pt idx="4">
                  <c:v>28.222222222222221</c:v>
                </c:pt>
                <c:pt idx="5">
                  <c:v>18.888888888888889</c:v>
                </c:pt>
              </c:numCache>
            </c:numRef>
          </c:yVal>
          <c:smooth val="0"/>
          <c:extLst>
            <c:ext xmlns:c16="http://schemas.microsoft.com/office/drawing/2014/chart" uri="{C3380CC4-5D6E-409C-BE32-E72D297353CC}">
              <c16:uniqueId val="{00000000-4A99-9F43-841E-58C7FC3364CE}"/>
            </c:ext>
          </c:extLst>
        </c:ser>
        <c:dLbls>
          <c:showLegendKey val="0"/>
          <c:showVal val="0"/>
          <c:showCatName val="0"/>
          <c:showSerName val="0"/>
          <c:showPercent val="0"/>
          <c:showBubbleSize val="0"/>
        </c:dLbls>
        <c:axId val="173254448"/>
        <c:axId val="173256160"/>
      </c:scatterChart>
      <c:valAx>
        <c:axId val="17325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56160"/>
        <c:crosses val="autoZero"/>
        <c:crossBetween val="midCat"/>
      </c:valAx>
      <c:valAx>
        <c:axId val="17325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54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S3_model_fitting!$D$483:$D$488</c:f>
              <c:numCache>
                <c:formatCode>General</c:formatCode>
                <c:ptCount val="6"/>
                <c:pt idx="0">
                  <c:v>0</c:v>
                </c:pt>
                <c:pt idx="1">
                  <c:v>1</c:v>
                </c:pt>
                <c:pt idx="2">
                  <c:v>2</c:v>
                </c:pt>
                <c:pt idx="3">
                  <c:v>3</c:v>
                </c:pt>
                <c:pt idx="4">
                  <c:v>4</c:v>
                </c:pt>
                <c:pt idx="5">
                  <c:v>7</c:v>
                </c:pt>
              </c:numCache>
            </c:numRef>
          </c:xVal>
          <c:yVal>
            <c:numRef>
              <c:f>S3_model_fitting!$E$483:$E$488</c:f>
              <c:numCache>
                <c:formatCode>General</c:formatCode>
                <c:ptCount val="6"/>
                <c:pt idx="0">
                  <c:v>100</c:v>
                </c:pt>
                <c:pt idx="1">
                  <c:v>59</c:v>
                </c:pt>
                <c:pt idx="2">
                  <c:v>33</c:v>
                </c:pt>
                <c:pt idx="3">
                  <c:v>28.000000000000004</c:v>
                </c:pt>
                <c:pt idx="4">
                  <c:v>22</c:v>
                </c:pt>
                <c:pt idx="5">
                  <c:v>24.333333333333336</c:v>
                </c:pt>
              </c:numCache>
            </c:numRef>
          </c:yVal>
          <c:smooth val="0"/>
          <c:extLst>
            <c:ext xmlns:c16="http://schemas.microsoft.com/office/drawing/2014/chart" uri="{C3380CC4-5D6E-409C-BE32-E72D297353CC}">
              <c16:uniqueId val="{00000000-13D0-4148-828B-32AEEEA56F13}"/>
            </c:ext>
          </c:extLst>
        </c:ser>
        <c:dLbls>
          <c:showLegendKey val="0"/>
          <c:showVal val="0"/>
          <c:showCatName val="0"/>
          <c:showSerName val="0"/>
          <c:showPercent val="0"/>
          <c:showBubbleSize val="0"/>
        </c:dLbls>
        <c:axId val="895837248"/>
        <c:axId val="896227376"/>
      </c:scatterChart>
      <c:valAx>
        <c:axId val="89583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27376"/>
        <c:crosses val="autoZero"/>
        <c:crossBetween val="midCat"/>
      </c:valAx>
      <c:valAx>
        <c:axId val="89622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372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S3_model_fitting!$D$489:$D$493</c:f>
              <c:numCache>
                <c:formatCode>General</c:formatCode>
                <c:ptCount val="5"/>
                <c:pt idx="0">
                  <c:v>0</c:v>
                </c:pt>
                <c:pt idx="1">
                  <c:v>1</c:v>
                </c:pt>
                <c:pt idx="2">
                  <c:v>2</c:v>
                </c:pt>
                <c:pt idx="3">
                  <c:v>4</c:v>
                </c:pt>
                <c:pt idx="4">
                  <c:v>7</c:v>
                </c:pt>
              </c:numCache>
            </c:numRef>
          </c:xVal>
          <c:yVal>
            <c:numRef>
              <c:f>S3_model_fitting!$E$489:$E$493</c:f>
              <c:numCache>
                <c:formatCode>General</c:formatCode>
                <c:ptCount val="5"/>
                <c:pt idx="0">
                  <c:v>100</c:v>
                </c:pt>
                <c:pt idx="1">
                  <c:v>57.142857142857139</c:v>
                </c:pt>
                <c:pt idx="2">
                  <c:v>39.285714285714285</c:v>
                </c:pt>
                <c:pt idx="3">
                  <c:v>29.166666666666668</c:v>
                </c:pt>
                <c:pt idx="4">
                  <c:v>20.833333333333336</c:v>
                </c:pt>
              </c:numCache>
            </c:numRef>
          </c:yVal>
          <c:smooth val="0"/>
          <c:extLst>
            <c:ext xmlns:c16="http://schemas.microsoft.com/office/drawing/2014/chart" uri="{C3380CC4-5D6E-409C-BE32-E72D297353CC}">
              <c16:uniqueId val="{00000000-1461-9340-9406-4F7364C55F5E}"/>
            </c:ext>
          </c:extLst>
        </c:ser>
        <c:dLbls>
          <c:showLegendKey val="0"/>
          <c:showVal val="0"/>
          <c:showCatName val="0"/>
          <c:showSerName val="0"/>
          <c:showPercent val="0"/>
          <c:showBubbleSize val="0"/>
        </c:dLbls>
        <c:axId val="173096512"/>
        <c:axId val="173219504"/>
      </c:scatterChart>
      <c:valAx>
        <c:axId val="17309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9504"/>
        <c:crosses val="autoZero"/>
        <c:crossBetween val="midCat"/>
      </c:valAx>
      <c:valAx>
        <c:axId val="17321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6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S3_model_fitting!$D$494:$D$499</c:f>
              <c:numCache>
                <c:formatCode>General</c:formatCode>
                <c:ptCount val="6"/>
                <c:pt idx="0">
                  <c:v>0</c:v>
                </c:pt>
                <c:pt idx="1">
                  <c:v>1</c:v>
                </c:pt>
                <c:pt idx="2">
                  <c:v>2</c:v>
                </c:pt>
                <c:pt idx="3">
                  <c:v>3</c:v>
                </c:pt>
                <c:pt idx="4">
                  <c:v>4</c:v>
                </c:pt>
                <c:pt idx="5">
                  <c:v>7</c:v>
                </c:pt>
              </c:numCache>
            </c:numRef>
          </c:xVal>
          <c:yVal>
            <c:numRef>
              <c:f>S3_model_fitting!$E$494:$E$499</c:f>
              <c:numCache>
                <c:formatCode>General</c:formatCode>
                <c:ptCount val="6"/>
                <c:pt idx="0">
                  <c:v>100</c:v>
                </c:pt>
                <c:pt idx="1">
                  <c:v>56.81818181818182</c:v>
                </c:pt>
                <c:pt idx="2">
                  <c:v>43.18181818181818</c:v>
                </c:pt>
                <c:pt idx="3">
                  <c:v>31.818181818181817</c:v>
                </c:pt>
                <c:pt idx="4">
                  <c:v>28.40909090909091</c:v>
                </c:pt>
                <c:pt idx="5">
                  <c:v>20.454545454545457</c:v>
                </c:pt>
              </c:numCache>
            </c:numRef>
          </c:yVal>
          <c:smooth val="0"/>
          <c:extLst>
            <c:ext xmlns:c16="http://schemas.microsoft.com/office/drawing/2014/chart" uri="{C3380CC4-5D6E-409C-BE32-E72D297353CC}">
              <c16:uniqueId val="{00000000-0AD2-E84C-AD36-FA281C89F2B9}"/>
            </c:ext>
          </c:extLst>
        </c:ser>
        <c:dLbls>
          <c:showLegendKey val="0"/>
          <c:showVal val="0"/>
          <c:showCatName val="0"/>
          <c:showSerName val="0"/>
          <c:showPercent val="0"/>
          <c:showBubbleSize val="0"/>
        </c:dLbls>
        <c:axId val="934576432"/>
        <c:axId val="388818560"/>
      </c:scatterChart>
      <c:valAx>
        <c:axId val="93457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18560"/>
        <c:crosses val="autoZero"/>
        <c:crossBetween val="midCat"/>
      </c:valAx>
      <c:valAx>
        <c:axId val="38881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576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S3_model_fitting!$D$500:$D$505</c:f>
              <c:numCache>
                <c:formatCode>General</c:formatCode>
                <c:ptCount val="6"/>
                <c:pt idx="0">
                  <c:v>0</c:v>
                </c:pt>
                <c:pt idx="1">
                  <c:v>1</c:v>
                </c:pt>
                <c:pt idx="2">
                  <c:v>2</c:v>
                </c:pt>
                <c:pt idx="3">
                  <c:v>3</c:v>
                </c:pt>
                <c:pt idx="4">
                  <c:v>4</c:v>
                </c:pt>
                <c:pt idx="5">
                  <c:v>7</c:v>
                </c:pt>
              </c:numCache>
            </c:numRef>
          </c:xVal>
          <c:yVal>
            <c:numRef>
              <c:f>S3_model_fitting!$E$500:$E$505</c:f>
              <c:numCache>
                <c:formatCode>General</c:formatCode>
                <c:ptCount val="6"/>
                <c:pt idx="0">
                  <c:v>100</c:v>
                </c:pt>
                <c:pt idx="1">
                  <c:v>61.904761904761905</c:v>
                </c:pt>
                <c:pt idx="2">
                  <c:v>57.142857142857139</c:v>
                </c:pt>
                <c:pt idx="3">
                  <c:v>52.380952380952387</c:v>
                </c:pt>
                <c:pt idx="4">
                  <c:v>42.857142857142854</c:v>
                </c:pt>
                <c:pt idx="5">
                  <c:v>52.380952380952387</c:v>
                </c:pt>
              </c:numCache>
            </c:numRef>
          </c:yVal>
          <c:smooth val="0"/>
          <c:extLst>
            <c:ext xmlns:c16="http://schemas.microsoft.com/office/drawing/2014/chart" uri="{C3380CC4-5D6E-409C-BE32-E72D297353CC}">
              <c16:uniqueId val="{00000000-747F-B540-BB0D-CCC8999DE5A3}"/>
            </c:ext>
          </c:extLst>
        </c:ser>
        <c:dLbls>
          <c:showLegendKey val="0"/>
          <c:showVal val="0"/>
          <c:showCatName val="0"/>
          <c:showSerName val="0"/>
          <c:showPercent val="0"/>
          <c:showBubbleSize val="0"/>
        </c:dLbls>
        <c:axId val="897622336"/>
        <c:axId val="30234240"/>
      </c:scatterChart>
      <c:valAx>
        <c:axId val="89762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4240"/>
        <c:crosses val="autoZero"/>
        <c:crossBetween val="midCat"/>
      </c:valAx>
      <c:valAx>
        <c:axId val="3023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223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S3_model_fitting!$D$578:$D$596</c:f>
              <c:numCache>
                <c:formatCode>General</c:formatCode>
                <c:ptCount val="19"/>
                <c:pt idx="0">
                  <c:v>1</c:v>
                </c:pt>
                <c:pt idx="1">
                  <c:v>2</c:v>
                </c:pt>
                <c:pt idx="2">
                  <c:v>3</c:v>
                </c:pt>
                <c:pt idx="3">
                  <c:v>4</c:v>
                </c:pt>
                <c:pt idx="4">
                  <c:v>5</c:v>
                </c:pt>
                <c:pt idx="5">
                  <c:v>6</c:v>
                </c:pt>
                <c:pt idx="6">
                  <c:v>7</c:v>
                </c:pt>
                <c:pt idx="7">
                  <c:v>9</c:v>
                </c:pt>
                <c:pt idx="8">
                  <c:v>11</c:v>
                </c:pt>
                <c:pt idx="9">
                  <c:v>13</c:v>
                </c:pt>
                <c:pt idx="10">
                  <c:v>15</c:v>
                </c:pt>
                <c:pt idx="11">
                  <c:v>17</c:v>
                </c:pt>
                <c:pt idx="12">
                  <c:v>19</c:v>
                </c:pt>
                <c:pt idx="13">
                  <c:v>21</c:v>
                </c:pt>
                <c:pt idx="14">
                  <c:v>23</c:v>
                </c:pt>
                <c:pt idx="15">
                  <c:v>25</c:v>
                </c:pt>
                <c:pt idx="16">
                  <c:v>27</c:v>
                </c:pt>
                <c:pt idx="17">
                  <c:v>29</c:v>
                </c:pt>
                <c:pt idx="18">
                  <c:v>31</c:v>
                </c:pt>
              </c:numCache>
            </c:numRef>
          </c:xVal>
          <c:yVal>
            <c:numRef>
              <c:f>S3_model_fitting!$E$578:$E$596</c:f>
              <c:numCache>
                <c:formatCode>General</c:formatCode>
                <c:ptCount val="19"/>
                <c:pt idx="0">
                  <c:v>94</c:v>
                </c:pt>
                <c:pt idx="1">
                  <c:v>91</c:v>
                </c:pt>
                <c:pt idx="2">
                  <c:v>90</c:v>
                </c:pt>
                <c:pt idx="3">
                  <c:v>88</c:v>
                </c:pt>
                <c:pt idx="4">
                  <c:v>89</c:v>
                </c:pt>
                <c:pt idx="5">
                  <c:v>88</c:v>
                </c:pt>
                <c:pt idx="6">
                  <c:v>85</c:v>
                </c:pt>
                <c:pt idx="7">
                  <c:v>82</c:v>
                </c:pt>
                <c:pt idx="8">
                  <c:v>80</c:v>
                </c:pt>
                <c:pt idx="9">
                  <c:v>73</c:v>
                </c:pt>
                <c:pt idx="10">
                  <c:v>65</c:v>
                </c:pt>
                <c:pt idx="11">
                  <c:v>63</c:v>
                </c:pt>
                <c:pt idx="12">
                  <c:v>51</c:v>
                </c:pt>
                <c:pt idx="13">
                  <c:v>44</c:v>
                </c:pt>
                <c:pt idx="14">
                  <c:v>41</c:v>
                </c:pt>
                <c:pt idx="15">
                  <c:v>31</c:v>
                </c:pt>
                <c:pt idx="16">
                  <c:v>26</c:v>
                </c:pt>
                <c:pt idx="17">
                  <c:v>23</c:v>
                </c:pt>
                <c:pt idx="18">
                  <c:v>9</c:v>
                </c:pt>
              </c:numCache>
            </c:numRef>
          </c:yVal>
          <c:smooth val="0"/>
          <c:extLst>
            <c:ext xmlns:c16="http://schemas.microsoft.com/office/drawing/2014/chart" uri="{C3380CC4-5D6E-409C-BE32-E72D297353CC}">
              <c16:uniqueId val="{00000000-6035-664B-8E30-F5CF844D7279}"/>
            </c:ext>
          </c:extLst>
        </c:ser>
        <c:dLbls>
          <c:showLegendKey val="0"/>
          <c:showVal val="0"/>
          <c:showCatName val="0"/>
          <c:showSerName val="0"/>
          <c:showPercent val="0"/>
          <c:showBubbleSize val="0"/>
        </c:dLbls>
        <c:axId val="935241488"/>
        <c:axId val="935003616"/>
      </c:scatterChart>
      <c:valAx>
        <c:axId val="935241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03616"/>
        <c:crosses val="autoZero"/>
        <c:crossBetween val="midCat"/>
      </c:valAx>
      <c:valAx>
        <c:axId val="93500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41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S3_model_fitting!$D$597:$D$607</c:f>
              <c:numCache>
                <c:formatCode>General</c:formatCode>
                <c:ptCount val="11"/>
                <c:pt idx="0">
                  <c:v>1</c:v>
                </c:pt>
                <c:pt idx="1">
                  <c:v>2</c:v>
                </c:pt>
                <c:pt idx="2">
                  <c:v>3</c:v>
                </c:pt>
                <c:pt idx="3">
                  <c:v>4</c:v>
                </c:pt>
                <c:pt idx="4">
                  <c:v>5</c:v>
                </c:pt>
                <c:pt idx="5">
                  <c:v>6</c:v>
                </c:pt>
                <c:pt idx="6">
                  <c:v>7</c:v>
                </c:pt>
                <c:pt idx="7">
                  <c:v>9</c:v>
                </c:pt>
                <c:pt idx="8">
                  <c:v>11</c:v>
                </c:pt>
                <c:pt idx="9">
                  <c:v>13</c:v>
                </c:pt>
                <c:pt idx="10">
                  <c:v>15</c:v>
                </c:pt>
              </c:numCache>
            </c:numRef>
          </c:xVal>
          <c:yVal>
            <c:numRef>
              <c:f>S3_model_fitting!$E$597:$E$607</c:f>
              <c:numCache>
                <c:formatCode>General</c:formatCode>
                <c:ptCount val="11"/>
                <c:pt idx="0">
                  <c:v>84</c:v>
                </c:pt>
                <c:pt idx="1">
                  <c:v>74</c:v>
                </c:pt>
                <c:pt idx="2">
                  <c:v>70</c:v>
                </c:pt>
                <c:pt idx="3">
                  <c:v>57</c:v>
                </c:pt>
                <c:pt idx="4">
                  <c:v>46</c:v>
                </c:pt>
                <c:pt idx="5">
                  <c:v>44</c:v>
                </c:pt>
                <c:pt idx="6">
                  <c:v>38</c:v>
                </c:pt>
                <c:pt idx="7">
                  <c:v>27</c:v>
                </c:pt>
                <c:pt idx="8">
                  <c:v>13</c:v>
                </c:pt>
                <c:pt idx="9">
                  <c:v>11</c:v>
                </c:pt>
                <c:pt idx="10">
                  <c:v>5</c:v>
                </c:pt>
              </c:numCache>
            </c:numRef>
          </c:yVal>
          <c:smooth val="0"/>
          <c:extLst>
            <c:ext xmlns:c16="http://schemas.microsoft.com/office/drawing/2014/chart" uri="{C3380CC4-5D6E-409C-BE32-E72D297353CC}">
              <c16:uniqueId val="{00000000-CE39-884D-9B2B-03D2614ED019}"/>
            </c:ext>
          </c:extLst>
        </c:ser>
        <c:dLbls>
          <c:showLegendKey val="0"/>
          <c:showVal val="0"/>
          <c:showCatName val="0"/>
          <c:showSerName val="0"/>
          <c:showPercent val="0"/>
          <c:showBubbleSize val="0"/>
        </c:dLbls>
        <c:axId val="896509920"/>
        <c:axId val="896511632"/>
      </c:scatterChart>
      <c:valAx>
        <c:axId val="89650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11632"/>
        <c:crosses val="autoZero"/>
        <c:crossBetween val="midCat"/>
      </c:valAx>
      <c:valAx>
        <c:axId val="89651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099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S3_model_fitting!$D$608:$D$626</c:f>
              <c:numCache>
                <c:formatCode>General</c:formatCode>
                <c:ptCount val="19"/>
                <c:pt idx="0">
                  <c:v>0</c:v>
                </c:pt>
                <c:pt idx="1">
                  <c:v>1</c:v>
                </c:pt>
                <c:pt idx="2">
                  <c:v>2</c:v>
                </c:pt>
                <c:pt idx="3">
                  <c:v>3</c:v>
                </c:pt>
                <c:pt idx="4">
                  <c:v>4</c:v>
                </c:pt>
                <c:pt idx="5">
                  <c:v>5</c:v>
                </c:pt>
                <c:pt idx="6">
                  <c:v>7</c:v>
                </c:pt>
                <c:pt idx="7">
                  <c:v>9</c:v>
                </c:pt>
                <c:pt idx="8">
                  <c:v>11</c:v>
                </c:pt>
                <c:pt idx="9">
                  <c:v>13</c:v>
                </c:pt>
                <c:pt idx="10">
                  <c:v>15</c:v>
                </c:pt>
                <c:pt idx="11">
                  <c:v>17</c:v>
                </c:pt>
                <c:pt idx="12">
                  <c:v>19</c:v>
                </c:pt>
                <c:pt idx="13">
                  <c:v>21</c:v>
                </c:pt>
                <c:pt idx="14">
                  <c:v>23</c:v>
                </c:pt>
                <c:pt idx="15">
                  <c:v>25</c:v>
                </c:pt>
                <c:pt idx="16">
                  <c:v>27</c:v>
                </c:pt>
                <c:pt idx="17">
                  <c:v>29</c:v>
                </c:pt>
                <c:pt idx="18">
                  <c:v>31</c:v>
                </c:pt>
              </c:numCache>
            </c:numRef>
          </c:xVal>
          <c:yVal>
            <c:numRef>
              <c:f>S3_model_fitting!$E$608:$E$626</c:f>
              <c:numCache>
                <c:formatCode>General</c:formatCode>
                <c:ptCount val="19"/>
                <c:pt idx="0">
                  <c:v>100</c:v>
                </c:pt>
                <c:pt idx="1">
                  <c:v>96</c:v>
                </c:pt>
                <c:pt idx="2">
                  <c:v>87</c:v>
                </c:pt>
                <c:pt idx="3">
                  <c:v>80</c:v>
                </c:pt>
                <c:pt idx="4">
                  <c:v>76</c:v>
                </c:pt>
                <c:pt idx="5">
                  <c:v>64</c:v>
                </c:pt>
                <c:pt idx="6">
                  <c:v>55</c:v>
                </c:pt>
                <c:pt idx="7">
                  <c:v>47</c:v>
                </c:pt>
                <c:pt idx="8">
                  <c:v>43</c:v>
                </c:pt>
                <c:pt idx="9">
                  <c:v>40</c:v>
                </c:pt>
                <c:pt idx="10">
                  <c:v>41</c:v>
                </c:pt>
                <c:pt idx="11">
                  <c:v>37</c:v>
                </c:pt>
                <c:pt idx="12">
                  <c:v>33</c:v>
                </c:pt>
                <c:pt idx="13">
                  <c:v>33</c:v>
                </c:pt>
                <c:pt idx="14">
                  <c:v>30</c:v>
                </c:pt>
                <c:pt idx="15">
                  <c:v>29</c:v>
                </c:pt>
                <c:pt idx="16">
                  <c:v>28</c:v>
                </c:pt>
                <c:pt idx="17">
                  <c:v>27</c:v>
                </c:pt>
                <c:pt idx="18">
                  <c:v>27</c:v>
                </c:pt>
              </c:numCache>
            </c:numRef>
          </c:yVal>
          <c:smooth val="0"/>
          <c:extLst>
            <c:ext xmlns:c16="http://schemas.microsoft.com/office/drawing/2014/chart" uri="{C3380CC4-5D6E-409C-BE32-E72D297353CC}">
              <c16:uniqueId val="{00000000-5616-A54A-B6F3-06AACDF21D4F}"/>
            </c:ext>
          </c:extLst>
        </c:ser>
        <c:dLbls>
          <c:showLegendKey val="0"/>
          <c:showVal val="0"/>
          <c:showCatName val="0"/>
          <c:showSerName val="0"/>
          <c:showPercent val="0"/>
          <c:showBubbleSize val="0"/>
        </c:dLbls>
        <c:axId val="896522768"/>
        <c:axId val="896524480"/>
      </c:scatterChart>
      <c:valAx>
        <c:axId val="896522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24480"/>
        <c:crosses val="autoZero"/>
        <c:crossBetween val="midCat"/>
      </c:valAx>
      <c:valAx>
        <c:axId val="89652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227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S3_model_fitting!$D$638:$D$653</c:f>
              <c:numCache>
                <c:formatCode>General</c:formatCode>
                <c:ptCount val="16"/>
                <c:pt idx="0">
                  <c:v>0</c:v>
                </c:pt>
                <c:pt idx="1">
                  <c:v>1</c:v>
                </c:pt>
                <c:pt idx="2">
                  <c:v>2</c:v>
                </c:pt>
                <c:pt idx="3">
                  <c:v>3</c:v>
                </c:pt>
                <c:pt idx="4">
                  <c:v>4</c:v>
                </c:pt>
                <c:pt idx="5">
                  <c:v>5</c:v>
                </c:pt>
                <c:pt idx="6">
                  <c:v>6</c:v>
                </c:pt>
                <c:pt idx="7">
                  <c:v>8</c:v>
                </c:pt>
                <c:pt idx="8">
                  <c:v>10</c:v>
                </c:pt>
                <c:pt idx="9">
                  <c:v>12</c:v>
                </c:pt>
                <c:pt idx="10">
                  <c:v>14</c:v>
                </c:pt>
                <c:pt idx="11">
                  <c:v>16</c:v>
                </c:pt>
                <c:pt idx="12">
                  <c:v>18</c:v>
                </c:pt>
                <c:pt idx="13">
                  <c:v>22</c:v>
                </c:pt>
                <c:pt idx="14">
                  <c:v>26</c:v>
                </c:pt>
                <c:pt idx="15">
                  <c:v>30</c:v>
                </c:pt>
              </c:numCache>
            </c:numRef>
          </c:xVal>
          <c:yVal>
            <c:numRef>
              <c:f>S3_model_fitting!$E$638:$E$653</c:f>
              <c:numCache>
                <c:formatCode>General</c:formatCode>
                <c:ptCount val="16"/>
                <c:pt idx="0">
                  <c:v>100</c:v>
                </c:pt>
                <c:pt idx="1">
                  <c:v>97</c:v>
                </c:pt>
                <c:pt idx="2">
                  <c:v>92</c:v>
                </c:pt>
                <c:pt idx="3">
                  <c:v>86</c:v>
                </c:pt>
                <c:pt idx="4">
                  <c:v>77</c:v>
                </c:pt>
                <c:pt idx="5">
                  <c:v>66</c:v>
                </c:pt>
                <c:pt idx="6">
                  <c:v>58</c:v>
                </c:pt>
                <c:pt idx="7">
                  <c:v>49</c:v>
                </c:pt>
                <c:pt idx="8">
                  <c:v>44</c:v>
                </c:pt>
                <c:pt idx="9">
                  <c:v>39</c:v>
                </c:pt>
                <c:pt idx="10">
                  <c:v>34</c:v>
                </c:pt>
                <c:pt idx="11">
                  <c:v>33</c:v>
                </c:pt>
                <c:pt idx="12">
                  <c:v>33</c:v>
                </c:pt>
                <c:pt idx="13">
                  <c:v>32</c:v>
                </c:pt>
                <c:pt idx="14">
                  <c:v>32</c:v>
                </c:pt>
                <c:pt idx="15">
                  <c:v>32</c:v>
                </c:pt>
              </c:numCache>
            </c:numRef>
          </c:yVal>
          <c:smooth val="0"/>
          <c:extLst>
            <c:ext xmlns:c16="http://schemas.microsoft.com/office/drawing/2014/chart" uri="{C3380CC4-5D6E-409C-BE32-E72D297353CC}">
              <c16:uniqueId val="{00000000-5168-CC4C-B1D1-B3A7BAB0A3D5}"/>
            </c:ext>
          </c:extLst>
        </c:ser>
        <c:dLbls>
          <c:showLegendKey val="0"/>
          <c:showVal val="0"/>
          <c:showCatName val="0"/>
          <c:showSerName val="0"/>
          <c:showPercent val="0"/>
          <c:showBubbleSize val="0"/>
        </c:dLbls>
        <c:axId val="688654976"/>
        <c:axId val="688656688"/>
      </c:scatterChart>
      <c:valAx>
        <c:axId val="68865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56688"/>
        <c:crosses val="autoZero"/>
        <c:crossBetween val="midCat"/>
      </c:valAx>
      <c:valAx>
        <c:axId val="68865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54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S3_model_fitting!$D$654:$D$669</c:f>
              <c:numCache>
                <c:formatCode>General</c:formatCode>
                <c:ptCount val="16"/>
                <c:pt idx="0">
                  <c:v>0</c:v>
                </c:pt>
                <c:pt idx="1">
                  <c:v>1</c:v>
                </c:pt>
                <c:pt idx="2">
                  <c:v>2</c:v>
                </c:pt>
                <c:pt idx="3">
                  <c:v>3</c:v>
                </c:pt>
                <c:pt idx="4">
                  <c:v>4</c:v>
                </c:pt>
                <c:pt idx="5">
                  <c:v>5</c:v>
                </c:pt>
                <c:pt idx="6">
                  <c:v>6</c:v>
                </c:pt>
                <c:pt idx="7">
                  <c:v>8</c:v>
                </c:pt>
                <c:pt idx="8">
                  <c:v>10</c:v>
                </c:pt>
                <c:pt idx="9">
                  <c:v>12</c:v>
                </c:pt>
                <c:pt idx="10">
                  <c:v>14</c:v>
                </c:pt>
                <c:pt idx="11">
                  <c:v>16</c:v>
                </c:pt>
                <c:pt idx="12">
                  <c:v>18</c:v>
                </c:pt>
                <c:pt idx="13">
                  <c:v>22</c:v>
                </c:pt>
                <c:pt idx="14">
                  <c:v>26</c:v>
                </c:pt>
                <c:pt idx="15">
                  <c:v>30</c:v>
                </c:pt>
              </c:numCache>
            </c:numRef>
          </c:xVal>
          <c:yVal>
            <c:numRef>
              <c:f>S3_model_fitting!$E$654:$E$669</c:f>
              <c:numCache>
                <c:formatCode>General</c:formatCode>
                <c:ptCount val="16"/>
                <c:pt idx="0">
                  <c:v>100</c:v>
                </c:pt>
                <c:pt idx="1">
                  <c:v>76</c:v>
                </c:pt>
                <c:pt idx="2">
                  <c:v>50</c:v>
                </c:pt>
                <c:pt idx="3">
                  <c:v>43</c:v>
                </c:pt>
                <c:pt idx="4">
                  <c:v>37</c:v>
                </c:pt>
                <c:pt idx="5">
                  <c:v>33</c:v>
                </c:pt>
                <c:pt idx="6">
                  <c:v>30</c:v>
                </c:pt>
                <c:pt idx="7">
                  <c:v>25</c:v>
                </c:pt>
                <c:pt idx="8">
                  <c:v>22</c:v>
                </c:pt>
                <c:pt idx="9">
                  <c:v>21</c:v>
                </c:pt>
                <c:pt idx="10">
                  <c:v>18</c:v>
                </c:pt>
                <c:pt idx="11">
                  <c:v>17</c:v>
                </c:pt>
                <c:pt idx="12">
                  <c:v>16</c:v>
                </c:pt>
                <c:pt idx="13">
                  <c:v>15</c:v>
                </c:pt>
                <c:pt idx="14">
                  <c:v>13</c:v>
                </c:pt>
                <c:pt idx="15">
                  <c:v>12</c:v>
                </c:pt>
              </c:numCache>
            </c:numRef>
          </c:yVal>
          <c:smooth val="0"/>
          <c:extLst>
            <c:ext xmlns:c16="http://schemas.microsoft.com/office/drawing/2014/chart" uri="{C3380CC4-5D6E-409C-BE32-E72D297353CC}">
              <c16:uniqueId val="{00000000-2593-6440-812A-540B00D19E4C}"/>
            </c:ext>
          </c:extLst>
        </c:ser>
        <c:dLbls>
          <c:showLegendKey val="0"/>
          <c:showVal val="0"/>
          <c:showCatName val="0"/>
          <c:showSerName val="0"/>
          <c:showPercent val="0"/>
          <c:showBubbleSize val="0"/>
        </c:dLbls>
        <c:axId val="95926576"/>
        <c:axId val="90827904"/>
      </c:scatterChart>
      <c:valAx>
        <c:axId val="9592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27904"/>
        <c:crosses val="autoZero"/>
        <c:crossBetween val="midCat"/>
      </c:valAx>
      <c:valAx>
        <c:axId val="9082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6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S3_model_fitting!$D$692:$D$700</c:f>
              <c:numCache>
                <c:formatCode>General</c:formatCode>
                <c:ptCount val="9"/>
                <c:pt idx="0">
                  <c:v>1</c:v>
                </c:pt>
                <c:pt idx="1">
                  <c:v>2</c:v>
                </c:pt>
                <c:pt idx="2">
                  <c:v>3</c:v>
                </c:pt>
                <c:pt idx="3">
                  <c:v>4</c:v>
                </c:pt>
                <c:pt idx="4">
                  <c:v>5</c:v>
                </c:pt>
                <c:pt idx="5">
                  <c:v>6</c:v>
                </c:pt>
                <c:pt idx="6">
                  <c:v>7</c:v>
                </c:pt>
                <c:pt idx="7">
                  <c:v>10</c:v>
                </c:pt>
                <c:pt idx="8">
                  <c:v>11</c:v>
                </c:pt>
              </c:numCache>
            </c:numRef>
          </c:xVal>
          <c:yVal>
            <c:numRef>
              <c:f>S3_model_fitting!$E$692:$E$700</c:f>
              <c:numCache>
                <c:formatCode>General</c:formatCode>
                <c:ptCount val="9"/>
                <c:pt idx="0">
                  <c:v>100</c:v>
                </c:pt>
                <c:pt idx="1">
                  <c:v>112.00000000000001</c:v>
                </c:pt>
                <c:pt idx="2">
                  <c:v>81.333333333333329</c:v>
                </c:pt>
                <c:pt idx="3">
                  <c:v>88</c:v>
                </c:pt>
                <c:pt idx="4">
                  <c:v>44</c:v>
                </c:pt>
                <c:pt idx="5">
                  <c:v>40</c:v>
                </c:pt>
                <c:pt idx="6">
                  <c:v>30.666666666666664</c:v>
                </c:pt>
                <c:pt idx="7">
                  <c:v>24.000000000000004</c:v>
                </c:pt>
                <c:pt idx="8">
                  <c:v>22.666666666666664</c:v>
                </c:pt>
              </c:numCache>
            </c:numRef>
          </c:yVal>
          <c:smooth val="0"/>
          <c:extLst>
            <c:ext xmlns:c16="http://schemas.microsoft.com/office/drawing/2014/chart" uri="{C3380CC4-5D6E-409C-BE32-E72D297353CC}">
              <c16:uniqueId val="{00000000-AF94-9748-885C-945D8BB94960}"/>
            </c:ext>
          </c:extLst>
        </c:ser>
        <c:dLbls>
          <c:showLegendKey val="0"/>
          <c:showVal val="0"/>
          <c:showCatName val="0"/>
          <c:showSerName val="0"/>
          <c:showPercent val="0"/>
          <c:showBubbleSize val="0"/>
        </c:dLbls>
        <c:axId val="227710960"/>
        <c:axId val="227868704"/>
      </c:scatterChart>
      <c:valAx>
        <c:axId val="22771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68704"/>
        <c:crosses val="autoZero"/>
        <c:crossBetween val="midCat"/>
      </c:valAx>
      <c:valAx>
        <c:axId val="2278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1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S3_model_fitting!$D$711:$D$716</c:f>
              <c:numCache>
                <c:formatCode>General</c:formatCode>
                <c:ptCount val="6"/>
                <c:pt idx="0">
                  <c:v>12</c:v>
                </c:pt>
                <c:pt idx="1">
                  <c:v>21</c:v>
                </c:pt>
                <c:pt idx="2">
                  <c:v>26</c:v>
                </c:pt>
                <c:pt idx="3">
                  <c:v>33</c:v>
                </c:pt>
                <c:pt idx="4">
                  <c:v>46</c:v>
                </c:pt>
                <c:pt idx="5">
                  <c:v>59</c:v>
                </c:pt>
              </c:numCache>
            </c:numRef>
          </c:xVal>
          <c:yVal>
            <c:numRef>
              <c:f>S3_model_fitting!$E$711:$E$716</c:f>
              <c:numCache>
                <c:formatCode>General</c:formatCode>
                <c:ptCount val="6"/>
                <c:pt idx="0">
                  <c:v>81.599999999999994</c:v>
                </c:pt>
                <c:pt idx="1">
                  <c:v>54.9</c:v>
                </c:pt>
                <c:pt idx="2">
                  <c:v>63.5</c:v>
                </c:pt>
                <c:pt idx="3">
                  <c:v>32.099999999999994</c:v>
                </c:pt>
                <c:pt idx="4">
                  <c:v>23.5</c:v>
                </c:pt>
                <c:pt idx="5">
                  <c:v>17.299999999999997</c:v>
                </c:pt>
              </c:numCache>
            </c:numRef>
          </c:yVal>
          <c:smooth val="0"/>
          <c:extLst>
            <c:ext xmlns:c16="http://schemas.microsoft.com/office/drawing/2014/chart" uri="{C3380CC4-5D6E-409C-BE32-E72D297353CC}">
              <c16:uniqueId val="{00000000-3C64-674D-B086-308CDA34004B}"/>
            </c:ext>
          </c:extLst>
        </c:ser>
        <c:dLbls>
          <c:showLegendKey val="0"/>
          <c:showVal val="0"/>
          <c:showCatName val="0"/>
          <c:showSerName val="0"/>
          <c:showPercent val="0"/>
          <c:showBubbleSize val="0"/>
        </c:dLbls>
        <c:axId val="873982688"/>
        <c:axId val="873984400"/>
      </c:scatterChart>
      <c:valAx>
        <c:axId val="873982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84400"/>
        <c:crosses val="autoZero"/>
        <c:crossBetween val="midCat"/>
      </c:valAx>
      <c:valAx>
        <c:axId val="87398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82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S3_model_fitting!$D$742:$D$751</c:f>
              <c:numCache>
                <c:formatCode>General</c:formatCode>
                <c:ptCount val="10"/>
                <c:pt idx="0">
                  <c:v>0</c:v>
                </c:pt>
                <c:pt idx="1">
                  <c:v>6</c:v>
                </c:pt>
                <c:pt idx="2">
                  <c:v>12</c:v>
                </c:pt>
                <c:pt idx="3">
                  <c:v>27</c:v>
                </c:pt>
                <c:pt idx="4">
                  <c:v>55</c:v>
                </c:pt>
                <c:pt idx="5">
                  <c:v>89</c:v>
                </c:pt>
                <c:pt idx="6">
                  <c:v>117</c:v>
                </c:pt>
                <c:pt idx="7">
                  <c:v>146</c:v>
                </c:pt>
                <c:pt idx="8">
                  <c:v>182</c:v>
                </c:pt>
                <c:pt idx="9">
                  <c:v>364</c:v>
                </c:pt>
              </c:numCache>
            </c:numRef>
          </c:xVal>
          <c:yVal>
            <c:numRef>
              <c:f>S3_model_fitting!$E$742:$E$751</c:f>
              <c:numCache>
                <c:formatCode>General</c:formatCode>
                <c:ptCount val="10"/>
                <c:pt idx="0">
                  <c:v>100</c:v>
                </c:pt>
                <c:pt idx="1">
                  <c:v>87.8</c:v>
                </c:pt>
                <c:pt idx="2">
                  <c:v>89.9</c:v>
                </c:pt>
                <c:pt idx="3">
                  <c:v>86.7</c:v>
                </c:pt>
                <c:pt idx="4">
                  <c:v>88.8</c:v>
                </c:pt>
                <c:pt idx="5">
                  <c:v>71.8</c:v>
                </c:pt>
                <c:pt idx="6">
                  <c:v>41</c:v>
                </c:pt>
                <c:pt idx="7">
                  <c:v>46.8</c:v>
                </c:pt>
                <c:pt idx="8">
                  <c:v>43.1</c:v>
                </c:pt>
                <c:pt idx="9">
                  <c:v>31.4</c:v>
                </c:pt>
              </c:numCache>
            </c:numRef>
          </c:yVal>
          <c:smooth val="0"/>
          <c:extLst>
            <c:ext xmlns:c16="http://schemas.microsoft.com/office/drawing/2014/chart" uri="{C3380CC4-5D6E-409C-BE32-E72D297353CC}">
              <c16:uniqueId val="{00000000-8DD6-0345-B362-E532006CC754}"/>
            </c:ext>
          </c:extLst>
        </c:ser>
        <c:dLbls>
          <c:showLegendKey val="0"/>
          <c:showVal val="0"/>
          <c:showCatName val="0"/>
          <c:showSerName val="0"/>
          <c:showPercent val="0"/>
          <c:showBubbleSize val="0"/>
        </c:dLbls>
        <c:axId val="240545456"/>
        <c:axId val="240852560"/>
      </c:scatterChart>
      <c:valAx>
        <c:axId val="24054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52560"/>
        <c:crosses val="autoZero"/>
        <c:crossBetween val="midCat"/>
      </c:valAx>
      <c:valAx>
        <c:axId val="2408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454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S3_model_fitting!$D$752:$D$759</c:f>
              <c:numCache>
                <c:formatCode>General</c:formatCode>
                <c:ptCount val="8"/>
                <c:pt idx="0">
                  <c:v>0</c:v>
                </c:pt>
                <c:pt idx="1">
                  <c:v>7</c:v>
                </c:pt>
                <c:pt idx="2">
                  <c:v>12</c:v>
                </c:pt>
                <c:pt idx="3">
                  <c:v>27</c:v>
                </c:pt>
                <c:pt idx="4">
                  <c:v>55</c:v>
                </c:pt>
                <c:pt idx="5">
                  <c:v>90</c:v>
                </c:pt>
                <c:pt idx="6">
                  <c:v>120</c:v>
                </c:pt>
                <c:pt idx="7">
                  <c:v>150</c:v>
                </c:pt>
              </c:numCache>
            </c:numRef>
          </c:xVal>
          <c:yVal>
            <c:numRef>
              <c:f>S3_model_fitting!$E$752:$E$759</c:f>
              <c:numCache>
                <c:formatCode>General</c:formatCode>
                <c:ptCount val="8"/>
                <c:pt idx="0">
                  <c:v>100</c:v>
                </c:pt>
                <c:pt idx="1">
                  <c:v>86.1</c:v>
                </c:pt>
                <c:pt idx="2">
                  <c:v>80.8</c:v>
                </c:pt>
                <c:pt idx="3">
                  <c:v>71.400000000000006</c:v>
                </c:pt>
                <c:pt idx="4">
                  <c:v>66.099999999999994</c:v>
                </c:pt>
                <c:pt idx="5">
                  <c:v>52.2</c:v>
                </c:pt>
                <c:pt idx="6">
                  <c:v>40</c:v>
                </c:pt>
                <c:pt idx="7">
                  <c:v>34.700000000000003</c:v>
                </c:pt>
              </c:numCache>
            </c:numRef>
          </c:yVal>
          <c:smooth val="0"/>
          <c:extLst>
            <c:ext xmlns:c16="http://schemas.microsoft.com/office/drawing/2014/chart" uri="{C3380CC4-5D6E-409C-BE32-E72D297353CC}">
              <c16:uniqueId val="{00000000-271F-C549-BDC8-504DB1EF1276}"/>
            </c:ext>
          </c:extLst>
        </c:ser>
        <c:dLbls>
          <c:showLegendKey val="0"/>
          <c:showVal val="0"/>
          <c:showCatName val="0"/>
          <c:showSerName val="0"/>
          <c:showPercent val="0"/>
          <c:showBubbleSize val="0"/>
        </c:dLbls>
        <c:axId val="873920992"/>
        <c:axId val="873922704"/>
      </c:scatterChart>
      <c:valAx>
        <c:axId val="87392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22704"/>
        <c:crosses val="autoZero"/>
        <c:crossBetween val="midCat"/>
      </c:valAx>
      <c:valAx>
        <c:axId val="87392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20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S3_model_fitting!$D$785:$D$789</c:f>
              <c:numCache>
                <c:formatCode>General</c:formatCode>
                <c:ptCount val="5"/>
                <c:pt idx="0">
                  <c:v>0</c:v>
                </c:pt>
                <c:pt idx="1">
                  <c:v>1</c:v>
                </c:pt>
                <c:pt idx="2">
                  <c:v>3</c:v>
                </c:pt>
                <c:pt idx="3">
                  <c:v>9</c:v>
                </c:pt>
                <c:pt idx="4">
                  <c:v>18</c:v>
                </c:pt>
              </c:numCache>
            </c:numRef>
          </c:xVal>
          <c:yVal>
            <c:numRef>
              <c:f>S3_model_fitting!$E$785:$E$789</c:f>
              <c:numCache>
                <c:formatCode>General</c:formatCode>
                <c:ptCount val="5"/>
                <c:pt idx="0">
                  <c:v>100</c:v>
                </c:pt>
                <c:pt idx="1">
                  <c:v>74.7</c:v>
                </c:pt>
                <c:pt idx="2">
                  <c:v>73.7</c:v>
                </c:pt>
                <c:pt idx="3">
                  <c:v>55</c:v>
                </c:pt>
                <c:pt idx="4">
                  <c:v>54.1</c:v>
                </c:pt>
              </c:numCache>
            </c:numRef>
          </c:yVal>
          <c:smooth val="0"/>
          <c:extLst>
            <c:ext xmlns:c16="http://schemas.microsoft.com/office/drawing/2014/chart" uri="{C3380CC4-5D6E-409C-BE32-E72D297353CC}">
              <c16:uniqueId val="{00000000-37BB-CA42-BC0A-B520F6A0A32F}"/>
            </c:ext>
          </c:extLst>
        </c:ser>
        <c:dLbls>
          <c:showLegendKey val="0"/>
          <c:showVal val="0"/>
          <c:showCatName val="0"/>
          <c:showSerName val="0"/>
          <c:showPercent val="0"/>
          <c:showBubbleSize val="0"/>
        </c:dLbls>
        <c:axId val="227679824"/>
        <c:axId val="227681536"/>
      </c:scatterChart>
      <c:valAx>
        <c:axId val="22767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81536"/>
        <c:crosses val="autoZero"/>
        <c:crossBetween val="midCat"/>
      </c:valAx>
      <c:valAx>
        <c:axId val="22768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79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S3_model_fitting!$D$795:$D$799</c:f>
              <c:numCache>
                <c:formatCode>General</c:formatCode>
                <c:ptCount val="5"/>
                <c:pt idx="0">
                  <c:v>0</c:v>
                </c:pt>
                <c:pt idx="1">
                  <c:v>1</c:v>
                </c:pt>
                <c:pt idx="2">
                  <c:v>3</c:v>
                </c:pt>
                <c:pt idx="3">
                  <c:v>9</c:v>
                </c:pt>
                <c:pt idx="4">
                  <c:v>18</c:v>
                </c:pt>
              </c:numCache>
            </c:numRef>
          </c:xVal>
          <c:yVal>
            <c:numRef>
              <c:f>S3_model_fitting!$E$795:$E$799</c:f>
              <c:numCache>
                <c:formatCode>General</c:formatCode>
                <c:ptCount val="5"/>
                <c:pt idx="0">
                  <c:v>100</c:v>
                </c:pt>
                <c:pt idx="1">
                  <c:v>79.7</c:v>
                </c:pt>
                <c:pt idx="2">
                  <c:v>77.8</c:v>
                </c:pt>
                <c:pt idx="3">
                  <c:v>56.9</c:v>
                </c:pt>
                <c:pt idx="4">
                  <c:v>59.7</c:v>
                </c:pt>
              </c:numCache>
            </c:numRef>
          </c:yVal>
          <c:smooth val="0"/>
          <c:extLst>
            <c:ext xmlns:c16="http://schemas.microsoft.com/office/drawing/2014/chart" uri="{C3380CC4-5D6E-409C-BE32-E72D297353CC}">
              <c16:uniqueId val="{00000000-4A8D-7748-971E-3A38DC169CF4}"/>
            </c:ext>
          </c:extLst>
        </c:ser>
        <c:dLbls>
          <c:showLegendKey val="0"/>
          <c:showVal val="0"/>
          <c:showCatName val="0"/>
          <c:showSerName val="0"/>
          <c:showPercent val="0"/>
          <c:showBubbleSize val="0"/>
        </c:dLbls>
        <c:axId val="200563408"/>
        <c:axId val="200564128"/>
      </c:scatterChart>
      <c:valAx>
        <c:axId val="20056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4128"/>
        <c:crosses val="autoZero"/>
        <c:crossBetween val="midCat"/>
      </c:valAx>
      <c:valAx>
        <c:axId val="20056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34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S3_model_fitting!$D$800:$D$823</c:f>
              <c:numCache>
                <c:formatCode>General</c:formatCode>
                <c:ptCount val="24"/>
                <c:pt idx="0">
                  <c:v>0</c:v>
                </c:pt>
                <c:pt idx="1">
                  <c:v>3</c:v>
                </c:pt>
                <c:pt idx="2">
                  <c:v>7</c:v>
                </c:pt>
                <c:pt idx="3">
                  <c:v>21</c:v>
                </c:pt>
                <c:pt idx="4">
                  <c:v>36</c:v>
                </c:pt>
                <c:pt idx="5">
                  <c:v>49</c:v>
                </c:pt>
                <c:pt idx="6">
                  <c:v>63</c:v>
                </c:pt>
                <c:pt idx="7">
                  <c:v>84</c:v>
                </c:pt>
                <c:pt idx="8">
                  <c:v>98</c:v>
                </c:pt>
                <c:pt idx="9">
                  <c:v>114</c:v>
                </c:pt>
                <c:pt idx="10">
                  <c:v>126</c:v>
                </c:pt>
                <c:pt idx="11">
                  <c:v>142</c:v>
                </c:pt>
                <c:pt idx="12">
                  <c:v>177</c:v>
                </c:pt>
                <c:pt idx="13">
                  <c:v>293</c:v>
                </c:pt>
                <c:pt idx="14">
                  <c:v>357</c:v>
                </c:pt>
                <c:pt idx="15">
                  <c:v>0</c:v>
                </c:pt>
                <c:pt idx="16">
                  <c:v>21</c:v>
                </c:pt>
                <c:pt idx="17">
                  <c:v>35</c:v>
                </c:pt>
                <c:pt idx="18">
                  <c:v>44</c:v>
                </c:pt>
                <c:pt idx="19">
                  <c:v>78</c:v>
                </c:pt>
                <c:pt idx="20">
                  <c:v>0</c:v>
                </c:pt>
                <c:pt idx="21">
                  <c:v>14</c:v>
                </c:pt>
                <c:pt idx="22">
                  <c:v>29</c:v>
                </c:pt>
                <c:pt idx="23">
                  <c:v>57</c:v>
                </c:pt>
              </c:numCache>
            </c:numRef>
          </c:xVal>
          <c:yVal>
            <c:numRef>
              <c:f>S3_model_fitting!$E$800:$E$823</c:f>
              <c:numCache>
                <c:formatCode>General</c:formatCode>
                <c:ptCount val="24"/>
                <c:pt idx="0">
                  <c:v>100</c:v>
                </c:pt>
                <c:pt idx="1">
                  <c:v>95.3</c:v>
                </c:pt>
                <c:pt idx="2">
                  <c:v>93.9</c:v>
                </c:pt>
                <c:pt idx="3">
                  <c:v>86.5</c:v>
                </c:pt>
                <c:pt idx="4">
                  <c:v>77.400000000000006</c:v>
                </c:pt>
                <c:pt idx="5">
                  <c:v>68.900000000000006</c:v>
                </c:pt>
                <c:pt idx="6">
                  <c:v>63.9</c:v>
                </c:pt>
                <c:pt idx="7">
                  <c:v>47.9</c:v>
                </c:pt>
                <c:pt idx="8">
                  <c:v>41.9</c:v>
                </c:pt>
                <c:pt idx="9">
                  <c:v>33.299999999999997</c:v>
                </c:pt>
                <c:pt idx="10">
                  <c:v>34.200000000000003</c:v>
                </c:pt>
                <c:pt idx="11">
                  <c:v>32.799999999999997</c:v>
                </c:pt>
                <c:pt idx="12">
                  <c:v>30.9</c:v>
                </c:pt>
                <c:pt idx="13">
                  <c:v>22.9</c:v>
                </c:pt>
                <c:pt idx="14">
                  <c:v>21.8</c:v>
                </c:pt>
                <c:pt idx="15">
                  <c:v>100</c:v>
                </c:pt>
                <c:pt idx="16">
                  <c:v>88.1</c:v>
                </c:pt>
                <c:pt idx="17">
                  <c:v>76.099999999999994</c:v>
                </c:pt>
                <c:pt idx="18">
                  <c:v>70.599999999999994</c:v>
                </c:pt>
                <c:pt idx="19">
                  <c:v>56.1</c:v>
                </c:pt>
                <c:pt idx="20">
                  <c:v>100.2</c:v>
                </c:pt>
                <c:pt idx="21">
                  <c:v>97.3</c:v>
                </c:pt>
                <c:pt idx="22">
                  <c:v>87.9</c:v>
                </c:pt>
                <c:pt idx="23">
                  <c:v>80.400000000000006</c:v>
                </c:pt>
              </c:numCache>
            </c:numRef>
          </c:yVal>
          <c:smooth val="0"/>
          <c:extLst>
            <c:ext xmlns:c16="http://schemas.microsoft.com/office/drawing/2014/chart" uri="{C3380CC4-5D6E-409C-BE32-E72D297353CC}">
              <c16:uniqueId val="{00000000-0BF6-D840-A3FE-7854128F77BF}"/>
            </c:ext>
          </c:extLst>
        </c:ser>
        <c:dLbls>
          <c:showLegendKey val="0"/>
          <c:showVal val="0"/>
          <c:showCatName val="0"/>
          <c:showSerName val="0"/>
          <c:showPercent val="0"/>
          <c:showBubbleSize val="0"/>
        </c:dLbls>
        <c:axId val="873893360"/>
        <c:axId val="873883856"/>
      </c:scatterChart>
      <c:valAx>
        <c:axId val="87389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83856"/>
        <c:crosses val="autoZero"/>
        <c:crossBetween val="midCat"/>
      </c:valAx>
      <c:valAx>
        <c:axId val="87388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3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S3_model_fitting!$D$826:$D$835</c:f>
              <c:numCache>
                <c:formatCode>General</c:formatCode>
                <c:ptCount val="10"/>
                <c:pt idx="0">
                  <c:v>0</c:v>
                </c:pt>
                <c:pt idx="1">
                  <c:v>7</c:v>
                </c:pt>
                <c:pt idx="2">
                  <c:v>14</c:v>
                </c:pt>
                <c:pt idx="3">
                  <c:v>21</c:v>
                </c:pt>
                <c:pt idx="4">
                  <c:v>28</c:v>
                </c:pt>
                <c:pt idx="5">
                  <c:v>35</c:v>
                </c:pt>
                <c:pt idx="6">
                  <c:v>42</c:v>
                </c:pt>
                <c:pt idx="7">
                  <c:v>39</c:v>
                </c:pt>
                <c:pt idx="8">
                  <c:v>56</c:v>
                </c:pt>
                <c:pt idx="9">
                  <c:v>63</c:v>
                </c:pt>
              </c:numCache>
            </c:numRef>
          </c:xVal>
          <c:yVal>
            <c:numRef>
              <c:f>S3_model_fitting!$E$826:$E$835</c:f>
              <c:numCache>
                <c:formatCode>General</c:formatCode>
                <c:ptCount val="10"/>
                <c:pt idx="0">
                  <c:v>100</c:v>
                </c:pt>
                <c:pt idx="1">
                  <c:v>90.666666666666657</c:v>
                </c:pt>
                <c:pt idx="2">
                  <c:v>77.333333333333329</c:v>
                </c:pt>
                <c:pt idx="3">
                  <c:v>44</c:v>
                </c:pt>
                <c:pt idx="4">
                  <c:v>27.333333333333332</c:v>
                </c:pt>
                <c:pt idx="5">
                  <c:v>14.666666666666666</c:v>
                </c:pt>
                <c:pt idx="6">
                  <c:v>10</c:v>
                </c:pt>
                <c:pt idx="7">
                  <c:v>8.6666666666666679</c:v>
                </c:pt>
                <c:pt idx="8">
                  <c:v>8</c:v>
                </c:pt>
                <c:pt idx="9">
                  <c:v>2.8666666666666667</c:v>
                </c:pt>
              </c:numCache>
            </c:numRef>
          </c:yVal>
          <c:smooth val="0"/>
          <c:extLst>
            <c:ext xmlns:c16="http://schemas.microsoft.com/office/drawing/2014/chart" uri="{C3380CC4-5D6E-409C-BE32-E72D297353CC}">
              <c16:uniqueId val="{00000000-4DD5-464F-92E1-B18B60B01EB8}"/>
            </c:ext>
          </c:extLst>
        </c:ser>
        <c:dLbls>
          <c:showLegendKey val="0"/>
          <c:showVal val="0"/>
          <c:showCatName val="0"/>
          <c:showSerName val="0"/>
          <c:showPercent val="0"/>
          <c:showBubbleSize val="0"/>
        </c:dLbls>
        <c:axId val="408929904"/>
        <c:axId val="895724576"/>
      </c:scatterChart>
      <c:valAx>
        <c:axId val="40892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24576"/>
        <c:crosses val="autoZero"/>
        <c:crossBetween val="midCat"/>
      </c:valAx>
      <c:valAx>
        <c:axId val="89572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29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S3_model_fitting!$D$836:$D$845</c:f>
              <c:numCache>
                <c:formatCode>General</c:formatCode>
                <c:ptCount val="10"/>
                <c:pt idx="0">
                  <c:v>0</c:v>
                </c:pt>
                <c:pt idx="1">
                  <c:v>7</c:v>
                </c:pt>
                <c:pt idx="2">
                  <c:v>14</c:v>
                </c:pt>
                <c:pt idx="3">
                  <c:v>21</c:v>
                </c:pt>
                <c:pt idx="4">
                  <c:v>28</c:v>
                </c:pt>
                <c:pt idx="5">
                  <c:v>35</c:v>
                </c:pt>
                <c:pt idx="6">
                  <c:v>42</c:v>
                </c:pt>
                <c:pt idx="7">
                  <c:v>39</c:v>
                </c:pt>
                <c:pt idx="8">
                  <c:v>56</c:v>
                </c:pt>
                <c:pt idx="9">
                  <c:v>63</c:v>
                </c:pt>
              </c:numCache>
            </c:numRef>
          </c:xVal>
          <c:yVal>
            <c:numRef>
              <c:f>S3_model_fitting!$E$836:$E$845</c:f>
              <c:numCache>
                <c:formatCode>General</c:formatCode>
                <c:ptCount val="10"/>
                <c:pt idx="0">
                  <c:v>100</c:v>
                </c:pt>
                <c:pt idx="1">
                  <c:v>94.666666666666671</c:v>
                </c:pt>
                <c:pt idx="2">
                  <c:v>86.666666666666671</c:v>
                </c:pt>
                <c:pt idx="3">
                  <c:v>79.333333333333329</c:v>
                </c:pt>
                <c:pt idx="4">
                  <c:v>67.333333333333329</c:v>
                </c:pt>
                <c:pt idx="5">
                  <c:v>43.333333333333336</c:v>
                </c:pt>
                <c:pt idx="6">
                  <c:v>26</c:v>
                </c:pt>
                <c:pt idx="7">
                  <c:v>18.000000000000004</c:v>
                </c:pt>
                <c:pt idx="8">
                  <c:v>10.666666666666668</c:v>
                </c:pt>
                <c:pt idx="9">
                  <c:v>0</c:v>
                </c:pt>
              </c:numCache>
            </c:numRef>
          </c:yVal>
          <c:smooth val="0"/>
          <c:extLst>
            <c:ext xmlns:c16="http://schemas.microsoft.com/office/drawing/2014/chart" uri="{C3380CC4-5D6E-409C-BE32-E72D297353CC}">
              <c16:uniqueId val="{00000000-114D-1E44-8512-C63DAE9407BA}"/>
            </c:ext>
          </c:extLst>
        </c:ser>
        <c:dLbls>
          <c:showLegendKey val="0"/>
          <c:showVal val="0"/>
          <c:showCatName val="0"/>
          <c:showSerName val="0"/>
          <c:showPercent val="0"/>
          <c:showBubbleSize val="0"/>
        </c:dLbls>
        <c:axId val="173546864"/>
        <c:axId val="173360960"/>
      </c:scatterChart>
      <c:valAx>
        <c:axId val="17354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60960"/>
        <c:crosses val="autoZero"/>
        <c:crossBetween val="midCat"/>
      </c:valAx>
      <c:valAx>
        <c:axId val="17336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8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S3_model_fitting!$D$871:$D$880</c:f>
              <c:numCache>
                <c:formatCode>General</c:formatCode>
                <c:ptCount val="10"/>
                <c:pt idx="0">
                  <c:v>0</c:v>
                </c:pt>
                <c:pt idx="1">
                  <c:v>4</c:v>
                </c:pt>
                <c:pt idx="2">
                  <c:v>10</c:v>
                </c:pt>
                <c:pt idx="3">
                  <c:v>17</c:v>
                </c:pt>
                <c:pt idx="4">
                  <c:v>24</c:v>
                </c:pt>
                <c:pt idx="5">
                  <c:v>31</c:v>
                </c:pt>
                <c:pt idx="6">
                  <c:v>38</c:v>
                </c:pt>
                <c:pt idx="7">
                  <c:v>44</c:v>
                </c:pt>
                <c:pt idx="8">
                  <c:v>55</c:v>
                </c:pt>
                <c:pt idx="9">
                  <c:v>63</c:v>
                </c:pt>
              </c:numCache>
            </c:numRef>
          </c:xVal>
          <c:yVal>
            <c:numRef>
              <c:f>S3_model_fitting!$E$871:$E$880</c:f>
              <c:numCache>
                <c:formatCode>General</c:formatCode>
                <c:ptCount val="10"/>
                <c:pt idx="0">
                  <c:v>100</c:v>
                </c:pt>
                <c:pt idx="1">
                  <c:v>68.400000000000006</c:v>
                </c:pt>
                <c:pt idx="2">
                  <c:v>48.89</c:v>
                </c:pt>
                <c:pt idx="3">
                  <c:v>54.13</c:v>
                </c:pt>
                <c:pt idx="4">
                  <c:v>43.88</c:v>
                </c:pt>
                <c:pt idx="5">
                  <c:v>31.69</c:v>
                </c:pt>
                <c:pt idx="6">
                  <c:v>16.89</c:v>
                </c:pt>
                <c:pt idx="7">
                  <c:v>18.22</c:v>
                </c:pt>
                <c:pt idx="8">
                  <c:v>6.4</c:v>
                </c:pt>
                <c:pt idx="9">
                  <c:v>2.46</c:v>
                </c:pt>
              </c:numCache>
            </c:numRef>
          </c:yVal>
          <c:smooth val="0"/>
          <c:extLst>
            <c:ext xmlns:c16="http://schemas.microsoft.com/office/drawing/2014/chart" uri="{C3380CC4-5D6E-409C-BE32-E72D297353CC}">
              <c16:uniqueId val="{00000000-7242-AB4C-BB87-0A00C9863513}"/>
            </c:ext>
          </c:extLst>
        </c:ser>
        <c:dLbls>
          <c:showLegendKey val="0"/>
          <c:showVal val="0"/>
          <c:showCatName val="0"/>
          <c:showSerName val="0"/>
          <c:showPercent val="0"/>
          <c:showBubbleSize val="0"/>
        </c:dLbls>
        <c:axId val="897688512"/>
        <c:axId val="897838560"/>
      </c:scatterChart>
      <c:valAx>
        <c:axId val="89768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38560"/>
        <c:crosses val="autoZero"/>
        <c:crossBetween val="midCat"/>
      </c:valAx>
      <c:valAx>
        <c:axId val="89783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88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S3_model_fitting!$D$891:$D$900</c:f>
              <c:numCache>
                <c:formatCode>General</c:formatCode>
                <c:ptCount val="10"/>
                <c:pt idx="0">
                  <c:v>0</c:v>
                </c:pt>
                <c:pt idx="1">
                  <c:v>4</c:v>
                </c:pt>
                <c:pt idx="2">
                  <c:v>10</c:v>
                </c:pt>
                <c:pt idx="3">
                  <c:v>17</c:v>
                </c:pt>
                <c:pt idx="4">
                  <c:v>24</c:v>
                </c:pt>
                <c:pt idx="5">
                  <c:v>31</c:v>
                </c:pt>
                <c:pt idx="6">
                  <c:v>38</c:v>
                </c:pt>
                <c:pt idx="7">
                  <c:v>44</c:v>
                </c:pt>
                <c:pt idx="8">
                  <c:v>55</c:v>
                </c:pt>
                <c:pt idx="9">
                  <c:v>63</c:v>
                </c:pt>
              </c:numCache>
            </c:numRef>
          </c:xVal>
          <c:yVal>
            <c:numRef>
              <c:f>S3_model_fitting!$E$891:$E$900</c:f>
              <c:numCache>
                <c:formatCode>General</c:formatCode>
                <c:ptCount val="10"/>
                <c:pt idx="0">
                  <c:v>100</c:v>
                </c:pt>
                <c:pt idx="1">
                  <c:v>53.9</c:v>
                </c:pt>
                <c:pt idx="2">
                  <c:v>45</c:v>
                </c:pt>
                <c:pt idx="3">
                  <c:v>39.9</c:v>
                </c:pt>
                <c:pt idx="4">
                  <c:v>35.6</c:v>
                </c:pt>
                <c:pt idx="5">
                  <c:v>42.4</c:v>
                </c:pt>
                <c:pt idx="6">
                  <c:v>38.5</c:v>
                </c:pt>
                <c:pt idx="7">
                  <c:v>41.4</c:v>
                </c:pt>
                <c:pt idx="8">
                  <c:v>33.9</c:v>
                </c:pt>
                <c:pt idx="9">
                  <c:v>30.1</c:v>
                </c:pt>
              </c:numCache>
            </c:numRef>
          </c:yVal>
          <c:smooth val="0"/>
          <c:extLst>
            <c:ext xmlns:c16="http://schemas.microsoft.com/office/drawing/2014/chart" uri="{C3380CC4-5D6E-409C-BE32-E72D297353CC}">
              <c16:uniqueId val="{00000000-6D57-2843-B101-0633FD8D28FF}"/>
            </c:ext>
          </c:extLst>
        </c:ser>
        <c:dLbls>
          <c:showLegendKey val="0"/>
          <c:showVal val="0"/>
          <c:showCatName val="0"/>
          <c:showSerName val="0"/>
          <c:showPercent val="0"/>
          <c:showBubbleSize val="0"/>
        </c:dLbls>
        <c:axId val="873964832"/>
        <c:axId val="873966544"/>
      </c:scatterChart>
      <c:valAx>
        <c:axId val="87396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66544"/>
        <c:crosses val="autoZero"/>
        <c:crossBetween val="midCat"/>
      </c:valAx>
      <c:valAx>
        <c:axId val="87396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648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S3_model_fitting!$D$921:$D$930</c:f>
              <c:numCache>
                <c:formatCode>General</c:formatCode>
                <c:ptCount val="10"/>
                <c:pt idx="0">
                  <c:v>0</c:v>
                </c:pt>
                <c:pt idx="1">
                  <c:v>1</c:v>
                </c:pt>
                <c:pt idx="2">
                  <c:v>3</c:v>
                </c:pt>
                <c:pt idx="3">
                  <c:v>7</c:v>
                </c:pt>
                <c:pt idx="4">
                  <c:v>15</c:v>
                </c:pt>
                <c:pt idx="5">
                  <c:v>21</c:v>
                </c:pt>
                <c:pt idx="6">
                  <c:v>30</c:v>
                </c:pt>
                <c:pt idx="7">
                  <c:v>44</c:v>
                </c:pt>
                <c:pt idx="8">
                  <c:v>59</c:v>
                </c:pt>
                <c:pt idx="9">
                  <c:v>70</c:v>
                </c:pt>
              </c:numCache>
            </c:numRef>
          </c:xVal>
          <c:yVal>
            <c:numRef>
              <c:f>S3_model_fitting!$E$921:$E$930</c:f>
              <c:numCache>
                <c:formatCode>General</c:formatCode>
                <c:ptCount val="10"/>
                <c:pt idx="0">
                  <c:v>100</c:v>
                </c:pt>
                <c:pt idx="1">
                  <c:v>83.739837398373979</c:v>
                </c:pt>
                <c:pt idx="2">
                  <c:v>71.544715447154474</c:v>
                </c:pt>
                <c:pt idx="3">
                  <c:v>63.414634146341463</c:v>
                </c:pt>
                <c:pt idx="4">
                  <c:v>49.59349593495935</c:v>
                </c:pt>
                <c:pt idx="5">
                  <c:v>43.089430894308947</c:v>
                </c:pt>
                <c:pt idx="6">
                  <c:v>41.463414634146346</c:v>
                </c:pt>
                <c:pt idx="7">
                  <c:v>43.902439024390247</c:v>
                </c:pt>
                <c:pt idx="8">
                  <c:v>42.276422764227647</c:v>
                </c:pt>
                <c:pt idx="9">
                  <c:v>39.024390243902438</c:v>
                </c:pt>
              </c:numCache>
            </c:numRef>
          </c:yVal>
          <c:smooth val="0"/>
          <c:extLst>
            <c:ext xmlns:c16="http://schemas.microsoft.com/office/drawing/2014/chart" uri="{C3380CC4-5D6E-409C-BE32-E72D297353CC}">
              <c16:uniqueId val="{00000000-DA8A-8141-8F30-899CB2590A5C}"/>
            </c:ext>
          </c:extLst>
        </c:ser>
        <c:dLbls>
          <c:showLegendKey val="0"/>
          <c:showVal val="0"/>
          <c:showCatName val="0"/>
          <c:showSerName val="0"/>
          <c:showPercent val="0"/>
          <c:showBubbleSize val="0"/>
        </c:dLbls>
        <c:axId val="897921712"/>
        <c:axId val="898426192"/>
      </c:scatterChart>
      <c:valAx>
        <c:axId val="89792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26192"/>
        <c:crosses val="autoZero"/>
        <c:crossBetween val="midCat"/>
      </c:valAx>
      <c:valAx>
        <c:axId val="89842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921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S3_model_fitting!$D$931:$D$939</c:f>
              <c:numCache>
                <c:formatCode>General</c:formatCode>
                <c:ptCount val="9"/>
                <c:pt idx="0">
                  <c:v>1</c:v>
                </c:pt>
                <c:pt idx="1">
                  <c:v>3</c:v>
                </c:pt>
                <c:pt idx="2">
                  <c:v>7</c:v>
                </c:pt>
                <c:pt idx="3">
                  <c:v>15</c:v>
                </c:pt>
                <c:pt idx="4">
                  <c:v>21</c:v>
                </c:pt>
                <c:pt idx="5">
                  <c:v>30</c:v>
                </c:pt>
                <c:pt idx="6">
                  <c:v>44</c:v>
                </c:pt>
                <c:pt idx="7">
                  <c:v>59</c:v>
                </c:pt>
                <c:pt idx="8">
                  <c:v>70</c:v>
                </c:pt>
              </c:numCache>
            </c:numRef>
          </c:xVal>
          <c:yVal>
            <c:numRef>
              <c:f>S3_model_fitting!$E$931:$E$939</c:f>
              <c:numCache>
                <c:formatCode>General</c:formatCode>
                <c:ptCount val="9"/>
                <c:pt idx="0">
                  <c:v>100</c:v>
                </c:pt>
                <c:pt idx="1">
                  <c:v>88.80994671403198</c:v>
                </c:pt>
                <c:pt idx="2">
                  <c:v>45.293072824156305</c:v>
                </c:pt>
                <c:pt idx="3">
                  <c:v>36.412078152753111</c:v>
                </c:pt>
                <c:pt idx="4">
                  <c:v>24.866785079928952</c:v>
                </c:pt>
                <c:pt idx="5">
                  <c:v>10.657193605683837</c:v>
                </c:pt>
                <c:pt idx="6">
                  <c:v>12.433392539964476</c:v>
                </c:pt>
                <c:pt idx="7">
                  <c:v>11.545293072824157</c:v>
                </c:pt>
                <c:pt idx="8">
                  <c:v>11.545293072824157</c:v>
                </c:pt>
              </c:numCache>
            </c:numRef>
          </c:yVal>
          <c:smooth val="0"/>
          <c:extLst>
            <c:ext xmlns:c16="http://schemas.microsoft.com/office/drawing/2014/chart" uri="{C3380CC4-5D6E-409C-BE32-E72D297353CC}">
              <c16:uniqueId val="{00000000-2C6B-1C41-AE2D-AA218D185DFC}"/>
            </c:ext>
          </c:extLst>
        </c:ser>
        <c:dLbls>
          <c:showLegendKey val="0"/>
          <c:showVal val="0"/>
          <c:showCatName val="0"/>
          <c:showSerName val="0"/>
          <c:showPercent val="0"/>
          <c:showBubbleSize val="0"/>
        </c:dLbls>
        <c:axId val="227684928"/>
        <c:axId val="227851296"/>
      </c:scatterChart>
      <c:valAx>
        <c:axId val="22768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51296"/>
        <c:crosses val="autoZero"/>
        <c:crossBetween val="midCat"/>
      </c:valAx>
      <c:valAx>
        <c:axId val="22785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84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S3_model_fitting!$D$940:$D$946</c:f>
              <c:numCache>
                <c:formatCode>General</c:formatCode>
                <c:ptCount val="7"/>
                <c:pt idx="0">
                  <c:v>0</c:v>
                </c:pt>
                <c:pt idx="1">
                  <c:v>5</c:v>
                </c:pt>
                <c:pt idx="2">
                  <c:v>10</c:v>
                </c:pt>
                <c:pt idx="3">
                  <c:v>25</c:v>
                </c:pt>
                <c:pt idx="4">
                  <c:v>50</c:v>
                </c:pt>
                <c:pt idx="5">
                  <c:v>100</c:v>
                </c:pt>
                <c:pt idx="6">
                  <c:v>150</c:v>
                </c:pt>
              </c:numCache>
            </c:numRef>
          </c:xVal>
          <c:yVal>
            <c:numRef>
              <c:f>S3_model_fitting!$E$940:$E$946</c:f>
              <c:numCache>
                <c:formatCode>General</c:formatCode>
                <c:ptCount val="7"/>
                <c:pt idx="0">
                  <c:v>100</c:v>
                </c:pt>
                <c:pt idx="1">
                  <c:v>86</c:v>
                </c:pt>
                <c:pt idx="2">
                  <c:v>86.6</c:v>
                </c:pt>
                <c:pt idx="3">
                  <c:v>62</c:v>
                </c:pt>
                <c:pt idx="4">
                  <c:v>53.8</c:v>
                </c:pt>
                <c:pt idx="5">
                  <c:v>52.4</c:v>
                </c:pt>
                <c:pt idx="6">
                  <c:v>48</c:v>
                </c:pt>
              </c:numCache>
            </c:numRef>
          </c:yVal>
          <c:smooth val="0"/>
          <c:extLst>
            <c:ext xmlns:c16="http://schemas.microsoft.com/office/drawing/2014/chart" uri="{C3380CC4-5D6E-409C-BE32-E72D297353CC}">
              <c16:uniqueId val="{00000000-F07F-4441-A126-BF660C872850}"/>
            </c:ext>
          </c:extLst>
        </c:ser>
        <c:dLbls>
          <c:showLegendKey val="0"/>
          <c:showVal val="0"/>
          <c:showCatName val="0"/>
          <c:showSerName val="0"/>
          <c:showPercent val="0"/>
          <c:showBubbleSize val="0"/>
        </c:dLbls>
        <c:axId val="89688880"/>
        <c:axId val="388963808"/>
      </c:scatterChart>
      <c:valAx>
        <c:axId val="8968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963808"/>
        <c:crosses val="autoZero"/>
        <c:crossBetween val="midCat"/>
      </c:valAx>
      <c:valAx>
        <c:axId val="38896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8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S3_model_fitting!$D$947:$D$953</c:f>
              <c:numCache>
                <c:formatCode>General</c:formatCode>
                <c:ptCount val="7"/>
                <c:pt idx="0">
                  <c:v>0</c:v>
                </c:pt>
                <c:pt idx="1">
                  <c:v>5</c:v>
                </c:pt>
                <c:pt idx="2">
                  <c:v>10</c:v>
                </c:pt>
                <c:pt idx="3">
                  <c:v>25</c:v>
                </c:pt>
                <c:pt idx="4">
                  <c:v>50</c:v>
                </c:pt>
                <c:pt idx="5">
                  <c:v>100</c:v>
                </c:pt>
                <c:pt idx="6">
                  <c:v>150</c:v>
                </c:pt>
              </c:numCache>
            </c:numRef>
          </c:xVal>
          <c:yVal>
            <c:numRef>
              <c:f>S3_model_fitting!$E$947:$E$953</c:f>
              <c:numCache>
                <c:formatCode>General</c:formatCode>
                <c:ptCount val="7"/>
                <c:pt idx="0">
                  <c:v>100</c:v>
                </c:pt>
                <c:pt idx="1">
                  <c:v>91</c:v>
                </c:pt>
                <c:pt idx="2">
                  <c:v>76.2</c:v>
                </c:pt>
                <c:pt idx="3">
                  <c:v>57.8</c:v>
                </c:pt>
                <c:pt idx="4">
                  <c:v>46.9</c:v>
                </c:pt>
                <c:pt idx="5">
                  <c:v>35.1</c:v>
                </c:pt>
                <c:pt idx="6">
                  <c:v>36.799999999999997</c:v>
                </c:pt>
              </c:numCache>
            </c:numRef>
          </c:yVal>
          <c:smooth val="0"/>
          <c:extLst>
            <c:ext xmlns:c16="http://schemas.microsoft.com/office/drawing/2014/chart" uri="{C3380CC4-5D6E-409C-BE32-E72D297353CC}">
              <c16:uniqueId val="{00000000-C0A7-3E4F-B766-D7C7C096E022}"/>
            </c:ext>
          </c:extLst>
        </c:ser>
        <c:dLbls>
          <c:showLegendKey val="0"/>
          <c:showVal val="0"/>
          <c:showCatName val="0"/>
          <c:showSerName val="0"/>
          <c:showPercent val="0"/>
          <c:showBubbleSize val="0"/>
        </c:dLbls>
        <c:axId val="227761312"/>
        <c:axId val="228206912"/>
      </c:scatterChart>
      <c:valAx>
        <c:axId val="22776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06912"/>
        <c:crosses val="autoZero"/>
        <c:crossBetween val="midCat"/>
      </c:valAx>
      <c:valAx>
        <c:axId val="2282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61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S3_model_fitting!$D$954:$D$960</c:f>
              <c:numCache>
                <c:formatCode>General</c:formatCode>
                <c:ptCount val="7"/>
                <c:pt idx="0">
                  <c:v>0</c:v>
                </c:pt>
                <c:pt idx="1">
                  <c:v>5</c:v>
                </c:pt>
                <c:pt idx="2">
                  <c:v>10</c:v>
                </c:pt>
                <c:pt idx="3">
                  <c:v>25</c:v>
                </c:pt>
                <c:pt idx="4">
                  <c:v>50</c:v>
                </c:pt>
                <c:pt idx="5">
                  <c:v>100</c:v>
                </c:pt>
                <c:pt idx="6">
                  <c:v>150</c:v>
                </c:pt>
              </c:numCache>
            </c:numRef>
          </c:xVal>
          <c:yVal>
            <c:numRef>
              <c:f>S3_model_fitting!$E$954:$E$960</c:f>
              <c:numCache>
                <c:formatCode>General</c:formatCode>
                <c:ptCount val="7"/>
                <c:pt idx="0">
                  <c:v>100</c:v>
                </c:pt>
                <c:pt idx="1">
                  <c:v>79.3</c:v>
                </c:pt>
                <c:pt idx="2">
                  <c:v>84.3</c:v>
                </c:pt>
                <c:pt idx="3">
                  <c:v>68.7</c:v>
                </c:pt>
                <c:pt idx="4">
                  <c:v>65</c:v>
                </c:pt>
                <c:pt idx="5">
                  <c:v>56.6</c:v>
                </c:pt>
                <c:pt idx="6">
                  <c:v>51.3</c:v>
                </c:pt>
              </c:numCache>
            </c:numRef>
          </c:yVal>
          <c:smooth val="0"/>
          <c:extLst>
            <c:ext xmlns:c16="http://schemas.microsoft.com/office/drawing/2014/chart" uri="{C3380CC4-5D6E-409C-BE32-E72D297353CC}">
              <c16:uniqueId val="{00000000-84F4-384F-A98C-D8B5030A14BD}"/>
            </c:ext>
          </c:extLst>
        </c:ser>
        <c:dLbls>
          <c:showLegendKey val="0"/>
          <c:showVal val="0"/>
          <c:showCatName val="0"/>
          <c:showSerName val="0"/>
          <c:showPercent val="0"/>
          <c:showBubbleSize val="0"/>
        </c:dLbls>
        <c:axId val="872486688"/>
        <c:axId val="200721680"/>
      </c:scatterChart>
      <c:valAx>
        <c:axId val="87248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1680"/>
        <c:crosses val="autoZero"/>
        <c:crossBetween val="midCat"/>
      </c:valAx>
      <c:valAx>
        <c:axId val="20072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86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S3_model_fitting!$D$961:$D$967</c:f>
              <c:numCache>
                <c:formatCode>General</c:formatCode>
                <c:ptCount val="7"/>
                <c:pt idx="0">
                  <c:v>0</c:v>
                </c:pt>
                <c:pt idx="1">
                  <c:v>5</c:v>
                </c:pt>
                <c:pt idx="2">
                  <c:v>10</c:v>
                </c:pt>
                <c:pt idx="3">
                  <c:v>25</c:v>
                </c:pt>
                <c:pt idx="4">
                  <c:v>50</c:v>
                </c:pt>
                <c:pt idx="5">
                  <c:v>100</c:v>
                </c:pt>
                <c:pt idx="6">
                  <c:v>150</c:v>
                </c:pt>
              </c:numCache>
            </c:numRef>
          </c:xVal>
          <c:yVal>
            <c:numRef>
              <c:f>S3_model_fitting!$E$961:$E$967</c:f>
              <c:numCache>
                <c:formatCode>General</c:formatCode>
                <c:ptCount val="7"/>
                <c:pt idx="0">
                  <c:v>100</c:v>
                </c:pt>
                <c:pt idx="1">
                  <c:v>93</c:v>
                </c:pt>
                <c:pt idx="2">
                  <c:v>90.2</c:v>
                </c:pt>
                <c:pt idx="3">
                  <c:v>85.7</c:v>
                </c:pt>
                <c:pt idx="4">
                  <c:v>83.2</c:v>
                </c:pt>
                <c:pt idx="5">
                  <c:v>81.5</c:v>
                </c:pt>
                <c:pt idx="6">
                  <c:v>73.7</c:v>
                </c:pt>
              </c:numCache>
            </c:numRef>
          </c:yVal>
          <c:smooth val="0"/>
          <c:extLst>
            <c:ext xmlns:c16="http://schemas.microsoft.com/office/drawing/2014/chart" uri="{C3380CC4-5D6E-409C-BE32-E72D297353CC}">
              <c16:uniqueId val="{00000000-BAEF-FC4B-B55A-B1E31197C6EA}"/>
            </c:ext>
          </c:extLst>
        </c:ser>
        <c:dLbls>
          <c:showLegendKey val="0"/>
          <c:showVal val="0"/>
          <c:showCatName val="0"/>
          <c:showSerName val="0"/>
          <c:showPercent val="0"/>
          <c:showBubbleSize val="0"/>
        </c:dLbls>
        <c:axId val="898221232"/>
        <c:axId val="897696464"/>
      </c:scatterChart>
      <c:valAx>
        <c:axId val="89822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96464"/>
        <c:crosses val="autoZero"/>
        <c:crossBetween val="midCat"/>
      </c:valAx>
      <c:valAx>
        <c:axId val="89769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212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S3_model_fitting!$D$1016:$D$1022</c:f>
              <c:numCache>
                <c:formatCode>General</c:formatCode>
                <c:ptCount val="7"/>
                <c:pt idx="0">
                  <c:v>0</c:v>
                </c:pt>
                <c:pt idx="1">
                  <c:v>2</c:v>
                </c:pt>
                <c:pt idx="2">
                  <c:v>5</c:v>
                </c:pt>
                <c:pt idx="3">
                  <c:v>7</c:v>
                </c:pt>
                <c:pt idx="4">
                  <c:v>15</c:v>
                </c:pt>
                <c:pt idx="5">
                  <c:v>30</c:v>
                </c:pt>
                <c:pt idx="6">
                  <c:v>60</c:v>
                </c:pt>
              </c:numCache>
            </c:numRef>
          </c:xVal>
          <c:yVal>
            <c:numRef>
              <c:f>S3_model_fitting!$E$1016:$E$1022</c:f>
              <c:numCache>
                <c:formatCode>General</c:formatCode>
                <c:ptCount val="7"/>
                <c:pt idx="0">
                  <c:v>100</c:v>
                </c:pt>
                <c:pt idx="1">
                  <c:v>100</c:v>
                </c:pt>
                <c:pt idx="2">
                  <c:v>93</c:v>
                </c:pt>
                <c:pt idx="3">
                  <c:v>91</c:v>
                </c:pt>
                <c:pt idx="4">
                  <c:v>74</c:v>
                </c:pt>
                <c:pt idx="5">
                  <c:v>61</c:v>
                </c:pt>
                <c:pt idx="6">
                  <c:v>58</c:v>
                </c:pt>
              </c:numCache>
            </c:numRef>
          </c:yVal>
          <c:smooth val="0"/>
          <c:extLst>
            <c:ext xmlns:c16="http://schemas.microsoft.com/office/drawing/2014/chart" uri="{C3380CC4-5D6E-409C-BE32-E72D297353CC}">
              <c16:uniqueId val="{00000000-EF16-B545-92D0-A10176C58F11}"/>
            </c:ext>
          </c:extLst>
        </c:ser>
        <c:dLbls>
          <c:showLegendKey val="0"/>
          <c:showVal val="0"/>
          <c:showCatName val="0"/>
          <c:showSerName val="0"/>
          <c:showPercent val="0"/>
          <c:showBubbleSize val="0"/>
        </c:dLbls>
        <c:axId val="173413472"/>
        <c:axId val="173415184"/>
      </c:scatterChart>
      <c:valAx>
        <c:axId val="17341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5184"/>
        <c:crosses val="autoZero"/>
        <c:crossBetween val="midCat"/>
      </c:valAx>
      <c:valAx>
        <c:axId val="17341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34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S3_model_fitting!$D$1023:$D$1029</c:f>
              <c:numCache>
                <c:formatCode>General</c:formatCode>
                <c:ptCount val="7"/>
                <c:pt idx="0">
                  <c:v>0</c:v>
                </c:pt>
                <c:pt idx="1">
                  <c:v>2</c:v>
                </c:pt>
                <c:pt idx="2">
                  <c:v>5</c:v>
                </c:pt>
                <c:pt idx="3">
                  <c:v>7</c:v>
                </c:pt>
                <c:pt idx="4">
                  <c:v>15</c:v>
                </c:pt>
                <c:pt idx="5">
                  <c:v>30</c:v>
                </c:pt>
                <c:pt idx="6">
                  <c:v>50</c:v>
                </c:pt>
              </c:numCache>
            </c:numRef>
          </c:xVal>
          <c:yVal>
            <c:numRef>
              <c:f>S3_model_fitting!$E$1023:$E$1029</c:f>
              <c:numCache>
                <c:formatCode>General</c:formatCode>
                <c:ptCount val="7"/>
                <c:pt idx="0">
                  <c:v>100</c:v>
                </c:pt>
                <c:pt idx="1">
                  <c:v>99</c:v>
                </c:pt>
                <c:pt idx="2">
                  <c:v>108</c:v>
                </c:pt>
                <c:pt idx="3">
                  <c:v>107</c:v>
                </c:pt>
                <c:pt idx="4">
                  <c:v>96</c:v>
                </c:pt>
                <c:pt idx="5">
                  <c:v>86</c:v>
                </c:pt>
                <c:pt idx="6">
                  <c:v>77</c:v>
                </c:pt>
              </c:numCache>
            </c:numRef>
          </c:yVal>
          <c:smooth val="0"/>
          <c:extLst>
            <c:ext xmlns:c16="http://schemas.microsoft.com/office/drawing/2014/chart" uri="{C3380CC4-5D6E-409C-BE32-E72D297353CC}">
              <c16:uniqueId val="{00000000-8C0B-7B4C-AE75-8DAF2688F912}"/>
            </c:ext>
          </c:extLst>
        </c:ser>
        <c:dLbls>
          <c:showLegendKey val="0"/>
          <c:showVal val="0"/>
          <c:showCatName val="0"/>
          <c:showSerName val="0"/>
          <c:showPercent val="0"/>
          <c:showBubbleSize val="0"/>
        </c:dLbls>
        <c:axId val="408651872"/>
        <c:axId val="942331904"/>
      </c:scatterChart>
      <c:valAx>
        <c:axId val="40865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31904"/>
        <c:crosses val="autoZero"/>
        <c:crossBetween val="midCat"/>
      </c:valAx>
      <c:valAx>
        <c:axId val="94233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1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S3_model_fitting!$D$1030:$D$1037</c:f>
              <c:numCache>
                <c:formatCode>General</c:formatCode>
                <c:ptCount val="8"/>
                <c:pt idx="0">
                  <c:v>0</c:v>
                </c:pt>
                <c:pt idx="1">
                  <c:v>1</c:v>
                </c:pt>
                <c:pt idx="2">
                  <c:v>3</c:v>
                </c:pt>
                <c:pt idx="3">
                  <c:v>5</c:v>
                </c:pt>
                <c:pt idx="4">
                  <c:v>7</c:v>
                </c:pt>
                <c:pt idx="5">
                  <c:v>15</c:v>
                </c:pt>
                <c:pt idx="6">
                  <c:v>30</c:v>
                </c:pt>
                <c:pt idx="7">
                  <c:v>60</c:v>
                </c:pt>
              </c:numCache>
            </c:numRef>
          </c:xVal>
          <c:yVal>
            <c:numRef>
              <c:f>S3_model_fitting!$E$1030:$E$1037</c:f>
              <c:numCache>
                <c:formatCode>General</c:formatCode>
                <c:ptCount val="8"/>
                <c:pt idx="0">
                  <c:v>100</c:v>
                </c:pt>
                <c:pt idx="1">
                  <c:v>99</c:v>
                </c:pt>
                <c:pt idx="2">
                  <c:v>92</c:v>
                </c:pt>
                <c:pt idx="3">
                  <c:v>79</c:v>
                </c:pt>
                <c:pt idx="4">
                  <c:v>67</c:v>
                </c:pt>
                <c:pt idx="5">
                  <c:v>52</c:v>
                </c:pt>
                <c:pt idx="6">
                  <c:v>30</c:v>
                </c:pt>
                <c:pt idx="7">
                  <c:v>31</c:v>
                </c:pt>
              </c:numCache>
            </c:numRef>
          </c:yVal>
          <c:smooth val="0"/>
          <c:extLst>
            <c:ext xmlns:c16="http://schemas.microsoft.com/office/drawing/2014/chart" uri="{C3380CC4-5D6E-409C-BE32-E72D297353CC}">
              <c16:uniqueId val="{00000000-1974-954E-AF24-CA376B4C4A65}"/>
            </c:ext>
          </c:extLst>
        </c:ser>
        <c:dLbls>
          <c:showLegendKey val="0"/>
          <c:showVal val="0"/>
          <c:showCatName val="0"/>
          <c:showSerName val="0"/>
          <c:showPercent val="0"/>
          <c:showBubbleSize val="0"/>
        </c:dLbls>
        <c:axId val="688777536"/>
        <c:axId val="243367936"/>
      </c:scatterChart>
      <c:valAx>
        <c:axId val="68877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67936"/>
        <c:crosses val="autoZero"/>
        <c:crossBetween val="midCat"/>
      </c:valAx>
      <c:valAx>
        <c:axId val="24336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77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S3_model_fitting!$D$1038:$D$1044</c:f>
              <c:numCache>
                <c:formatCode>General</c:formatCode>
                <c:ptCount val="7"/>
                <c:pt idx="0">
                  <c:v>0</c:v>
                </c:pt>
                <c:pt idx="1">
                  <c:v>1</c:v>
                </c:pt>
                <c:pt idx="2">
                  <c:v>3</c:v>
                </c:pt>
                <c:pt idx="3">
                  <c:v>5</c:v>
                </c:pt>
                <c:pt idx="4">
                  <c:v>7</c:v>
                </c:pt>
                <c:pt idx="5">
                  <c:v>15</c:v>
                </c:pt>
                <c:pt idx="6">
                  <c:v>30</c:v>
                </c:pt>
              </c:numCache>
            </c:numRef>
          </c:xVal>
          <c:yVal>
            <c:numRef>
              <c:f>S3_model_fitting!$E$1038:$E$1044</c:f>
              <c:numCache>
                <c:formatCode>General</c:formatCode>
                <c:ptCount val="7"/>
                <c:pt idx="0">
                  <c:v>100</c:v>
                </c:pt>
                <c:pt idx="1">
                  <c:v>102</c:v>
                </c:pt>
                <c:pt idx="2">
                  <c:v>93</c:v>
                </c:pt>
                <c:pt idx="3">
                  <c:v>95</c:v>
                </c:pt>
                <c:pt idx="4">
                  <c:v>92</c:v>
                </c:pt>
                <c:pt idx="5">
                  <c:v>54</c:v>
                </c:pt>
                <c:pt idx="6">
                  <c:v>40</c:v>
                </c:pt>
              </c:numCache>
            </c:numRef>
          </c:yVal>
          <c:smooth val="0"/>
          <c:extLst>
            <c:ext xmlns:c16="http://schemas.microsoft.com/office/drawing/2014/chart" uri="{C3380CC4-5D6E-409C-BE32-E72D297353CC}">
              <c16:uniqueId val="{00000000-4010-144E-826F-EE383A77A21C}"/>
            </c:ext>
          </c:extLst>
        </c:ser>
        <c:dLbls>
          <c:showLegendKey val="0"/>
          <c:showVal val="0"/>
          <c:showCatName val="0"/>
          <c:showSerName val="0"/>
          <c:showPercent val="0"/>
          <c:showBubbleSize val="0"/>
        </c:dLbls>
        <c:axId val="227788784"/>
        <c:axId val="228419808"/>
      </c:scatterChart>
      <c:valAx>
        <c:axId val="22778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19808"/>
        <c:crosses val="autoZero"/>
        <c:crossBetween val="midCat"/>
      </c:valAx>
      <c:valAx>
        <c:axId val="22841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88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S3_model_fitting!$D$1078:$D$1082</c:f>
              <c:numCache>
                <c:formatCode>General</c:formatCode>
                <c:ptCount val="5"/>
                <c:pt idx="0">
                  <c:v>0</c:v>
                </c:pt>
                <c:pt idx="1">
                  <c:v>5</c:v>
                </c:pt>
                <c:pt idx="2">
                  <c:v>10</c:v>
                </c:pt>
                <c:pt idx="3">
                  <c:v>15</c:v>
                </c:pt>
                <c:pt idx="4">
                  <c:v>21</c:v>
                </c:pt>
              </c:numCache>
            </c:numRef>
          </c:xVal>
          <c:yVal>
            <c:numRef>
              <c:f>S3_model_fitting!$E$1078:$E$1082</c:f>
              <c:numCache>
                <c:formatCode>General</c:formatCode>
                <c:ptCount val="5"/>
                <c:pt idx="0">
                  <c:v>100</c:v>
                </c:pt>
                <c:pt idx="1">
                  <c:v>50</c:v>
                </c:pt>
                <c:pt idx="2">
                  <c:v>35</c:v>
                </c:pt>
                <c:pt idx="3">
                  <c:v>28</c:v>
                </c:pt>
                <c:pt idx="4">
                  <c:v>23</c:v>
                </c:pt>
              </c:numCache>
            </c:numRef>
          </c:yVal>
          <c:smooth val="0"/>
          <c:extLst>
            <c:ext xmlns:c16="http://schemas.microsoft.com/office/drawing/2014/chart" uri="{C3380CC4-5D6E-409C-BE32-E72D297353CC}">
              <c16:uniqueId val="{00000000-01D4-E546-8B7F-5F55C4D2D43C}"/>
            </c:ext>
          </c:extLst>
        </c:ser>
        <c:dLbls>
          <c:showLegendKey val="0"/>
          <c:showVal val="0"/>
          <c:showCatName val="0"/>
          <c:showSerName val="0"/>
          <c:showPercent val="0"/>
          <c:showBubbleSize val="0"/>
        </c:dLbls>
        <c:axId val="873564640"/>
        <c:axId val="873566352"/>
      </c:scatterChart>
      <c:valAx>
        <c:axId val="87356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66352"/>
        <c:crosses val="autoZero"/>
        <c:crossBetween val="midCat"/>
      </c:valAx>
      <c:valAx>
        <c:axId val="87356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64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S3_model_fitting!$D$1083:$D$1087</c:f>
              <c:numCache>
                <c:formatCode>General</c:formatCode>
                <c:ptCount val="5"/>
                <c:pt idx="0">
                  <c:v>0</c:v>
                </c:pt>
                <c:pt idx="1">
                  <c:v>5</c:v>
                </c:pt>
                <c:pt idx="2">
                  <c:v>10</c:v>
                </c:pt>
                <c:pt idx="3">
                  <c:v>15</c:v>
                </c:pt>
                <c:pt idx="4">
                  <c:v>20</c:v>
                </c:pt>
              </c:numCache>
            </c:numRef>
          </c:xVal>
          <c:yVal>
            <c:numRef>
              <c:f>S3_model_fitting!$E$1083:$E$1087</c:f>
              <c:numCache>
                <c:formatCode>General</c:formatCode>
                <c:ptCount val="5"/>
                <c:pt idx="0">
                  <c:v>100</c:v>
                </c:pt>
                <c:pt idx="1">
                  <c:v>55</c:v>
                </c:pt>
                <c:pt idx="2">
                  <c:v>20</c:v>
                </c:pt>
                <c:pt idx="3">
                  <c:v>17</c:v>
                </c:pt>
                <c:pt idx="4">
                  <c:v>16</c:v>
                </c:pt>
              </c:numCache>
            </c:numRef>
          </c:yVal>
          <c:smooth val="0"/>
          <c:extLst>
            <c:ext xmlns:c16="http://schemas.microsoft.com/office/drawing/2014/chart" uri="{C3380CC4-5D6E-409C-BE32-E72D297353CC}">
              <c16:uniqueId val="{00000000-DBE3-1B43-8134-BA90F78E61B0}"/>
            </c:ext>
          </c:extLst>
        </c:ser>
        <c:dLbls>
          <c:showLegendKey val="0"/>
          <c:showVal val="0"/>
          <c:showCatName val="0"/>
          <c:showSerName val="0"/>
          <c:showPercent val="0"/>
          <c:showBubbleSize val="0"/>
        </c:dLbls>
        <c:axId val="173492080"/>
        <c:axId val="173493792"/>
      </c:scatterChart>
      <c:valAx>
        <c:axId val="17349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3792"/>
        <c:crosses val="autoZero"/>
        <c:crossBetween val="midCat"/>
      </c:valAx>
      <c:valAx>
        <c:axId val="17349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S3_model_fitting!$D$1088:$D$1093</c:f>
              <c:numCache>
                <c:formatCode>General</c:formatCode>
                <c:ptCount val="6"/>
                <c:pt idx="0">
                  <c:v>0</c:v>
                </c:pt>
                <c:pt idx="1">
                  <c:v>5</c:v>
                </c:pt>
                <c:pt idx="2">
                  <c:v>10</c:v>
                </c:pt>
                <c:pt idx="3">
                  <c:v>15</c:v>
                </c:pt>
                <c:pt idx="4">
                  <c:v>20</c:v>
                </c:pt>
                <c:pt idx="5">
                  <c:v>26</c:v>
                </c:pt>
              </c:numCache>
            </c:numRef>
          </c:xVal>
          <c:yVal>
            <c:numRef>
              <c:f>S3_model_fitting!$E$1088:$E$1093</c:f>
              <c:numCache>
                <c:formatCode>General</c:formatCode>
                <c:ptCount val="6"/>
                <c:pt idx="0">
                  <c:v>100</c:v>
                </c:pt>
                <c:pt idx="1">
                  <c:v>47</c:v>
                </c:pt>
                <c:pt idx="2">
                  <c:v>26</c:v>
                </c:pt>
                <c:pt idx="3">
                  <c:v>18</c:v>
                </c:pt>
                <c:pt idx="4">
                  <c:v>14</c:v>
                </c:pt>
                <c:pt idx="5">
                  <c:v>13</c:v>
                </c:pt>
              </c:numCache>
            </c:numRef>
          </c:yVal>
          <c:smooth val="0"/>
          <c:extLst>
            <c:ext xmlns:c16="http://schemas.microsoft.com/office/drawing/2014/chart" uri="{C3380CC4-5D6E-409C-BE32-E72D297353CC}">
              <c16:uniqueId val="{00000000-A492-2141-B6BE-B45D94BCF4B0}"/>
            </c:ext>
          </c:extLst>
        </c:ser>
        <c:dLbls>
          <c:showLegendKey val="0"/>
          <c:showVal val="0"/>
          <c:showCatName val="0"/>
          <c:showSerName val="0"/>
          <c:showPercent val="0"/>
          <c:showBubbleSize val="0"/>
        </c:dLbls>
        <c:axId val="227926992"/>
        <c:axId val="227826464"/>
      </c:scatterChart>
      <c:valAx>
        <c:axId val="22792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26464"/>
        <c:crosses val="autoZero"/>
        <c:crossBetween val="midCat"/>
      </c:valAx>
      <c:valAx>
        <c:axId val="2278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2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S3_model_fitting!$D$1094:$D$1115</c:f>
              <c:numCache>
                <c:formatCode>General</c:formatCode>
                <c:ptCount val="22"/>
                <c:pt idx="0">
                  <c:v>0</c:v>
                </c:pt>
                <c:pt idx="1">
                  <c:v>4</c:v>
                </c:pt>
                <c:pt idx="2">
                  <c:v>14</c:v>
                </c:pt>
                <c:pt idx="3">
                  <c:v>23</c:v>
                </c:pt>
                <c:pt idx="4">
                  <c:v>26</c:v>
                </c:pt>
                <c:pt idx="5">
                  <c:v>29</c:v>
                </c:pt>
                <c:pt idx="6">
                  <c:v>32</c:v>
                </c:pt>
                <c:pt idx="7">
                  <c:v>36</c:v>
                </c:pt>
                <c:pt idx="8">
                  <c:v>40</c:v>
                </c:pt>
                <c:pt idx="9">
                  <c:v>44</c:v>
                </c:pt>
                <c:pt idx="10">
                  <c:v>50</c:v>
                </c:pt>
                <c:pt idx="11">
                  <c:v>54</c:v>
                </c:pt>
                <c:pt idx="12">
                  <c:v>61</c:v>
                </c:pt>
                <c:pt idx="13">
                  <c:v>67</c:v>
                </c:pt>
                <c:pt idx="14">
                  <c:v>74</c:v>
                </c:pt>
                <c:pt idx="15">
                  <c:v>106</c:v>
                </c:pt>
                <c:pt idx="16">
                  <c:v>217</c:v>
                </c:pt>
                <c:pt idx="17">
                  <c:v>244</c:v>
                </c:pt>
                <c:pt idx="18">
                  <c:v>276</c:v>
                </c:pt>
                <c:pt idx="19">
                  <c:v>308</c:v>
                </c:pt>
                <c:pt idx="20">
                  <c:v>341</c:v>
                </c:pt>
                <c:pt idx="21">
                  <c:v>513</c:v>
                </c:pt>
              </c:numCache>
            </c:numRef>
          </c:xVal>
          <c:yVal>
            <c:numRef>
              <c:f>S3_model_fitting!$E$1094:$E$1115</c:f>
              <c:numCache>
                <c:formatCode>General</c:formatCode>
                <c:ptCount val="22"/>
                <c:pt idx="0">
                  <c:v>100</c:v>
                </c:pt>
                <c:pt idx="1">
                  <c:v>98.143405889884761</c:v>
                </c:pt>
                <c:pt idx="2">
                  <c:v>91.34122919334186</c:v>
                </c:pt>
                <c:pt idx="3">
                  <c:v>16.085147247119078</c:v>
                </c:pt>
                <c:pt idx="4">
                  <c:v>13.812419974391805</c:v>
                </c:pt>
                <c:pt idx="5">
                  <c:v>13.188220230473751</c:v>
                </c:pt>
                <c:pt idx="6">
                  <c:v>11.539692701664531</c:v>
                </c:pt>
                <c:pt idx="7">
                  <c:v>10.723431498079385</c:v>
                </c:pt>
                <c:pt idx="8">
                  <c:v>12.371959026888604</c:v>
                </c:pt>
                <c:pt idx="9">
                  <c:v>10.931498079385403</c:v>
                </c:pt>
                <c:pt idx="10">
                  <c:v>11.74775928297055</c:v>
                </c:pt>
                <c:pt idx="11">
                  <c:v>11.539692701664531</c:v>
                </c:pt>
                <c:pt idx="12">
                  <c:v>11.347631241997441</c:v>
                </c:pt>
                <c:pt idx="13">
                  <c:v>10.307298335467349</c:v>
                </c:pt>
                <c:pt idx="14">
                  <c:v>8.2906530089628685</c:v>
                </c:pt>
                <c:pt idx="15">
                  <c:v>8.8668373879641482</c:v>
                </c:pt>
                <c:pt idx="16">
                  <c:v>7.010243277848911</c:v>
                </c:pt>
                <c:pt idx="17">
                  <c:v>7.010243277848911</c:v>
                </c:pt>
                <c:pt idx="18">
                  <c:v>7.21830985915493</c:v>
                </c:pt>
                <c:pt idx="19">
                  <c:v>7.21830985915493</c:v>
                </c:pt>
                <c:pt idx="20">
                  <c:v>7.21830985915493</c:v>
                </c:pt>
                <c:pt idx="21">
                  <c:v>6.5941101152368757</c:v>
                </c:pt>
              </c:numCache>
            </c:numRef>
          </c:yVal>
          <c:smooth val="0"/>
          <c:extLst>
            <c:ext xmlns:c16="http://schemas.microsoft.com/office/drawing/2014/chart" uri="{C3380CC4-5D6E-409C-BE32-E72D297353CC}">
              <c16:uniqueId val="{00000000-902F-4440-875E-D59C317C2044}"/>
            </c:ext>
          </c:extLst>
        </c:ser>
        <c:dLbls>
          <c:showLegendKey val="0"/>
          <c:showVal val="0"/>
          <c:showCatName val="0"/>
          <c:showSerName val="0"/>
          <c:showPercent val="0"/>
          <c:showBubbleSize val="0"/>
        </c:dLbls>
        <c:axId val="894368320"/>
        <c:axId val="894733424"/>
      </c:scatterChart>
      <c:valAx>
        <c:axId val="89436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3424"/>
        <c:crosses val="autoZero"/>
        <c:crossBetween val="midCat"/>
      </c:valAx>
      <c:valAx>
        <c:axId val="8947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68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S3_model_fitting!$D$1156:$D$1164</c:f>
              <c:numCache>
                <c:formatCode>General</c:formatCode>
                <c:ptCount val="9"/>
                <c:pt idx="0">
                  <c:v>0</c:v>
                </c:pt>
                <c:pt idx="1">
                  <c:v>1</c:v>
                </c:pt>
                <c:pt idx="2">
                  <c:v>2</c:v>
                </c:pt>
                <c:pt idx="3">
                  <c:v>3</c:v>
                </c:pt>
                <c:pt idx="4">
                  <c:v>4</c:v>
                </c:pt>
                <c:pt idx="5">
                  <c:v>5</c:v>
                </c:pt>
                <c:pt idx="6">
                  <c:v>7</c:v>
                </c:pt>
                <c:pt idx="7">
                  <c:v>10</c:v>
                </c:pt>
                <c:pt idx="8">
                  <c:v>16</c:v>
                </c:pt>
              </c:numCache>
            </c:numRef>
          </c:xVal>
          <c:yVal>
            <c:numRef>
              <c:f>S3_model_fitting!$E$1156:$E$1164</c:f>
              <c:numCache>
                <c:formatCode>General</c:formatCode>
                <c:ptCount val="9"/>
                <c:pt idx="0">
                  <c:v>100</c:v>
                </c:pt>
                <c:pt idx="1">
                  <c:v>68</c:v>
                </c:pt>
                <c:pt idx="2">
                  <c:v>62</c:v>
                </c:pt>
                <c:pt idx="3">
                  <c:v>55.999999999999993</c:v>
                </c:pt>
                <c:pt idx="4">
                  <c:v>64</c:v>
                </c:pt>
                <c:pt idx="5">
                  <c:v>52</c:v>
                </c:pt>
                <c:pt idx="6">
                  <c:v>42.000000000000007</c:v>
                </c:pt>
                <c:pt idx="7">
                  <c:v>34</c:v>
                </c:pt>
                <c:pt idx="8">
                  <c:v>27.999999999999996</c:v>
                </c:pt>
              </c:numCache>
            </c:numRef>
          </c:yVal>
          <c:smooth val="0"/>
          <c:extLst>
            <c:ext xmlns:c16="http://schemas.microsoft.com/office/drawing/2014/chart" uri="{C3380CC4-5D6E-409C-BE32-E72D297353CC}">
              <c16:uniqueId val="{00000000-6518-7D43-B022-054A447BE17C}"/>
            </c:ext>
          </c:extLst>
        </c:ser>
        <c:dLbls>
          <c:showLegendKey val="0"/>
          <c:showVal val="0"/>
          <c:showCatName val="0"/>
          <c:showSerName val="0"/>
          <c:showPercent val="0"/>
          <c:showBubbleSize val="0"/>
        </c:dLbls>
        <c:axId val="235083984"/>
        <c:axId val="235085696"/>
      </c:scatterChart>
      <c:valAx>
        <c:axId val="23508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85696"/>
        <c:crosses val="autoZero"/>
        <c:crossBetween val="midCat"/>
      </c:valAx>
      <c:valAx>
        <c:axId val="23508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839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S3_model_fitting!$D$1182:$D$1192</c:f>
              <c:numCache>
                <c:formatCode>General</c:formatCode>
                <c:ptCount val="11"/>
                <c:pt idx="0">
                  <c:v>0</c:v>
                </c:pt>
                <c:pt idx="1">
                  <c:v>5</c:v>
                </c:pt>
                <c:pt idx="2">
                  <c:v>6</c:v>
                </c:pt>
                <c:pt idx="3">
                  <c:v>13</c:v>
                </c:pt>
                <c:pt idx="4">
                  <c:v>16</c:v>
                </c:pt>
                <c:pt idx="5">
                  <c:v>21</c:v>
                </c:pt>
                <c:pt idx="6">
                  <c:v>24</c:v>
                </c:pt>
                <c:pt idx="7">
                  <c:v>27</c:v>
                </c:pt>
                <c:pt idx="8">
                  <c:v>38</c:v>
                </c:pt>
                <c:pt idx="9">
                  <c:v>41</c:v>
                </c:pt>
                <c:pt idx="10">
                  <c:v>45</c:v>
                </c:pt>
              </c:numCache>
            </c:numRef>
          </c:xVal>
          <c:yVal>
            <c:numRef>
              <c:f>S3_model_fitting!$E$1182:$E$1192</c:f>
              <c:numCache>
                <c:formatCode>General</c:formatCode>
                <c:ptCount val="11"/>
                <c:pt idx="0">
                  <c:v>100</c:v>
                </c:pt>
                <c:pt idx="1">
                  <c:v>76</c:v>
                </c:pt>
                <c:pt idx="2">
                  <c:v>71</c:v>
                </c:pt>
                <c:pt idx="3">
                  <c:v>50</c:v>
                </c:pt>
                <c:pt idx="4">
                  <c:v>42</c:v>
                </c:pt>
                <c:pt idx="5">
                  <c:v>33</c:v>
                </c:pt>
                <c:pt idx="6">
                  <c:v>27</c:v>
                </c:pt>
                <c:pt idx="7">
                  <c:v>23</c:v>
                </c:pt>
                <c:pt idx="8">
                  <c:v>12</c:v>
                </c:pt>
                <c:pt idx="9">
                  <c:v>10</c:v>
                </c:pt>
                <c:pt idx="10">
                  <c:v>8</c:v>
                </c:pt>
              </c:numCache>
            </c:numRef>
          </c:yVal>
          <c:smooth val="0"/>
          <c:extLst>
            <c:ext xmlns:c16="http://schemas.microsoft.com/office/drawing/2014/chart" uri="{C3380CC4-5D6E-409C-BE32-E72D297353CC}">
              <c16:uniqueId val="{00000000-DADE-9341-97CC-5E6CE6902A22}"/>
            </c:ext>
          </c:extLst>
        </c:ser>
        <c:dLbls>
          <c:showLegendKey val="0"/>
          <c:showVal val="0"/>
          <c:showCatName val="0"/>
          <c:showSerName val="0"/>
          <c:showPercent val="0"/>
          <c:showBubbleSize val="0"/>
        </c:dLbls>
        <c:axId val="173574224"/>
        <c:axId val="174056112"/>
      </c:scatterChart>
      <c:valAx>
        <c:axId val="17357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56112"/>
        <c:crosses val="autoZero"/>
        <c:crossBetween val="midCat"/>
      </c:valAx>
      <c:valAx>
        <c:axId val="17405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4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S3_model_fitting!$D$1193:$D$1199</c:f>
              <c:numCache>
                <c:formatCode>General</c:formatCode>
                <c:ptCount val="7"/>
                <c:pt idx="0">
                  <c:v>0</c:v>
                </c:pt>
                <c:pt idx="1">
                  <c:v>7</c:v>
                </c:pt>
                <c:pt idx="2">
                  <c:v>13</c:v>
                </c:pt>
                <c:pt idx="3">
                  <c:v>16</c:v>
                </c:pt>
                <c:pt idx="4">
                  <c:v>20</c:v>
                </c:pt>
                <c:pt idx="5">
                  <c:v>24</c:v>
                </c:pt>
                <c:pt idx="6">
                  <c:v>38</c:v>
                </c:pt>
              </c:numCache>
            </c:numRef>
          </c:xVal>
          <c:yVal>
            <c:numRef>
              <c:f>S3_model_fitting!$E$1193:$E$1199</c:f>
              <c:numCache>
                <c:formatCode>General</c:formatCode>
                <c:ptCount val="7"/>
                <c:pt idx="0">
                  <c:v>100</c:v>
                </c:pt>
                <c:pt idx="1">
                  <c:v>67</c:v>
                </c:pt>
                <c:pt idx="2">
                  <c:v>48</c:v>
                </c:pt>
                <c:pt idx="3">
                  <c:v>41</c:v>
                </c:pt>
                <c:pt idx="4">
                  <c:v>30</c:v>
                </c:pt>
                <c:pt idx="5">
                  <c:v>25</c:v>
                </c:pt>
                <c:pt idx="6">
                  <c:v>11</c:v>
                </c:pt>
              </c:numCache>
            </c:numRef>
          </c:yVal>
          <c:smooth val="0"/>
          <c:extLst>
            <c:ext xmlns:c16="http://schemas.microsoft.com/office/drawing/2014/chart" uri="{C3380CC4-5D6E-409C-BE32-E72D297353CC}">
              <c16:uniqueId val="{00000000-784F-1048-952D-2824DD4BFABE}"/>
            </c:ext>
          </c:extLst>
        </c:ser>
        <c:dLbls>
          <c:showLegendKey val="0"/>
          <c:showVal val="0"/>
          <c:showCatName val="0"/>
          <c:showSerName val="0"/>
          <c:showPercent val="0"/>
          <c:showBubbleSize val="0"/>
        </c:dLbls>
        <c:axId val="544365152"/>
        <c:axId val="545050048"/>
      </c:scatterChart>
      <c:valAx>
        <c:axId val="54436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50048"/>
        <c:crosses val="autoZero"/>
        <c:crossBetween val="midCat"/>
      </c:valAx>
      <c:valAx>
        <c:axId val="54505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65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S3_model_fitting!$D$1282:$D$1296</c:f>
              <c:numCache>
                <c:formatCode>General</c:formatCode>
                <c:ptCount val="15"/>
                <c:pt idx="0">
                  <c:v>0</c:v>
                </c:pt>
                <c:pt idx="1">
                  <c:v>3</c:v>
                </c:pt>
                <c:pt idx="2">
                  <c:v>4</c:v>
                </c:pt>
                <c:pt idx="3">
                  <c:v>4</c:v>
                </c:pt>
                <c:pt idx="4">
                  <c:v>4</c:v>
                </c:pt>
                <c:pt idx="5">
                  <c:v>5</c:v>
                </c:pt>
                <c:pt idx="6">
                  <c:v>7</c:v>
                </c:pt>
                <c:pt idx="7">
                  <c:v>7</c:v>
                </c:pt>
                <c:pt idx="8">
                  <c:v>8</c:v>
                </c:pt>
                <c:pt idx="9">
                  <c:v>8</c:v>
                </c:pt>
                <c:pt idx="10">
                  <c:v>8</c:v>
                </c:pt>
                <c:pt idx="11">
                  <c:v>8</c:v>
                </c:pt>
                <c:pt idx="12">
                  <c:v>8</c:v>
                </c:pt>
                <c:pt idx="13">
                  <c:v>9</c:v>
                </c:pt>
                <c:pt idx="14">
                  <c:v>9</c:v>
                </c:pt>
              </c:numCache>
            </c:numRef>
          </c:xVal>
          <c:yVal>
            <c:numRef>
              <c:f>S3_model_fitting!$E$1282:$E$1296</c:f>
              <c:numCache>
                <c:formatCode>General</c:formatCode>
                <c:ptCount val="15"/>
                <c:pt idx="0">
                  <c:v>100</c:v>
                </c:pt>
                <c:pt idx="1">
                  <c:v>52.6</c:v>
                </c:pt>
                <c:pt idx="2">
                  <c:v>51.8</c:v>
                </c:pt>
                <c:pt idx="3">
                  <c:v>36.1</c:v>
                </c:pt>
                <c:pt idx="4">
                  <c:v>43.9</c:v>
                </c:pt>
                <c:pt idx="5">
                  <c:v>33.700000000000003</c:v>
                </c:pt>
                <c:pt idx="6">
                  <c:v>13.7</c:v>
                </c:pt>
                <c:pt idx="7">
                  <c:v>15.7</c:v>
                </c:pt>
                <c:pt idx="8">
                  <c:v>7.9</c:v>
                </c:pt>
                <c:pt idx="9">
                  <c:v>6.1</c:v>
                </c:pt>
                <c:pt idx="10">
                  <c:v>4.5</c:v>
                </c:pt>
                <c:pt idx="11">
                  <c:v>3.3</c:v>
                </c:pt>
                <c:pt idx="12">
                  <c:v>0.8</c:v>
                </c:pt>
                <c:pt idx="13">
                  <c:v>1</c:v>
                </c:pt>
                <c:pt idx="14">
                  <c:v>1.1000000000000001</c:v>
                </c:pt>
              </c:numCache>
            </c:numRef>
          </c:yVal>
          <c:smooth val="0"/>
          <c:extLst>
            <c:ext xmlns:c16="http://schemas.microsoft.com/office/drawing/2014/chart" uri="{C3380CC4-5D6E-409C-BE32-E72D297353CC}">
              <c16:uniqueId val="{00000000-24A8-A84B-9452-CF0AEA88554E}"/>
            </c:ext>
          </c:extLst>
        </c:ser>
        <c:dLbls>
          <c:showLegendKey val="0"/>
          <c:showVal val="0"/>
          <c:showCatName val="0"/>
          <c:showSerName val="0"/>
          <c:showPercent val="0"/>
          <c:showBubbleSize val="0"/>
        </c:dLbls>
        <c:axId val="544297088"/>
        <c:axId val="544820480"/>
      </c:scatterChart>
      <c:valAx>
        <c:axId val="54429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20480"/>
        <c:crosses val="autoZero"/>
        <c:crossBetween val="midCat"/>
      </c:valAx>
      <c:valAx>
        <c:axId val="54482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970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S3_model_fitting!$D$1308:$D$1318</c:f>
              <c:numCache>
                <c:formatCode>General</c:formatCode>
                <c:ptCount val="11"/>
                <c:pt idx="0">
                  <c:v>0</c:v>
                </c:pt>
                <c:pt idx="1">
                  <c:v>5</c:v>
                </c:pt>
                <c:pt idx="2">
                  <c:v>7</c:v>
                </c:pt>
                <c:pt idx="3">
                  <c:v>11</c:v>
                </c:pt>
                <c:pt idx="4">
                  <c:v>14</c:v>
                </c:pt>
                <c:pt idx="5">
                  <c:v>18</c:v>
                </c:pt>
                <c:pt idx="6">
                  <c:v>21</c:v>
                </c:pt>
                <c:pt idx="7">
                  <c:v>25</c:v>
                </c:pt>
                <c:pt idx="8">
                  <c:v>28</c:v>
                </c:pt>
                <c:pt idx="9">
                  <c:v>32</c:v>
                </c:pt>
                <c:pt idx="10">
                  <c:v>35</c:v>
                </c:pt>
              </c:numCache>
            </c:numRef>
          </c:xVal>
          <c:yVal>
            <c:numRef>
              <c:f>S3_model_fitting!$E$1308:$E$1318</c:f>
              <c:numCache>
                <c:formatCode>General</c:formatCode>
                <c:ptCount val="11"/>
                <c:pt idx="0">
                  <c:v>100</c:v>
                </c:pt>
                <c:pt idx="1">
                  <c:v>68.400000000000006</c:v>
                </c:pt>
                <c:pt idx="2">
                  <c:v>72.400000000000006</c:v>
                </c:pt>
                <c:pt idx="3">
                  <c:v>59.7</c:v>
                </c:pt>
                <c:pt idx="4">
                  <c:v>53.1</c:v>
                </c:pt>
                <c:pt idx="5">
                  <c:v>47.4</c:v>
                </c:pt>
                <c:pt idx="6">
                  <c:v>58.2</c:v>
                </c:pt>
                <c:pt idx="7">
                  <c:v>46.4</c:v>
                </c:pt>
                <c:pt idx="8">
                  <c:v>46.4</c:v>
                </c:pt>
                <c:pt idx="9">
                  <c:v>45.4</c:v>
                </c:pt>
                <c:pt idx="10">
                  <c:v>44.9</c:v>
                </c:pt>
              </c:numCache>
            </c:numRef>
          </c:yVal>
          <c:smooth val="0"/>
          <c:extLst>
            <c:ext xmlns:c16="http://schemas.microsoft.com/office/drawing/2014/chart" uri="{C3380CC4-5D6E-409C-BE32-E72D297353CC}">
              <c16:uniqueId val="{00000000-CB0B-F241-8235-319634147155}"/>
            </c:ext>
          </c:extLst>
        </c:ser>
        <c:dLbls>
          <c:showLegendKey val="0"/>
          <c:showVal val="0"/>
          <c:showCatName val="0"/>
          <c:showSerName val="0"/>
          <c:showPercent val="0"/>
          <c:showBubbleSize val="0"/>
        </c:dLbls>
        <c:axId val="544687440"/>
        <c:axId val="544617056"/>
      </c:scatterChart>
      <c:valAx>
        <c:axId val="54468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17056"/>
        <c:crosses val="autoZero"/>
        <c:crossBetween val="midCat"/>
      </c:valAx>
      <c:valAx>
        <c:axId val="54461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87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S3_model_fitting!$D$1330:$D$1340</c:f>
              <c:numCache>
                <c:formatCode>General</c:formatCode>
                <c:ptCount val="11"/>
                <c:pt idx="0">
                  <c:v>0</c:v>
                </c:pt>
                <c:pt idx="1">
                  <c:v>4</c:v>
                </c:pt>
                <c:pt idx="2">
                  <c:v>7</c:v>
                </c:pt>
                <c:pt idx="3">
                  <c:v>11</c:v>
                </c:pt>
                <c:pt idx="4">
                  <c:v>14</c:v>
                </c:pt>
                <c:pt idx="5">
                  <c:v>18</c:v>
                </c:pt>
                <c:pt idx="6">
                  <c:v>21</c:v>
                </c:pt>
                <c:pt idx="7">
                  <c:v>25</c:v>
                </c:pt>
                <c:pt idx="8">
                  <c:v>28</c:v>
                </c:pt>
                <c:pt idx="9">
                  <c:v>32</c:v>
                </c:pt>
                <c:pt idx="10">
                  <c:v>35</c:v>
                </c:pt>
              </c:numCache>
            </c:numRef>
          </c:xVal>
          <c:yVal>
            <c:numRef>
              <c:f>S3_model_fitting!$E$1330:$E$1340</c:f>
              <c:numCache>
                <c:formatCode>General</c:formatCode>
                <c:ptCount val="11"/>
                <c:pt idx="0">
                  <c:v>100</c:v>
                </c:pt>
                <c:pt idx="1">
                  <c:v>86.8</c:v>
                </c:pt>
                <c:pt idx="2">
                  <c:v>88.7</c:v>
                </c:pt>
                <c:pt idx="3">
                  <c:v>86.3</c:v>
                </c:pt>
                <c:pt idx="4">
                  <c:v>80.400000000000006</c:v>
                </c:pt>
                <c:pt idx="5">
                  <c:v>81.900000000000006</c:v>
                </c:pt>
                <c:pt idx="6">
                  <c:v>85.3</c:v>
                </c:pt>
                <c:pt idx="7">
                  <c:v>85.8</c:v>
                </c:pt>
                <c:pt idx="8">
                  <c:v>75</c:v>
                </c:pt>
                <c:pt idx="9">
                  <c:v>82.4</c:v>
                </c:pt>
                <c:pt idx="10">
                  <c:v>77.900000000000006</c:v>
                </c:pt>
              </c:numCache>
            </c:numRef>
          </c:yVal>
          <c:smooth val="0"/>
          <c:extLst>
            <c:ext xmlns:c16="http://schemas.microsoft.com/office/drawing/2014/chart" uri="{C3380CC4-5D6E-409C-BE32-E72D297353CC}">
              <c16:uniqueId val="{00000000-AA8A-F24F-9245-73A5A911897D}"/>
            </c:ext>
          </c:extLst>
        </c:ser>
        <c:dLbls>
          <c:showLegendKey val="0"/>
          <c:showVal val="0"/>
          <c:showCatName val="0"/>
          <c:showSerName val="0"/>
          <c:showPercent val="0"/>
          <c:showBubbleSize val="0"/>
        </c:dLbls>
        <c:axId val="889576688"/>
        <c:axId val="259813392"/>
      </c:scatterChart>
      <c:valAx>
        <c:axId val="88957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3392"/>
        <c:crosses val="autoZero"/>
        <c:crossBetween val="midCat"/>
      </c:valAx>
      <c:valAx>
        <c:axId val="25981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76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S3_model_fitting!$D$1358:$D$1383</c:f>
              <c:numCache>
                <c:formatCode>General</c:formatCode>
                <c:ptCount val="2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37</c:v>
                </c:pt>
                <c:pt idx="17">
                  <c:v>44</c:v>
                </c:pt>
                <c:pt idx="18">
                  <c:v>51</c:v>
                </c:pt>
                <c:pt idx="19">
                  <c:v>58</c:v>
                </c:pt>
                <c:pt idx="20">
                  <c:v>65</c:v>
                </c:pt>
                <c:pt idx="21">
                  <c:v>72</c:v>
                </c:pt>
                <c:pt idx="22">
                  <c:v>79</c:v>
                </c:pt>
                <c:pt idx="23">
                  <c:v>86</c:v>
                </c:pt>
                <c:pt idx="24">
                  <c:v>93</c:v>
                </c:pt>
                <c:pt idx="25">
                  <c:v>100</c:v>
                </c:pt>
              </c:numCache>
            </c:numRef>
          </c:xVal>
          <c:yVal>
            <c:numRef>
              <c:f>S3_model_fitting!$E$1358:$E$1383</c:f>
              <c:numCache>
                <c:formatCode>General</c:formatCode>
                <c:ptCount val="26"/>
                <c:pt idx="0">
                  <c:v>100</c:v>
                </c:pt>
                <c:pt idx="1">
                  <c:v>76</c:v>
                </c:pt>
                <c:pt idx="2">
                  <c:v>74.7</c:v>
                </c:pt>
                <c:pt idx="3">
                  <c:v>74</c:v>
                </c:pt>
                <c:pt idx="4">
                  <c:v>73.2</c:v>
                </c:pt>
                <c:pt idx="5">
                  <c:v>69.8</c:v>
                </c:pt>
                <c:pt idx="6">
                  <c:v>67.900000000000006</c:v>
                </c:pt>
                <c:pt idx="7">
                  <c:v>64.5</c:v>
                </c:pt>
                <c:pt idx="8">
                  <c:v>63</c:v>
                </c:pt>
                <c:pt idx="9">
                  <c:v>61.9</c:v>
                </c:pt>
                <c:pt idx="10">
                  <c:v>61.2</c:v>
                </c:pt>
                <c:pt idx="11">
                  <c:v>58.6</c:v>
                </c:pt>
                <c:pt idx="12">
                  <c:v>56.2</c:v>
                </c:pt>
                <c:pt idx="13">
                  <c:v>42.7</c:v>
                </c:pt>
                <c:pt idx="14">
                  <c:v>41.1</c:v>
                </c:pt>
                <c:pt idx="15">
                  <c:v>39</c:v>
                </c:pt>
                <c:pt idx="16">
                  <c:v>38.299999999999997</c:v>
                </c:pt>
                <c:pt idx="17">
                  <c:v>37.9</c:v>
                </c:pt>
                <c:pt idx="18">
                  <c:v>37</c:v>
                </c:pt>
                <c:pt idx="19">
                  <c:v>36.299999999999997</c:v>
                </c:pt>
                <c:pt idx="20">
                  <c:v>35.9</c:v>
                </c:pt>
                <c:pt idx="21">
                  <c:v>33.5</c:v>
                </c:pt>
                <c:pt idx="22">
                  <c:v>33.1</c:v>
                </c:pt>
                <c:pt idx="23">
                  <c:v>32.299999999999997</c:v>
                </c:pt>
                <c:pt idx="24">
                  <c:v>31.8</c:v>
                </c:pt>
                <c:pt idx="25">
                  <c:v>31.4</c:v>
                </c:pt>
              </c:numCache>
            </c:numRef>
          </c:yVal>
          <c:smooth val="0"/>
          <c:extLst>
            <c:ext xmlns:c16="http://schemas.microsoft.com/office/drawing/2014/chart" uri="{C3380CC4-5D6E-409C-BE32-E72D297353CC}">
              <c16:uniqueId val="{00000000-2120-424E-9A29-7986EE578AD8}"/>
            </c:ext>
          </c:extLst>
        </c:ser>
        <c:dLbls>
          <c:showLegendKey val="0"/>
          <c:showVal val="0"/>
          <c:showCatName val="0"/>
          <c:showSerName val="0"/>
          <c:showPercent val="0"/>
          <c:showBubbleSize val="0"/>
        </c:dLbls>
        <c:axId val="235405664"/>
        <c:axId val="95735248"/>
      </c:scatterChart>
      <c:valAx>
        <c:axId val="23540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5248"/>
        <c:crosses val="autoZero"/>
        <c:crossBetween val="midCat"/>
      </c:valAx>
      <c:valAx>
        <c:axId val="9573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056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S3_model_fitting!$D$1384:$D$1409</c:f>
              <c:numCache>
                <c:formatCode>General</c:formatCode>
                <c:ptCount val="2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37</c:v>
                </c:pt>
                <c:pt idx="17">
                  <c:v>44</c:v>
                </c:pt>
                <c:pt idx="18">
                  <c:v>51</c:v>
                </c:pt>
                <c:pt idx="19">
                  <c:v>58</c:v>
                </c:pt>
                <c:pt idx="20">
                  <c:v>65</c:v>
                </c:pt>
                <c:pt idx="21">
                  <c:v>72</c:v>
                </c:pt>
                <c:pt idx="22">
                  <c:v>79</c:v>
                </c:pt>
                <c:pt idx="23">
                  <c:v>86</c:v>
                </c:pt>
                <c:pt idx="24">
                  <c:v>93</c:v>
                </c:pt>
                <c:pt idx="25">
                  <c:v>100</c:v>
                </c:pt>
              </c:numCache>
            </c:numRef>
          </c:xVal>
          <c:yVal>
            <c:numRef>
              <c:f>S3_model_fitting!$E$1384:$E$1409</c:f>
              <c:numCache>
                <c:formatCode>General</c:formatCode>
                <c:ptCount val="26"/>
                <c:pt idx="0">
                  <c:v>100</c:v>
                </c:pt>
                <c:pt idx="1">
                  <c:v>70</c:v>
                </c:pt>
                <c:pt idx="2">
                  <c:v>69.400000000000006</c:v>
                </c:pt>
                <c:pt idx="3">
                  <c:v>68.900000000000006</c:v>
                </c:pt>
                <c:pt idx="4">
                  <c:v>67.5</c:v>
                </c:pt>
                <c:pt idx="5">
                  <c:v>67.400000000000006</c:v>
                </c:pt>
                <c:pt idx="6">
                  <c:v>64.5</c:v>
                </c:pt>
                <c:pt idx="7">
                  <c:v>64.2</c:v>
                </c:pt>
                <c:pt idx="8">
                  <c:v>63.8</c:v>
                </c:pt>
                <c:pt idx="9">
                  <c:v>53</c:v>
                </c:pt>
                <c:pt idx="10">
                  <c:v>49.3</c:v>
                </c:pt>
                <c:pt idx="11">
                  <c:v>44.4</c:v>
                </c:pt>
                <c:pt idx="12">
                  <c:v>44</c:v>
                </c:pt>
                <c:pt idx="13">
                  <c:v>41.5</c:v>
                </c:pt>
                <c:pt idx="14">
                  <c:v>40</c:v>
                </c:pt>
                <c:pt idx="15">
                  <c:v>39</c:v>
                </c:pt>
                <c:pt idx="16">
                  <c:v>38.700000000000003</c:v>
                </c:pt>
                <c:pt idx="17">
                  <c:v>38</c:v>
                </c:pt>
                <c:pt idx="18">
                  <c:v>34.5</c:v>
                </c:pt>
                <c:pt idx="19">
                  <c:v>33.9</c:v>
                </c:pt>
                <c:pt idx="20">
                  <c:v>32.9</c:v>
                </c:pt>
                <c:pt idx="21">
                  <c:v>32.799999999999997</c:v>
                </c:pt>
                <c:pt idx="22">
                  <c:v>31.7</c:v>
                </c:pt>
                <c:pt idx="23">
                  <c:v>29.3</c:v>
                </c:pt>
                <c:pt idx="24">
                  <c:v>28.4</c:v>
                </c:pt>
                <c:pt idx="25">
                  <c:v>28.4</c:v>
                </c:pt>
              </c:numCache>
            </c:numRef>
          </c:yVal>
          <c:smooth val="0"/>
          <c:extLst>
            <c:ext xmlns:c16="http://schemas.microsoft.com/office/drawing/2014/chart" uri="{C3380CC4-5D6E-409C-BE32-E72D297353CC}">
              <c16:uniqueId val="{00000000-56E7-A346-A229-E8494FD5A71B}"/>
            </c:ext>
          </c:extLst>
        </c:ser>
        <c:dLbls>
          <c:showLegendKey val="0"/>
          <c:showVal val="0"/>
          <c:showCatName val="0"/>
          <c:showSerName val="0"/>
          <c:showPercent val="0"/>
          <c:showBubbleSize val="0"/>
        </c:dLbls>
        <c:axId val="544687440"/>
        <c:axId val="544244704"/>
      </c:scatterChart>
      <c:valAx>
        <c:axId val="54468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44704"/>
        <c:crosses val="autoZero"/>
        <c:crossBetween val="midCat"/>
      </c:valAx>
      <c:valAx>
        <c:axId val="54424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87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S3_model_fitting!$D$1410:$D$1435</c:f>
              <c:numCache>
                <c:formatCode>General</c:formatCode>
                <c:ptCount val="2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37</c:v>
                </c:pt>
                <c:pt idx="17">
                  <c:v>44</c:v>
                </c:pt>
                <c:pt idx="18">
                  <c:v>51</c:v>
                </c:pt>
                <c:pt idx="19">
                  <c:v>58</c:v>
                </c:pt>
                <c:pt idx="20">
                  <c:v>65</c:v>
                </c:pt>
                <c:pt idx="21">
                  <c:v>72</c:v>
                </c:pt>
                <c:pt idx="22">
                  <c:v>79</c:v>
                </c:pt>
                <c:pt idx="23">
                  <c:v>86</c:v>
                </c:pt>
                <c:pt idx="24">
                  <c:v>93</c:v>
                </c:pt>
                <c:pt idx="25">
                  <c:v>100</c:v>
                </c:pt>
              </c:numCache>
            </c:numRef>
          </c:xVal>
          <c:yVal>
            <c:numRef>
              <c:f>S3_model_fitting!$E$1410:$E$1435</c:f>
              <c:numCache>
                <c:formatCode>General</c:formatCode>
                <c:ptCount val="26"/>
                <c:pt idx="0">
                  <c:v>100</c:v>
                </c:pt>
                <c:pt idx="1">
                  <c:v>58.3</c:v>
                </c:pt>
                <c:pt idx="2">
                  <c:v>34.299999999999997</c:v>
                </c:pt>
                <c:pt idx="3">
                  <c:v>30.3</c:v>
                </c:pt>
                <c:pt idx="4">
                  <c:v>28.8</c:v>
                </c:pt>
                <c:pt idx="5">
                  <c:v>21.5</c:v>
                </c:pt>
                <c:pt idx="6">
                  <c:v>20</c:v>
                </c:pt>
                <c:pt idx="7">
                  <c:v>18.2</c:v>
                </c:pt>
                <c:pt idx="8">
                  <c:v>17.8</c:v>
                </c:pt>
                <c:pt idx="9">
                  <c:v>17</c:v>
                </c:pt>
                <c:pt idx="10">
                  <c:v>15.6</c:v>
                </c:pt>
                <c:pt idx="11">
                  <c:v>15.2</c:v>
                </c:pt>
                <c:pt idx="12">
                  <c:v>15</c:v>
                </c:pt>
                <c:pt idx="13">
                  <c:v>14.6</c:v>
                </c:pt>
                <c:pt idx="14">
                  <c:v>14.6</c:v>
                </c:pt>
                <c:pt idx="15">
                  <c:v>14</c:v>
                </c:pt>
                <c:pt idx="16">
                  <c:v>14.1</c:v>
                </c:pt>
                <c:pt idx="17">
                  <c:v>13.4</c:v>
                </c:pt>
                <c:pt idx="18">
                  <c:v>12.9</c:v>
                </c:pt>
                <c:pt idx="19">
                  <c:v>12.9</c:v>
                </c:pt>
                <c:pt idx="20">
                  <c:v>10.6</c:v>
                </c:pt>
                <c:pt idx="21">
                  <c:v>9.9</c:v>
                </c:pt>
                <c:pt idx="22">
                  <c:v>9.6</c:v>
                </c:pt>
                <c:pt idx="23">
                  <c:v>9.6999999999999993</c:v>
                </c:pt>
                <c:pt idx="24">
                  <c:v>9.3000000000000007</c:v>
                </c:pt>
                <c:pt idx="25">
                  <c:v>9.3000000000000007</c:v>
                </c:pt>
              </c:numCache>
            </c:numRef>
          </c:yVal>
          <c:smooth val="0"/>
          <c:extLst>
            <c:ext xmlns:c16="http://schemas.microsoft.com/office/drawing/2014/chart" uri="{C3380CC4-5D6E-409C-BE32-E72D297353CC}">
              <c16:uniqueId val="{00000000-934E-F346-8BAC-D06A6AE1FD1C}"/>
            </c:ext>
          </c:extLst>
        </c:ser>
        <c:dLbls>
          <c:showLegendKey val="0"/>
          <c:showVal val="0"/>
          <c:showCatName val="0"/>
          <c:showSerName val="0"/>
          <c:showPercent val="0"/>
          <c:showBubbleSize val="0"/>
        </c:dLbls>
        <c:axId val="875292816"/>
        <c:axId val="403609888"/>
      </c:scatterChart>
      <c:valAx>
        <c:axId val="87529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09888"/>
        <c:crosses val="autoZero"/>
        <c:crossBetween val="midCat"/>
      </c:valAx>
      <c:valAx>
        <c:axId val="40360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292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S3_model_fitting!$D$1436:$D$1461</c:f>
              <c:numCache>
                <c:formatCode>General</c:formatCode>
                <c:ptCount val="2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37</c:v>
                </c:pt>
                <c:pt idx="17">
                  <c:v>44</c:v>
                </c:pt>
                <c:pt idx="18">
                  <c:v>51</c:v>
                </c:pt>
                <c:pt idx="19">
                  <c:v>58</c:v>
                </c:pt>
                <c:pt idx="20">
                  <c:v>65</c:v>
                </c:pt>
                <c:pt idx="21">
                  <c:v>72</c:v>
                </c:pt>
                <c:pt idx="22">
                  <c:v>79</c:v>
                </c:pt>
                <c:pt idx="23">
                  <c:v>86</c:v>
                </c:pt>
                <c:pt idx="24">
                  <c:v>93</c:v>
                </c:pt>
                <c:pt idx="25">
                  <c:v>100</c:v>
                </c:pt>
              </c:numCache>
            </c:numRef>
          </c:xVal>
          <c:yVal>
            <c:numRef>
              <c:f>S3_model_fitting!$E$1436:$E$1461</c:f>
              <c:numCache>
                <c:formatCode>General</c:formatCode>
                <c:ptCount val="26"/>
                <c:pt idx="0">
                  <c:v>100</c:v>
                </c:pt>
                <c:pt idx="1">
                  <c:v>86.2</c:v>
                </c:pt>
                <c:pt idx="2">
                  <c:v>59.2</c:v>
                </c:pt>
                <c:pt idx="3">
                  <c:v>51.4</c:v>
                </c:pt>
                <c:pt idx="4">
                  <c:v>46.6</c:v>
                </c:pt>
                <c:pt idx="5">
                  <c:v>44.2</c:v>
                </c:pt>
                <c:pt idx="6">
                  <c:v>43.7</c:v>
                </c:pt>
                <c:pt idx="7">
                  <c:v>43.7</c:v>
                </c:pt>
                <c:pt idx="8">
                  <c:v>43.7</c:v>
                </c:pt>
                <c:pt idx="9">
                  <c:v>43.2</c:v>
                </c:pt>
                <c:pt idx="10">
                  <c:v>38.200000000000003</c:v>
                </c:pt>
                <c:pt idx="11">
                  <c:v>29.6</c:v>
                </c:pt>
                <c:pt idx="12">
                  <c:v>29</c:v>
                </c:pt>
                <c:pt idx="13">
                  <c:v>27.3</c:v>
                </c:pt>
                <c:pt idx="14">
                  <c:v>27.3</c:v>
                </c:pt>
                <c:pt idx="15">
                  <c:v>26.6</c:v>
                </c:pt>
                <c:pt idx="16">
                  <c:v>25.5</c:v>
                </c:pt>
                <c:pt idx="17">
                  <c:v>25.1</c:v>
                </c:pt>
                <c:pt idx="18">
                  <c:v>24.8</c:v>
                </c:pt>
                <c:pt idx="19">
                  <c:v>24.6</c:v>
                </c:pt>
                <c:pt idx="20">
                  <c:v>24.8</c:v>
                </c:pt>
                <c:pt idx="21">
                  <c:v>23</c:v>
                </c:pt>
                <c:pt idx="22">
                  <c:v>21</c:v>
                </c:pt>
                <c:pt idx="23">
                  <c:v>20.399999999999999</c:v>
                </c:pt>
                <c:pt idx="24">
                  <c:v>20.100000000000001</c:v>
                </c:pt>
                <c:pt idx="25">
                  <c:v>19.7</c:v>
                </c:pt>
              </c:numCache>
            </c:numRef>
          </c:yVal>
          <c:smooth val="0"/>
          <c:extLst>
            <c:ext xmlns:c16="http://schemas.microsoft.com/office/drawing/2014/chart" uri="{C3380CC4-5D6E-409C-BE32-E72D297353CC}">
              <c16:uniqueId val="{00000000-CB00-BF41-8872-B018E6E9FAC4}"/>
            </c:ext>
          </c:extLst>
        </c:ser>
        <c:dLbls>
          <c:showLegendKey val="0"/>
          <c:showVal val="0"/>
          <c:showCatName val="0"/>
          <c:showSerName val="0"/>
          <c:showPercent val="0"/>
          <c:showBubbleSize val="0"/>
        </c:dLbls>
        <c:axId val="870663568"/>
        <c:axId val="871055712"/>
      </c:scatterChart>
      <c:valAx>
        <c:axId val="87066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55712"/>
        <c:crosses val="autoZero"/>
        <c:crossBetween val="midCat"/>
      </c:valAx>
      <c:valAx>
        <c:axId val="87105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63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S3_model_fitting!$D$1462:$D$1487</c:f>
              <c:numCache>
                <c:formatCode>General</c:formatCode>
                <c:ptCount val="2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pt idx="16">
                  <c:v>37</c:v>
                </c:pt>
                <c:pt idx="17">
                  <c:v>44</c:v>
                </c:pt>
                <c:pt idx="18">
                  <c:v>51</c:v>
                </c:pt>
                <c:pt idx="19">
                  <c:v>58</c:v>
                </c:pt>
                <c:pt idx="20">
                  <c:v>65</c:v>
                </c:pt>
                <c:pt idx="21">
                  <c:v>72</c:v>
                </c:pt>
                <c:pt idx="22">
                  <c:v>79</c:v>
                </c:pt>
                <c:pt idx="23">
                  <c:v>86</c:v>
                </c:pt>
                <c:pt idx="24">
                  <c:v>93</c:v>
                </c:pt>
                <c:pt idx="25">
                  <c:v>100</c:v>
                </c:pt>
              </c:numCache>
            </c:numRef>
          </c:xVal>
          <c:yVal>
            <c:numRef>
              <c:f>S3_model_fitting!$E$1462:$E$1487</c:f>
              <c:numCache>
                <c:formatCode>General</c:formatCode>
                <c:ptCount val="26"/>
                <c:pt idx="0">
                  <c:v>100</c:v>
                </c:pt>
                <c:pt idx="1">
                  <c:v>41</c:v>
                </c:pt>
                <c:pt idx="2">
                  <c:v>39</c:v>
                </c:pt>
                <c:pt idx="3">
                  <c:v>36.5</c:v>
                </c:pt>
                <c:pt idx="4">
                  <c:v>36.5</c:v>
                </c:pt>
                <c:pt idx="5">
                  <c:v>34.5</c:v>
                </c:pt>
                <c:pt idx="6">
                  <c:v>33.700000000000003</c:v>
                </c:pt>
                <c:pt idx="7">
                  <c:v>30.7</c:v>
                </c:pt>
                <c:pt idx="8">
                  <c:v>30.2</c:v>
                </c:pt>
                <c:pt idx="9">
                  <c:v>29.8</c:v>
                </c:pt>
                <c:pt idx="10">
                  <c:v>29.9</c:v>
                </c:pt>
                <c:pt idx="11">
                  <c:v>24.7</c:v>
                </c:pt>
                <c:pt idx="12">
                  <c:v>23.6</c:v>
                </c:pt>
                <c:pt idx="13">
                  <c:v>22.9</c:v>
                </c:pt>
                <c:pt idx="14">
                  <c:v>21.9</c:v>
                </c:pt>
                <c:pt idx="15">
                  <c:v>21.9</c:v>
                </c:pt>
                <c:pt idx="16">
                  <c:v>20.9</c:v>
                </c:pt>
                <c:pt idx="17">
                  <c:v>19.8</c:v>
                </c:pt>
                <c:pt idx="18">
                  <c:v>18.899999999999999</c:v>
                </c:pt>
                <c:pt idx="19">
                  <c:v>18.7</c:v>
                </c:pt>
                <c:pt idx="20">
                  <c:v>18.7</c:v>
                </c:pt>
                <c:pt idx="21">
                  <c:v>18.3</c:v>
                </c:pt>
                <c:pt idx="22">
                  <c:v>16.7</c:v>
                </c:pt>
                <c:pt idx="23">
                  <c:v>13.5</c:v>
                </c:pt>
                <c:pt idx="24">
                  <c:v>13</c:v>
                </c:pt>
                <c:pt idx="25">
                  <c:v>13.3</c:v>
                </c:pt>
              </c:numCache>
            </c:numRef>
          </c:yVal>
          <c:smooth val="0"/>
          <c:extLst>
            <c:ext xmlns:c16="http://schemas.microsoft.com/office/drawing/2014/chart" uri="{C3380CC4-5D6E-409C-BE32-E72D297353CC}">
              <c16:uniqueId val="{00000000-4101-0B41-BAC9-087EBBEB1069}"/>
            </c:ext>
          </c:extLst>
        </c:ser>
        <c:dLbls>
          <c:showLegendKey val="0"/>
          <c:showVal val="0"/>
          <c:showCatName val="0"/>
          <c:showSerName val="0"/>
          <c:showPercent val="0"/>
          <c:showBubbleSize val="0"/>
        </c:dLbls>
        <c:axId val="870732144"/>
        <c:axId val="871189360"/>
      </c:scatterChart>
      <c:valAx>
        <c:axId val="87073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89360"/>
        <c:crosses val="autoZero"/>
        <c:crossBetween val="midCat"/>
      </c:valAx>
      <c:valAx>
        <c:axId val="87118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32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S3_model_fitting!$D$1488:$D$1497</c:f>
              <c:numCache>
                <c:formatCode>General</c:formatCode>
                <c:ptCount val="10"/>
                <c:pt idx="0">
                  <c:v>0</c:v>
                </c:pt>
                <c:pt idx="1">
                  <c:v>3</c:v>
                </c:pt>
                <c:pt idx="2">
                  <c:v>11</c:v>
                </c:pt>
                <c:pt idx="3">
                  <c:v>16</c:v>
                </c:pt>
                <c:pt idx="4">
                  <c:v>26</c:v>
                </c:pt>
                <c:pt idx="5">
                  <c:v>86</c:v>
                </c:pt>
                <c:pt idx="6">
                  <c:v>116</c:v>
                </c:pt>
                <c:pt idx="7">
                  <c:v>146</c:v>
                </c:pt>
                <c:pt idx="8">
                  <c:v>176</c:v>
                </c:pt>
                <c:pt idx="9">
                  <c:v>206</c:v>
                </c:pt>
              </c:numCache>
            </c:numRef>
          </c:xVal>
          <c:yVal>
            <c:numRef>
              <c:f>S3_model_fitting!$E$1488:$E$1497</c:f>
              <c:numCache>
                <c:formatCode>General</c:formatCode>
                <c:ptCount val="10"/>
                <c:pt idx="0">
                  <c:v>100</c:v>
                </c:pt>
                <c:pt idx="1">
                  <c:v>94.151266907982475</c:v>
                </c:pt>
                <c:pt idx="2">
                  <c:v>41.817489045532483</c:v>
                </c:pt>
                <c:pt idx="3">
                  <c:v>17.717660506763195</c:v>
                </c:pt>
                <c:pt idx="4">
                  <c:v>11.183082491903219</c:v>
                </c:pt>
                <c:pt idx="5">
                  <c:v>4.6294532291865114</c:v>
                </c:pt>
                <c:pt idx="6">
                  <c:v>4.2865307677652886</c:v>
                </c:pt>
                <c:pt idx="7">
                  <c:v>4.6294532291865114</c:v>
                </c:pt>
                <c:pt idx="8">
                  <c:v>3.943608306344065</c:v>
                </c:pt>
                <c:pt idx="9">
                  <c:v>4.2865307677652886</c:v>
                </c:pt>
              </c:numCache>
            </c:numRef>
          </c:yVal>
          <c:smooth val="0"/>
          <c:extLst>
            <c:ext xmlns:c16="http://schemas.microsoft.com/office/drawing/2014/chart" uri="{C3380CC4-5D6E-409C-BE32-E72D297353CC}">
              <c16:uniqueId val="{00000000-E191-EC4D-82F3-2CD7472971B5}"/>
            </c:ext>
          </c:extLst>
        </c:ser>
        <c:dLbls>
          <c:showLegendKey val="0"/>
          <c:showVal val="0"/>
          <c:showCatName val="0"/>
          <c:showSerName val="0"/>
          <c:showPercent val="0"/>
          <c:showBubbleSize val="0"/>
        </c:dLbls>
        <c:axId val="871195664"/>
        <c:axId val="871197376"/>
      </c:scatterChart>
      <c:valAx>
        <c:axId val="87119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97376"/>
        <c:crosses val="autoZero"/>
        <c:crossBetween val="midCat"/>
      </c:valAx>
      <c:valAx>
        <c:axId val="87119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956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S3_model_fitting!$D$1498:$D$1511</c:f>
              <c:numCache>
                <c:formatCode>General</c:formatCode>
                <c:ptCount val="14"/>
                <c:pt idx="0">
                  <c:v>0</c:v>
                </c:pt>
                <c:pt idx="1">
                  <c:v>1</c:v>
                </c:pt>
                <c:pt idx="2">
                  <c:v>2</c:v>
                </c:pt>
                <c:pt idx="3">
                  <c:v>4</c:v>
                </c:pt>
                <c:pt idx="4">
                  <c:v>7</c:v>
                </c:pt>
                <c:pt idx="5">
                  <c:v>12</c:v>
                </c:pt>
                <c:pt idx="6">
                  <c:v>17</c:v>
                </c:pt>
                <c:pt idx="7">
                  <c:v>27</c:v>
                </c:pt>
                <c:pt idx="8">
                  <c:v>57</c:v>
                </c:pt>
                <c:pt idx="9">
                  <c:v>87</c:v>
                </c:pt>
                <c:pt idx="10">
                  <c:v>117</c:v>
                </c:pt>
                <c:pt idx="11">
                  <c:v>147</c:v>
                </c:pt>
                <c:pt idx="12">
                  <c:v>177</c:v>
                </c:pt>
                <c:pt idx="13">
                  <c:v>207</c:v>
                </c:pt>
              </c:numCache>
            </c:numRef>
          </c:xVal>
          <c:yVal>
            <c:numRef>
              <c:f>S3_model_fitting!$E$1498:$E$1511</c:f>
              <c:numCache>
                <c:formatCode>General</c:formatCode>
                <c:ptCount val="14"/>
                <c:pt idx="0">
                  <c:v>100</c:v>
                </c:pt>
                <c:pt idx="1">
                  <c:v>94.906166219839136</c:v>
                </c:pt>
                <c:pt idx="2">
                  <c:v>69.168900804289549</c:v>
                </c:pt>
                <c:pt idx="3">
                  <c:v>50.536193029490619</c:v>
                </c:pt>
                <c:pt idx="4">
                  <c:v>42.091152815013402</c:v>
                </c:pt>
                <c:pt idx="5">
                  <c:v>26.675603217158177</c:v>
                </c:pt>
                <c:pt idx="6">
                  <c:v>25.603217158176943</c:v>
                </c:pt>
                <c:pt idx="7">
                  <c:v>21.849865951742629</c:v>
                </c:pt>
                <c:pt idx="8">
                  <c:v>7.6407506702412862</c:v>
                </c:pt>
                <c:pt idx="9">
                  <c:v>3.8873994638069704</c:v>
                </c:pt>
                <c:pt idx="10">
                  <c:v>2.8150134048257374</c:v>
                </c:pt>
                <c:pt idx="11">
                  <c:v>2.8150134048257374</c:v>
                </c:pt>
                <c:pt idx="12">
                  <c:v>3.6193029490616624</c:v>
                </c:pt>
                <c:pt idx="13">
                  <c:v>2.8150134048257374</c:v>
                </c:pt>
              </c:numCache>
            </c:numRef>
          </c:yVal>
          <c:smooth val="0"/>
          <c:extLst>
            <c:ext xmlns:c16="http://schemas.microsoft.com/office/drawing/2014/chart" uri="{C3380CC4-5D6E-409C-BE32-E72D297353CC}">
              <c16:uniqueId val="{00000000-7309-9748-97D9-9CF1A3F6F991}"/>
            </c:ext>
          </c:extLst>
        </c:ser>
        <c:dLbls>
          <c:showLegendKey val="0"/>
          <c:showVal val="0"/>
          <c:showCatName val="0"/>
          <c:showSerName val="0"/>
          <c:showPercent val="0"/>
          <c:showBubbleSize val="0"/>
        </c:dLbls>
        <c:axId val="932069568"/>
        <c:axId val="873682352"/>
      </c:scatterChart>
      <c:valAx>
        <c:axId val="93206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82352"/>
        <c:crosses val="autoZero"/>
        <c:crossBetween val="midCat"/>
      </c:valAx>
      <c:valAx>
        <c:axId val="8736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69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S3_model_fitting!$D$1512:$D$1517</c:f>
              <c:numCache>
                <c:formatCode>General</c:formatCode>
                <c:ptCount val="6"/>
                <c:pt idx="0">
                  <c:v>0</c:v>
                </c:pt>
                <c:pt idx="1">
                  <c:v>14</c:v>
                </c:pt>
                <c:pt idx="2">
                  <c:v>28</c:v>
                </c:pt>
                <c:pt idx="3">
                  <c:v>56</c:v>
                </c:pt>
                <c:pt idx="4">
                  <c:v>112</c:v>
                </c:pt>
                <c:pt idx="5">
                  <c:v>168</c:v>
                </c:pt>
              </c:numCache>
            </c:numRef>
          </c:xVal>
          <c:yVal>
            <c:numRef>
              <c:f>S3_model_fitting!$E$1512:$E$1517</c:f>
              <c:numCache>
                <c:formatCode>General</c:formatCode>
                <c:ptCount val="6"/>
                <c:pt idx="0">
                  <c:v>100</c:v>
                </c:pt>
                <c:pt idx="1">
                  <c:v>49</c:v>
                </c:pt>
                <c:pt idx="2">
                  <c:v>30</c:v>
                </c:pt>
                <c:pt idx="3">
                  <c:v>23</c:v>
                </c:pt>
                <c:pt idx="4">
                  <c:v>15</c:v>
                </c:pt>
                <c:pt idx="5">
                  <c:v>12</c:v>
                </c:pt>
              </c:numCache>
            </c:numRef>
          </c:yVal>
          <c:smooth val="0"/>
          <c:extLst>
            <c:ext xmlns:c16="http://schemas.microsoft.com/office/drawing/2014/chart" uri="{C3380CC4-5D6E-409C-BE32-E72D297353CC}">
              <c16:uniqueId val="{00000000-9E2C-1B4A-B996-E4B3D165F3AF}"/>
            </c:ext>
          </c:extLst>
        </c:ser>
        <c:dLbls>
          <c:showLegendKey val="0"/>
          <c:showVal val="0"/>
          <c:showCatName val="0"/>
          <c:showSerName val="0"/>
          <c:showPercent val="0"/>
          <c:showBubbleSize val="0"/>
        </c:dLbls>
        <c:axId val="873616304"/>
        <c:axId val="539062928"/>
      </c:scatterChart>
      <c:valAx>
        <c:axId val="87361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62928"/>
        <c:crosses val="autoZero"/>
        <c:crossBetween val="midCat"/>
      </c:valAx>
      <c:valAx>
        <c:axId val="53906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16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S3_model_fitting!$D$1536:$D$1546</c:f>
              <c:numCache>
                <c:formatCode>General</c:formatCode>
                <c:ptCount val="11"/>
                <c:pt idx="0">
                  <c:v>0</c:v>
                </c:pt>
                <c:pt idx="1">
                  <c:v>6</c:v>
                </c:pt>
                <c:pt idx="2">
                  <c:v>12</c:v>
                </c:pt>
                <c:pt idx="3">
                  <c:v>24</c:v>
                </c:pt>
                <c:pt idx="4">
                  <c:v>34</c:v>
                </c:pt>
                <c:pt idx="5">
                  <c:v>48</c:v>
                </c:pt>
                <c:pt idx="6">
                  <c:v>72</c:v>
                </c:pt>
                <c:pt idx="7">
                  <c:v>96</c:v>
                </c:pt>
                <c:pt idx="8">
                  <c:v>119</c:v>
                </c:pt>
                <c:pt idx="9">
                  <c:v>144</c:v>
                </c:pt>
                <c:pt idx="10">
                  <c:v>168</c:v>
                </c:pt>
              </c:numCache>
            </c:numRef>
          </c:xVal>
          <c:yVal>
            <c:numRef>
              <c:f>S3_model_fitting!$E$1536:$E$1546</c:f>
              <c:numCache>
                <c:formatCode>General</c:formatCode>
                <c:ptCount val="11"/>
                <c:pt idx="0">
                  <c:v>100</c:v>
                </c:pt>
                <c:pt idx="1">
                  <c:v>53.446191051995164</c:v>
                </c:pt>
                <c:pt idx="2">
                  <c:v>27.206771463119711</c:v>
                </c:pt>
                <c:pt idx="3">
                  <c:v>16.324062877871825</c:v>
                </c:pt>
                <c:pt idx="4">
                  <c:v>8.827085852478838</c:v>
                </c:pt>
                <c:pt idx="5">
                  <c:v>14.268440145102781</c:v>
                </c:pt>
                <c:pt idx="6">
                  <c:v>17.533252720677147</c:v>
                </c:pt>
                <c:pt idx="7">
                  <c:v>16.444981862152357</c:v>
                </c:pt>
                <c:pt idx="8">
                  <c:v>16.444981862152357</c:v>
                </c:pt>
                <c:pt idx="9">
                  <c:v>9.7944377267230962</c:v>
                </c:pt>
                <c:pt idx="10">
                  <c:v>10.278113663845224</c:v>
                </c:pt>
              </c:numCache>
            </c:numRef>
          </c:yVal>
          <c:smooth val="0"/>
          <c:extLst>
            <c:ext xmlns:c16="http://schemas.microsoft.com/office/drawing/2014/chart" uri="{C3380CC4-5D6E-409C-BE32-E72D297353CC}">
              <c16:uniqueId val="{00000000-D61F-C445-B07F-D1579EDFDE79}"/>
            </c:ext>
          </c:extLst>
        </c:ser>
        <c:dLbls>
          <c:showLegendKey val="0"/>
          <c:showVal val="0"/>
          <c:showCatName val="0"/>
          <c:showSerName val="0"/>
          <c:showPercent val="0"/>
          <c:showBubbleSize val="0"/>
        </c:dLbls>
        <c:axId val="871253200"/>
        <c:axId val="871265920"/>
      </c:scatterChart>
      <c:valAx>
        <c:axId val="87125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65920"/>
        <c:crosses val="autoZero"/>
        <c:crossBetween val="midCat"/>
      </c:valAx>
      <c:valAx>
        <c:axId val="87126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53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S3_model_fitting!$D$1547:$D$1556</c:f>
              <c:numCache>
                <c:formatCode>General</c:formatCode>
                <c:ptCount val="10"/>
                <c:pt idx="0">
                  <c:v>0</c:v>
                </c:pt>
                <c:pt idx="1">
                  <c:v>3</c:v>
                </c:pt>
                <c:pt idx="2">
                  <c:v>5</c:v>
                </c:pt>
                <c:pt idx="3">
                  <c:v>7</c:v>
                </c:pt>
                <c:pt idx="4">
                  <c:v>8</c:v>
                </c:pt>
                <c:pt idx="5">
                  <c:v>9</c:v>
                </c:pt>
                <c:pt idx="6">
                  <c:v>10</c:v>
                </c:pt>
                <c:pt idx="7">
                  <c:v>11</c:v>
                </c:pt>
                <c:pt idx="8">
                  <c:v>13</c:v>
                </c:pt>
                <c:pt idx="9">
                  <c:v>15</c:v>
                </c:pt>
              </c:numCache>
            </c:numRef>
          </c:xVal>
          <c:yVal>
            <c:numRef>
              <c:f>S3_model_fitting!$E$1547:$E$1556</c:f>
              <c:numCache>
                <c:formatCode>General</c:formatCode>
                <c:ptCount val="10"/>
                <c:pt idx="0">
                  <c:v>100</c:v>
                </c:pt>
                <c:pt idx="1">
                  <c:v>95</c:v>
                </c:pt>
                <c:pt idx="2">
                  <c:v>81</c:v>
                </c:pt>
                <c:pt idx="3">
                  <c:v>69</c:v>
                </c:pt>
                <c:pt idx="4">
                  <c:v>56</c:v>
                </c:pt>
                <c:pt idx="5">
                  <c:v>51</c:v>
                </c:pt>
                <c:pt idx="6">
                  <c:v>44</c:v>
                </c:pt>
                <c:pt idx="7">
                  <c:v>34</c:v>
                </c:pt>
                <c:pt idx="8">
                  <c:v>30</c:v>
                </c:pt>
                <c:pt idx="9">
                  <c:v>29</c:v>
                </c:pt>
              </c:numCache>
            </c:numRef>
          </c:yVal>
          <c:smooth val="0"/>
          <c:extLst>
            <c:ext xmlns:c16="http://schemas.microsoft.com/office/drawing/2014/chart" uri="{C3380CC4-5D6E-409C-BE32-E72D297353CC}">
              <c16:uniqueId val="{00000000-3A7E-CB4B-8E97-91F931C01247}"/>
            </c:ext>
          </c:extLst>
        </c:ser>
        <c:dLbls>
          <c:showLegendKey val="0"/>
          <c:showVal val="0"/>
          <c:showCatName val="0"/>
          <c:showSerName val="0"/>
          <c:showPercent val="0"/>
          <c:showBubbleSize val="0"/>
        </c:dLbls>
        <c:axId val="889754688"/>
        <c:axId val="931444896"/>
      </c:scatterChart>
      <c:valAx>
        <c:axId val="889754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44896"/>
        <c:crosses val="autoZero"/>
        <c:crossBetween val="midCat"/>
      </c:valAx>
      <c:valAx>
        <c:axId val="93144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754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S3_model_fitting!$D$1557:$D$1566</c:f>
              <c:numCache>
                <c:formatCode>General</c:formatCode>
                <c:ptCount val="10"/>
                <c:pt idx="0">
                  <c:v>0</c:v>
                </c:pt>
                <c:pt idx="1">
                  <c:v>3</c:v>
                </c:pt>
                <c:pt idx="2">
                  <c:v>5</c:v>
                </c:pt>
                <c:pt idx="3">
                  <c:v>7</c:v>
                </c:pt>
                <c:pt idx="4">
                  <c:v>8</c:v>
                </c:pt>
                <c:pt idx="5">
                  <c:v>9</c:v>
                </c:pt>
                <c:pt idx="6">
                  <c:v>10</c:v>
                </c:pt>
                <c:pt idx="7">
                  <c:v>11</c:v>
                </c:pt>
                <c:pt idx="8">
                  <c:v>13</c:v>
                </c:pt>
                <c:pt idx="9">
                  <c:v>15</c:v>
                </c:pt>
              </c:numCache>
            </c:numRef>
          </c:xVal>
          <c:yVal>
            <c:numRef>
              <c:f>S3_model_fitting!$E$1557:$E$1566</c:f>
              <c:numCache>
                <c:formatCode>General</c:formatCode>
                <c:ptCount val="10"/>
                <c:pt idx="0">
                  <c:v>100</c:v>
                </c:pt>
                <c:pt idx="1">
                  <c:v>64</c:v>
                </c:pt>
                <c:pt idx="2">
                  <c:v>50</c:v>
                </c:pt>
                <c:pt idx="3">
                  <c:v>48</c:v>
                </c:pt>
                <c:pt idx="4">
                  <c:v>39</c:v>
                </c:pt>
                <c:pt idx="5">
                  <c:v>38</c:v>
                </c:pt>
                <c:pt idx="6">
                  <c:v>37</c:v>
                </c:pt>
                <c:pt idx="7">
                  <c:v>29</c:v>
                </c:pt>
                <c:pt idx="8">
                  <c:v>23</c:v>
                </c:pt>
                <c:pt idx="9">
                  <c:v>22</c:v>
                </c:pt>
              </c:numCache>
            </c:numRef>
          </c:yVal>
          <c:smooth val="0"/>
          <c:extLst>
            <c:ext xmlns:c16="http://schemas.microsoft.com/office/drawing/2014/chart" uri="{C3380CC4-5D6E-409C-BE32-E72D297353CC}">
              <c16:uniqueId val="{00000000-F1C1-E44C-AF24-3B9F136419EB}"/>
            </c:ext>
          </c:extLst>
        </c:ser>
        <c:dLbls>
          <c:showLegendKey val="0"/>
          <c:showVal val="0"/>
          <c:showCatName val="0"/>
          <c:showSerName val="0"/>
          <c:showPercent val="0"/>
          <c:showBubbleSize val="0"/>
        </c:dLbls>
        <c:axId val="529580640"/>
        <c:axId val="529582352"/>
      </c:scatterChart>
      <c:valAx>
        <c:axId val="52958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82352"/>
        <c:crosses val="autoZero"/>
        <c:crossBetween val="midCat"/>
      </c:valAx>
      <c:valAx>
        <c:axId val="5295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8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S3_model_fitting!$D$1679:$D$1688</c:f>
              <c:numCache>
                <c:formatCode>General</c:formatCode>
                <c:ptCount val="10"/>
                <c:pt idx="0">
                  <c:v>0</c:v>
                </c:pt>
                <c:pt idx="1">
                  <c:v>7</c:v>
                </c:pt>
                <c:pt idx="2">
                  <c:v>16</c:v>
                </c:pt>
                <c:pt idx="3">
                  <c:v>45</c:v>
                </c:pt>
                <c:pt idx="4">
                  <c:v>80</c:v>
                </c:pt>
                <c:pt idx="5">
                  <c:v>126</c:v>
                </c:pt>
                <c:pt idx="6">
                  <c:v>166</c:v>
                </c:pt>
                <c:pt idx="7">
                  <c:v>218</c:v>
                </c:pt>
                <c:pt idx="8">
                  <c:v>275</c:v>
                </c:pt>
                <c:pt idx="9">
                  <c:v>416</c:v>
                </c:pt>
              </c:numCache>
            </c:numRef>
          </c:xVal>
          <c:yVal>
            <c:numRef>
              <c:f>S3_model_fitting!$E$1679:$E$1688</c:f>
              <c:numCache>
                <c:formatCode>General</c:formatCode>
                <c:ptCount val="10"/>
                <c:pt idx="0">
                  <c:v>100</c:v>
                </c:pt>
                <c:pt idx="1">
                  <c:v>86</c:v>
                </c:pt>
                <c:pt idx="2">
                  <c:v>84</c:v>
                </c:pt>
                <c:pt idx="3">
                  <c:v>67</c:v>
                </c:pt>
                <c:pt idx="4">
                  <c:v>14</c:v>
                </c:pt>
                <c:pt idx="5">
                  <c:v>4</c:v>
                </c:pt>
                <c:pt idx="6">
                  <c:v>1</c:v>
                </c:pt>
                <c:pt idx="7">
                  <c:v>0</c:v>
                </c:pt>
                <c:pt idx="8">
                  <c:v>0</c:v>
                </c:pt>
                <c:pt idx="9">
                  <c:v>0</c:v>
                </c:pt>
              </c:numCache>
            </c:numRef>
          </c:yVal>
          <c:smooth val="0"/>
          <c:extLst>
            <c:ext xmlns:c16="http://schemas.microsoft.com/office/drawing/2014/chart" uri="{C3380CC4-5D6E-409C-BE32-E72D297353CC}">
              <c16:uniqueId val="{00000000-323B-3F4F-A676-E55575C7CC9C}"/>
            </c:ext>
          </c:extLst>
        </c:ser>
        <c:dLbls>
          <c:showLegendKey val="0"/>
          <c:showVal val="0"/>
          <c:showCatName val="0"/>
          <c:showSerName val="0"/>
          <c:showPercent val="0"/>
          <c:showBubbleSize val="0"/>
        </c:dLbls>
        <c:axId val="228055440"/>
        <c:axId val="539499680"/>
      </c:scatterChart>
      <c:valAx>
        <c:axId val="22805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99680"/>
        <c:crosses val="autoZero"/>
        <c:crossBetween val="midCat"/>
      </c:valAx>
      <c:valAx>
        <c:axId val="5394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55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S3_model_fitting!$D$1689:$D$1698</c:f>
              <c:numCache>
                <c:formatCode>General</c:formatCode>
                <c:ptCount val="10"/>
                <c:pt idx="0">
                  <c:v>0</c:v>
                </c:pt>
                <c:pt idx="1">
                  <c:v>7</c:v>
                </c:pt>
                <c:pt idx="2">
                  <c:v>16</c:v>
                </c:pt>
                <c:pt idx="3">
                  <c:v>45</c:v>
                </c:pt>
                <c:pt idx="4">
                  <c:v>80</c:v>
                </c:pt>
                <c:pt idx="5">
                  <c:v>16</c:v>
                </c:pt>
                <c:pt idx="6">
                  <c:v>166</c:v>
                </c:pt>
                <c:pt idx="7">
                  <c:v>218</c:v>
                </c:pt>
                <c:pt idx="8">
                  <c:v>275</c:v>
                </c:pt>
                <c:pt idx="9">
                  <c:v>416</c:v>
                </c:pt>
              </c:numCache>
            </c:numRef>
          </c:xVal>
          <c:yVal>
            <c:numRef>
              <c:f>S3_model_fitting!$E$1689:$E$1698</c:f>
              <c:numCache>
                <c:formatCode>General</c:formatCode>
                <c:ptCount val="10"/>
                <c:pt idx="0">
                  <c:v>100</c:v>
                </c:pt>
                <c:pt idx="1">
                  <c:v>101</c:v>
                </c:pt>
                <c:pt idx="2">
                  <c:v>86</c:v>
                </c:pt>
                <c:pt idx="3">
                  <c:v>84</c:v>
                </c:pt>
                <c:pt idx="4">
                  <c:v>76</c:v>
                </c:pt>
                <c:pt idx="5">
                  <c:v>69</c:v>
                </c:pt>
                <c:pt idx="6">
                  <c:v>68</c:v>
                </c:pt>
                <c:pt idx="7">
                  <c:v>75</c:v>
                </c:pt>
                <c:pt idx="8">
                  <c:v>72</c:v>
                </c:pt>
                <c:pt idx="9">
                  <c:v>61</c:v>
                </c:pt>
              </c:numCache>
            </c:numRef>
          </c:yVal>
          <c:smooth val="0"/>
          <c:extLst>
            <c:ext xmlns:c16="http://schemas.microsoft.com/office/drawing/2014/chart" uri="{C3380CC4-5D6E-409C-BE32-E72D297353CC}">
              <c16:uniqueId val="{00000000-AAF2-C946-805F-4D530C901C2A}"/>
            </c:ext>
          </c:extLst>
        </c:ser>
        <c:dLbls>
          <c:showLegendKey val="0"/>
          <c:showVal val="0"/>
          <c:showCatName val="0"/>
          <c:showSerName val="0"/>
          <c:showPercent val="0"/>
          <c:showBubbleSize val="0"/>
        </c:dLbls>
        <c:axId val="530044352"/>
        <c:axId val="529926688"/>
      </c:scatterChart>
      <c:valAx>
        <c:axId val="530044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26688"/>
        <c:crosses val="autoZero"/>
        <c:crossBetween val="midCat"/>
      </c:valAx>
      <c:valAx>
        <c:axId val="5299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44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S3_model_fitting!$D$1699:$D$1706</c:f>
              <c:numCache>
                <c:formatCode>General</c:formatCode>
                <c:ptCount val="8"/>
                <c:pt idx="0">
                  <c:v>0</c:v>
                </c:pt>
                <c:pt idx="1">
                  <c:v>7</c:v>
                </c:pt>
                <c:pt idx="2">
                  <c:v>14</c:v>
                </c:pt>
                <c:pt idx="3">
                  <c:v>28</c:v>
                </c:pt>
                <c:pt idx="4">
                  <c:v>42</c:v>
                </c:pt>
                <c:pt idx="5">
                  <c:v>60</c:v>
                </c:pt>
                <c:pt idx="6">
                  <c:v>90</c:v>
                </c:pt>
                <c:pt idx="7">
                  <c:v>120</c:v>
                </c:pt>
              </c:numCache>
            </c:numRef>
          </c:xVal>
          <c:yVal>
            <c:numRef>
              <c:f>S3_model_fitting!$E$1699:$E$1706</c:f>
              <c:numCache>
                <c:formatCode>General</c:formatCode>
                <c:ptCount val="8"/>
                <c:pt idx="0">
                  <c:v>100</c:v>
                </c:pt>
                <c:pt idx="1">
                  <c:v>84</c:v>
                </c:pt>
                <c:pt idx="2">
                  <c:v>80</c:v>
                </c:pt>
                <c:pt idx="3">
                  <c:v>65</c:v>
                </c:pt>
                <c:pt idx="4">
                  <c:v>60</c:v>
                </c:pt>
                <c:pt idx="5">
                  <c:v>34</c:v>
                </c:pt>
                <c:pt idx="6">
                  <c:v>23</c:v>
                </c:pt>
                <c:pt idx="7">
                  <c:v>14</c:v>
                </c:pt>
              </c:numCache>
            </c:numRef>
          </c:yVal>
          <c:smooth val="0"/>
          <c:extLst>
            <c:ext xmlns:c16="http://schemas.microsoft.com/office/drawing/2014/chart" uri="{C3380CC4-5D6E-409C-BE32-E72D297353CC}">
              <c16:uniqueId val="{00000000-85B2-3742-A9D4-B9CD97FC1BCC}"/>
            </c:ext>
          </c:extLst>
        </c:ser>
        <c:dLbls>
          <c:showLegendKey val="0"/>
          <c:showVal val="0"/>
          <c:showCatName val="0"/>
          <c:showSerName val="0"/>
          <c:showPercent val="0"/>
          <c:showBubbleSize val="0"/>
        </c:dLbls>
        <c:axId val="871094576"/>
        <c:axId val="871153312"/>
      </c:scatterChart>
      <c:valAx>
        <c:axId val="87109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53312"/>
        <c:crosses val="autoZero"/>
        <c:crossBetween val="midCat"/>
      </c:valAx>
      <c:valAx>
        <c:axId val="87115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94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S3_model_fitting!$D$1707:$D$1716</c:f>
              <c:numCache>
                <c:formatCode>General</c:formatCode>
                <c:ptCount val="10"/>
                <c:pt idx="0">
                  <c:v>0</c:v>
                </c:pt>
                <c:pt idx="1">
                  <c:v>7</c:v>
                </c:pt>
                <c:pt idx="2">
                  <c:v>14</c:v>
                </c:pt>
                <c:pt idx="3">
                  <c:v>23</c:v>
                </c:pt>
                <c:pt idx="4">
                  <c:v>28</c:v>
                </c:pt>
                <c:pt idx="5">
                  <c:v>34</c:v>
                </c:pt>
                <c:pt idx="6">
                  <c:v>42</c:v>
                </c:pt>
                <c:pt idx="7">
                  <c:v>59</c:v>
                </c:pt>
                <c:pt idx="8">
                  <c:v>89</c:v>
                </c:pt>
                <c:pt idx="9">
                  <c:v>119</c:v>
                </c:pt>
              </c:numCache>
            </c:numRef>
          </c:xVal>
          <c:yVal>
            <c:numRef>
              <c:f>S3_model_fitting!$E$1707:$E$1716</c:f>
              <c:numCache>
                <c:formatCode>General</c:formatCode>
                <c:ptCount val="10"/>
                <c:pt idx="0">
                  <c:v>100</c:v>
                </c:pt>
                <c:pt idx="1">
                  <c:v>96</c:v>
                </c:pt>
                <c:pt idx="2">
                  <c:v>72</c:v>
                </c:pt>
                <c:pt idx="3">
                  <c:v>52</c:v>
                </c:pt>
                <c:pt idx="4">
                  <c:v>22</c:v>
                </c:pt>
                <c:pt idx="5">
                  <c:v>22</c:v>
                </c:pt>
                <c:pt idx="6">
                  <c:v>29</c:v>
                </c:pt>
                <c:pt idx="7">
                  <c:v>14</c:v>
                </c:pt>
                <c:pt idx="8">
                  <c:v>2</c:v>
                </c:pt>
                <c:pt idx="9">
                  <c:v>2</c:v>
                </c:pt>
              </c:numCache>
            </c:numRef>
          </c:yVal>
          <c:smooth val="0"/>
          <c:extLst>
            <c:ext xmlns:c16="http://schemas.microsoft.com/office/drawing/2014/chart" uri="{C3380CC4-5D6E-409C-BE32-E72D297353CC}">
              <c16:uniqueId val="{00000000-D44E-7145-B5DD-330E7E4A8ECD}"/>
            </c:ext>
          </c:extLst>
        </c:ser>
        <c:dLbls>
          <c:showLegendKey val="0"/>
          <c:showVal val="0"/>
          <c:showCatName val="0"/>
          <c:showSerName val="0"/>
          <c:showPercent val="0"/>
          <c:showBubbleSize val="0"/>
        </c:dLbls>
        <c:axId val="544356896"/>
        <c:axId val="544358608"/>
      </c:scatterChart>
      <c:valAx>
        <c:axId val="54435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58608"/>
        <c:crosses val="autoZero"/>
        <c:crossBetween val="midCat"/>
      </c:valAx>
      <c:valAx>
        <c:axId val="54435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56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S3_model_fitting!$D$1717:$D$1726</c:f>
              <c:numCache>
                <c:formatCode>General</c:formatCode>
                <c:ptCount val="10"/>
                <c:pt idx="0">
                  <c:v>0</c:v>
                </c:pt>
                <c:pt idx="1">
                  <c:v>4</c:v>
                </c:pt>
                <c:pt idx="2">
                  <c:v>7</c:v>
                </c:pt>
                <c:pt idx="3">
                  <c:v>14</c:v>
                </c:pt>
                <c:pt idx="4">
                  <c:v>21</c:v>
                </c:pt>
                <c:pt idx="5">
                  <c:v>28</c:v>
                </c:pt>
                <c:pt idx="6">
                  <c:v>34</c:v>
                </c:pt>
                <c:pt idx="7">
                  <c:v>42</c:v>
                </c:pt>
                <c:pt idx="8">
                  <c:v>50</c:v>
                </c:pt>
                <c:pt idx="9">
                  <c:v>89</c:v>
                </c:pt>
              </c:numCache>
            </c:numRef>
          </c:xVal>
          <c:yVal>
            <c:numRef>
              <c:f>S3_model_fitting!$E$1717:$E$1726</c:f>
              <c:numCache>
                <c:formatCode>General</c:formatCode>
                <c:ptCount val="10"/>
                <c:pt idx="0">
                  <c:v>100</c:v>
                </c:pt>
                <c:pt idx="1">
                  <c:v>65</c:v>
                </c:pt>
                <c:pt idx="2">
                  <c:v>58</c:v>
                </c:pt>
                <c:pt idx="3">
                  <c:v>35</c:v>
                </c:pt>
                <c:pt idx="4">
                  <c:v>19</c:v>
                </c:pt>
                <c:pt idx="5">
                  <c:v>8</c:v>
                </c:pt>
                <c:pt idx="6">
                  <c:v>2</c:v>
                </c:pt>
                <c:pt idx="7">
                  <c:v>4</c:v>
                </c:pt>
                <c:pt idx="8">
                  <c:v>9</c:v>
                </c:pt>
                <c:pt idx="9">
                  <c:v>0.5</c:v>
                </c:pt>
              </c:numCache>
            </c:numRef>
          </c:yVal>
          <c:smooth val="0"/>
          <c:extLst>
            <c:ext xmlns:c16="http://schemas.microsoft.com/office/drawing/2014/chart" uri="{C3380CC4-5D6E-409C-BE32-E72D297353CC}">
              <c16:uniqueId val="{00000000-A341-A74C-A91D-030E44D21B68}"/>
            </c:ext>
          </c:extLst>
        </c:ser>
        <c:dLbls>
          <c:showLegendKey val="0"/>
          <c:showVal val="0"/>
          <c:showCatName val="0"/>
          <c:showSerName val="0"/>
          <c:showPercent val="0"/>
          <c:showBubbleSize val="0"/>
        </c:dLbls>
        <c:axId val="875147632"/>
        <c:axId val="871887936"/>
      </c:scatterChart>
      <c:valAx>
        <c:axId val="87514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87936"/>
        <c:crosses val="autoZero"/>
        <c:crossBetween val="midCat"/>
      </c:valAx>
      <c:valAx>
        <c:axId val="87188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47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S3_model_fitting!$D$1749:$D$1756</c:f>
              <c:numCache>
                <c:formatCode>General</c:formatCode>
                <c:ptCount val="8"/>
                <c:pt idx="0">
                  <c:v>0</c:v>
                </c:pt>
                <c:pt idx="1">
                  <c:v>1</c:v>
                </c:pt>
                <c:pt idx="2">
                  <c:v>3</c:v>
                </c:pt>
                <c:pt idx="3">
                  <c:v>7</c:v>
                </c:pt>
                <c:pt idx="4">
                  <c:v>16</c:v>
                </c:pt>
                <c:pt idx="5">
                  <c:v>22</c:v>
                </c:pt>
                <c:pt idx="6">
                  <c:v>30</c:v>
                </c:pt>
                <c:pt idx="7">
                  <c:v>45</c:v>
                </c:pt>
              </c:numCache>
            </c:numRef>
          </c:xVal>
          <c:yVal>
            <c:numRef>
              <c:f>S3_model_fitting!$E$1749:$E$1756</c:f>
              <c:numCache>
                <c:formatCode>General</c:formatCode>
                <c:ptCount val="8"/>
                <c:pt idx="0">
                  <c:v>100</c:v>
                </c:pt>
                <c:pt idx="1">
                  <c:v>88.203553898513803</c:v>
                </c:pt>
                <c:pt idx="2">
                  <c:v>87.54767320552061</c:v>
                </c:pt>
                <c:pt idx="3">
                  <c:v>82.962494227907797</c:v>
                </c:pt>
                <c:pt idx="4">
                  <c:v>79.677960014366107</c:v>
                </c:pt>
                <c:pt idx="5">
                  <c:v>79.591592413333103</c:v>
                </c:pt>
                <c:pt idx="6">
                  <c:v>77.033059123326098</c:v>
                </c:pt>
                <c:pt idx="7">
                  <c:v>75.357869713191093</c:v>
                </c:pt>
              </c:numCache>
            </c:numRef>
          </c:yVal>
          <c:smooth val="0"/>
          <c:extLst>
            <c:ext xmlns:c16="http://schemas.microsoft.com/office/drawing/2014/chart" uri="{C3380CC4-5D6E-409C-BE32-E72D297353CC}">
              <c16:uniqueId val="{00000000-047B-1147-B7A3-B523B0E61663}"/>
            </c:ext>
          </c:extLst>
        </c:ser>
        <c:dLbls>
          <c:showLegendKey val="0"/>
          <c:showVal val="0"/>
          <c:showCatName val="0"/>
          <c:showSerName val="0"/>
          <c:showPercent val="0"/>
          <c:showBubbleSize val="0"/>
        </c:dLbls>
        <c:axId val="545019760"/>
        <c:axId val="544393680"/>
      </c:scatterChart>
      <c:valAx>
        <c:axId val="545019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93680"/>
        <c:crosses val="autoZero"/>
        <c:crossBetween val="midCat"/>
      </c:valAx>
      <c:valAx>
        <c:axId val="5443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19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S3_model_fitting!$D$1779:$D$1788</c:f>
              <c:numCache>
                <c:formatCode>General</c:formatCode>
                <c:ptCount val="10"/>
                <c:pt idx="0">
                  <c:v>0</c:v>
                </c:pt>
                <c:pt idx="1">
                  <c:v>0.5</c:v>
                </c:pt>
                <c:pt idx="2">
                  <c:v>1</c:v>
                </c:pt>
                <c:pt idx="3">
                  <c:v>3</c:v>
                </c:pt>
                <c:pt idx="4">
                  <c:v>6</c:v>
                </c:pt>
                <c:pt idx="5">
                  <c:v>10</c:v>
                </c:pt>
                <c:pt idx="6">
                  <c:v>20</c:v>
                </c:pt>
                <c:pt idx="7">
                  <c:v>30</c:v>
                </c:pt>
                <c:pt idx="8">
                  <c:v>45</c:v>
                </c:pt>
                <c:pt idx="9">
                  <c:v>60</c:v>
                </c:pt>
              </c:numCache>
            </c:numRef>
          </c:xVal>
          <c:yVal>
            <c:numRef>
              <c:f>S3_model_fitting!$E$1779:$E$1788</c:f>
              <c:numCache>
                <c:formatCode>General</c:formatCode>
                <c:ptCount val="10"/>
                <c:pt idx="0">
                  <c:v>100</c:v>
                </c:pt>
                <c:pt idx="1">
                  <c:v>88</c:v>
                </c:pt>
                <c:pt idx="2">
                  <c:v>75.960000000000008</c:v>
                </c:pt>
                <c:pt idx="3">
                  <c:v>69.97</c:v>
                </c:pt>
                <c:pt idx="4">
                  <c:v>61.687000000000005</c:v>
                </c:pt>
                <c:pt idx="5">
                  <c:v>61.51</c:v>
                </c:pt>
                <c:pt idx="6">
                  <c:v>51.690000000000005</c:v>
                </c:pt>
                <c:pt idx="7">
                  <c:v>40.39</c:v>
                </c:pt>
                <c:pt idx="8">
                  <c:v>29.25</c:v>
                </c:pt>
                <c:pt idx="9">
                  <c:v>18.649999999999999</c:v>
                </c:pt>
              </c:numCache>
            </c:numRef>
          </c:yVal>
          <c:smooth val="0"/>
          <c:extLst>
            <c:ext xmlns:c16="http://schemas.microsoft.com/office/drawing/2014/chart" uri="{C3380CC4-5D6E-409C-BE32-E72D297353CC}">
              <c16:uniqueId val="{00000000-3852-B64A-A62F-32D2F73DB9A1}"/>
            </c:ext>
          </c:extLst>
        </c:ser>
        <c:dLbls>
          <c:showLegendKey val="0"/>
          <c:showVal val="0"/>
          <c:showCatName val="0"/>
          <c:showSerName val="0"/>
          <c:showPercent val="0"/>
          <c:showBubbleSize val="0"/>
        </c:dLbls>
        <c:axId val="871063392"/>
        <c:axId val="870733296"/>
      </c:scatterChart>
      <c:valAx>
        <c:axId val="871063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33296"/>
        <c:crosses val="autoZero"/>
        <c:crossBetween val="midCat"/>
      </c:valAx>
      <c:valAx>
        <c:axId val="87073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63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S3_model_fitting!$D$1789:$D$1799</c:f>
              <c:numCache>
                <c:formatCode>General</c:formatCode>
                <c:ptCount val="11"/>
                <c:pt idx="0">
                  <c:v>0</c:v>
                </c:pt>
                <c:pt idx="1">
                  <c:v>7</c:v>
                </c:pt>
                <c:pt idx="2">
                  <c:v>14</c:v>
                </c:pt>
                <c:pt idx="3">
                  <c:v>21</c:v>
                </c:pt>
                <c:pt idx="4">
                  <c:v>28</c:v>
                </c:pt>
                <c:pt idx="5">
                  <c:v>35</c:v>
                </c:pt>
                <c:pt idx="6">
                  <c:v>42</c:v>
                </c:pt>
                <c:pt idx="7">
                  <c:v>49</c:v>
                </c:pt>
                <c:pt idx="8">
                  <c:v>56</c:v>
                </c:pt>
                <c:pt idx="9">
                  <c:v>63</c:v>
                </c:pt>
                <c:pt idx="10">
                  <c:v>70</c:v>
                </c:pt>
              </c:numCache>
            </c:numRef>
          </c:xVal>
          <c:yVal>
            <c:numRef>
              <c:f>S3_model_fitting!$E$1789:$E$1799</c:f>
              <c:numCache>
                <c:formatCode>General</c:formatCode>
                <c:ptCount val="11"/>
                <c:pt idx="0">
                  <c:v>100</c:v>
                </c:pt>
                <c:pt idx="1">
                  <c:v>25.67</c:v>
                </c:pt>
                <c:pt idx="2">
                  <c:v>12.09</c:v>
                </c:pt>
                <c:pt idx="3">
                  <c:v>7.3529999999999998</c:v>
                </c:pt>
                <c:pt idx="4">
                  <c:v>5.9119999999999999</c:v>
                </c:pt>
                <c:pt idx="5">
                  <c:v>5.7050000000000001</c:v>
                </c:pt>
                <c:pt idx="6">
                  <c:v>5.7030000000000003</c:v>
                </c:pt>
                <c:pt idx="7">
                  <c:v>6.5030000000000001</c:v>
                </c:pt>
                <c:pt idx="8">
                  <c:v>6.0019999999999998</c:v>
                </c:pt>
                <c:pt idx="9">
                  <c:v>4.1920000000000002</c:v>
                </c:pt>
                <c:pt idx="10">
                  <c:v>5.3940000000000001</c:v>
                </c:pt>
              </c:numCache>
            </c:numRef>
          </c:yVal>
          <c:smooth val="0"/>
          <c:extLst>
            <c:ext xmlns:c16="http://schemas.microsoft.com/office/drawing/2014/chart" uri="{C3380CC4-5D6E-409C-BE32-E72D297353CC}">
              <c16:uniqueId val="{00000000-C17C-A842-A812-C6D9FD0167FF}"/>
            </c:ext>
          </c:extLst>
        </c:ser>
        <c:dLbls>
          <c:showLegendKey val="0"/>
          <c:showVal val="0"/>
          <c:showCatName val="0"/>
          <c:showSerName val="0"/>
          <c:showPercent val="0"/>
          <c:showBubbleSize val="0"/>
        </c:dLbls>
        <c:axId val="173171008"/>
        <c:axId val="89782096"/>
      </c:scatterChart>
      <c:valAx>
        <c:axId val="17317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2096"/>
        <c:crosses val="autoZero"/>
        <c:crossBetween val="midCat"/>
      </c:valAx>
      <c:valAx>
        <c:axId val="8978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1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S3_model_fitting!$D$1800:$D$1810</c:f>
              <c:numCache>
                <c:formatCode>General</c:formatCode>
                <c:ptCount val="11"/>
                <c:pt idx="0">
                  <c:v>0</c:v>
                </c:pt>
                <c:pt idx="1">
                  <c:v>7</c:v>
                </c:pt>
                <c:pt idx="2">
                  <c:v>14</c:v>
                </c:pt>
                <c:pt idx="3">
                  <c:v>21</c:v>
                </c:pt>
                <c:pt idx="4">
                  <c:v>28</c:v>
                </c:pt>
                <c:pt idx="5">
                  <c:v>35</c:v>
                </c:pt>
                <c:pt idx="6">
                  <c:v>42</c:v>
                </c:pt>
                <c:pt idx="7">
                  <c:v>49</c:v>
                </c:pt>
                <c:pt idx="8">
                  <c:v>56</c:v>
                </c:pt>
                <c:pt idx="9">
                  <c:v>63</c:v>
                </c:pt>
                <c:pt idx="10">
                  <c:v>70</c:v>
                </c:pt>
              </c:numCache>
            </c:numRef>
          </c:xVal>
          <c:yVal>
            <c:numRef>
              <c:f>S3_model_fitting!$E$1800:$E$1810</c:f>
              <c:numCache>
                <c:formatCode>General</c:formatCode>
                <c:ptCount val="11"/>
                <c:pt idx="0">
                  <c:v>100</c:v>
                </c:pt>
                <c:pt idx="1">
                  <c:v>51.25</c:v>
                </c:pt>
                <c:pt idx="2">
                  <c:v>34.33</c:v>
                </c:pt>
                <c:pt idx="3">
                  <c:v>29.31</c:v>
                </c:pt>
                <c:pt idx="4">
                  <c:v>25.92</c:v>
                </c:pt>
                <c:pt idx="5">
                  <c:v>25.17</c:v>
                </c:pt>
                <c:pt idx="6">
                  <c:v>21.45</c:v>
                </c:pt>
                <c:pt idx="7">
                  <c:v>22.19</c:v>
                </c:pt>
                <c:pt idx="8">
                  <c:v>22.86</c:v>
                </c:pt>
                <c:pt idx="9">
                  <c:v>21.48</c:v>
                </c:pt>
                <c:pt idx="10">
                  <c:v>20.62</c:v>
                </c:pt>
              </c:numCache>
            </c:numRef>
          </c:yVal>
          <c:smooth val="0"/>
          <c:extLst>
            <c:ext xmlns:c16="http://schemas.microsoft.com/office/drawing/2014/chart" uri="{C3380CC4-5D6E-409C-BE32-E72D297353CC}">
              <c16:uniqueId val="{00000000-B55A-C24E-B34A-A18DB1ADC5E4}"/>
            </c:ext>
          </c:extLst>
        </c:ser>
        <c:dLbls>
          <c:showLegendKey val="0"/>
          <c:showVal val="0"/>
          <c:showCatName val="0"/>
          <c:showSerName val="0"/>
          <c:showPercent val="0"/>
          <c:showBubbleSize val="0"/>
        </c:dLbls>
        <c:axId val="880551792"/>
        <c:axId val="931313920"/>
      </c:scatterChart>
      <c:valAx>
        <c:axId val="88055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13920"/>
        <c:crosses val="autoZero"/>
        <c:crossBetween val="midCat"/>
      </c:valAx>
      <c:valAx>
        <c:axId val="93131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517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S3_model_fitting!$D$1811:$D$1821</c:f>
              <c:numCache>
                <c:formatCode>General</c:formatCode>
                <c:ptCount val="11"/>
                <c:pt idx="0">
                  <c:v>0</c:v>
                </c:pt>
                <c:pt idx="1">
                  <c:v>7</c:v>
                </c:pt>
                <c:pt idx="2">
                  <c:v>14</c:v>
                </c:pt>
                <c:pt idx="3">
                  <c:v>21</c:v>
                </c:pt>
                <c:pt idx="4">
                  <c:v>28</c:v>
                </c:pt>
                <c:pt idx="5">
                  <c:v>35</c:v>
                </c:pt>
                <c:pt idx="6">
                  <c:v>42</c:v>
                </c:pt>
                <c:pt idx="7">
                  <c:v>49</c:v>
                </c:pt>
                <c:pt idx="8">
                  <c:v>56</c:v>
                </c:pt>
                <c:pt idx="9">
                  <c:v>63</c:v>
                </c:pt>
                <c:pt idx="10">
                  <c:v>70</c:v>
                </c:pt>
              </c:numCache>
            </c:numRef>
          </c:xVal>
          <c:yVal>
            <c:numRef>
              <c:f>S3_model_fitting!$E$1811:$E$1821</c:f>
              <c:numCache>
                <c:formatCode>General</c:formatCode>
                <c:ptCount val="11"/>
                <c:pt idx="0">
                  <c:v>100</c:v>
                </c:pt>
                <c:pt idx="1">
                  <c:v>25.59</c:v>
                </c:pt>
                <c:pt idx="2">
                  <c:v>12.06</c:v>
                </c:pt>
                <c:pt idx="3">
                  <c:v>1.42</c:v>
                </c:pt>
                <c:pt idx="4">
                  <c:v>1.25</c:v>
                </c:pt>
                <c:pt idx="5">
                  <c:v>5.66</c:v>
                </c:pt>
                <c:pt idx="6">
                  <c:v>1.36</c:v>
                </c:pt>
                <c:pt idx="7">
                  <c:v>2.17</c:v>
                </c:pt>
                <c:pt idx="8">
                  <c:v>0.40699999999999997</c:v>
                </c:pt>
                <c:pt idx="9">
                  <c:v>2.56</c:v>
                </c:pt>
                <c:pt idx="10">
                  <c:v>1.28</c:v>
                </c:pt>
              </c:numCache>
            </c:numRef>
          </c:yVal>
          <c:smooth val="0"/>
          <c:extLst>
            <c:ext xmlns:c16="http://schemas.microsoft.com/office/drawing/2014/chart" uri="{C3380CC4-5D6E-409C-BE32-E72D297353CC}">
              <c16:uniqueId val="{00000000-B64E-EF45-91A3-54B227D0E5F8}"/>
            </c:ext>
          </c:extLst>
        </c:ser>
        <c:dLbls>
          <c:showLegendKey val="0"/>
          <c:showVal val="0"/>
          <c:showCatName val="0"/>
          <c:showSerName val="0"/>
          <c:showPercent val="0"/>
          <c:showBubbleSize val="0"/>
        </c:dLbls>
        <c:axId val="544460720"/>
        <c:axId val="545018096"/>
      </c:scatterChart>
      <c:valAx>
        <c:axId val="54446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18096"/>
        <c:crosses val="autoZero"/>
        <c:crossBetween val="midCat"/>
      </c:valAx>
      <c:valAx>
        <c:axId val="5450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60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S3_model_fitting!$D$1822:$D$1827</c:f>
              <c:numCache>
                <c:formatCode>General</c:formatCode>
                <c:ptCount val="6"/>
                <c:pt idx="0">
                  <c:v>0</c:v>
                </c:pt>
                <c:pt idx="1">
                  <c:v>1</c:v>
                </c:pt>
                <c:pt idx="2">
                  <c:v>3</c:v>
                </c:pt>
                <c:pt idx="3">
                  <c:v>6</c:v>
                </c:pt>
                <c:pt idx="4">
                  <c:v>10</c:v>
                </c:pt>
                <c:pt idx="5">
                  <c:v>15</c:v>
                </c:pt>
              </c:numCache>
            </c:numRef>
          </c:xVal>
          <c:yVal>
            <c:numRef>
              <c:f>S3_model_fitting!$E$1822:$E$1827</c:f>
              <c:numCache>
                <c:formatCode>General</c:formatCode>
                <c:ptCount val="6"/>
                <c:pt idx="0">
                  <c:v>100</c:v>
                </c:pt>
                <c:pt idx="1">
                  <c:v>56.02</c:v>
                </c:pt>
                <c:pt idx="2">
                  <c:v>54.82</c:v>
                </c:pt>
                <c:pt idx="3">
                  <c:v>51.2</c:v>
                </c:pt>
                <c:pt idx="4">
                  <c:v>37.35</c:v>
                </c:pt>
                <c:pt idx="5">
                  <c:v>16.62</c:v>
                </c:pt>
              </c:numCache>
            </c:numRef>
          </c:yVal>
          <c:smooth val="0"/>
          <c:extLst>
            <c:ext xmlns:c16="http://schemas.microsoft.com/office/drawing/2014/chart" uri="{C3380CC4-5D6E-409C-BE32-E72D297353CC}">
              <c16:uniqueId val="{00000000-2A33-4442-8DCF-17C181373F54}"/>
            </c:ext>
          </c:extLst>
        </c:ser>
        <c:dLbls>
          <c:showLegendKey val="0"/>
          <c:showVal val="0"/>
          <c:showCatName val="0"/>
          <c:showSerName val="0"/>
          <c:showPercent val="0"/>
          <c:showBubbleSize val="0"/>
        </c:dLbls>
        <c:axId val="871112720"/>
        <c:axId val="870435088"/>
      </c:scatterChart>
      <c:valAx>
        <c:axId val="871112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435088"/>
        <c:crosses val="autoZero"/>
        <c:crossBetween val="midCat"/>
      </c:valAx>
      <c:valAx>
        <c:axId val="87043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12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S3_model_fitting!$D$1840:$D$1845</c:f>
              <c:numCache>
                <c:formatCode>General</c:formatCode>
                <c:ptCount val="6"/>
                <c:pt idx="0">
                  <c:v>0</c:v>
                </c:pt>
                <c:pt idx="1">
                  <c:v>1</c:v>
                </c:pt>
                <c:pt idx="2">
                  <c:v>3</c:v>
                </c:pt>
                <c:pt idx="3">
                  <c:v>6</c:v>
                </c:pt>
                <c:pt idx="4">
                  <c:v>10</c:v>
                </c:pt>
                <c:pt idx="5">
                  <c:v>15</c:v>
                </c:pt>
              </c:numCache>
            </c:numRef>
          </c:xVal>
          <c:yVal>
            <c:numRef>
              <c:f>S3_model_fitting!$E$1840:$E$1845</c:f>
              <c:numCache>
                <c:formatCode>General</c:formatCode>
                <c:ptCount val="6"/>
                <c:pt idx="0">
                  <c:v>100</c:v>
                </c:pt>
                <c:pt idx="1">
                  <c:v>49.4</c:v>
                </c:pt>
                <c:pt idx="2">
                  <c:v>46.38</c:v>
                </c:pt>
                <c:pt idx="3">
                  <c:v>40.36</c:v>
                </c:pt>
                <c:pt idx="4">
                  <c:v>30.72</c:v>
                </c:pt>
                <c:pt idx="5">
                  <c:v>17.45</c:v>
                </c:pt>
              </c:numCache>
            </c:numRef>
          </c:yVal>
          <c:smooth val="0"/>
          <c:extLst>
            <c:ext xmlns:c16="http://schemas.microsoft.com/office/drawing/2014/chart" uri="{C3380CC4-5D6E-409C-BE32-E72D297353CC}">
              <c16:uniqueId val="{00000000-A0EC-444D-9E1A-D47AF045EBE9}"/>
            </c:ext>
          </c:extLst>
        </c:ser>
        <c:dLbls>
          <c:showLegendKey val="0"/>
          <c:showVal val="0"/>
          <c:showCatName val="0"/>
          <c:showSerName val="0"/>
          <c:showPercent val="0"/>
          <c:showBubbleSize val="0"/>
        </c:dLbls>
        <c:axId val="875525568"/>
        <c:axId val="402710048"/>
      </c:scatterChart>
      <c:valAx>
        <c:axId val="87552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10048"/>
        <c:crosses val="autoZero"/>
        <c:crossBetween val="midCat"/>
      </c:valAx>
      <c:valAx>
        <c:axId val="40271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525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S3_model_fitting!$D$1889:$D$1898</c:f>
              <c:numCache>
                <c:formatCode>General</c:formatCode>
                <c:ptCount val="10"/>
                <c:pt idx="0">
                  <c:v>0</c:v>
                </c:pt>
                <c:pt idx="1">
                  <c:v>2</c:v>
                </c:pt>
                <c:pt idx="2">
                  <c:v>3</c:v>
                </c:pt>
                <c:pt idx="3">
                  <c:v>4</c:v>
                </c:pt>
                <c:pt idx="4">
                  <c:v>5</c:v>
                </c:pt>
                <c:pt idx="5">
                  <c:v>7</c:v>
                </c:pt>
                <c:pt idx="6">
                  <c:v>11</c:v>
                </c:pt>
                <c:pt idx="7">
                  <c:v>15</c:v>
                </c:pt>
                <c:pt idx="8">
                  <c:v>20</c:v>
                </c:pt>
                <c:pt idx="9">
                  <c:v>36</c:v>
                </c:pt>
              </c:numCache>
            </c:numRef>
          </c:xVal>
          <c:yVal>
            <c:numRef>
              <c:f>S3_model_fitting!$E$1889:$E$1898</c:f>
              <c:numCache>
                <c:formatCode>General</c:formatCode>
                <c:ptCount val="10"/>
                <c:pt idx="0">
                  <c:v>100</c:v>
                </c:pt>
                <c:pt idx="1">
                  <c:v>91.49</c:v>
                </c:pt>
                <c:pt idx="2">
                  <c:v>85</c:v>
                </c:pt>
                <c:pt idx="3">
                  <c:v>81.12</c:v>
                </c:pt>
                <c:pt idx="4">
                  <c:v>76.150000000000006</c:v>
                </c:pt>
                <c:pt idx="5">
                  <c:v>72.58</c:v>
                </c:pt>
                <c:pt idx="6">
                  <c:v>76.040000000000006</c:v>
                </c:pt>
                <c:pt idx="7">
                  <c:v>71.39</c:v>
                </c:pt>
                <c:pt idx="8">
                  <c:v>69.67</c:v>
                </c:pt>
                <c:pt idx="9">
                  <c:v>60.59</c:v>
                </c:pt>
              </c:numCache>
            </c:numRef>
          </c:yVal>
          <c:smooth val="0"/>
          <c:extLst>
            <c:ext xmlns:c16="http://schemas.microsoft.com/office/drawing/2014/chart" uri="{C3380CC4-5D6E-409C-BE32-E72D297353CC}">
              <c16:uniqueId val="{00000000-FDDB-F840-B2DA-AFE51D3DBBEF}"/>
            </c:ext>
          </c:extLst>
        </c:ser>
        <c:dLbls>
          <c:showLegendKey val="0"/>
          <c:showVal val="0"/>
          <c:showCatName val="0"/>
          <c:showSerName val="0"/>
          <c:showPercent val="0"/>
          <c:showBubbleSize val="0"/>
        </c:dLbls>
        <c:axId val="871247552"/>
        <c:axId val="870950768"/>
      </c:scatterChart>
      <c:valAx>
        <c:axId val="87124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50768"/>
        <c:crosses val="autoZero"/>
        <c:crossBetween val="midCat"/>
      </c:valAx>
      <c:valAx>
        <c:axId val="8709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47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S3_model_fitting!$D$1899:$D$1908</c:f>
              <c:numCache>
                <c:formatCode>General</c:formatCode>
                <c:ptCount val="10"/>
                <c:pt idx="0">
                  <c:v>0</c:v>
                </c:pt>
                <c:pt idx="1">
                  <c:v>2</c:v>
                </c:pt>
                <c:pt idx="2">
                  <c:v>3</c:v>
                </c:pt>
                <c:pt idx="3">
                  <c:v>4</c:v>
                </c:pt>
                <c:pt idx="4">
                  <c:v>5</c:v>
                </c:pt>
                <c:pt idx="5">
                  <c:v>7</c:v>
                </c:pt>
                <c:pt idx="6">
                  <c:v>11</c:v>
                </c:pt>
                <c:pt idx="7">
                  <c:v>15</c:v>
                </c:pt>
                <c:pt idx="8">
                  <c:v>20</c:v>
                </c:pt>
                <c:pt idx="9">
                  <c:v>36</c:v>
                </c:pt>
              </c:numCache>
            </c:numRef>
          </c:xVal>
          <c:yVal>
            <c:numRef>
              <c:f>S3_model_fitting!$E$1899:$E$1908</c:f>
              <c:numCache>
                <c:formatCode>General</c:formatCode>
                <c:ptCount val="10"/>
                <c:pt idx="0">
                  <c:v>100</c:v>
                </c:pt>
                <c:pt idx="1">
                  <c:v>98.84</c:v>
                </c:pt>
                <c:pt idx="2">
                  <c:v>94.84</c:v>
                </c:pt>
                <c:pt idx="3">
                  <c:v>93.65</c:v>
                </c:pt>
                <c:pt idx="4">
                  <c:v>90.52</c:v>
                </c:pt>
                <c:pt idx="5">
                  <c:v>90.195999999999998</c:v>
                </c:pt>
                <c:pt idx="6">
                  <c:v>88.25</c:v>
                </c:pt>
                <c:pt idx="7">
                  <c:v>84.04</c:v>
                </c:pt>
                <c:pt idx="8">
                  <c:v>77.23</c:v>
                </c:pt>
                <c:pt idx="9">
                  <c:v>72.260000000000005</c:v>
                </c:pt>
              </c:numCache>
            </c:numRef>
          </c:yVal>
          <c:smooth val="0"/>
          <c:extLst>
            <c:ext xmlns:c16="http://schemas.microsoft.com/office/drawing/2014/chart" uri="{C3380CC4-5D6E-409C-BE32-E72D297353CC}">
              <c16:uniqueId val="{00000000-F5B5-364B-8D2D-C3A4B75DEE1B}"/>
            </c:ext>
          </c:extLst>
        </c:ser>
        <c:dLbls>
          <c:showLegendKey val="0"/>
          <c:showVal val="0"/>
          <c:showCatName val="0"/>
          <c:showSerName val="0"/>
          <c:showPercent val="0"/>
          <c:showBubbleSize val="0"/>
        </c:dLbls>
        <c:axId val="544600496"/>
        <c:axId val="544602208"/>
      </c:scatterChart>
      <c:valAx>
        <c:axId val="544600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02208"/>
        <c:crosses val="autoZero"/>
        <c:crossBetween val="midCat"/>
      </c:valAx>
      <c:valAx>
        <c:axId val="5446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00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S3_model_fitting!$D$15:$D$21</c:f>
              <c:numCache>
                <c:formatCode>General</c:formatCode>
                <c:ptCount val="7"/>
                <c:pt idx="0">
                  <c:v>0</c:v>
                </c:pt>
                <c:pt idx="1">
                  <c:v>7</c:v>
                </c:pt>
                <c:pt idx="2">
                  <c:v>12</c:v>
                </c:pt>
                <c:pt idx="3">
                  <c:v>20</c:v>
                </c:pt>
                <c:pt idx="4">
                  <c:v>26</c:v>
                </c:pt>
                <c:pt idx="5">
                  <c:v>33</c:v>
                </c:pt>
                <c:pt idx="6">
                  <c:v>40</c:v>
                </c:pt>
              </c:numCache>
            </c:numRef>
          </c:xVal>
          <c:yVal>
            <c:numRef>
              <c:f>S3_model_fitting!$E$15:$E$21</c:f>
              <c:numCache>
                <c:formatCode>General</c:formatCode>
                <c:ptCount val="7"/>
                <c:pt idx="0">
                  <c:v>100</c:v>
                </c:pt>
                <c:pt idx="1">
                  <c:v>98.4</c:v>
                </c:pt>
                <c:pt idx="2">
                  <c:v>97.12</c:v>
                </c:pt>
                <c:pt idx="3">
                  <c:v>104.16</c:v>
                </c:pt>
                <c:pt idx="4">
                  <c:v>105.8</c:v>
                </c:pt>
                <c:pt idx="5">
                  <c:v>106.7</c:v>
                </c:pt>
                <c:pt idx="6">
                  <c:v>90.4</c:v>
                </c:pt>
              </c:numCache>
            </c:numRef>
          </c:yVal>
          <c:smooth val="0"/>
          <c:extLst>
            <c:ext xmlns:c16="http://schemas.microsoft.com/office/drawing/2014/chart" uri="{C3380CC4-5D6E-409C-BE32-E72D297353CC}">
              <c16:uniqueId val="{00000000-65D8-8A41-A3E5-28F51F7E57DB}"/>
            </c:ext>
          </c:extLst>
        </c:ser>
        <c:dLbls>
          <c:showLegendKey val="0"/>
          <c:showVal val="0"/>
          <c:showCatName val="0"/>
          <c:showSerName val="0"/>
          <c:showPercent val="0"/>
          <c:showBubbleSize val="0"/>
        </c:dLbls>
        <c:axId val="2053966495"/>
        <c:axId val="445304112"/>
      </c:scatterChart>
      <c:valAx>
        <c:axId val="205396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04112"/>
        <c:crosses val="autoZero"/>
        <c:crossBetween val="midCat"/>
      </c:valAx>
      <c:valAx>
        <c:axId val="44530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966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S3_model_fitting!$D$454:$D$466</c:f>
              <c:numCache>
                <c:formatCode>General</c:formatCode>
                <c:ptCount val="13"/>
                <c:pt idx="0">
                  <c:v>0</c:v>
                </c:pt>
                <c:pt idx="1">
                  <c:v>33</c:v>
                </c:pt>
                <c:pt idx="2">
                  <c:v>61</c:v>
                </c:pt>
                <c:pt idx="3">
                  <c:v>88</c:v>
                </c:pt>
                <c:pt idx="4">
                  <c:v>115</c:v>
                </c:pt>
                <c:pt idx="5">
                  <c:v>143</c:v>
                </c:pt>
                <c:pt idx="6">
                  <c:v>172</c:v>
                </c:pt>
                <c:pt idx="7">
                  <c:v>199</c:v>
                </c:pt>
                <c:pt idx="8">
                  <c:v>228</c:v>
                </c:pt>
                <c:pt idx="9">
                  <c:v>259</c:v>
                </c:pt>
                <c:pt idx="10">
                  <c:v>285</c:v>
                </c:pt>
                <c:pt idx="11">
                  <c:v>306</c:v>
                </c:pt>
                <c:pt idx="12">
                  <c:v>313</c:v>
                </c:pt>
              </c:numCache>
            </c:numRef>
          </c:xVal>
          <c:yVal>
            <c:numRef>
              <c:f>S3_model_fitting!$E$454:$E$466</c:f>
              <c:numCache>
                <c:formatCode>General</c:formatCode>
                <c:ptCount val="13"/>
                <c:pt idx="0">
                  <c:v>100</c:v>
                </c:pt>
                <c:pt idx="1">
                  <c:v>97</c:v>
                </c:pt>
                <c:pt idx="2">
                  <c:v>95</c:v>
                </c:pt>
                <c:pt idx="3">
                  <c:v>99</c:v>
                </c:pt>
                <c:pt idx="4">
                  <c:v>93</c:v>
                </c:pt>
                <c:pt idx="5">
                  <c:v>99</c:v>
                </c:pt>
                <c:pt idx="6">
                  <c:v>94</c:v>
                </c:pt>
                <c:pt idx="7">
                  <c:v>91</c:v>
                </c:pt>
                <c:pt idx="8">
                  <c:v>89</c:v>
                </c:pt>
                <c:pt idx="9">
                  <c:v>81</c:v>
                </c:pt>
                <c:pt idx="10">
                  <c:v>86</c:v>
                </c:pt>
                <c:pt idx="11">
                  <c:v>68</c:v>
                </c:pt>
                <c:pt idx="12">
                  <c:v>60</c:v>
                </c:pt>
              </c:numCache>
            </c:numRef>
          </c:yVal>
          <c:smooth val="0"/>
          <c:extLst>
            <c:ext xmlns:c16="http://schemas.microsoft.com/office/drawing/2014/chart" uri="{C3380CC4-5D6E-409C-BE32-E72D297353CC}">
              <c16:uniqueId val="{00000000-2176-2642-AF57-63482CD129ED}"/>
            </c:ext>
          </c:extLst>
        </c:ser>
        <c:dLbls>
          <c:showLegendKey val="0"/>
          <c:showVal val="0"/>
          <c:showCatName val="0"/>
          <c:showSerName val="0"/>
          <c:showPercent val="0"/>
          <c:showBubbleSize val="0"/>
        </c:dLbls>
        <c:axId val="48360351"/>
        <c:axId val="1971766944"/>
      </c:scatterChart>
      <c:valAx>
        <c:axId val="4836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66944"/>
        <c:crosses val="autoZero"/>
        <c:crossBetween val="midCat"/>
      </c:valAx>
      <c:valAx>
        <c:axId val="197176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0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9740594925634295E-2"/>
                  <c:y val="0.101235418489355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S3_model_fitting!$D$851:$D$855</c:f>
              <c:numCache>
                <c:formatCode>General</c:formatCode>
                <c:ptCount val="5"/>
                <c:pt idx="0">
                  <c:v>0</c:v>
                </c:pt>
                <c:pt idx="1">
                  <c:v>7</c:v>
                </c:pt>
                <c:pt idx="2">
                  <c:v>14</c:v>
                </c:pt>
                <c:pt idx="3">
                  <c:v>21</c:v>
                </c:pt>
                <c:pt idx="4">
                  <c:v>28</c:v>
                </c:pt>
              </c:numCache>
            </c:numRef>
          </c:xVal>
          <c:yVal>
            <c:numRef>
              <c:f>S3_model_fitting!$E$851:$E$855</c:f>
              <c:numCache>
                <c:formatCode>General</c:formatCode>
                <c:ptCount val="5"/>
                <c:pt idx="0">
                  <c:v>100</c:v>
                </c:pt>
                <c:pt idx="1">
                  <c:v>89.150943396226396</c:v>
                </c:pt>
                <c:pt idx="2">
                  <c:v>84.433962264150935</c:v>
                </c:pt>
                <c:pt idx="3">
                  <c:v>76.415094339622641</c:v>
                </c:pt>
                <c:pt idx="4">
                  <c:v>70.754716981132077</c:v>
                </c:pt>
              </c:numCache>
            </c:numRef>
          </c:yVal>
          <c:smooth val="0"/>
          <c:extLst>
            <c:ext xmlns:c16="http://schemas.microsoft.com/office/drawing/2014/chart" uri="{C3380CC4-5D6E-409C-BE32-E72D297353CC}">
              <c16:uniqueId val="{00000001-D1BA-1141-941F-600C33A43ACF}"/>
            </c:ext>
          </c:extLst>
        </c:ser>
        <c:dLbls>
          <c:showLegendKey val="0"/>
          <c:showVal val="0"/>
          <c:showCatName val="0"/>
          <c:showSerName val="0"/>
          <c:showPercent val="0"/>
          <c:showBubbleSize val="0"/>
        </c:dLbls>
        <c:axId val="73150543"/>
        <c:axId val="1679587216"/>
      </c:scatterChart>
      <c:valAx>
        <c:axId val="73150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87216"/>
        <c:crosses val="autoZero"/>
        <c:crossBetween val="midCat"/>
      </c:valAx>
      <c:valAx>
        <c:axId val="167958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0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chart" Target="../charts/chart26.xml"/><Relationship Id="rId21" Type="http://schemas.openxmlformats.org/officeDocument/2006/relationships/chart" Target="../charts/chart21.xml"/><Relationship Id="rId42" Type="http://schemas.openxmlformats.org/officeDocument/2006/relationships/chart" Target="../charts/chart42.xml"/><Relationship Id="rId47" Type="http://schemas.openxmlformats.org/officeDocument/2006/relationships/chart" Target="../charts/chart47.xml"/><Relationship Id="rId63" Type="http://schemas.openxmlformats.org/officeDocument/2006/relationships/chart" Target="../charts/chart63.xml"/><Relationship Id="rId68" Type="http://schemas.openxmlformats.org/officeDocument/2006/relationships/chart" Target="../charts/chart68.xml"/><Relationship Id="rId84" Type="http://schemas.openxmlformats.org/officeDocument/2006/relationships/chart" Target="../charts/chart84.xml"/><Relationship Id="rId89" Type="http://schemas.openxmlformats.org/officeDocument/2006/relationships/chart" Target="../charts/chart89.xml"/><Relationship Id="rId16" Type="http://schemas.openxmlformats.org/officeDocument/2006/relationships/chart" Target="../charts/chart16.xml"/><Relationship Id="rId11" Type="http://schemas.openxmlformats.org/officeDocument/2006/relationships/chart" Target="../charts/chart11.xml"/><Relationship Id="rId32" Type="http://schemas.openxmlformats.org/officeDocument/2006/relationships/chart" Target="../charts/chart32.xml"/><Relationship Id="rId37" Type="http://schemas.openxmlformats.org/officeDocument/2006/relationships/chart" Target="../charts/chart37.xml"/><Relationship Id="rId53" Type="http://schemas.openxmlformats.org/officeDocument/2006/relationships/chart" Target="../charts/chart53.xml"/><Relationship Id="rId58" Type="http://schemas.openxmlformats.org/officeDocument/2006/relationships/chart" Target="../charts/chart58.xml"/><Relationship Id="rId74" Type="http://schemas.openxmlformats.org/officeDocument/2006/relationships/chart" Target="../charts/chart74.xml"/><Relationship Id="rId79" Type="http://schemas.openxmlformats.org/officeDocument/2006/relationships/chart" Target="../charts/chart79.xml"/><Relationship Id="rId102" Type="http://schemas.openxmlformats.org/officeDocument/2006/relationships/chart" Target="../charts/chart102.xml"/><Relationship Id="rId5" Type="http://schemas.openxmlformats.org/officeDocument/2006/relationships/chart" Target="../charts/chart5.xml"/><Relationship Id="rId90" Type="http://schemas.openxmlformats.org/officeDocument/2006/relationships/chart" Target="../charts/chart90.xml"/><Relationship Id="rId95" Type="http://schemas.openxmlformats.org/officeDocument/2006/relationships/chart" Target="../charts/chart95.xml"/><Relationship Id="rId22" Type="http://schemas.openxmlformats.org/officeDocument/2006/relationships/chart" Target="../charts/chart22.xml"/><Relationship Id="rId27" Type="http://schemas.openxmlformats.org/officeDocument/2006/relationships/chart" Target="../charts/chart27.xml"/><Relationship Id="rId43" Type="http://schemas.openxmlformats.org/officeDocument/2006/relationships/chart" Target="../charts/chart43.xml"/><Relationship Id="rId48" Type="http://schemas.openxmlformats.org/officeDocument/2006/relationships/chart" Target="../charts/chart48.xml"/><Relationship Id="rId64" Type="http://schemas.openxmlformats.org/officeDocument/2006/relationships/chart" Target="../charts/chart64.xml"/><Relationship Id="rId69" Type="http://schemas.openxmlformats.org/officeDocument/2006/relationships/chart" Target="../charts/chart69.xml"/><Relationship Id="rId80" Type="http://schemas.openxmlformats.org/officeDocument/2006/relationships/chart" Target="../charts/chart80.xml"/><Relationship Id="rId85" Type="http://schemas.openxmlformats.org/officeDocument/2006/relationships/chart" Target="../charts/chart85.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103" Type="http://schemas.openxmlformats.org/officeDocument/2006/relationships/chart" Target="../charts/chart103.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75" Type="http://schemas.openxmlformats.org/officeDocument/2006/relationships/chart" Target="../charts/chart75.xml"/><Relationship Id="rId83" Type="http://schemas.openxmlformats.org/officeDocument/2006/relationships/chart" Target="../charts/chart83.xml"/><Relationship Id="rId88" Type="http://schemas.openxmlformats.org/officeDocument/2006/relationships/chart" Target="../charts/chart88.xml"/><Relationship Id="rId91" Type="http://schemas.openxmlformats.org/officeDocument/2006/relationships/chart" Target="../charts/chart91.xml"/><Relationship Id="rId96" Type="http://schemas.openxmlformats.org/officeDocument/2006/relationships/chart" Target="../charts/chart96.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73" Type="http://schemas.openxmlformats.org/officeDocument/2006/relationships/chart" Target="../charts/chart73.xml"/><Relationship Id="rId78" Type="http://schemas.openxmlformats.org/officeDocument/2006/relationships/chart" Target="../charts/chart78.xml"/><Relationship Id="rId81" Type="http://schemas.openxmlformats.org/officeDocument/2006/relationships/chart" Target="../charts/chart81.xml"/><Relationship Id="rId86" Type="http://schemas.openxmlformats.org/officeDocument/2006/relationships/chart" Target="../charts/chart86.xml"/><Relationship Id="rId94" Type="http://schemas.openxmlformats.org/officeDocument/2006/relationships/chart" Target="../charts/chart94.xml"/><Relationship Id="rId99" Type="http://schemas.openxmlformats.org/officeDocument/2006/relationships/chart" Target="../charts/chart99.xml"/><Relationship Id="rId101" Type="http://schemas.openxmlformats.org/officeDocument/2006/relationships/chart" Target="../charts/chart101.xml"/><Relationship Id="rId4" Type="http://schemas.openxmlformats.org/officeDocument/2006/relationships/chart" Target="../charts/chart4.xml"/><Relationship Id="rId9" Type="http://schemas.openxmlformats.org/officeDocument/2006/relationships/chart" Target="../charts/chart9.xml"/><Relationship Id="rId13" Type="http://schemas.openxmlformats.org/officeDocument/2006/relationships/chart" Target="../charts/chart13.xml"/><Relationship Id="rId18" Type="http://schemas.openxmlformats.org/officeDocument/2006/relationships/chart" Target="../charts/chart18.xml"/><Relationship Id="rId39" Type="http://schemas.openxmlformats.org/officeDocument/2006/relationships/chart" Target="../charts/chart39.xml"/><Relationship Id="rId34" Type="http://schemas.openxmlformats.org/officeDocument/2006/relationships/chart" Target="../charts/chart34.xml"/><Relationship Id="rId50" Type="http://schemas.openxmlformats.org/officeDocument/2006/relationships/chart" Target="../charts/chart50.xml"/><Relationship Id="rId55" Type="http://schemas.openxmlformats.org/officeDocument/2006/relationships/chart" Target="../charts/chart55.xml"/><Relationship Id="rId76" Type="http://schemas.openxmlformats.org/officeDocument/2006/relationships/chart" Target="../charts/chart76.xml"/><Relationship Id="rId97" Type="http://schemas.openxmlformats.org/officeDocument/2006/relationships/chart" Target="../charts/chart97.xml"/><Relationship Id="rId7" Type="http://schemas.openxmlformats.org/officeDocument/2006/relationships/chart" Target="../charts/chart7.xml"/><Relationship Id="rId71" Type="http://schemas.openxmlformats.org/officeDocument/2006/relationships/chart" Target="../charts/chart71.xml"/><Relationship Id="rId92" Type="http://schemas.openxmlformats.org/officeDocument/2006/relationships/chart" Target="../charts/chart92.xml"/><Relationship Id="rId2" Type="http://schemas.openxmlformats.org/officeDocument/2006/relationships/chart" Target="../charts/chart2.xml"/><Relationship Id="rId29" Type="http://schemas.openxmlformats.org/officeDocument/2006/relationships/chart" Target="../charts/chart29.xml"/><Relationship Id="rId24" Type="http://schemas.openxmlformats.org/officeDocument/2006/relationships/chart" Target="../charts/chart24.xml"/><Relationship Id="rId40" Type="http://schemas.openxmlformats.org/officeDocument/2006/relationships/chart" Target="../charts/chart40.xml"/><Relationship Id="rId45" Type="http://schemas.openxmlformats.org/officeDocument/2006/relationships/chart" Target="../charts/chart45.xml"/><Relationship Id="rId66" Type="http://schemas.openxmlformats.org/officeDocument/2006/relationships/chart" Target="../charts/chart66.xml"/><Relationship Id="rId87" Type="http://schemas.openxmlformats.org/officeDocument/2006/relationships/chart" Target="../charts/chart87.xml"/><Relationship Id="rId61" Type="http://schemas.openxmlformats.org/officeDocument/2006/relationships/chart" Target="../charts/chart61.xml"/><Relationship Id="rId82" Type="http://schemas.openxmlformats.org/officeDocument/2006/relationships/chart" Target="../charts/chart82.xml"/><Relationship Id="rId19" Type="http://schemas.openxmlformats.org/officeDocument/2006/relationships/chart" Target="../charts/chart19.xml"/><Relationship Id="rId14" Type="http://schemas.openxmlformats.org/officeDocument/2006/relationships/chart" Target="../charts/chart14.xml"/><Relationship Id="rId30" Type="http://schemas.openxmlformats.org/officeDocument/2006/relationships/chart" Target="../charts/chart30.xml"/><Relationship Id="rId35" Type="http://schemas.openxmlformats.org/officeDocument/2006/relationships/chart" Target="../charts/chart35.xml"/><Relationship Id="rId56" Type="http://schemas.openxmlformats.org/officeDocument/2006/relationships/chart" Target="../charts/chart56.xml"/><Relationship Id="rId77" Type="http://schemas.openxmlformats.org/officeDocument/2006/relationships/chart" Target="../charts/chart77.xml"/><Relationship Id="rId100" Type="http://schemas.openxmlformats.org/officeDocument/2006/relationships/chart" Target="../charts/chart100.xml"/><Relationship Id="rId8" Type="http://schemas.openxmlformats.org/officeDocument/2006/relationships/chart" Target="../charts/chart8.xml"/><Relationship Id="rId51" Type="http://schemas.openxmlformats.org/officeDocument/2006/relationships/chart" Target="../charts/chart51.xml"/><Relationship Id="rId72" Type="http://schemas.openxmlformats.org/officeDocument/2006/relationships/chart" Target="../charts/chart72.xml"/><Relationship Id="rId93" Type="http://schemas.openxmlformats.org/officeDocument/2006/relationships/chart" Target="../charts/chart93.xml"/><Relationship Id="rId98" Type="http://schemas.openxmlformats.org/officeDocument/2006/relationships/chart" Target="../charts/chart98.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6350</xdr:colOff>
      <xdr:row>0</xdr:row>
      <xdr:rowOff>241300</xdr:rowOff>
    </xdr:from>
    <xdr:to>
      <xdr:col>17</xdr:col>
      <xdr:colOff>952500</xdr:colOff>
      <xdr:row>11</xdr:row>
      <xdr:rowOff>177800</xdr:rowOff>
    </xdr:to>
    <xdr:graphicFrame macro="">
      <xdr:nvGraphicFramePr>
        <xdr:cNvPr id="2" name="Chart 1">
          <a:extLst>
            <a:ext uri="{FF2B5EF4-FFF2-40B4-BE49-F238E27FC236}">
              <a16:creationId xmlns:a16="http://schemas.microsoft.com/office/drawing/2014/main" id="{40950608-B200-C145-928A-55FC2EC1C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607482</xdr:colOff>
      <xdr:row>34</xdr:row>
      <xdr:rowOff>0</xdr:rowOff>
    </xdr:from>
    <xdr:to>
      <xdr:col>19</xdr:col>
      <xdr:colOff>615949</xdr:colOff>
      <xdr:row>45</xdr:row>
      <xdr:rowOff>12700</xdr:rowOff>
    </xdr:to>
    <xdr:graphicFrame macro="">
      <xdr:nvGraphicFramePr>
        <xdr:cNvPr id="3" name="Chart 2">
          <a:extLst>
            <a:ext uri="{FF2B5EF4-FFF2-40B4-BE49-F238E27FC236}">
              <a16:creationId xmlns:a16="http://schemas.microsoft.com/office/drawing/2014/main" id="{B984E395-0582-B14F-9900-5860C1401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654050</xdr:colOff>
      <xdr:row>56</xdr:row>
      <xdr:rowOff>63500</xdr:rowOff>
    </xdr:from>
    <xdr:to>
      <xdr:col>21</xdr:col>
      <xdr:colOff>374650</xdr:colOff>
      <xdr:row>70</xdr:row>
      <xdr:rowOff>139700</xdr:rowOff>
    </xdr:to>
    <xdr:graphicFrame macro="">
      <xdr:nvGraphicFramePr>
        <xdr:cNvPr id="4" name="Chart 3">
          <a:extLst>
            <a:ext uri="{FF2B5EF4-FFF2-40B4-BE49-F238E27FC236}">
              <a16:creationId xmlns:a16="http://schemas.microsoft.com/office/drawing/2014/main" id="{009FFA4C-0142-EE47-AC70-30343AB09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95250</xdr:colOff>
      <xdr:row>69</xdr:row>
      <xdr:rowOff>88900</xdr:rowOff>
    </xdr:from>
    <xdr:to>
      <xdr:col>25</xdr:col>
      <xdr:colOff>628650</xdr:colOff>
      <xdr:row>83</xdr:row>
      <xdr:rowOff>165100</xdr:rowOff>
    </xdr:to>
    <xdr:graphicFrame macro="">
      <xdr:nvGraphicFramePr>
        <xdr:cNvPr id="5" name="Chart 4">
          <a:extLst>
            <a:ext uri="{FF2B5EF4-FFF2-40B4-BE49-F238E27FC236}">
              <a16:creationId xmlns:a16="http://schemas.microsoft.com/office/drawing/2014/main" id="{86FC97C4-3945-8E44-A5A3-8153192A1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730250</xdr:colOff>
      <xdr:row>79</xdr:row>
      <xdr:rowOff>0</xdr:rowOff>
    </xdr:from>
    <xdr:to>
      <xdr:col>24</xdr:col>
      <xdr:colOff>247650</xdr:colOff>
      <xdr:row>93</xdr:row>
      <xdr:rowOff>76200</xdr:rowOff>
    </xdr:to>
    <xdr:graphicFrame macro="">
      <xdr:nvGraphicFramePr>
        <xdr:cNvPr id="6" name="Chart 5">
          <a:extLst>
            <a:ext uri="{FF2B5EF4-FFF2-40B4-BE49-F238E27FC236}">
              <a16:creationId xmlns:a16="http://schemas.microsoft.com/office/drawing/2014/main" id="{B748B52D-65DD-D640-94A0-377FF7E32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120650</xdr:colOff>
      <xdr:row>92</xdr:row>
      <xdr:rowOff>38100</xdr:rowOff>
    </xdr:from>
    <xdr:to>
      <xdr:col>25</xdr:col>
      <xdr:colOff>654050</xdr:colOff>
      <xdr:row>106</xdr:row>
      <xdr:rowOff>114300</xdr:rowOff>
    </xdr:to>
    <xdr:graphicFrame macro="">
      <xdr:nvGraphicFramePr>
        <xdr:cNvPr id="7" name="Chart 6">
          <a:extLst>
            <a:ext uri="{FF2B5EF4-FFF2-40B4-BE49-F238E27FC236}">
              <a16:creationId xmlns:a16="http://schemas.microsoft.com/office/drawing/2014/main" id="{E3BBCCB3-F389-5440-A32C-2CA6C6560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298450</xdr:colOff>
      <xdr:row>108</xdr:row>
      <xdr:rowOff>114300</xdr:rowOff>
    </xdr:from>
    <xdr:to>
      <xdr:col>28</xdr:col>
      <xdr:colOff>158750</xdr:colOff>
      <xdr:row>123</xdr:row>
      <xdr:rowOff>0</xdr:rowOff>
    </xdr:to>
    <xdr:graphicFrame macro="">
      <xdr:nvGraphicFramePr>
        <xdr:cNvPr id="8" name="Chart 7">
          <a:extLst>
            <a:ext uri="{FF2B5EF4-FFF2-40B4-BE49-F238E27FC236}">
              <a16:creationId xmlns:a16="http://schemas.microsoft.com/office/drawing/2014/main" id="{C19AF4B2-86D3-D14D-87DD-E66760756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184150</xdr:colOff>
      <xdr:row>119</xdr:row>
      <xdr:rowOff>114300</xdr:rowOff>
    </xdr:from>
    <xdr:to>
      <xdr:col>26</xdr:col>
      <xdr:colOff>44450</xdr:colOff>
      <xdr:row>134</xdr:row>
      <xdr:rowOff>0</xdr:rowOff>
    </xdr:to>
    <xdr:graphicFrame macro="">
      <xdr:nvGraphicFramePr>
        <xdr:cNvPr id="9" name="Chart 8">
          <a:extLst>
            <a:ext uri="{FF2B5EF4-FFF2-40B4-BE49-F238E27FC236}">
              <a16:creationId xmlns:a16="http://schemas.microsoft.com/office/drawing/2014/main" id="{24D4CE6C-C443-1F43-BE26-C398B6C53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577850</xdr:colOff>
      <xdr:row>128</xdr:row>
      <xdr:rowOff>127000</xdr:rowOff>
    </xdr:from>
    <xdr:to>
      <xdr:col>25</xdr:col>
      <xdr:colOff>438150</xdr:colOff>
      <xdr:row>143</xdr:row>
      <xdr:rowOff>12700</xdr:rowOff>
    </xdr:to>
    <xdr:graphicFrame macro="">
      <xdr:nvGraphicFramePr>
        <xdr:cNvPr id="10" name="Chart 9">
          <a:extLst>
            <a:ext uri="{FF2B5EF4-FFF2-40B4-BE49-F238E27FC236}">
              <a16:creationId xmlns:a16="http://schemas.microsoft.com/office/drawing/2014/main" id="{7AFA0521-C8E5-394B-87AB-6240B4B6A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425450</xdr:colOff>
      <xdr:row>137</xdr:row>
      <xdr:rowOff>25400</xdr:rowOff>
    </xdr:from>
    <xdr:to>
      <xdr:col>25</xdr:col>
      <xdr:colOff>285750</xdr:colOff>
      <xdr:row>151</xdr:row>
      <xdr:rowOff>101600</xdr:rowOff>
    </xdr:to>
    <xdr:graphicFrame macro="">
      <xdr:nvGraphicFramePr>
        <xdr:cNvPr id="11" name="Chart 10">
          <a:extLst>
            <a:ext uri="{FF2B5EF4-FFF2-40B4-BE49-F238E27FC236}">
              <a16:creationId xmlns:a16="http://schemas.microsoft.com/office/drawing/2014/main" id="{9ABBF3E8-D71A-8F4F-A877-30AF3CB99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285750</xdr:colOff>
      <xdr:row>149</xdr:row>
      <xdr:rowOff>12700</xdr:rowOff>
    </xdr:from>
    <xdr:to>
      <xdr:col>25</xdr:col>
      <xdr:colOff>146050</xdr:colOff>
      <xdr:row>163</xdr:row>
      <xdr:rowOff>88900</xdr:rowOff>
    </xdr:to>
    <xdr:graphicFrame macro="">
      <xdr:nvGraphicFramePr>
        <xdr:cNvPr id="12" name="Chart 11">
          <a:extLst>
            <a:ext uri="{FF2B5EF4-FFF2-40B4-BE49-F238E27FC236}">
              <a16:creationId xmlns:a16="http://schemas.microsoft.com/office/drawing/2014/main" id="{0CD9B3C7-0675-B64A-A539-0C28DC613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1543050</xdr:colOff>
      <xdr:row>155</xdr:row>
      <xdr:rowOff>165100</xdr:rowOff>
    </xdr:from>
    <xdr:to>
      <xdr:col>22</xdr:col>
      <xdr:colOff>590550</xdr:colOff>
      <xdr:row>170</xdr:row>
      <xdr:rowOff>50800</xdr:rowOff>
    </xdr:to>
    <xdr:graphicFrame macro="">
      <xdr:nvGraphicFramePr>
        <xdr:cNvPr id="13" name="Chart 12">
          <a:extLst>
            <a:ext uri="{FF2B5EF4-FFF2-40B4-BE49-F238E27FC236}">
              <a16:creationId xmlns:a16="http://schemas.microsoft.com/office/drawing/2014/main" id="{76230B9C-E6D5-D74A-BE42-E9D542BBD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6350</xdr:colOff>
      <xdr:row>65</xdr:row>
      <xdr:rowOff>12700</xdr:rowOff>
    </xdr:from>
    <xdr:to>
      <xdr:col>20</xdr:col>
      <xdr:colOff>400050</xdr:colOff>
      <xdr:row>79</xdr:row>
      <xdr:rowOff>88900</xdr:rowOff>
    </xdr:to>
    <xdr:graphicFrame macro="">
      <xdr:nvGraphicFramePr>
        <xdr:cNvPr id="14" name="Chart 13">
          <a:extLst>
            <a:ext uri="{FF2B5EF4-FFF2-40B4-BE49-F238E27FC236}">
              <a16:creationId xmlns:a16="http://schemas.microsoft.com/office/drawing/2014/main" id="{54690EF6-90CA-3741-9CEF-1F13761B3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831850</xdr:colOff>
      <xdr:row>176</xdr:row>
      <xdr:rowOff>88900</xdr:rowOff>
    </xdr:from>
    <xdr:to>
      <xdr:col>21</xdr:col>
      <xdr:colOff>552450</xdr:colOff>
      <xdr:row>190</xdr:row>
      <xdr:rowOff>165100</xdr:rowOff>
    </xdr:to>
    <xdr:graphicFrame macro="">
      <xdr:nvGraphicFramePr>
        <xdr:cNvPr id="15" name="Chart 14">
          <a:extLst>
            <a:ext uri="{FF2B5EF4-FFF2-40B4-BE49-F238E27FC236}">
              <a16:creationId xmlns:a16="http://schemas.microsoft.com/office/drawing/2014/main" id="{4047C75B-E7AC-5041-93FB-9929101BF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946150</xdr:colOff>
      <xdr:row>188</xdr:row>
      <xdr:rowOff>38100</xdr:rowOff>
    </xdr:from>
    <xdr:to>
      <xdr:col>21</xdr:col>
      <xdr:colOff>666750</xdr:colOff>
      <xdr:row>202</xdr:row>
      <xdr:rowOff>114300</xdr:rowOff>
    </xdr:to>
    <xdr:graphicFrame macro="">
      <xdr:nvGraphicFramePr>
        <xdr:cNvPr id="16" name="Chart 15">
          <a:extLst>
            <a:ext uri="{FF2B5EF4-FFF2-40B4-BE49-F238E27FC236}">
              <a16:creationId xmlns:a16="http://schemas.microsoft.com/office/drawing/2014/main" id="{155F80F6-A65C-CA43-84C7-C3B94E8D4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768350</xdr:colOff>
      <xdr:row>196</xdr:row>
      <xdr:rowOff>76200</xdr:rowOff>
    </xdr:from>
    <xdr:to>
      <xdr:col>21</xdr:col>
      <xdr:colOff>488950</xdr:colOff>
      <xdr:row>210</xdr:row>
      <xdr:rowOff>152400</xdr:rowOff>
    </xdr:to>
    <xdr:graphicFrame macro="">
      <xdr:nvGraphicFramePr>
        <xdr:cNvPr id="17" name="Chart 16">
          <a:extLst>
            <a:ext uri="{FF2B5EF4-FFF2-40B4-BE49-F238E27FC236}">
              <a16:creationId xmlns:a16="http://schemas.microsoft.com/office/drawing/2014/main" id="{4D2FDB3C-99E1-6B46-9376-6FCC56004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31750</xdr:colOff>
      <xdr:row>220</xdr:row>
      <xdr:rowOff>127000</xdr:rowOff>
    </xdr:from>
    <xdr:to>
      <xdr:col>24</xdr:col>
      <xdr:colOff>565150</xdr:colOff>
      <xdr:row>235</xdr:row>
      <xdr:rowOff>12700</xdr:rowOff>
    </xdr:to>
    <xdr:graphicFrame macro="">
      <xdr:nvGraphicFramePr>
        <xdr:cNvPr id="18" name="Chart 17">
          <a:extLst>
            <a:ext uri="{FF2B5EF4-FFF2-40B4-BE49-F238E27FC236}">
              <a16:creationId xmlns:a16="http://schemas.microsoft.com/office/drawing/2014/main" id="{1617C4EC-3E9C-D14B-8AD5-CE35D470D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488950</xdr:colOff>
      <xdr:row>233</xdr:row>
      <xdr:rowOff>177800</xdr:rowOff>
    </xdr:from>
    <xdr:to>
      <xdr:col>25</xdr:col>
      <xdr:colOff>349250</xdr:colOff>
      <xdr:row>248</xdr:row>
      <xdr:rowOff>63500</xdr:rowOff>
    </xdr:to>
    <xdr:graphicFrame macro="">
      <xdr:nvGraphicFramePr>
        <xdr:cNvPr id="19" name="Chart 18">
          <a:extLst>
            <a:ext uri="{FF2B5EF4-FFF2-40B4-BE49-F238E27FC236}">
              <a16:creationId xmlns:a16="http://schemas.microsoft.com/office/drawing/2014/main" id="{DC9D8A49-8D89-484A-8044-ABBAB064B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603250</xdr:colOff>
      <xdr:row>242</xdr:row>
      <xdr:rowOff>165100</xdr:rowOff>
    </xdr:from>
    <xdr:to>
      <xdr:col>24</xdr:col>
      <xdr:colOff>120650</xdr:colOff>
      <xdr:row>257</xdr:row>
      <xdr:rowOff>50800</xdr:rowOff>
    </xdr:to>
    <xdr:graphicFrame macro="">
      <xdr:nvGraphicFramePr>
        <xdr:cNvPr id="20" name="Chart 19">
          <a:extLst>
            <a:ext uri="{FF2B5EF4-FFF2-40B4-BE49-F238E27FC236}">
              <a16:creationId xmlns:a16="http://schemas.microsoft.com/office/drawing/2014/main" id="{EE16790E-FAD0-824E-ABD9-1598A1FDF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628650</xdr:colOff>
      <xdr:row>265</xdr:row>
      <xdr:rowOff>76200</xdr:rowOff>
    </xdr:from>
    <xdr:to>
      <xdr:col>24</xdr:col>
      <xdr:colOff>146050</xdr:colOff>
      <xdr:row>279</xdr:row>
      <xdr:rowOff>152400</xdr:rowOff>
    </xdr:to>
    <xdr:graphicFrame macro="">
      <xdr:nvGraphicFramePr>
        <xdr:cNvPr id="21" name="Chart 20">
          <a:extLst>
            <a:ext uri="{FF2B5EF4-FFF2-40B4-BE49-F238E27FC236}">
              <a16:creationId xmlns:a16="http://schemas.microsoft.com/office/drawing/2014/main" id="{FF27F634-DC73-B249-8701-2599CC220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819150</xdr:colOff>
      <xdr:row>275</xdr:row>
      <xdr:rowOff>25400</xdr:rowOff>
    </xdr:from>
    <xdr:to>
      <xdr:col>24</xdr:col>
      <xdr:colOff>336550</xdr:colOff>
      <xdr:row>289</xdr:row>
      <xdr:rowOff>101600</xdr:rowOff>
    </xdr:to>
    <xdr:graphicFrame macro="">
      <xdr:nvGraphicFramePr>
        <xdr:cNvPr id="22" name="Chart 21">
          <a:extLst>
            <a:ext uri="{FF2B5EF4-FFF2-40B4-BE49-F238E27FC236}">
              <a16:creationId xmlns:a16="http://schemas.microsoft.com/office/drawing/2014/main" id="{148DDA99-283E-914F-BF7D-791A9549A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1085850</xdr:colOff>
      <xdr:row>289</xdr:row>
      <xdr:rowOff>101600</xdr:rowOff>
    </xdr:from>
    <xdr:to>
      <xdr:col>22</xdr:col>
      <xdr:colOff>133350</xdr:colOff>
      <xdr:row>303</xdr:row>
      <xdr:rowOff>177800</xdr:rowOff>
    </xdr:to>
    <xdr:graphicFrame macro="">
      <xdr:nvGraphicFramePr>
        <xdr:cNvPr id="23" name="Chart 22">
          <a:extLst>
            <a:ext uri="{FF2B5EF4-FFF2-40B4-BE49-F238E27FC236}">
              <a16:creationId xmlns:a16="http://schemas.microsoft.com/office/drawing/2014/main" id="{98C372E5-23CE-A343-A7F9-AC341BCBB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209550</xdr:colOff>
      <xdr:row>288</xdr:row>
      <xdr:rowOff>50800</xdr:rowOff>
    </xdr:from>
    <xdr:to>
      <xdr:col>25</xdr:col>
      <xdr:colOff>69850</xdr:colOff>
      <xdr:row>302</xdr:row>
      <xdr:rowOff>127000</xdr:rowOff>
    </xdr:to>
    <xdr:graphicFrame macro="">
      <xdr:nvGraphicFramePr>
        <xdr:cNvPr id="24" name="Chart 23">
          <a:extLst>
            <a:ext uri="{FF2B5EF4-FFF2-40B4-BE49-F238E27FC236}">
              <a16:creationId xmlns:a16="http://schemas.microsoft.com/office/drawing/2014/main" id="{DA836C9A-E348-D143-AB29-AC8C3367D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742950</xdr:colOff>
      <xdr:row>304</xdr:row>
      <xdr:rowOff>165100</xdr:rowOff>
    </xdr:from>
    <xdr:to>
      <xdr:col>21</xdr:col>
      <xdr:colOff>463550</xdr:colOff>
      <xdr:row>319</xdr:row>
      <xdr:rowOff>50800</xdr:rowOff>
    </xdr:to>
    <xdr:graphicFrame macro="">
      <xdr:nvGraphicFramePr>
        <xdr:cNvPr id="25" name="Chart 24">
          <a:extLst>
            <a:ext uri="{FF2B5EF4-FFF2-40B4-BE49-F238E27FC236}">
              <a16:creationId xmlns:a16="http://schemas.microsoft.com/office/drawing/2014/main" id="{93CA9F19-7312-384B-85F7-4650E15E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xdr:col>
      <xdr:colOff>209550</xdr:colOff>
      <xdr:row>309</xdr:row>
      <xdr:rowOff>101600</xdr:rowOff>
    </xdr:from>
    <xdr:to>
      <xdr:col>28</xdr:col>
      <xdr:colOff>69850</xdr:colOff>
      <xdr:row>323</xdr:row>
      <xdr:rowOff>177800</xdr:rowOff>
    </xdr:to>
    <xdr:graphicFrame macro="">
      <xdr:nvGraphicFramePr>
        <xdr:cNvPr id="26" name="Chart 25">
          <a:extLst>
            <a:ext uri="{FF2B5EF4-FFF2-40B4-BE49-F238E27FC236}">
              <a16:creationId xmlns:a16="http://schemas.microsoft.com/office/drawing/2014/main" id="{925891F7-5077-F940-9200-48ECEC034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15</xdr:col>
      <xdr:colOff>565150</xdr:colOff>
      <xdr:row>310</xdr:row>
      <xdr:rowOff>76200</xdr:rowOff>
    </xdr:from>
    <xdr:to>
      <xdr:col>20</xdr:col>
      <xdr:colOff>285750</xdr:colOff>
      <xdr:row>324</xdr:row>
      <xdr:rowOff>152400</xdr:rowOff>
    </xdr:to>
    <xdr:graphicFrame macro="">
      <xdr:nvGraphicFramePr>
        <xdr:cNvPr id="27" name="Chart 26">
          <a:extLst>
            <a:ext uri="{FF2B5EF4-FFF2-40B4-BE49-F238E27FC236}">
              <a16:creationId xmlns:a16="http://schemas.microsoft.com/office/drawing/2014/main" id="{C0386837-23E1-F342-BC1A-B2DB1509D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16</xdr:col>
      <xdr:colOff>1644650</xdr:colOff>
      <xdr:row>321</xdr:row>
      <xdr:rowOff>152400</xdr:rowOff>
    </xdr:from>
    <xdr:to>
      <xdr:col>23</xdr:col>
      <xdr:colOff>19050</xdr:colOff>
      <xdr:row>336</xdr:row>
      <xdr:rowOff>38100</xdr:rowOff>
    </xdr:to>
    <xdr:graphicFrame macro="">
      <xdr:nvGraphicFramePr>
        <xdr:cNvPr id="28" name="Chart 27">
          <a:extLst>
            <a:ext uri="{FF2B5EF4-FFF2-40B4-BE49-F238E27FC236}">
              <a16:creationId xmlns:a16="http://schemas.microsoft.com/office/drawing/2014/main" id="{9F774B4C-1361-224D-BB79-CFC907E7C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16</xdr:col>
      <xdr:colOff>209550</xdr:colOff>
      <xdr:row>364</xdr:row>
      <xdr:rowOff>88900</xdr:rowOff>
    </xdr:from>
    <xdr:to>
      <xdr:col>20</xdr:col>
      <xdr:colOff>603250</xdr:colOff>
      <xdr:row>378</xdr:row>
      <xdr:rowOff>165100</xdr:rowOff>
    </xdr:to>
    <xdr:graphicFrame macro="">
      <xdr:nvGraphicFramePr>
        <xdr:cNvPr id="29" name="Chart 28">
          <a:extLst>
            <a:ext uri="{FF2B5EF4-FFF2-40B4-BE49-F238E27FC236}">
              <a16:creationId xmlns:a16="http://schemas.microsoft.com/office/drawing/2014/main" id="{6348F3ED-C6F1-FF44-BCD8-FA3D73BCD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16</xdr:col>
      <xdr:colOff>1022350</xdr:colOff>
      <xdr:row>372</xdr:row>
      <xdr:rowOff>152400</xdr:rowOff>
    </xdr:from>
    <xdr:to>
      <xdr:col>22</xdr:col>
      <xdr:colOff>69850</xdr:colOff>
      <xdr:row>387</xdr:row>
      <xdr:rowOff>38100</xdr:rowOff>
    </xdr:to>
    <xdr:graphicFrame macro="">
      <xdr:nvGraphicFramePr>
        <xdr:cNvPr id="30" name="Chart 29">
          <a:extLst>
            <a:ext uri="{FF2B5EF4-FFF2-40B4-BE49-F238E27FC236}">
              <a16:creationId xmlns:a16="http://schemas.microsoft.com/office/drawing/2014/main" id="{148E70DF-0D38-5C4D-81CD-023A83964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590550</xdr:colOff>
      <xdr:row>380</xdr:row>
      <xdr:rowOff>165100</xdr:rowOff>
    </xdr:from>
    <xdr:to>
      <xdr:col>21</xdr:col>
      <xdr:colOff>311150</xdr:colOff>
      <xdr:row>395</xdr:row>
      <xdr:rowOff>50800</xdr:rowOff>
    </xdr:to>
    <xdr:graphicFrame macro="">
      <xdr:nvGraphicFramePr>
        <xdr:cNvPr id="31" name="Chart 30">
          <a:extLst>
            <a:ext uri="{FF2B5EF4-FFF2-40B4-BE49-F238E27FC236}">
              <a16:creationId xmlns:a16="http://schemas.microsoft.com/office/drawing/2014/main" id="{27B86288-BD78-A64E-8B2F-AD9D5B0E8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971550</xdr:colOff>
      <xdr:row>383</xdr:row>
      <xdr:rowOff>101600</xdr:rowOff>
    </xdr:from>
    <xdr:to>
      <xdr:col>22</xdr:col>
      <xdr:colOff>19050</xdr:colOff>
      <xdr:row>397</xdr:row>
      <xdr:rowOff>177800</xdr:rowOff>
    </xdr:to>
    <xdr:graphicFrame macro="">
      <xdr:nvGraphicFramePr>
        <xdr:cNvPr id="32" name="Chart 31">
          <a:extLst>
            <a:ext uri="{FF2B5EF4-FFF2-40B4-BE49-F238E27FC236}">
              <a16:creationId xmlns:a16="http://schemas.microsoft.com/office/drawing/2014/main" id="{A5359E93-61BB-B948-BB59-0D551C725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16</xdr:col>
      <xdr:colOff>31750</xdr:colOff>
      <xdr:row>404</xdr:row>
      <xdr:rowOff>152400</xdr:rowOff>
    </xdr:from>
    <xdr:to>
      <xdr:col>20</xdr:col>
      <xdr:colOff>425450</xdr:colOff>
      <xdr:row>419</xdr:row>
      <xdr:rowOff>38100</xdr:rowOff>
    </xdr:to>
    <xdr:graphicFrame macro="">
      <xdr:nvGraphicFramePr>
        <xdr:cNvPr id="33" name="Chart 32">
          <a:extLst>
            <a:ext uri="{FF2B5EF4-FFF2-40B4-BE49-F238E27FC236}">
              <a16:creationId xmlns:a16="http://schemas.microsoft.com/office/drawing/2014/main" id="{5E5A90DE-5BFB-184C-8171-C16AA809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13</xdr:col>
      <xdr:colOff>438150</xdr:colOff>
      <xdr:row>433</xdr:row>
      <xdr:rowOff>101600</xdr:rowOff>
    </xdr:from>
    <xdr:to>
      <xdr:col>18</xdr:col>
      <xdr:colOff>158750</xdr:colOff>
      <xdr:row>447</xdr:row>
      <xdr:rowOff>177800</xdr:rowOff>
    </xdr:to>
    <xdr:graphicFrame macro="">
      <xdr:nvGraphicFramePr>
        <xdr:cNvPr id="34" name="Chart 33">
          <a:extLst>
            <a:ext uri="{FF2B5EF4-FFF2-40B4-BE49-F238E27FC236}">
              <a16:creationId xmlns:a16="http://schemas.microsoft.com/office/drawing/2014/main" id="{4AD337B9-CFF4-5645-9340-AEE70CB2E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16</xdr:col>
      <xdr:colOff>514350</xdr:colOff>
      <xdr:row>465</xdr:row>
      <xdr:rowOff>0</xdr:rowOff>
    </xdr:from>
    <xdr:to>
      <xdr:col>21</xdr:col>
      <xdr:colOff>234950</xdr:colOff>
      <xdr:row>479</xdr:row>
      <xdr:rowOff>76200</xdr:rowOff>
    </xdr:to>
    <xdr:graphicFrame macro="">
      <xdr:nvGraphicFramePr>
        <xdr:cNvPr id="35" name="Chart 34">
          <a:extLst>
            <a:ext uri="{FF2B5EF4-FFF2-40B4-BE49-F238E27FC236}">
              <a16:creationId xmlns:a16="http://schemas.microsoft.com/office/drawing/2014/main" id="{220133D0-D452-034D-822F-7F1A81272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679450</xdr:colOff>
      <xdr:row>478</xdr:row>
      <xdr:rowOff>38100</xdr:rowOff>
    </xdr:from>
    <xdr:to>
      <xdr:col>24</xdr:col>
      <xdr:colOff>196850</xdr:colOff>
      <xdr:row>492</xdr:row>
      <xdr:rowOff>114300</xdr:rowOff>
    </xdr:to>
    <xdr:graphicFrame macro="">
      <xdr:nvGraphicFramePr>
        <xdr:cNvPr id="36" name="Chart 35">
          <a:extLst>
            <a:ext uri="{FF2B5EF4-FFF2-40B4-BE49-F238E27FC236}">
              <a16:creationId xmlns:a16="http://schemas.microsoft.com/office/drawing/2014/main" id="{B1FA0131-D15D-B64D-A64D-DBA4BA4EC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13</xdr:col>
      <xdr:colOff>69850</xdr:colOff>
      <xdr:row>474</xdr:row>
      <xdr:rowOff>127000</xdr:rowOff>
    </xdr:from>
    <xdr:to>
      <xdr:col>17</xdr:col>
      <xdr:colOff>806450</xdr:colOff>
      <xdr:row>489</xdr:row>
      <xdr:rowOff>12700</xdr:rowOff>
    </xdr:to>
    <xdr:graphicFrame macro="">
      <xdr:nvGraphicFramePr>
        <xdr:cNvPr id="37" name="Chart 36">
          <a:extLst>
            <a:ext uri="{FF2B5EF4-FFF2-40B4-BE49-F238E27FC236}">
              <a16:creationId xmlns:a16="http://schemas.microsoft.com/office/drawing/2014/main" id="{32E0CE0A-6AA3-0442-9E2E-4F42B97A3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819150</xdr:colOff>
      <xdr:row>483</xdr:row>
      <xdr:rowOff>152400</xdr:rowOff>
    </xdr:from>
    <xdr:to>
      <xdr:col>21</xdr:col>
      <xdr:colOff>539750</xdr:colOff>
      <xdr:row>498</xdr:row>
      <xdr:rowOff>38100</xdr:rowOff>
    </xdr:to>
    <xdr:graphicFrame macro="">
      <xdr:nvGraphicFramePr>
        <xdr:cNvPr id="38" name="Chart 37">
          <a:extLst>
            <a:ext uri="{FF2B5EF4-FFF2-40B4-BE49-F238E27FC236}">
              <a16:creationId xmlns:a16="http://schemas.microsoft.com/office/drawing/2014/main" id="{D0186423-4D80-194E-BF2A-0A49F8AF0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13</xdr:col>
      <xdr:colOff>654050</xdr:colOff>
      <xdr:row>490</xdr:row>
      <xdr:rowOff>152400</xdr:rowOff>
    </xdr:from>
    <xdr:to>
      <xdr:col>18</xdr:col>
      <xdr:colOff>374650</xdr:colOff>
      <xdr:row>505</xdr:row>
      <xdr:rowOff>38100</xdr:rowOff>
    </xdr:to>
    <xdr:graphicFrame macro="">
      <xdr:nvGraphicFramePr>
        <xdr:cNvPr id="39" name="Chart 38">
          <a:extLst>
            <a:ext uri="{FF2B5EF4-FFF2-40B4-BE49-F238E27FC236}">
              <a16:creationId xmlns:a16="http://schemas.microsoft.com/office/drawing/2014/main" id="{CAE31845-801C-104F-8300-B607D4FD3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14</xdr:col>
      <xdr:colOff>590550</xdr:colOff>
      <xdr:row>491</xdr:row>
      <xdr:rowOff>139700</xdr:rowOff>
    </xdr:from>
    <xdr:to>
      <xdr:col>19</xdr:col>
      <xdr:colOff>311150</xdr:colOff>
      <xdr:row>506</xdr:row>
      <xdr:rowOff>25400</xdr:rowOff>
    </xdr:to>
    <xdr:graphicFrame macro="">
      <xdr:nvGraphicFramePr>
        <xdr:cNvPr id="40" name="Chart 39">
          <a:extLst>
            <a:ext uri="{FF2B5EF4-FFF2-40B4-BE49-F238E27FC236}">
              <a16:creationId xmlns:a16="http://schemas.microsoft.com/office/drawing/2014/main" id="{2CA3433C-76D9-084C-9A25-1E7466192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14</xdr:col>
      <xdr:colOff>95250</xdr:colOff>
      <xdr:row>576</xdr:row>
      <xdr:rowOff>177800</xdr:rowOff>
    </xdr:from>
    <xdr:to>
      <xdr:col>18</xdr:col>
      <xdr:colOff>488950</xdr:colOff>
      <xdr:row>591</xdr:row>
      <xdr:rowOff>63500</xdr:rowOff>
    </xdr:to>
    <xdr:graphicFrame macro="">
      <xdr:nvGraphicFramePr>
        <xdr:cNvPr id="41" name="Chart 40">
          <a:extLst>
            <a:ext uri="{FF2B5EF4-FFF2-40B4-BE49-F238E27FC236}">
              <a16:creationId xmlns:a16="http://schemas.microsoft.com/office/drawing/2014/main" id="{9FA96D8A-448C-3B4E-948C-E319F21A9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13</xdr:col>
      <xdr:colOff>666750</xdr:colOff>
      <xdr:row>593</xdr:row>
      <xdr:rowOff>127000</xdr:rowOff>
    </xdr:from>
    <xdr:to>
      <xdr:col>18</xdr:col>
      <xdr:colOff>387350</xdr:colOff>
      <xdr:row>608</xdr:row>
      <xdr:rowOff>12700</xdr:rowOff>
    </xdr:to>
    <xdr:graphicFrame macro="">
      <xdr:nvGraphicFramePr>
        <xdr:cNvPr id="42" name="Chart 41">
          <a:extLst>
            <a:ext uri="{FF2B5EF4-FFF2-40B4-BE49-F238E27FC236}">
              <a16:creationId xmlns:a16="http://schemas.microsoft.com/office/drawing/2014/main" id="{7E57115D-F9CA-9C47-808D-84D117F63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15</xdr:col>
      <xdr:colOff>400050</xdr:colOff>
      <xdr:row>608</xdr:row>
      <xdr:rowOff>50800</xdr:rowOff>
    </xdr:from>
    <xdr:to>
      <xdr:col>20</xdr:col>
      <xdr:colOff>120650</xdr:colOff>
      <xdr:row>622</xdr:row>
      <xdr:rowOff>127000</xdr:rowOff>
    </xdr:to>
    <xdr:graphicFrame macro="">
      <xdr:nvGraphicFramePr>
        <xdr:cNvPr id="43" name="Chart 42">
          <a:extLst>
            <a:ext uri="{FF2B5EF4-FFF2-40B4-BE49-F238E27FC236}">
              <a16:creationId xmlns:a16="http://schemas.microsoft.com/office/drawing/2014/main" id="{4D41C831-D0C1-E34C-A808-14F46B53E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10</xdr:col>
      <xdr:colOff>615950</xdr:colOff>
      <xdr:row>636</xdr:row>
      <xdr:rowOff>127000</xdr:rowOff>
    </xdr:from>
    <xdr:to>
      <xdr:col>11</xdr:col>
      <xdr:colOff>2660650</xdr:colOff>
      <xdr:row>651</xdr:row>
      <xdr:rowOff>12700</xdr:rowOff>
    </xdr:to>
    <xdr:graphicFrame macro="">
      <xdr:nvGraphicFramePr>
        <xdr:cNvPr id="44" name="Chart 43">
          <a:extLst>
            <a:ext uri="{FF2B5EF4-FFF2-40B4-BE49-F238E27FC236}">
              <a16:creationId xmlns:a16="http://schemas.microsoft.com/office/drawing/2014/main" id="{1EC4DDCC-866B-D641-9DA2-17CFBD76C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10</xdr:col>
      <xdr:colOff>654050</xdr:colOff>
      <xdr:row>652</xdr:row>
      <xdr:rowOff>25400</xdr:rowOff>
    </xdr:from>
    <xdr:to>
      <xdr:col>11</xdr:col>
      <xdr:colOff>2698750</xdr:colOff>
      <xdr:row>666</xdr:row>
      <xdr:rowOff>101600</xdr:rowOff>
    </xdr:to>
    <xdr:graphicFrame macro="">
      <xdr:nvGraphicFramePr>
        <xdr:cNvPr id="45" name="Chart 44">
          <a:extLst>
            <a:ext uri="{FF2B5EF4-FFF2-40B4-BE49-F238E27FC236}">
              <a16:creationId xmlns:a16="http://schemas.microsoft.com/office/drawing/2014/main" id="{54BE5843-A8D2-9844-827F-5D5144803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16</xdr:col>
      <xdr:colOff>44450</xdr:colOff>
      <xdr:row>687</xdr:row>
      <xdr:rowOff>88900</xdr:rowOff>
    </xdr:from>
    <xdr:to>
      <xdr:col>20</xdr:col>
      <xdr:colOff>438150</xdr:colOff>
      <xdr:row>702</xdr:row>
      <xdr:rowOff>114300</xdr:rowOff>
    </xdr:to>
    <xdr:graphicFrame macro="">
      <xdr:nvGraphicFramePr>
        <xdr:cNvPr id="46" name="Chart 45">
          <a:extLst>
            <a:ext uri="{FF2B5EF4-FFF2-40B4-BE49-F238E27FC236}">
              <a16:creationId xmlns:a16="http://schemas.microsoft.com/office/drawing/2014/main" id="{6763EAA3-18D3-2D43-AABA-9DC9E5423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57150</xdr:colOff>
      <xdr:row>706</xdr:row>
      <xdr:rowOff>0</xdr:rowOff>
    </xdr:from>
    <xdr:to>
      <xdr:col>17</xdr:col>
      <xdr:colOff>120650</xdr:colOff>
      <xdr:row>720</xdr:row>
      <xdr:rowOff>76200</xdr:rowOff>
    </xdr:to>
    <xdr:graphicFrame macro="">
      <xdr:nvGraphicFramePr>
        <xdr:cNvPr id="47" name="Chart 46">
          <a:extLst>
            <a:ext uri="{FF2B5EF4-FFF2-40B4-BE49-F238E27FC236}">
              <a16:creationId xmlns:a16="http://schemas.microsoft.com/office/drawing/2014/main" id="{14AE0D95-0A20-C240-95FD-2BD44D6D8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15</xdr:col>
      <xdr:colOff>209550</xdr:colOff>
      <xdr:row>738</xdr:row>
      <xdr:rowOff>12700</xdr:rowOff>
    </xdr:from>
    <xdr:to>
      <xdr:col>19</xdr:col>
      <xdr:colOff>603250</xdr:colOff>
      <xdr:row>752</xdr:row>
      <xdr:rowOff>88900</xdr:rowOff>
    </xdr:to>
    <xdr:graphicFrame macro="">
      <xdr:nvGraphicFramePr>
        <xdr:cNvPr id="48" name="Chart 47">
          <a:extLst>
            <a:ext uri="{FF2B5EF4-FFF2-40B4-BE49-F238E27FC236}">
              <a16:creationId xmlns:a16="http://schemas.microsoft.com/office/drawing/2014/main" id="{3A82D145-A671-1742-8053-A39C38C4E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15</xdr:col>
      <xdr:colOff>19050</xdr:colOff>
      <xdr:row>748</xdr:row>
      <xdr:rowOff>127000</xdr:rowOff>
    </xdr:from>
    <xdr:to>
      <xdr:col>19</xdr:col>
      <xdr:colOff>412750</xdr:colOff>
      <xdr:row>763</xdr:row>
      <xdr:rowOff>12700</xdr:rowOff>
    </xdr:to>
    <xdr:graphicFrame macro="">
      <xdr:nvGraphicFramePr>
        <xdr:cNvPr id="49" name="Chart 48">
          <a:extLst>
            <a:ext uri="{FF2B5EF4-FFF2-40B4-BE49-F238E27FC236}">
              <a16:creationId xmlns:a16="http://schemas.microsoft.com/office/drawing/2014/main" id="{29004246-D9D3-9D43-8A28-EF2E8CA40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16</xdr:col>
      <xdr:colOff>908050</xdr:colOff>
      <xdr:row>772</xdr:row>
      <xdr:rowOff>114300</xdr:rowOff>
    </xdr:from>
    <xdr:to>
      <xdr:col>21</xdr:col>
      <xdr:colOff>628650</xdr:colOff>
      <xdr:row>787</xdr:row>
      <xdr:rowOff>0</xdr:rowOff>
    </xdr:to>
    <xdr:graphicFrame macro="">
      <xdr:nvGraphicFramePr>
        <xdr:cNvPr id="50" name="Chart 49">
          <a:extLst>
            <a:ext uri="{FF2B5EF4-FFF2-40B4-BE49-F238E27FC236}">
              <a16:creationId xmlns:a16="http://schemas.microsoft.com/office/drawing/2014/main" id="{FE6430D7-6AB7-DB43-9BA6-1BF5A33F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16</xdr:col>
      <xdr:colOff>819150</xdr:colOff>
      <xdr:row>788</xdr:row>
      <xdr:rowOff>25400</xdr:rowOff>
    </xdr:from>
    <xdr:to>
      <xdr:col>21</xdr:col>
      <xdr:colOff>539750</xdr:colOff>
      <xdr:row>802</xdr:row>
      <xdr:rowOff>101600</xdr:rowOff>
    </xdr:to>
    <xdr:graphicFrame macro="">
      <xdr:nvGraphicFramePr>
        <xdr:cNvPr id="51" name="Chart 50">
          <a:extLst>
            <a:ext uri="{FF2B5EF4-FFF2-40B4-BE49-F238E27FC236}">
              <a16:creationId xmlns:a16="http://schemas.microsoft.com/office/drawing/2014/main" id="{054AA802-DDEC-C343-A777-3D683BD45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15</xdr:col>
      <xdr:colOff>285750</xdr:colOff>
      <xdr:row>800</xdr:row>
      <xdr:rowOff>12700</xdr:rowOff>
    </xdr:from>
    <xdr:to>
      <xdr:col>20</xdr:col>
      <xdr:colOff>6350</xdr:colOff>
      <xdr:row>814</xdr:row>
      <xdr:rowOff>88900</xdr:rowOff>
    </xdr:to>
    <xdr:graphicFrame macro="">
      <xdr:nvGraphicFramePr>
        <xdr:cNvPr id="52" name="Chart 51">
          <a:extLst>
            <a:ext uri="{FF2B5EF4-FFF2-40B4-BE49-F238E27FC236}">
              <a16:creationId xmlns:a16="http://schemas.microsoft.com/office/drawing/2014/main" id="{95A6D075-DBB0-834B-8C89-9ACFF3C79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16</xdr:col>
      <xdr:colOff>450850</xdr:colOff>
      <xdr:row>824</xdr:row>
      <xdr:rowOff>101600</xdr:rowOff>
    </xdr:from>
    <xdr:to>
      <xdr:col>21</xdr:col>
      <xdr:colOff>171450</xdr:colOff>
      <xdr:row>838</xdr:row>
      <xdr:rowOff>177800</xdr:rowOff>
    </xdr:to>
    <xdr:graphicFrame macro="">
      <xdr:nvGraphicFramePr>
        <xdr:cNvPr id="53" name="Chart 52">
          <a:extLst>
            <a:ext uri="{FF2B5EF4-FFF2-40B4-BE49-F238E27FC236}">
              <a16:creationId xmlns:a16="http://schemas.microsoft.com/office/drawing/2014/main" id="{C90D4709-9354-EE4F-8AC1-E01F5BE5E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13</xdr:col>
      <xdr:colOff>184150</xdr:colOff>
      <xdr:row>830</xdr:row>
      <xdr:rowOff>76200</xdr:rowOff>
    </xdr:from>
    <xdr:to>
      <xdr:col>17</xdr:col>
      <xdr:colOff>920750</xdr:colOff>
      <xdr:row>844</xdr:row>
      <xdr:rowOff>152400</xdr:rowOff>
    </xdr:to>
    <xdr:graphicFrame macro="">
      <xdr:nvGraphicFramePr>
        <xdr:cNvPr id="54" name="Chart 53">
          <a:extLst>
            <a:ext uri="{FF2B5EF4-FFF2-40B4-BE49-F238E27FC236}">
              <a16:creationId xmlns:a16="http://schemas.microsoft.com/office/drawing/2014/main" id="{1A6A28DD-F5D2-7C41-8C88-E0331379A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11</xdr:col>
      <xdr:colOff>882650</xdr:colOff>
      <xdr:row>866</xdr:row>
      <xdr:rowOff>139700</xdr:rowOff>
    </xdr:from>
    <xdr:to>
      <xdr:col>15</xdr:col>
      <xdr:colOff>285750</xdr:colOff>
      <xdr:row>881</xdr:row>
      <xdr:rowOff>25400</xdr:rowOff>
    </xdr:to>
    <xdr:graphicFrame macro="">
      <xdr:nvGraphicFramePr>
        <xdr:cNvPr id="55" name="Chart 54">
          <a:extLst>
            <a:ext uri="{FF2B5EF4-FFF2-40B4-BE49-F238E27FC236}">
              <a16:creationId xmlns:a16="http://schemas.microsoft.com/office/drawing/2014/main" id="{D9B0B4DA-2147-3541-9C32-996516434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11</xdr:col>
      <xdr:colOff>1695450</xdr:colOff>
      <xdr:row>888</xdr:row>
      <xdr:rowOff>127000</xdr:rowOff>
    </xdr:from>
    <xdr:to>
      <xdr:col>16</xdr:col>
      <xdr:colOff>425450</xdr:colOff>
      <xdr:row>903</xdr:row>
      <xdr:rowOff>12700</xdr:rowOff>
    </xdr:to>
    <xdr:graphicFrame macro="">
      <xdr:nvGraphicFramePr>
        <xdr:cNvPr id="56" name="Chart 55">
          <a:extLst>
            <a:ext uri="{FF2B5EF4-FFF2-40B4-BE49-F238E27FC236}">
              <a16:creationId xmlns:a16="http://schemas.microsoft.com/office/drawing/2014/main" id="{869AE78B-5656-5B41-A2EA-066ED92C6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19</xdr:col>
      <xdr:colOff>514350</xdr:colOff>
      <xdr:row>917</xdr:row>
      <xdr:rowOff>152400</xdr:rowOff>
    </xdr:from>
    <xdr:to>
      <xdr:col>26</xdr:col>
      <xdr:colOff>374650</xdr:colOff>
      <xdr:row>932</xdr:row>
      <xdr:rowOff>38100</xdr:rowOff>
    </xdr:to>
    <xdr:graphicFrame macro="">
      <xdr:nvGraphicFramePr>
        <xdr:cNvPr id="57" name="Chart 56">
          <a:extLst>
            <a:ext uri="{FF2B5EF4-FFF2-40B4-BE49-F238E27FC236}">
              <a16:creationId xmlns:a16="http://schemas.microsoft.com/office/drawing/2014/main" id="{DBA66BFA-04EE-9B44-A56D-970BA15D2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13</xdr:col>
      <xdr:colOff>209550</xdr:colOff>
      <xdr:row>925</xdr:row>
      <xdr:rowOff>63500</xdr:rowOff>
    </xdr:from>
    <xdr:to>
      <xdr:col>17</xdr:col>
      <xdr:colOff>946150</xdr:colOff>
      <xdr:row>939</xdr:row>
      <xdr:rowOff>139700</xdr:rowOff>
    </xdr:to>
    <xdr:graphicFrame macro="">
      <xdr:nvGraphicFramePr>
        <xdr:cNvPr id="58" name="Chart 57">
          <a:extLst>
            <a:ext uri="{FF2B5EF4-FFF2-40B4-BE49-F238E27FC236}">
              <a16:creationId xmlns:a16="http://schemas.microsoft.com/office/drawing/2014/main" id="{18990A30-89EF-BC47-9EE2-D03961A6A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11</xdr:col>
      <xdr:colOff>2952750</xdr:colOff>
      <xdr:row>940</xdr:row>
      <xdr:rowOff>25400</xdr:rowOff>
    </xdr:from>
    <xdr:to>
      <xdr:col>16</xdr:col>
      <xdr:colOff>1682750</xdr:colOff>
      <xdr:row>954</xdr:row>
      <xdr:rowOff>101600</xdr:rowOff>
    </xdr:to>
    <xdr:graphicFrame macro="">
      <xdr:nvGraphicFramePr>
        <xdr:cNvPr id="59" name="Chart 58">
          <a:extLst>
            <a:ext uri="{FF2B5EF4-FFF2-40B4-BE49-F238E27FC236}">
              <a16:creationId xmlns:a16="http://schemas.microsoft.com/office/drawing/2014/main" id="{3344F924-8E02-6E40-9842-86CC30B14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11</xdr:col>
      <xdr:colOff>3092450</xdr:colOff>
      <xdr:row>946</xdr:row>
      <xdr:rowOff>38100</xdr:rowOff>
    </xdr:from>
    <xdr:to>
      <xdr:col>17</xdr:col>
      <xdr:colOff>6350</xdr:colOff>
      <xdr:row>960</xdr:row>
      <xdr:rowOff>114300</xdr:rowOff>
    </xdr:to>
    <xdr:graphicFrame macro="">
      <xdr:nvGraphicFramePr>
        <xdr:cNvPr id="60" name="Chart 59">
          <a:extLst>
            <a:ext uri="{FF2B5EF4-FFF2-40B4-BE49-F238E27FC236}">
              <a16:creationId xmlns:a16="http://schemas.microsoft.com/office/drawing/2014/main" id="{3C807DB4-6223-BA4D-B8E6-5B44DF600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12</xdr:col>
      <xdr:colOff>82550</xdr:colOff>
      <xdr:row>950</xdr:row>
      <xdr:rowOff>63500</xdr:rowOff>
    </xdr:from>
    <xdr:to>
      <xdr:col>17</xdr:col>
      <xdr:colOff>146050</xdr:colOff>
      <xdr:row>964</xdr:row>
      <xdr:rowOff>139700</xdr:rowOff>
    </xdr:to>
    <xdr:graphicFrame macro="">
      <xdr:nvGraphicFramePr>
        <xdr:cNvPr id="61" name="Chart 60">
          <a:extLst>
            <a:ext uri="{FF2B5EF4-FFF2-40B4-BE49-F238E27FC236}">
              <a16:creationId xmlns:a16="http://schemas.microsoft.com/office/drawing/2014/main" id="{333BCC19-A49C-A740-952F-1A7ECB220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12</xdr:col>
      <xdr:colOff>222250</xdr:colOff>
      <xdr:row>957</xdr:row>
      <xdr:rowOff>88900</xdr:rowOff>
    </xdr:from>
    <xdr:to>
      <xdr:col>17</xdr:col>
      <xdr:colOff>285750</xdr:colOff>
      <xdr:row>971</xdr:row>
      <xdr:rowOff>165100</xdr:rowOff>
    </xdr:to>
    <xdr:graphicFrame macro="">
      <xdr:nvGraphicFramePr>
        <xdr:cNvPr id="62" name="Chart 61">
          <a:extLst>
            <a:ext uri="{FF2B5EF4-FFF2-40B4-BE49-F238E27FC236}">
              <a16:creationId xmlns:a16="http://schemas.microsoft.com/office/drawing/2014/main" id="{CB1CD26C-44FB-6044-B670-1655B062C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11</xdr:col>
      <xdr:colOff>2635250</xdr:colOff>
      <xdr:row>1010</xdr:row>
      <xdr:rowOff>101600</xdr:rowOff>
    </xdr:from>
    <xdr:to>
      <xdr:col>16</xdr:col>
      <xdr:colOff>1365250</xdr:colOff>
      <xdr:row>1024</xdr:row>
      <xdr:rowOff>177800</xdr:rowOff>
    </xdr:to>
    <xdr:graphicFrame macro="">
      <xdr:nvGraphicFramePr>
        <xdr:cNvPr id="63" name="Chart 62">
          <a:extLst>
            <a:ext uri="{FF2B5EF4-FFF2-40B4-BE49-F238E27FC236}">
              <a16:creationId xmlns:a16="http://schemas.microsoft.com/office/drawing/2014/main" id="{FFE106BB-48A6-734C-8EF2-C44DC9E1F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11</xdr:col>
      <xdr:colOff>2813050</xdr:colOff>
      <xdr:row>1018</xdr:row>
      <xdr:rowOff>127000</xdr:rowOff>
    </xdr:from>
    <xdr:to>
      <xdr:col>16</xdr:col>
      <xdr:colOff>1543050</xdr:colOff>
      <xdr:row>1033</xdr:row>
      <xdr:rowOff>12700</xdr:rowOff>
    </xdr:to>
    <xdr:graphicFrame macro="">
      <xdr:nvGraphicFramePr>
        <xdr:cNvPr id="64" name="Chart 63">
          <a:extLst>
            <a:ext uri="{FF2B5EF4-FFF2-40B4-BE49-F238E27FC236}">
              <a16:creationId xmlns:a16="http://schemas.microsoft.com/office/drawing/2014/main" id="{6667AACD-C80E-574C-9DCA-3FD3D9F5A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11</xdr:col>
      <xdr:colOff>2774950</xdr:colOff>
      <xdr:row>1025</xdr:row>
      <xdr:rowOff>0</xdr:rowOff>
    </xdr:from>
    <xdr:to>
      <xdr:col>16</xdr:col>
      <xdr:colOff>1504950</xdr:colOff>
      <xdr:row>1039</xdr:row>
      <xdr:rowOff>76200</xdr:rowOff>
    </xdr:to>
    <xdr:graphicFrame macro="">
      <xdr:nvGraphicFramePr>
        <xdr:cNvPr id="65" name="Chart 64">
          <a:extLst>
            <a:ext uri="{FF2B5EF4-FFF2-40B4-BE49-F238E27FC236}">
              <a16:creationId xmlns:a16="http://schemas.microsoft.com/office/drawing/2014/main" id="{8A472577-882E-D146-8369-E67646625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11</xdr:col>
      <xdr:colOff>2698750</xdr:colOff>
      <xdr:row>1031</xdr:row>
      <xdr:rowOff>139700</xdr:rowOff>
    </xdr:from>
    <xdr:to>
      <xdr:col>16</xdr:col>
      <xdr:colOff>1428750</xdr:colOff>
      <xdr:row>1046</xdr:row>
      <xdr:rowOff>25400</xdr:rowOff>
    </xdr:to>
    <xdr:graphicFrame macro="">
      <xdr:nvGraphicFramePr>
        <xdr:cNvPr id="66" name="Chart 65">
          <a:extLst>
            <a:ext uri="{FF2B5EF4-FFF2-40B4-BE49-F238E27FC236}">
              <a16:creationId xmlns:a16="http://schemas.microsoft.com/office/drawing/2014/main" id="{C67783AA-9B4A-A74C-938E-93FA6AC4E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12</xdr:col>
      <xdr:colOff>311150</xdr:colOff>
      <xdr:row>1074</xdr:row>
      <xdr:rowOff>25400</xdr:rowOff>
    </xdr:from>
    <xdr:to>
      <xdr:col>17</xdr:col>
      <xdr:colOff>374650</xdr:colOff>
      <xdr:row>1088</xdr:row>
      <xdr:rowOff>101600</xdr:rowOff>
    </xdr:to>
    <xdr:graphicFrame macro="">
      <xdr:nvGraphicFramePr>
        <xdr:cNvPr id="67" name="Chart 66">
          <a:extLst>
            <a:ext uri="{FF2B5EF4-FFF2-40B4-BE49-F238E27FC236}">
              <a16:creationId xmlns:a16="http://schemas.microsoft.com/office/drawing/2014/main" id="{2519B8F4-E3C2-7B48-B866-6882BF79A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16</xdr:col>
      <xdr:colOff>171450</xdr:colOff>
      <xdr:row>1079</xdr:row>
      <xdr:rowOff>139700</xdr:rowOff>
    </xdr:from>
    <xdr:to>
      <xdr:col>20</xdr:col>
      <xdr:colOff>565150</xdr:colOff>
      <xdr:row>1094</xdr:row>
      <xdr:rowOff>25400</xdr:rowOff>
    </xdr:to>
    <xdr:graphicFrame macro="">
      <xdr:nvGraphicFramePr>
        <xdr:cNvPr id="68" name="Chart 67">
          <a:extLst>
            <a:ext uri="{FF2B5EF4-FFF2-40B4-BE49-F238E27FC236}">
              <a16:creationId xmlns:a16="http://schemas.microsoft.com/office/drawing/2014/main" id="{9ACB8541-F9BF-E849-8D66-04FEF5A24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13</xdr:col>
      <xdr:colOff>31750</xdr:colOff>
      <xdr:row>1084</xdr:row>
      <xdr:rowOff>177800</xdr:rowOff>
    </xdr:from>
    <xdr:to>
      <xdr:col>17</xdr:col>
      <xdr:colOff>768350</xdr:colOff>
      <xdr:row>1099</xdr:row>
      <xdr:rowOff>63500</xdr:rowOff>
    </xdr:to>
    <xdr:graphicFrame macro="">
      <xdr:nvGraphicFramePr>
        <xdr:cNvPr id="69" name="Chart 68">
          <a:extLst>
            <a:ext uri="{FF2B5EF4-FFF2-40B4-BE49-F238E27FC236}">
              <a16:creationId xmlns:a16="http://schemas.microsoft.com/office/drawing/2014/main" id="{28596656-9AE9-A64C-9050-350C9B92D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11</xdr:col>
      <xdr:colOff>2000250</xdr:colOff>
      <xdr:row>1096</xdr:row>
      <xdr:rowOff>88900</xdr:rowOff>
    </xdr:from>
    <xdr:to>
      <xdr:col>16</xdr:col>
      <xdr:colOff>730250</xdr:colOff>
      <xdr:row>1110</xdr:row>
      <xdr:rowOff>165100</xdr:rowOff>
    </xdr:to>
    <xdr:graphicFrame macro="">
      <xdr:nvGraphicFramePr>
        <xdr:cNvPr id="70" name="Chart 69">
          <a:extLst>
            <a:ext uri="{FF2B5EF4-FFF2-40B4-BE49-F238E27FC236}">
              <a16:creationId xmlns:a16="http://schemas.microsoft.com/office/drawing/2014/main" id="{248B8731-08BE-D447-A31C-561C7E34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16</xdr:col>
      <xdr:colOff>717550</xdr:colOff>
      <xdr:row>1150</xdr:row>
      <xdr:rowOff>63500</xdr:rowOff>
    </xdr:from>
    <xdr:to>
      <xdr:col>21</xdr:col>
      <xdr:colOff>438150</xdr:colOff>
      <xdr:row>1164</xdr:row>
      <xdr:rowOff>139700</xdr:rowOff>
    </xdr:to>
    <xdr:graphicFrame macro="">
      <xdr:nvGraphicFramePr>
        <xdr:cNvPr id="71" name="Chart 70">
          <a:extLst>
            <a:ext uri="{FF2B5EF4-FFF2-40B4-BE49-F238E27FC236}">
              <a16:creationId xmlns:a16="http://schemas.microsoft.com/office/drawing/2014/main" id="{F85E0189-0FE0-9145-9589-B30ED2BD8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18</xdr:col>
      <xdr:colOff>31750</xdr:colOff>
      <xdr:row>1177</xdr:row>
      <xdr:rowOff>177800</xdr:rowOff>
    </xdr:from>
    <xdr:to>
      <xdr:col>24</xdr:col>
      <xdr:colOff>565150</xdr:colOff>
      <xdr:row>1192</xdr:row>
      <xdr:rowOff>63500</xdr:rowOff>
    </xdr:to>
    <xdr:graphicFrame macro="">
      <xdr:nvGraphicFramePr>
        <xdr:cNvPr id="72" name="Chart 71">
          <a:extLst>
            <a:ext uri="{FF2B5EF4-FFF2-40B4-BE49-F238E27FC236}">
              <a16:creationId xmlns:a16="http://schemas.microsoft.com/office/drawing/2014/main" id="{B3A78F82-8681-C54C-95E4-4E48E4C1A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13</xdr:col>
      <xdr:colOff>590550</xdr:colOff>
      <xdr:row>1190</xdr:row>
      <xdr:rowOff>152400</xdr:rowOff>
    </xdr:from>
    <xdr:to>
      <xdr:col>18</xdr:col>
      <xdr:colOff>311150</xdr:colOff>
      <xdr:row>1205</xdr:row>
      <xdr:rowOff>38100</xdr:rowOff>
    </xdr:to>
    <xdr:graphicFrame macro="">
      <xdr:nvGraphicFramePr>
        <xdr:cNvPr id="73" name="Chart 72">
          <a:extLst>
            <a:ext uri="{FF2B5EF4-FFF2-40B4-BE49-F238E27FC236}">
              <a16:creationId xmlns:a16="http://schemas.microsoft.com/office/drawing/2014/main" id="{3DF77DA2-CB32-9B46-8648-564BA580F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16</xdr:col>
      <xdr:colOff>311150</xdr:colOff>
      <xdr:row>1279</xdr:row>
      <xdr:rowOff>127000</xdr:rowOff>
    </xdr:from>
    <xdr:to>
      <xdr:col>21</xdr:col>
      <xdr:colOff>31750</xdr:colOff>
      <xdr:row>1294</xdr:row>
      <xdr:rowOff>12700</xdr:rowOff>
    </xdr:to>
    <xdr:graphicFrame macro="">
      <xdr:nvGraphicFramePr>
        <xdr:cNvPr id="74" name="Chart 73">
          <a:extLst>
            <a:ext uri="{FF2B5EF4-FFF2-40B4-BE49-F238E27FC236}">
              <a16:creationId xmlns:a16="http://schemas.microsoft.com/office/drawing/2014/main" id="{7FA0540E-E4D8-9F44-AAF6-D2ACF5BA2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13</xdr:col>
      <xdr:colOff>666750</xdr:colOff>
      <xdr:row>1305</xdr:row>
      <xdr:rowOff>177800</xdr:rowOff>
    </xdr:from>
    <xdr:to>
      <xdr:col>18</xdr:col>
      <xdr:colOff>387350</xdr:colOff>
      <xdr:row>1320</xdr:row>
      <xdr:rowOff>63500</xdr:rowOff>
    </xdr:to>
    <xdr:graphicFrame macro="">
      <xdr:nvGraphicFramePr>
        <xdr:cNvPr id="75" name="Chart 74">
          <a:extLst>
            <a:ext uri="{FF2B5EF4-FFF2-40B4-BE49-F238E27FC236}">
              <a16:creationId xmlns:a16="http://schemas.microsoft.com/office/drawing/2014/main" id="{0EC19692-32E7-EC42-853F-89378A933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16</xdr:col>
      <xdr:colOff>628650</xdr:colOff>
      <xdr:row>1328</xdr:row>
      <xdr:rowOff>0</xdr:rowOff>
    </xdr:from>
    <xdr:to>
      <xdr:col>21</xdr:col>
      <xdr:colOff>349250</xdr:colOff>
      <xdr:row>1342</xdr:row>
      <xdr:rowOff>76200</xdr:rowOff>
    </xdr:to>
    <xdr:graphicFrame macro="">
      <xdr:nvGraphicFramePr>
        <xdr:cNvPr id="76" name="Chart 75">
          <a:extLst>
            <a:ext uri="{FF2B5EF4-FFF2-40B4-BE49-F238E27FC236}">
              <a16:creationId xmlns:a16="http://schemas.microsoft.com/office/drawing/2014/main" id="{50D3702C-664A-2843-8E00-970F84CE8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10</xdr:col>
      <xdr:colOff>565150</xdr:colOff>
      <xdr:row>1363</xdr:row>
      <xdr:rowOff>25400</xdr:rowOff>
    </xdr:from>
    <xdr:to>
      <xdr:col>11</xdr:col>
      <xdr:colOff>2609850</xdr:colOff>
      <xdr:row>1377</xdr:row>
      <xdr:rowOff>101600</xdr:rowOff>
    </xdr:to>
    <xdr:graphicFrame macro="">
      <xdr:nvGraphicFramePr>
        <xdr:cNvPr id="77" name="Chart 76">
          <a:extLst>
            <a:ext uri="{FF2B5EF4-FFF2-40B4-BE49-F238E27FC236}">
              <a16:creationId xmlns:a16="http://schemas.microsoft.com/office/drawing/2014/main" id="{42F75B5C-C246-2142-83B9-4A750CF5C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10</xdr:col>
      <xdr:colOff>908050</xdr:colOff>
      <xdr:row>1388</xdr:row>
      <xdr:rowOff>38100</xdr:rowOff>
    </xdr:from>
    <xdr:to>
      <xdr:col>11</xdr:col>
      <xdr:colOff>2952750</xdr:colOff>
      <xdr:row>1402</xdr:row>
      <xdr:rowOff>114300</xdr:rowOff>
    </xdr:to>
    <xdr:graphicFrame macro="">
      <xdr:nvGraphicFramePr>
        <xdr:cNvPr id="78" name="Chart 77">
          <a:extLst>
            <a:ext uri="{FF2B5EF4-FFF2-40B4-BE49-F238E27FC236}">
              <a16:creationId xmlns:a16="http://schemas.microsoft.com/office/drawing/2014/main" id="{E33661DF-9F21-0D49-B34F-40934419A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10</xdr:col>
      <xdr:colOff>184150</xdr:colOff>
      <xdr:row>1415</xdr:row>
      <xdr:rowOff>38100</xdr:rowOff>
    </xdr:from>
    <xdr:to>
      <xdr:col>11</xdr:col>
      <xdr:colOff>2228850</xdr:colOff>
      <xdr:row>1429</xdr:row>
      <xdr:rowOff>114300</xdr:rowOff>
    </xdr:to>
    <xdr:graphicFrame macro="">
      <xdr:nvGraphicFramePr>
        <xdr:cNvPr id="79" name="Chart 78">
          <a:extLst>
            <a:ext uri="{FF2B5EF4-FFF2-40B4-BE49-F238E27FC236}">
              <a16:creationId xmlns:a16="http://schemas.microsoft.com/office/drawing/2014/main" id="{B3E7F8F4-86BB-E244-A80F-C2B26FEAC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10</xdr:col>
      <xdr:colOff>234950</xdr:colOff>
      <xdr:row>1440</xdr:row>
      <xdr:rowOff>152400</xdr:rowOff>
    </xdr:from>
    <xdr:to>
      <xdr:col>11</xdr:col>
      <xdr:colOff>2279650</xdr:colOff>
      <xdr:row>1455</xdr:row>
      <xdr:rowOff>38100</xdr:rowOff>
    </xdr:to>
    <xdr:graphicFrame macro="">
      <xdr:nvGraphicFramePr>
        <xdr:cNvPr id="80" name="Chart 79">
          <a:extLst>
            <a:ext uri="{FF2B5EF4-FFF2-40B4-BE49-F238E27FC236}">
              <a16:creationId xmlns:a16="http://schemas.microsoft.com/office/drawing/2014/main" id="{992BD049-AA3C-2B4E-9326-EDF3CDA1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10</xdr:col>
      <xdr:colOff>196850</xdr:colOff>
      <xdr:row>1467</xdr:row>
      <xdr:rowOff>152400</xdr:rowOff>
    </xdr:from>
    <xdr:to>
      <xdr:col>11</xdr:col>
      <xdr:colOff>2241550</xdr:colOff>
      <xdr:row>1482</xdr:row>
      <xdr:rowOff>38100</xdr:rowOff>
    </xdr:to>
    <xdr:graphicFrame macro="">
      <xdr:nvGraphicFramePr>
        <xdr:cNvPr id="81" name="Chart 80">
          <a:extLst>
            <a:ext uri="{FF2B5EF4-FFF2-40B4-BE49-F238E27FC236}">
              <a16:creationId xmlns:a16="http://schemas.microsoft.com/office/drawing/2014/main" id="{F0FD84A9-D7AF-4D4A-8AB7-3E81C7354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17</xdr:col>
      <xdr:colOff>996950</xdr:colOff>
      <xdr:row>1486</xdr:row>
      <xdr:rowOff>114300</xdr:rowOff>
    </xdr:from>
    <xdr:to>
      <xdr:col>24</xdr:col>
      <xdr:colOff>514350</xdr:colOff>
      <xdr:row>1501</xdr:row>
      <xdr:rowOff>0</xdr:rowOff>
    </xdr:to>
    <xdr:graphicFrame macro="">
      <xdr:nvGraphicFramePr>
        <xdr:cNvPr id="82" name="Chart 81">
          <a:extLst>
            <a:ext uri="{FF2B5EF4-FFF2-40B4-BE49-F238E27FC236}">
              <a16:creationId xmlns:a16="http://schemas.microsoft.com/office/drawing/2014/main" id="{8AF4E971-883E-CC4E-9175-D9C8CE4BA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18</xdr:col>
      <xdr:colOff>171450</xdr:colOff>
      <xdr:row>1496</xdr:row>
      <xdr:rowOff>0</xdr:rowOff>
    </xdr:from>
    <xdr:to>
      <xdr:col>25</xdr:col>
      <xdr:colOff>31750</xdr:colOff>
      <xdr:row>1510</xdr:row>
      <xdr:rowOff>76200</xdr:rowOff>
    </xdr:to>
    <xdr:graphicFrame macro="">
      <xdr:nvGraphicFramePr>
        <xdr:cNvPr id="83" name="Chart 82">
          <a:extLst>
            <a:ext uri="{FF2B5EF4-FFF2-40B4-BE49-F238E27FC236}">
              <a16:creationId xmlns:a16="http://schemas.microsoft.com/office/drawing/2014/main" id="{63B94026-DF36-6E45-8F05-E8534098E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19</xdr:col>
      <xdr:colOff>488950</xdr:colOff>
      <xdr:row>1511</xdr:row>
      <xdr:rowOff>177800</xdr:rowOff>
    </xdr:from>
    <xdr:to>
      <xdr:col>26</xdr:col>
      <xdr:colOff>349250</xdr:colOff>
      <xdr:row>1525</xdr:row>
      <xdr:rowOff>50800</xdr:rowOff>
    </xdr:to>
    <xdr:graphicFrame macro="">
      <xdr:nvGraphicFramePr>
        <xdr:cNvPr id="84" name="Chart 83">
          <a:extLst>
            <a:ext uri="{FF2B5EF4-FFF2-40B4-BE49-F238E27FC236}">
              <a16:creationId xmlns:a16="http://schemas.microsoft.com/office/drawing/2014/main" id="{AD07F002-35CA-814F-A8DA-3ADBB3F9C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11</xdr:col>
      <xdr:colOff>1238250</xdr:colOff>
      <xdr:row>1531</xdr:row>
      <xdr:rowOff>139700</xdr:rowOff>
    </xdr:from>
    <xdr:to>
      <xdr:col>15</xdr:col>
      <xdr:colOff>641350</xdr:colOff>
      <xdr:row>1546</xdr:row>
      <xdr:rowOff>25400</xdr:rowOff>
    </xdr:to>
    <xdr:graphicFrame macro="">
      <xdr:nvGraphicFramePr>
        <xdr:cNvPr id="85" name="Chart 84">
          <a:extLst>
            <a:ext uri="{FF2B5EF4-FFF2-40B4-BE49-F238E27FC236}">
              <a16:creationId xmlns:a16="http://schemas.microsoft.com/office/drawing/2014/main" id="{C0F0AE54-48C3-0F47-85D1-10517398D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16</xdr:col>
      <xdr:colOff>755650</xdr:colOff>
      <xdr:row>1546</xdr:row>
      <xdr:rowOff>63500</xdr:rowOff>
    </xdr:from>
    <xdr:to>
      <xdr:col>21</xdr:col>
      <xdr:colOff>476250</xdr:colOff>
      <xdr:row>1560</xdr:row>
      <xdr:rowOff>139700</xdr:rowOff>
    </xdr:to>
    <xdr:graphicFrame macro="">
      <xdr:nvGraphicFramePr>
        <xdr:cNvPr id="86" name="Chart 85">
          <a:extLst>
            <a:ext uri="{FF2B5EF4-FFF2-40B4-BE49-F238E27FC236}">
              <a16:creationId xmlns:a16="http://schemas.microsoft.com/office/drawing/2014/main" id="{CAD35750-3821-D741-9238-0DFEA0DF7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15</xdr:col>
      <xdr:colOff>234950</xdr:colOff>
      <xdr:row>1555</xdr:row>
      <xdr:rowOff>0</xdr:rowOff>
    </xdr:from>
    <xdr:to>
      <xdr:col>19</xdr:col>
      <xdr:colOff>628650</xdr:colOff>
      <xdr:row>1569</xdr:row>
      <xdr:rowOff>76200</xdr:rowOff>
    </xdr:to>
    <xdr:graphicFrame macro="">
      <xdr:nvGraphicFramePr>
        <xdr:cNvPr id="87" name="Chart 86">
          <a:extLst>
            <a:ext uri="{FF2B5EF4-FFF2-40B4-BE49-F238E27FC236}">
              <a16:creationId xmlns:a16="http://schemas.microsoft.com/office/drawing/2014/main" id="{B7310200-5E38-6E4C-A604-023EFDE85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xdr:from>
      <xdr:col>17</xdr:col>
      <xdr:colOff>565150</xdr:colOff>
      <xdr:row>1684</xdr:row>
      <xdr:rowOff>25400</xdr:rowOff>
    </xdr:from>
    <xdr:to>
      <xdr:col>24</xdr:col>
      <xdr:colOff>82550</xdr:colOff>
      <xdr:row>1698</xdr:row>
      <xdr:rowOff>101600</xdr:rowOff>
    </xdr:to>
    <xdr:graphicFrame macro="">
      <xdr:nvGraphicFramePr>
        <xdr:cNvPr id="88" name="Chart 87">
          <a:extLst>
            <a:ext uri="{FF2B5EF4-FFF2-40B4-BE49-F238E27FC236}">
              <a16:creationId xmlns:a16="http://schemas.microsoft.com/office/drawing/2014/main" id="{E3DAF7E2-2EC9-AE44-B238-0F383C5EB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xdr:from>
      <xdr:col>17</xdr:col>
      <xdr:colOff>666750</xdr:colOff>
      <xdr:row>1672</xdr:row>
      <xdr:rowOff>114300</xdr:rowOff>
    </xdr:from>
    <xdr:to>
      <xdr:col>24</xdr:col>
      <xdr:colOff>184150</xdr:colOff>
      <xdr:row>1687</xdr:row>
      <xdr:rowOff>0</xdr:rowOff>
    </xdr:to>
    <xdr:graphicFrame macro="">
      <xdr:nvGraphicFramePr>
        <xdr:cNvPr id="89" name="Chart 88">
          <a:extLst>
            <a:ext uri="{FF2B5EF4-FFF2-40B4-BE49-F238E27FC236}">
              <a16:creationId xmlns:a16="http://schemas.microsoft.com/office/drawing/2014/main" id="{D60A83B7-E466-8B4A-87D9-6F8C7533C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17</xdr:col>
      <xdr:colOff>971550</xdr:colOff>
      <xdr:row>1701</xdr:row>
      <xdr:rowOff>88900</xdr:rowOff>
    </xdr:from>
    <xdr:to>
      <xdr:col>24</xdr:col>
      <xdr:colOff>488950</xdr:colOff>
      <xdr:row>1715</xdr:row>
      <xdr:rowOff>165100</xdr:rowOff>
    </xdr:to>
    <xdr:graphicFrame macro="">
      <xdr:nvGraphicFramePr>
        <xdr:cNvPr id="90" name="Chart 89">
          <a:extLst>
            <a:ext uri="{FF2B5EF4-FFF2-40B4-BE49-F238E27FC236}">
              <a16:creationId xmlns:a16="http://schemas.microsoft.com/office/drawing/2014/main" id="{478FB063-14FE-6148-A336-D83D2EB39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25</xdr:col>
      <xdr:colOff>19050</xdr:colOff>
      <xdr:row>1705</xdr:row>
      <xdr:rowOff>38100</xdr:rowOff>
    </xdr:from>
    <xdr:to>
      <xdr:col>31</xdr:col>
      <xdr:colOff>552450</xdr:colOff>
      <xdr:row>1719</xdr:row>
      <xdr:rowOff>114300</xdr:rowOff>
    </xdr:to>
    <xdr:graphicFrame macro="">
      <xdr:nvGraphicFramePr>
        <xdr:cNvPr id="91" name="Chart 90">
          <a:extLst>
            <a:ext uri="{FF2B5EF4-FFF2-40B4-BE49-F238E27FC236}">
              <a16:creationId xmlns:a16="http://schemas.microsoft.com/office/drawing/2014/main" id="{2DC34B41-6598-FE40-9207-D988A7809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16</xdr:col>
      <xdr:colOff>1136650</xdr:colOff>
      <xdr:row>1715</xdr:row>
      <xdr:rowOff>152400</xdr:rowOff>
    </xdr:from>
    <xdr:to>
      <xdr:col>22</xdr:col>
      <xdr:colOff>184150</xdr:colOff>
      <xdr:row>1729</xdr:row>
      <xdr:rowOff>190500</xdr:rowOff>
    </xdr:to>
    <xdr:graphicFrame macro="">
      <xdr:nvGraphicFramePr>
        <xdr:cNvPr id="92" name="Chart 91">
          <a:extLst>
            <a:ext uri="{FF2B5EF4-FFF2-40B4-BE49-F238E27FC236}">
              <a16:creationId xmlns:a16="http://schemas.microsoft.com/office/drawing/2014/main" id="{E449CE3A-E68E-7548-9387-40BEF615B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15</xdr:col>
      <xdr:colOff>273050</xdr:colOff>
      <xdr:row>1747</xdr:row>
      <xdr:rowOff>139700</xdr:rowOff>
    </xdr:from>
    <xdr:to>
      <xdr:col>19</xdr:col>
      <xdr:colOff>666750</xdr:colOff>
      <xdr:row>1761</xdr:row>
      <xdr:rowOff>38100</xdr:rowOff>
    </xdr:to>
    <xdr:graphicFrame macro="">
      <xdr:nvGraphicFramePr>
        <xdr:cNvPr id="93" name="Chart 92">
          <a:extLst>
            <a:ext uri="{FF2B5EF4-FFF2-40B4-BE49-F238E27FC236}">
              <a16:creationId xmlns:a16="http://schemas.microsoft.com/office/drawing/2014/main" id="{77CEC9A2-BFCF-764D-8396-3205DB3C6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xdr:from>
      <xdr:col>15</xdr:col>
      <xdr:colOff>565150</xdr:colOff>
      <xdr:row>1776</xdr:row>
      <xdr:rowOff>114300</xdr:rowOff>
    </xdr:from>
    <xdr:to>
      <xdr:col>20</xdr:col>
      <xdr:colOff>285750</xdr:colOff>
      <xdr:row>1790</xdr:row>
      <xdr:rowOff>12700</xdr:rowOff>
    </xdr:to>
    <xdr:graphicFrame macro="">
      <xdr:nvGraphicFramePr>
        <xdr:cNvPr id="94" name="Chart 93">
          <a:extLst>
            <a:ext uri="{FF2B5EF4-FFF2-40B4-BE49-F238E27FC236}">
              <a16:creationId xmlns:a16="http://schemas.microsoft.com/office/drawing/2014/main" id="{57B77DB8-F8F8-5546-9EAD-683B6FEF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twoCellAnchor>
  <xdr:twoCellAnchor>
    <xdr:from>
      <xdr:col>14</xdr:col>
      <xdr:colOff>666750</xdr:colOff>
      <xdr:row>1786</xdr:row>
      <xdr:rowOff>25400</xdr:rowOff>
    </xdr:from>
    <xdr:to>
      <xdr:col>19</xdr:col>
      <xdr:colOff>387350</xdr:colOff>
      <xdr:row>1799</xdr:row>
      <xdr:rowOff>127000</xdr:rowOff>
    </xdr:to>
    <xdr:graphicFrame macro="">
      <xdr:nvGraphicFramePr>
        <xdr:cNvPr id="95" name="Chart 94">
          <a:extLst>
            <a:ext uri="{FF2B5EF4-FFF2-40B4-BE49-F238E27FC236}">
              <a16:creationId xmlns:a16="http://schemas.microsoft.com/office/drawing/2014/main" id="{E5803C8E-DD6F-2C4C-99B6-DB03412F6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twoCellAnchor>
  <xdr:twoCellAnchor>
    <xdr:from>
      <xdr:col>16</xdr:col>
      <xdr:colOff>400050</xdr:colOff>
      <xdr:row>1799</xdr:row>
      <xdr:rowOff>165100</xdr:rowOff>
    </xdr:from>
    <xdr:to>
      <xdr:col>21</xdr:col>
      <xdr:colOff>120650</xdr:colOff>
      <xdr:row>1813</xdr:row>
      <xdr:rowOff>63500</xdr:rowOff>
    </xdr:to>
    <xdr:graphicFrame macro="">
      <xdr:nvGraphicFramePr>
        <xdr:cNvPr id="96" name="Chart 95">
          <a:extLst>
            <a:ext uri="{FF2B5EF4-FFF2-40B4-BE49-F238E27FC236}">
              <a16:creationId xmlns:a16="http://schemas.microsoft.com/office/drawing/2014/main" id="{2475428A-B9DC-004E-B808-9A37487F2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twoCellAnchor>
  <xdr:twoCellAnchor>
    <xdr:from>
      <xdr:col>15</xdr:col>
      <xdr:colOff>577850</xdr:colOff>
      <xdr:row>1809</xdr:row>
      <xdr:rowOff>50800</xdr:rowOff>
    </xdr:from>
    <xdr:to>
      <xdr:col>20</xdr:col>
      <xdr:colOff>298450</xdr:colOff>
      <xdr:row>1822</xdr:row>
      <xdr:rowOff>152400</xdr:rowOff>
    </xdr:to>
    <xdr:graphicFrame macro="">
      <xdr:nvGraphicFramePr>
        <xdr:cNvPr id="97" name="Chart 96">
          <a:extLst>
            <a:ext uri="{FF2B5EF4-FFF2-40B4-BE49-F238E27FC236}">
              <a16:creationId xmlns:a16="http://schemas.microsoft.com/office/drawing/2014/main" id="{73BAEA78-31BD-F045-B71A-F2CDAA892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6"/>
        </a:graphicData>
      </a:graphic>
    </xdr:graphicFrame>
    <xdr:clientData/>
  </xdr:twoCellAnchor>
  <xdr:twoCellAnchor>
    <xdr:from>
      <xdr:col>15</xdr:col>
      <xdr:colOff>488950</xdr:colOff>
      <xdr:row>1819</xdr:row>
      <xdr:rowOff>139700</xdr:rowOff>
    </xdr:from>
    <xdr:to>
      <xdr:col>20</xdr:col>
      <xdr:colOff>209550</xdr:colOff>
      <xdr:row>1833</xdr:row>
      <xdr:rowOff>38100</xdr:rowOff>
    </xdr:to>
    <xdr:graphicFrame macro="">
      <xdr:nvGraphicFramePr>
        <xdr:cNvPr id="98" name="Chart 97">
          <a:extLst>
            <a:ext uri="{FF2B5EF4-FFF2-40B4-BE49-F238E27FC236}">
              <a16:creationId xmlns:a16="http://schemas.microsoft.com/office/drawing/2014/main" id="{E55549B2-A1CC-BA4E-B281-2C29F9B08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7"/>
        </a:graphicData>
      </a:graphic>
    </xdr:graphicFrame>
    <xdr:clientData/>
  </xdr:twoCellAnchor>
  <xdr:twoCellAnchor>
    <xdr:from>
      <xdr:col>16</xdr:col>
      <xdr:colOff>996950</xdr:colOff>
      <xdr:row>1837</xdr:row>
      <xdr:rowOff>88900</xdr:rowOff>
    </xdr:from>
    <xdr:to>
      <xdr:col>22</xdr:col>
      <xdr:colOff>44450</xdr:colOff>
      <xdr:row>1850</xdr:row>
      <xdr:rowOff>190500</xdr:rowOff>
    </xdr:to>
    <xdr:graphicFrame macro="">
      <xdr:nvGraphicFramePr>
        <xdr:cNvPr id="99" name="Chart 98">
          <a:extLst>
            <a:ext uri="{FF2B5EF4-FFF2-40B4-BE49-F238E27FC236}">
              <a16:creationId xmlns:a16="http://schemas.microsoft.com/office/drawing/2014/main" id="{02291F86-8BB1-DE40-AC52-24F584221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8"/>
        </a:graphicData>
      </a:graphic>
    </xdr:graphicFrame>
    <xdr:clientData/>
  </xdr:twoCellAnchor>
  <xdr:twoCellAnchor>
    <xdr:from>
      <xdr:col>13</xdr:col>
      <xdr:colOff>146050</xdr:colOff>
      <xdr:row>1885</xdr:row>
      <xdr:rowOff>63500</xdr:rowOff>
    </xdr:from>
    <xdr:to>
      <xdr:col>17</xdr:col>
      <xdr:colOff>882650</xdr:colOff>
      <xdr:row>1898</xdr:row>
      <xdr:rowOff>165100</xdr:rowOff>
    </xdr:to>
    <xdr:graphicFrame macro="">
      <xdr:nvGraphicFramePr>
        <xdr:cNvPr id="100" name="Chart 99">
          <a:extLst>
            <a:ext uri="{FF2B5EF4-FFF2-40B4-BE49-F238E27FC236}">
              <a16:creationId xmlns:a16="http://schemas.microsoft.com/office/drawing/2014/main" id="{8E3ED57D-682A-3149-B60C-B7CD0B9E1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9"/>
        </a:graphicData>
      </a:graphic>
    </xdr:graphicFrame>
    <xdr:clientData/>
  </xdr:twoCellAnchor>
  <xdr:twoCellAnchor>
    <xdr:from>
      <xdr:col>11</xdr:col>
      <xdr:colOff>3016250</xdr:colOff>
      <xdr:row>1898</xdr:row>
      <xdr:rowOff>12700</xdr:rowOff>
    </xdr:from>
    <xdr:to>
      <xdr:col>16</xdr:col>
      <xdr:colOff>1746250</xdr:colOff>
      <xdr:row>1911</xdr:row>
      <xdr:rowOff>114300</xdr:rowOff>
    </xdr:to>
    <xdr:graphicFrame macro="">
      <xdr:nvGraphicFramePr>
        <xdr:cNvPr id="101" name="Chart 100">
          <a:extLst>
            <a:ext uri="{FF2B5EF4-FFF2-40B4-BE49-F238E27FC236}">
              <a16:creationId xmlns:a16="http://schemas.microsoft.com/office/drawing/2014/main" id="{0712A7AD-5F09-8D4B-B70F-EF4E31928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0"/>
        </a:graphicData>
      </a:graphic>
    </xdr:graphicFrame>
    <xdr:clientData/>
  </xdr:twoCellAnchor>
  <xdr:twoCellAnchor>
    <xdr:from>
      <xdr:col>12</xdr:col>
      <xdr:colOff>654050</xdr:colOff>
      <xdr:row>12</xdr:row>
      <xdr:rowOff>88900</xdr:rowOff>
    </xdr:from>
    <xdr:to>
      <xdr:col>17</xdr:col>
      <xdr:colOff>717550</xdr:colOff>
      <xdr:row>26</xdr:row>
      <xdr:rowOff>165100</xdr:rowOff>
    </xdr:to>
    <xdr:graphicFrame macro="">
      <xdr:nvGraphicFramePr>
        <xdr:cNvPr id="102" name="Chart 101">
          <a:extLst>
            <a:ext uri="{FF2B5EF4-FFF2-40B4-BE49-F238E27FC236}">
              <a16:creationId xmlns:a16="http://schemas.microsoft.com/office/drawing/2014/main" id="{A396CAE4-4C72-684E-A0B1-7A3211F70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1"/>
        </a:graphicData>
      </a:graphic>
    </xdr:graphicFrame>
    <xdr:clientData/>
  </xdr:twoCellAnchor>
  <xdr:twoCellAnchor>
    <xdr:from>
      <xdr:col>13</xdr:col>
      <xdr:colOff>431800</xdr:colOff>
      <xdr:row>452</xdr:row>
      <xdr:rowOff>44450</xdr:rowOff>
    </xdr:from>
    <xdr:to>
      <xdr:col>18</xdr:col>
      <xdr:colOff>152400</xdr:colOff>
      <xdr:row>466</xdr:row>
      <xdr:rowOff>120650</xdr:rowOff>
    </xdr:to>
    <xdr:graphicFrame macro="">
      <xdr:nvGraphicFramePr>
        <xdr:cNvPr id="103" name="Chart 102">
          <a:extLst>
            <a:ext uri="{FF2B5EF4-FFF2-40B4-BE49-F238E27FC236}">
              <a16:creationId xmlns:a16="http://schemas.microsoft.com/office/drawing/2014/main" id="{F022E380-0AA3-494F-8BE8-47D346572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2"/>
        </a:graphicData>
      </a:graphic>
    </xdr:graphicFrame>
    <xdr:clientData/>
  </xdr:twoCellAnchor>
  <xdr:twoCellAnchor>
    <xdr:from>
      <xdr:col>13</xdr:col>
      <xdr:colOff>190500</xdr:colOff>
      <xdr:row>842</xdr:row>
      <xdr:rowOff>95250</xdr:rowOff>
    </xdr:from>
    <xdr:to>
      <xdr:col>17</xdr:col>
      <xdr:colOff>927100</xdr:colOff>
      <xdr:row>856</xdr:row>
      <xdr:rowOff>171450</xdr:rowOff>
    </xdr:to>
    <xdr:graphicFrame macro="">
      <xdr:nvGraphicFramePr>
        <xdr:cNvPr id="104" name="Chart 103">
          <a:extLst>
            <a:ext uri="{FF2B5EF4-FFF2-40B4-BE49-F238E27FC236}">
              <a16:creationId xmlns:a16="http://schemas.microsoft.com/office/drawing/2014/main" id="{A1B16C97-7C4C-8241-A854-D74631D16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oa-my.sharepoint.com/personal/jken467_uoa_auckland_ac_nz/Documents/degradation_review/edits.xlsx" TargetMode="External"/><Relationship Id="rId1" Type="http://schemas.openxmlformats.org/officeDocument/2006/relationships/externalLinkPath" Target="/personal/jken467_uoa_auckland_ac_nz/Documents/degradation_review/edi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obs_old"/>
      <sheetName val="phylogeny"/>
    </sheetNames>
    <sheetDataSet>
      <sheetData sheetId="0">
        <row r="214">
          <cell r="BM214">
            <v>71.932096101280379</v>
          </cell>
        </row>
        <row r="215">
          <cell r="BK215">
            <v>0.1376</v>
          </cell>
          <cell r="BM215">
            <v>7.58</v>
          </cell>
        </row>
        <row r="216">
          <cell r="BK216">
            <v>9.2700000000000005E-2</v>
          </cell>
          <cell r="BM216">
            <v>22.69</v>
          </cell>
        </row>
        <row r="217">
          <cell r="BK217">
            <v>7.3899999999999993E-2</v>
          </cell>
          <cell r="BM217">
            <v>25.27</v>
          </cell>
        </row>
        <row r="218">
          <cell r="BK218">
            <v>8.2400000000000001E-2</v>
          </cell>
          <cell r="BM218" t="str">
            <v>na</v>
          </cell>
        </row>
        <row r="219">
          <cell r="BK219">
            <v>2.2311000000000001</v>
          </cell>
          <cell r="BM219" t="str">
            <v>na</v>
          </cell>
        </row>
        <row r="220">
          <cell r="BK220">
            <v>0.1411</v>
          </cell>
          <cell r="BM220" t="str">
            <v>na</v>
          </cell>
        </row>
        <row r="227">
          <cell r="BM227">
            <v>23.669972948602346</v>
          </cell>
        </row>
        <row r="228">
          <cell r="BM228">
            <v>23.879918125995001</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Jessica Kennedy" id="{025827DC-85C7-D245-89E0-DCC5AA781E7F}" userId="S::jken467@UoA.auckland.ac.nz::4a7a2559-c6f3-456b-9b95-217b0d6d235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111" dT="2024-03-24T21:07:42.94" personId="{025827DC-85C7-D245-89E0-DCC5AA781E7F}" id="{1B353EB6-4E69-9641-ADD8-2A9D3EEE240A}">
    <text xml:space="preserve">values from doc degradation c:n values are from tissue leaching </text>
  </threadedComment>
  <threadedComment ref="Z121" dT="2024-03-24T23:03:23.48" personId="{025827DC-85C7-D245-89E0-DCC5AA781E7F}" id="{6553CD05-D5AD-D545-8697-EAC9D0DBE16A}">
    <text>c/n in seawater, not algae</text>
  </threadedComment>
  <threadedComment ref="Z121" dT="2024-03-24T23:04:59.06" personId="{025827DC-85C7-D245-89E0-DCC5AA781E7F}" id="{4BFF2D3A-B681-B54B-A9F6-6E6D1F0EEDDA}" parentId="{6553CD05-D5AD-D545-8697-EAC9D0DBE16A}">
    <text>but its mucilage so dried seawater would be mucilage</text>
  </threadedComment>
</ThreadedComment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021C-1987-8743-B9E9-A0746DA76FC4}">
  <dimension ref="A1:CJ507"/>
  <sheetViews>
    <sheetView workbookViewId="0"/>
  </sheetViews>
  <sheetFormatPr baseColWidth="10" defaultColWidth="10.83203125" defaultRowHeight="16"/>
  <cols>
    <col min="1" max="1" width="25.83203125" style="110" customWidth="1"/>
    <col min="2" max="5" width="10.83203125" style="110"/>
    <col min="6" max="6" width="18" style="110" customWidth="1"/>
    <col min="7" max="7" width="16.1640625" style="110" customWidth="1"/>
    <col min="8" max="8" width="29.1640625" style="110" customWidth="1"/>
    <col min="9" max="9" width="22.33203125" style="110" customWidth="1"/>
    <col min="10" max="10" width="14.83203125" style="110" customWidth="1"/>
    <col min="11" max="11" width="17" style="110" customWidth="1"/>
    <col min="12" max="12" width="26" style="110" customWidth="1"/>
    <col min="13" max="14" width="22" style="110" customWidth="1"/>
    <col min="15" max="15" width="22.33203125" style="110" customWidth="1"/>
    <col min="16" max="16" width="27.5" style="110" customWidth="1"/>
    <col min="17" max="17" width="26" style="110" customWidth="1"/>
    <col min="18" max="18" width="20.6640625" style="110" customWidth="1"/>
    <col min="19" max="21" width="10.83203125" style="110"/>
    <col min="22" max="22" width="13.1640625" style="110" customWidth="1"/>
    <col min="23" max="25" width="10.83203125" style="110"/>
    <col min="26" max="26" width="19.83203125" style="110" customWidth="1"/>
    <col min="27" max="27" width="16.83203125" style="110" customWidth="1"/>
    <col min="28" max="28" width="25.33203125" style="110" customWidth="1"/>
    <col min="29" max="29" width="14.6640625" style="110" customWidth="1"/>
    <col min="30" max="30" width="10.83203125" style="110"/>
    <col min="31" max="31" width="21" style="110" customWidth="1"/>
    <col min="32" max="32" width="16.83203125" style="110" customWidth="1"/>
    <col min="33" max="33" width="18" style="110" customWidth="1"/>
    <col min="34" max="34" width="16.6640625" style="110" customWidth="1"/>
    <col min="35" max="35" width="10.83203125" style="110"/>
    <col min="36" max="36" width="19" style="110" customWidth="1"/>
    <col min="37" max="37" width="14.5" style="110" customWidth="1"/>
    <col min="38" max="38" width="19.5" style="110" customWidth="1"/>
    <col min="39" max="39" width="10.83203125" style="110"/>
    <col min="40" max="41" width="16.1640625" style="110" customWidth="1"/>
    <col min="42" max="42" width="14.33203125" style="110" customWidth="1"/>
    <col min="43" max="43" width="16.83203125" style="110" customWidth="1"/>
    <col min="44" max="44" width="16.5" style="110" customWidth="1"/>
    <col min="45" max="45" width="15.83203125" style="110" customWidth="1"/>
    <col min="46" max="46" width="19.1640625" style="110" customWidth="1"/>
    <col min="47" max="47" width="16" style="110" customWidth="1"/>
    <col min="48" max="48" width="15.83203125" style="110" customWidth="1"/>
    <col min="49" max="49" width="16.6640625" style="110" customWidth="1"/>
    <col min="50" max="50" width="14.5" style="110" customWidth="1"/>
    <col min="51" max="51" width="17.5" style="110" customWidth="1"/>
    <col min="52" max="52" width="17.6640625" style="110" customWidth="1"/>
    <col min="53" max="53" width="10.83203125" style="110"/>
    <col min="54" max="54" width="12.83203125" style="110" customWidth="1"/>
    <col min="55" max="55" width="18.83203125" style="110" customWidth="1"/>
    <col min="56" max="56" width="12.6640625" style="110" customWidth="1"/>
    <col min="57" max="57" width="10.83203125" style="110"/>
    <col min="58" max="58" width="15.1640625" style="110" customWidth="1"/>
    <col min="59" max="61" width="10.83203125" style="110"/>
    <col min="62" max="62" width="20.33203125" style="110" customWidth="1"/>
    <col min="63" max="63" width="10.83203125" style="110"/>
    <col min="64" max="64" width="19.83203125" style="110" customWidth="1"/>
    <col min="65" max="65" width="20.33203125" style="110" customWidth="1"/>
    <col min="66" max="66" width="10.83203125" style="110"/>
    <col min="67" max="67" width="24.83203125" style="110" customWidth="1"/>
    <col min="68" max="68" width="18.6640625" style="110" customWidth="1"/>
    <col min="69" max="69" width="30.83203125" style="110" customWidth="1"/>
    <col min="70" max="70" width="40.83203125" style="110" customWidth="1"/>
    <col min="71" max="71" width="24" style="110" customWidth="1"/>
    <col min="72" max="72" width="33.6640625" style="110" customWidth="1"/>
    <col min="73" max="73" width="25.1640625" style="110" customWidth="1"/>
    <col min="74" max="74" width="21.83203125" style="110" customWidth="1"/>
    <col min="75" max="75" width="10.83203125" style="110"/>
    <col min="76" max="76" width="14.83203125" style="110" customWidth="1"/>
    <col min="77" max="78" width="10.83203125" style="110"/>
    <col min="79" max="79" width="16.6640625" style="110" customWidth="1"/>
    <col min="80" max="80" width="10.83203125" style="110"/>
    <col min="81" max="81" width="23" style="110" customWidth="1"/>
    <col min="82" max="82" width="17.1640625" style="110" customWidth="1"/>
    <col min="83" max="83" width="21" style="110" customWidth="1"/>
    <col min="84" max="84" width="18.83203125" style="110" customWidth="1"/>
    <col min="85" max="85" width="41.5" style="110" customWidth="1"/>
    <col min="86" max="86" width="17.1640625" style="110" customWidth="1"/>
    <col min="87" max="87" width="22.33203125" style="110" customWidth="1"/>
    <col min="88" max="16384" width="10.83203125" style="110"/>
  </cols>
  <sheetData>
    <row r="1" spans="1:88" s="111" customFormat="1" ht="32" customHeight="1">
      <c r="A1" s="111" t="s">
        <v>2172</v>
      </c>
      <c r="B1" s="111" t="s">
        <v>1</v>
      </c>
      <c r="C1" s="111" t="s">
        <v>1805</v>
      </c>
      <c r="D1" s="111" t="s">
        <v>1806</v>
      </c>
      <c r="E1" s="111" t="s">
        <v>1809</v>
      </c>
      <c r="F1" s="111" t="s">
        <v>2570</v>
      </c>
      <c r="G1" s="111" t="s">
        <v>1812</v>
      </c>
      <c r="H1" s="111" t="s">
        <v>756</v>
      </c>
      <c r="I1" s="111" t="s">
        <v>1937</v>
      </c>
      <c r="J1" s="111" t="s">
        <v>2143</v>
      </c>
      <c r="K1" s="111" t="s">
        <v>2728</v>
      </c>
      <c r="L1" s="111" t="s">
        <v>3212</v>
      </c>
      <c r="M1" s="111" t="s">
        <v>3162</v>
      </c>
      <c r="N1" s="111" t="s">
        <v>3159</v>
      </c>
      <c r="O1" s="111" t="s">
        <v>3171</v>
      </c>
      <c r="P1" s="111" t="s">
        <v>3187</v>
      </c>
      <c r="Q1" s="111" t="s">
        <v>3188</v>
      </c>
      <c r="R1" s="111" t="s">
        <v>2</v>
      </c>
      <c r="S1" s="111" t="s">
        <v>1996</v>
      </c>
      <c r="T1" s="111" t="s">
        <v>1708</v>
      </c>
      <c r="U1" s="111" t="s">
        <v>194</v>
      </c>
      <c r="V1" s="111" t="s">
        <v>3229</v>
      </c>
      <c r="W1" s="111" t="s">
        <v>3</v>
      </c>
      <c r="X1" s="111" t="s">
        <v>4</v>
      </c>
      <c r="Y1" s="111" t="s">
        <v>5</v>
      </c>
      <c r="Z1" s="111" t="s">
        <v>6</v>
      </c>
      <c r="AA1" s="111" t="s">
        <v>1811</v>
      </c>
      <c r="AB1" s="111" t="s">
        <v>1911</v>
      </c>
      <c r="AC1" s="111" t="s">
        <v>2075</v>
      </c>
      <c r="AD1" s="111" t="s">
        <v>1722</v>
      </c>
      <c r="AE1" s="111" t="s">
        <v>9</v>
      </c>
      <c r="AF1" s="111" t="s">
        <v>1798</v>
      </c>
      <c r="AG1" s="111" t="s">
        <v>1912</v>
      </c>
      <c r="AH1" s="111" t="s">
        <v>1916</v>
      </c>
      <c r="AI1" s="111" t="s">
        <v>1906</v>
      </c>
      <c r="AJ1" s="111" t="s">
        <v>1907</v>
      </c>
      <c r="AK1" s="111" t="s">
        <v>172</v>
      </c>
      <c r="AL1" s="111" t="s">
        <v>974</v>
      </c>
      <c r="AM1" s="111" t="s">
        <v>1832</v>
      </c>
      <c r="AN1" s="111" t="s">
        <v>2513</v>
      </c>
      <c r="AO1" s="111" t="s">
        <v>2520</v>
      </c>
      <c r="AP1" s="111" t="s">
        <v>2826</v>
      </c>
      <c r="AQ1" s="111" t="s">
        <v>1816</v>
      </c>
      <c r="AR1" s="111" t="s">
        <v>1715</v>
      </c>
      <c r="AS1" s="111" t="s">
        <v>2580</v>
      </c>
      <c r="AT1" s="111" t="s">
        <v>2581</v>
      </c>
      <c r="AU1" s="111" t="s">
        <v>1965</v>
      </c>
      <c r="AV1" s="111" t="s">
        <v>2008</v>
      </c>
      <c r="AW1" s="111" t="s">
        <v>1840</v>
      </c>
      <c r="AX1" s="111" t="s">
        <v>1841</v>
      </c>
      <c r="AY1" s="111" t="s">
        <v>1842</v>
      </c>
      <c r="AZ1" s="111" t="s">
        <v>3153</v>
      </c>
      <c r="BA1" s="111" t="s">
        <v>1877</v>
      </c>
      <c r="BB1" s="111" t="s">
        <v>1878</v>
      </c>
      <c r="BC1" s="111" t="s">
        <v>2518</v>
      </c>
      <c r="BD1" s="111" t="s">
        <v>2519</v>
      </c>
      <c r="BE1" s="111" t="s">
        <v>2605</v>
      </c>
      <c r="BF1" s="111" t="s">
        <v>1862</v>
      </c>
      <c r="BG1" s="111" t="s">
        <v>1899</v>
      </c>
      <c r="BH1" s="111" t="s">
        <v>223</v>
      </c>
      <c r="BI1" s="111" t="s">
        <v>1065</v>
      </c>
      <c r="BJ1" s="111" t="s">
        <v>1908</v>
      </c>
      <c r="BK1" s="111" t="s">
        <v>166</v>
      </c>
      <c r="BL1" s="111" t="s">
        <v>167</v>
      </c>
      <c r="BM1" s="111" t="s">
        <v>3099</v>
      </c>
      <c r="BN1" s="111" t="s">
        <v>1831</v>
      </c>
      <c r="BO1" s="111" t="s">
        <v>1837</v>
      </c>
      <c r="BP1" s="111" t="s">
        <v>1833</v>
      </c>
      <c r="BQ1" s="111" t="s">
        <v>1834</v>
      </c>
      <c r="BR1" s="111" t="s">
        <v>1835</v>
      </c>
      <c r="BS1" s="111" t="s">
        <v>1847</v>
      </c>
      <c r="BT1" s="111" t="s">
        <v>2369</v>
      </c>
      <c r="BU1" s="111" t="s">
        <v>3205</v>
      </c>
      <c r="BV1" s="111" t="s">
        <v>2595</v>
      </c>
      <c r="BW1" s="111" t="s">
        <v>2371</v>
      </c>
      <c r="BX1" s="111" t="s">
        <v>2370</v>
      </c>
      <c r="BY1" s="111" t="s">
        <v>2372</v>
      </c>
      <c r="BZ1" s="111" t="s">
        <v>165</v>
      </c>
      <c r="CA1" s="111" t="s">
        <v>2460</v>
      </c>
      <c r="CB1" s="111" t="s">
        <v>2459</v>
      </c>
      <c r="CC1" s="111" t="s">
        <v>2593</v>
      </c>
      <c r="CD1" s="111" t="s">
        <v>2597</v>
      </c>
      <c r="CE1" s="111" t="s">
        <v>2594</v>
      </c>
      <c r="CF1" s="111" t="s">
        <v>2596</v>
      </c>
      <c r="CG1" s="111" t="s">
        <v>1838</v>
      </c>
      <c r="CH1" s="111" t="s">
        <v>1839</v>
      </c>
      <c r="CI1" s="111" t="s">
        <v>177</v>
      </c>
      <c r="CJ1" s="111" t="s">
        <v>8</v>
      </c>
    </row>
    <row r="2" spans="1:88">
      <c r="A2" s="110" t="s">
        <v>690</v>
      </c>
      <c r="B2" s="110">
        <v>1</v>
      </c>
      <c r="C2" s="110">
        <v>1</v>
      </c>
      <c r="D2" s="110">
        <v>1</v>
      </c>
      <c r="E2" s="110">
        <v>1</v>
      </c>
      <c r="F2" s="110">
        <v>1994</v>
      </c>
      <c r="G2" s="110" t="s">
        <v>187</v>
      </c>
      <c r="H2" s="110" t="s">
        <v>2441</v>
      </c>
      <c r="I2" s="110" t="s">
        <v>246</v>
      </c>
      <c r="J2" s="110" t="s">
        <v>246</v>
      </c>
      <c r="K2" s="110" t="s">
        <v>186</v>
      </c>
      <c r="L2" s="110" t="s">
        <v>186</v>
      </c>
      <c r="M2" s="110" t="s">
        <v>3173</v>
      </c>
      <c r="N2" s="110" t="s">
        <v>3168</v>
      </c>
      <c r="O2" s="110">
        <v>5</v>
      </c>
      <c r="Q2" s="110">
        <v>0.7</v>
      </c>
      <c r="R2" s="110" t="s">
        <v>272</v>
      </c>
      <c r="S2" s="110" t="s">
        <v>443</v>
      </c>
      <c r="T2" s="110" t="s">
        <v>611</v>
      </c>
      <c r="U2" s="110" t="s">
        <v>612</v>
      </c>
      <c r="V2" s="110">
        <v>41.531625720000001</v>
      </c>
      <c r="W2" s="110">
        <v>41.531625720000001</v>
      </c>
      <c r="X2" s="110">
        <v>-70.673833439999996</v>
      </c>
      <c r="Y2" s="110" t="s">
        <v>276</v>
      </c>
      <c r="Z2" s="110" t="s">
        <v>586</v>
      </c>
      <c r="AA2" s="110" t="s">
        <v>1788</v>
      </c>
      <c r="AB2" s="110" t="s">
        <v>1728</v>
      </c>
      <c r="AC2" s="110" t="s">
        <v>182</v>
      </c>
      <c r="AD2" s="110" t="s">
        <v>333</v>
      </c>
      <c r="AE2" s="110" t="s">
        <v>187</v>
      </c>
      <c r="AF2" s="110" t="s">
        <v>190</v>
      </c>
      <c r="AG2" s="110" t="s">
        <v>190</v>
      </c>
      <c r="AI2" s="110" t="s">
        <v>246</v>
      </c>
      <c r="AJ2" s="110" t="s">
        <v>246</v>
      </c>
      <c r="AK2" s="110" t="s">
        <v>698</v>
      </c>
      <c r="AL2" s="110" t="s">
        <v>723</v>
      </c>
      <c r="AM2" s="110">
        <v>300</v>
      </c>
      <c r="AN2" s="110" t="s">
        <v>1216</v>
      </c>
      <c r="AP2" s="110">
        <v>400</v>
      </c>
      <c r="AQ2" s="110" t="s">
        <v>176</v>
      </c>
      <c r="AR2" s="110" t="s">
        <v>174</v>
      </c>
      <c r="AS2" s="110" t="s">
        <v>174</v>
      </c>
      <c r="AT2" s="110" t="s">
        <v>174</v>
      </c>
      <c r="AU2" s="110">
        <v>100</v>
      </c>
      <c r="AW2" s="110" t="s">
        <v>174</v>
      </c>
      <c r="AX2" s="110">
        <v>7.9</v>
      </c>
      <c r="AY2" s="110" t="s">
        <v>174</v>
      </c>
      <c r="AZ2" s="110">
        <v>19</v>
      </c>
      <c r="BA2" s="110">
        <v>15</v>
      </c>
      <c r="BB2" s="110">
        <v>15</v>
      </c>
      <c r="BC2" s="110">
        <v>15</v>
      </c>
      <c r="BD2" s="110">
        <v>0</v>
      </c>
      <c r="BE2" s="110" t="s">
        <v>246</v>
      </c>
      <c r="BF2" s="110" t="s">
        <v>188</v>
      </c>
      <c r="BG2" s="110">
        <v>0</v>
      </c>
      <c r="BI2" s="110" t="s">
        <v>182</v>
      </c>
      <c r="BJ2" s="110" t="s">
        <v>700</v>
      </c>
      <c r="BK2" s="110">
        <v>2</v>
      </c>
      <c r="BL2" s="110">
        <v>5</v>
      </c>
      <c r="BM2" s="110" t="s">
        <v>174</v>
      </c>
      <c r="BN2" s="110" t="s">
        <v>174</v>
      </c>
      <c r="BO2" s="110" t="s">
        <v>174</v>
      </c>
      <c r="BP2" s="110" t="s">
        <v>174</v>
      </c>
      <c r="BQ2" s="110" t="s">
        <v>174</v>
      </c>
      <c r="BR2" s="110" t="s">
        <v>174</v>
      </c>
      <c r="BS2" s="110">
        <v>7</v>
      </c>
      <c r="BT2" s="110" t="s">
        <v>1385</v>
      </c>
      <c r="BU2" s="110" t="s">
        <v>3207</v>
      </c>
      <c r="BV2" s="110" t="s">
        <v>2603</v>
      </c>
      <c r="BW2" s="110">
        <v>0.88</v>
      </c>
      <c r="BZ2" s="110">
        <v>0.4904</v>
      </c>
      <c r="CB2" s="110">
        <v>1.87</v>
      </c>
      <c r="CC2" s="110" t="b">
        <v>0</v>
      </c>
      <c r="CD2" s="110">
        <v>19.7</v>
      </c>
      <c r="CE2" s="110">
        <v>19.7</v>
      </c>
      <c r="CF2" s="110" t="s">
        <v>182</v>
      </c>
      <c r="CG2" s="110" t="s">
        <v>174</v>
      </c>
      <c r="CH2" s="110" t="s">
        <v>699</v>
      </c>
      <c r="CI2" s="110" t="s">
        <v>701</v>
      </c>
    </row>
    <row r="3" spans="1:88">
      <c r="A3" s="110" t="s">
        <v>690</v>
      </c>
      <c r="B3" s="110">
        <v>1</v>
      </c>
      <c r="C3" s="110">
        <v>1</v>
      </c>
      <c r="D3" s="110">
        <v>1</v>
      </c>
      <c r="E3" s="110">
        <v>2</v>
      </c>
      <c r="F3" s="110">
        <v>1994</v>
      </c>
      <c r="G3" s="110" t="s">
        <v>187</v>
      </c>
      <c r="H3" s="110" t="s">
        <v>2441</v>
      </c>
      <c r="I3" s="110" t="s">
        <v>246</v>
      </c>
      <c r="J3" s="110" t="s">
        <v>246</v>
      </c>
      <c r="K3" s="110" t="s">
        <v>186</v>
      </c>
      <c r="L3" s="110" t="s">
        <v>186</v>
      </c>
      <c r="M3" s="110" t="s">
        <v>3173</v>
      </c>
      <c r="N3" s="110" t="s">
        <v>3168</v>
      </c>
      <c r="O3" s="110">
        <v>5</v>
      </c>
      <c r="Q3" s="110">
        <v>0.7</v>
      </c>
      <c r="R3" s="110" t="s">
        <v>272</v>
      </c>
      <c r="S3" s="110" t="s">
        <v>443</v>
      </c>
      <c r="T3" s="110" t="s">
        <v>611</v>
      </c>
      <c r="U3" s="110" t="s">
        <v>612</v>
      </c>
      <c r="V3" s="110">
        <v>41.531625720000001</v>
      </c>
      <c r="W3" s="110">
        <v>41.531625720000001</v>
      </c>
      <c r="X3" s="110">
        <v>-70.673833439999996</v>
      </c>
      <c r="Y3" s="110" t="s">
        <v>276</v>
      </c>
      <c r="Z3" s="110" t="s">
        <v>586</v>
      </c>
      <c r="AA3" s="110" t="s">
        <v>1788</v>
      </c>
      <c r="AB3" s="110" t="s">
        <v>1728</v>
      </c>
      <c r="AC3" s="110" t="s">
        <v>182</v>
      </c>
      <c r="AD3" s="110" t="s">
        <v>333</v>
      </c>
      <c r="AE3" s="110" t="s">
        <v>187</v>
      </c>
      <c r="AF3" s="110" t="s">
        <v>190</v>
      </c>
      <c r="AG3" s="110" t="s">
        <v>190</v>
      </c>
      <c r="AI3" s="110" t="s">
        <v>246</v>
      </c>
      <c r="AJ3" s="110" t="s">
        <v>246</v>
      </c>
      <c r="AK3" s="110" t="s">
        <v>698</v>
      </c>
      <c r="AL3" s="110" t="s">
        <v>723</v>
      </c>
      <c r="AM3" s="110">
        <v>300</v>
      </c>
      <c r="AN3" s="110" t="s">
        <v>1216</v>
      </c>
      <c r="AP3" s="110">
        <v>300</v>
      </c>
      <c r="AQ3" s="110" t="s">
        <v>176</v>
      </c>
      <c r="AR3" s="110" t="s">
        <v>174</v>
      </c>
      <c r="AS3" s="110" t="s">
        <v>174</v>
      </c>
      <c r="AT3" s="110" t="s">
        <v>174</v>
      </c>
      <c r="AU3" s="110">
        <v>100</v>
      </c>
      <c r="AW3" s="110">
        <v>4.5</v>
      </c>
      <c r="AX3" s="110">
        <v>7.7</v>
      </c>
      <c r="AY3" s="110">
        <v>42.3</v>
      </c>
      <c r="AZ3" s="110">
        <v>19.2</v>
      </c>
      <c r="BA3" s="110">
        <v>15</v>
      </c>
      <c r="BB3" s="110">
        <v>15</v>
      </c>
      <c r="BC3" s="110">
        <v>15</v>
      </c>
      <c r="BD3" s="110">
        <v>0</v>
      </c>
      <c r="BE3" s="110" t="s">
        <v>246</v>
      </c>
      <c r="BF3" s="110" t="s">
        <v>188</v>
      </c>
      <c r="BG3" s="110">
        <v>0</v>
      </c>
      <c r="BI3" s="110" t="s">
        <v>182</v>
      </c>
      <c r="BJ3" s="110" t="s">
        <v>700</v>
      </c>
      <c r="BK3" s="110">
        <v>2</v>
      </c>
      <c r="BL3" s="110">
        <v>5</v>
      </c>
      <c r="BM3" s="110" t="s">
        <v>174</v>
      </c>
      <c r="BN3" s="110" t="s">
        <v>174</v>
      </c>
      <c r="BO3" s="110" t="s">
        <v>174</v>
      </c>
      <c r="BP3" s="110" t="s">
        <v>174</v>
      </c>
      <c r="BQ3" s="110" t="s">
        <v>174</v>
      </c>
      <c r="BR3" s="110" t="s">
        <v>174</v>
      </c>
      <c r="BS3" s="110">
        <v>7</v>
      </c>
      <c r="BT3" s="110" t="s">
        <v>1385</v>
      </c>
      <c r="BU3" s="110" t="s">
        <v>3207</v>
      </c>
      <c r="BV3" s="110" t="s">
        <v>2603</v>
      </c>
      <c r="BW3" s="110">
        <v>0.99</v>
      </c>
      <c r="BZ3" s="110">
        <v>0.83819999999999995</v>
      </c>
      <c r="CB3" s="110">
        <v>1.22</v>
      </c>
      <c r="CC3" s="110" t="b">
        <v>0</v>
      </c>
      <c r="CD3" s="110">
        <v>21.4</v>
      </c>
      <c r="CE3" s="110">
        <v>21.4</v>
      </c>
      <c r="CF3" s="110" t="s">
        <v>182</v>
      </c>
      <c r="CG3" s="110" t="s">
        <v>174</v>
      </c>
      <c r="CH3" s="110" t="s">
        <v>699</v>
      </c>
      <c r="CI3" s="110" t="s">
        <v>701</v>
      </c>
    </row>
    <row r="4" spans="1:88">
      <c r="A4" s="110" t="s">
        <v>690</v>
      </c>
      <c r="B4" s="110">
        <v>1</v>
      </c>
      <c r="C4" s="110">
        <v>1</v>
      </c>
      <c r="D4" s="110">
        <v>1</v>
      </c>
      <c r="E4" s="110">
        <v>3</v>
      </c>
      <c r="F4" s="110">
        <v>1994</v>
      </c>
      <c r="G4" s="110" t="s">
        <v>187</v>
      </c>
      <c r="H4" s="110" t="s">
        <v>2441</v>
      </c>
      <c r="I4" s="110" t="s">
        <v>246</v>
      </c>
      <c r="J4" s="110" t="s">
        <v>246</v>
      </c>
      <c r="K4" s="110" t="s">
        <v>186</v>
      </c>
      <c r="L4" s="110" t="s">
        <v>186</v>
      </c>
      <c r="M4" s="110" t="s">
        <v>3173</v>
      </c>
      <c r="N4" s="110" t="s">
        <v>3168</v>
      </c>
      <c r="O4" s="110">
        <v>5</v>
      </c>
      <c r="Q4" s="110">
        <v>0.7</v>
      </c>
      <c r="R4" s="110" t="s">
        <v>272</v>
      </c>
      <c r="S4" s="110" t="s">
        <v>443</v>
      </c>
      <c r="T4" s="110" t="s">
        <v>611</v>
      </c>
      <c r="U4" s="110" t="s">
        <v>612</v>
      </c>
      <c r="V4" s="110">
        <v>41.531625720000001</v>
      </c>
      <c r="W4" s="110">
        <v>41.531625720000001</v>
      </c>
      <c r="X4" s="110">
        <v>-70.673833439999996</v>
      </c>
      <c r="Y4" s="110" t="s">
        <v>276</v>
      </c>
      <c r="Z4" s="110" t="s">
        <v>586</v>
      </c>
      <c r="AA4" s="110" t="s">
        <v>1788</v>
      </c>
      <c r="AB4" s="110" t="s">
        <v>1728</v>
      </c>
      <c r="AC4" s="110" t="s">
        <v>182</v>
      </c>
      <c r="AD4" s="110" t="s">
        <v>333</v>
      </c>
      <c r="AE4" s="110" t="s">
        <v>187</v>
      </c>
      <c r="AF4" s="110" t="s">
        <v>190</v>
      </c>
      <c r="AG4" s="110" t="s">
        <v>190</v>
      </c>
      <c r="AI4" s="110" t="s">
        <v>246</v>
      </c>
      <c r="AJ4" s="110" t="s">
        <v>246</v>
      </c>
      <c r="AK4" s="110" t="s">
        <v>698</v>
      </c>
      <c r="AL4" s="110" t="s">
        <v>723</v>
      </c>
      <c r="AM4" s="110">
        <v>300</v>
      </c>
      <c r="AN4" s="110" t="s">
        <v>1216</v>
      </c>
      <c r="AP4" s="110">
        <v>168</v>
      </c>
      <c r="AQ4" s="110" t="s">
        <v>176</v>
      </c>
      <c r="AR4" s="110" t="s">
        <v>174</v>
      </c>
      <c r="AS4" s="110" t="s">
        <v>174</v>
      </c>
      <c r="AT4" s="110" t="s">
        <v>174</v>
      </c>
      <c r="AU4" s="110">
        <v>100</v>
      </c>
      <c r="AW4" s="110">
        <v>4.4000000000000004</v>
      </c>
      <c r="AX4" s="110">
        <v>10.6</v>
      </c>
      <c r="AY4" s="110">
        <v>27.9</v>
      </c>
      <c r="AZ4" s="110">
        <v>28.8</v>
      </c>
      <c r="BA4" s="110">
        <v>15</v>
      </c>
      <c r="BB4" s="110">
        <v>15</v>
      </c>
      <c r="BC4" s="110">
        <v>15</v>
      </c>
      <c r="BD4" s="110">
        <v>0</v>
      </c>
      <c r="BE4" s="110" t="s">
        <v>246</v>
      </c>
      <c r="BF4" s="110" t="s">
        <v>188</v>
      </c>
      <c r="BG4" s="110">
        <v>0</v>
      </c>
      <c r="BI4" s="110" t="s">
        <v>182</v>
      </c>
      <c r="BJ4" s="110" t="s">
        <v>700</v>
      </c>
      <c r="BK4" s="110">
        <v>2</v>
      </c>
      <c r="BL4" s="110">
        <v>5</v>
      </c>
      <c r="BM4" s="110" t="s">
        <v>174</v>
      </c>
      <c r="BN4" s="110" t="s">
        <v>174</v>
      </c>
      <c r="BO4" s="110" t="s">
        <v>174</v>
      </c>
      <c r="BP4" s="110" t="s">
        <v>174</v>
      </c>
      <c r="BQ4" s="110" t="s">
        <v>174</v>
      </c>
      <c r="BR4" s="110" t="s">
        <v>174</v>
      </c>
      <c r="BS4" s="110">
        <v>7</v>
      </c>
      <c r="BT4" s="110" t="s">
        <v>1385</v>
      </c>
      <c r="BU4" s="110" t="s">
        <v>3207</v>
      </c>
      <c r="BV4" s="110" t="s">
        <v>2603</v>
      </c>
      <c r="BW4" s="110">
        <v>0.99</v>
      </c>
      <c r="BZ4" s="110">
        <v>0.7732</v>
      </c>
      <c r="CB4" s="110">
        <v>1.34</v>
      </c>
      <c r="CC4" s="110" t="b">
        <v>0</v>
      </c>
      <c r="CD4" s="110">
        <v>22.8</v>
      </c>
      <c r="CE4" s="110">
        <v>22.8</v>
      </c>
      <c r="CF4" s="110" t="s">
        <v>182</v>
      </c>
      <c r="CG4" s="110" t="s">
        <v>174</v>
      </c>
      <c r="CH4" s="110" t="s">
        <v>699</v>
      </c>
      <c r="CI4" s="110" t="s">
        <v>701</v>
      </c>
    </row>
    <row r="5" spans="1:88">
      <c r="A5" s="110" t="s">
        <v>690</v>
      </c>
      <c r="B5" s="110">
        <v>1</v>
      </c>
      <c r="C5" s="110">
        <v>1</v>
      </c>
      <c r="D5" s="110">
        <v>1</v>
      </c>
      <c r="E5" s="110">
        <v>4</v>
      </c>
      <c r="F5" s="110">
        <v>1994</v>
      </c>
      <c r="G5" s="110" t="s">
        <v>187</v>
      </c>
      <c r="H5" s="110" t="s">
        <v>2441</v>
      </c>
      <c r="I5" s="110" t="s">
        <v>246</v>
      </c>
      <c r="J5" s="110" t="s">
        <v>246</v>
      </c>
      <c r="K5" s="110" t="s">
        <v>186</v>
      </c>
      <c r="L5" s="110" t="s">
        <v>186</v>
      </c>
      <c r="M5" s="110" t="s">
        <v>3173</v>
      </c>
      <c r="N5" s="110" t="s">
        <v>3168</v>
      </c>
      <c r="O5" s="110">
        <v>5</v>
      </c>
      <c r="Q5" s="110">
        <v>0.7</v>
      </c>
      <c r="R5" s="110" t="s">
        <v>272</v>
      </c>
      <c r="S5" s="110" t="s">
        <v>443</v>
      </c>
      <c r="T5" s="110" t="s">
        <v>611</v>
      </c>
      <c r="U5" s="110" t="s">
        <v>612</v>
      </c>
      <c r="V5" s="110">
        <v>41.531625720000001</v>
      </c>
      <c r="W5" s="110">
        <v>41.531625720000001</v>
      </c>
      <c r="X5" s="110">
        <v>-70.673833439999996</v>
      </c>
      <c r="Y5" s="110" t="s">
        <v>276</v>
      </c>
      <c r="Z5" s="110" t="s">
        <v>586</v>
      </c>
      <c r="AA5" s="110" t="s">
        <v>1788</v>
      </c>
      <c r="AB5" s="110" t="s">
        <v>1728</v>
      </c>
      <c r="AC5" s="110" t="s">
        <v>182</v>
      </c>
      <c r="AD5" s="110" t="s">
        <v>333</v>
      </c>
      <c r="AE5" s="110" t="s">
        <v>187</v>
      </c>
      <c r="AF5" s="110" t="s">
        <v>190</v>
      </c>
      <c r="AG5" s="110" t="s">
        <v>190</v>
      </c>
      <c r="AI5" s="110" t="s">
        <v>246</v>
      </c>
      <c r="AJ5" s="110" t="s">
        <v>246</v>
      </c>
      <c r="AK5" s="110" t="s">
        <v>698</v>
      </c>
      <c r="AL5" s="110" t="s">
        <v>723</v>
      </c>
      <c r="AM5" s="110">
        <v>300</v>
      </c>
      <c r="AN5" s="110" t="s">
        <v>1216</v>
      </c>
      <c r="AP5" s="110">
        <v>88</v>
      </c>
      <c r="AQ5" s="110" t="s">
        <v>176</v>
      </c>
      <c r="AR5" s="110" t="s">
        <v>174</v>
      </c>
      <c r="AS5" s="110" t="s">
        <v>174</v>
      </c>
      <c r="AT5" s="110" t="s">
        <v>174</v>
      </c>
      <c r="AU5" s="110">
        <v>100</v>
      </c>
      <c r="AW5" s="110" t="s">
        <v>174</v>
      </c>
      <c r="AX5" s="110">
        <v>12.7</v>
      </c>
      <c r="AY5" s="110" t="s">
        <v>174</v>
      </c>
      <c r="AZ5" s="110">
        <v>17.5</v>
      </c>
      <c r="BA5" s="110">
        <v>15</v>
      </c>
      <c r="BB5" s="110">
        <v>15</v>
      </c>
      <c r="BC5" s="110">
        <v>15</v>
      </c>
      <c r="BD5" s="110">
        <v>0</v>
      </c>
      <c r="BE5" s="110" t="s">
        <v>246</v>
      </c>
      <c r="BF5" s="110" t="s">
        <v>188</v>
      </c>
      <c r="BG5" s="110">
        <v>0</v>
      </c>
      <c r="BI5" s="110" t="s">
        <v>182</v>
      </c>
      <c r="BJ5" s="110" t="s">
        <v>700</v>
      </c>
      <c r="BK5" s="110">
        <v>2</v>
      </c>
      <c r="BL5" s="110">
        <v>5</v>
      </c>
      <c r="BM5" s="110" t="s">
        <v>174</v>
      </c>
      <c r="BN5" s="110" t="s">
        <v>174</v>
      </c>
      <c r="BO5" s="110" t="s">
        <v>174</v>
      </c>
      <c r="BP5" s="110" t="s">
        <v>174</v>
      </c>
      <c r="BQ5" s="110" t="s">
        <v>174</v>
      </c>
      <c r="BR5" s="110" t="s">
        <v>174</v>
      </c>
      <c r="BS5" s="110">
        <v>7</v>
      </c>
      <c r="BT5" s="110" t="s">
        <v>1385</v>
      </c>
      <c r="BU5" s="110" t="s">
        <v>3207</v>
      </c>
      <c r="BV5" s="110" t="s">
        <v>2603</v>
      </c>
      <c r="BW5" s="110">
        <v>0.99</v>
      </c>
      <c r="BZ5" s="110">
        <v>0.70640000000000003</v>
      </c>
      <c r="CB5" s="110">
        <v>1.43</v>
      </c>
      <c r="CC5" s="110" t="b">
        <v>0</v>
      </c>
      <c r="CD5" s="110">
        <v>22.1</v>
      </c>
      <c r="CE5" s="110">
        <v>22.1</v>
      </c>
      <c r="CF5" s="110" t="s">
        <v>182</v>
      </c>
      <c r="CG5" s="110" t="s">
        <v>174</v>
      </c>
      <c r="CH5" s="110" t="s">
        <v>699</v>
      </c>
      <c r="CI5" s="110" t="s">
        <v>701</v>
      </c>
    </row>
    <row r="6" spans="1:88">
      <c r="A6" s="110" t="s">
        <v>690</v>
      </c>
      <c r="B6" s="110">
        <v>1</v>
      </c>
      <c r="C6" s="110">
        <v>1</v>
      </c>
      <c r="D6" s="110">
        <v>1</v>
      </c>
      <c r="E6" s="110">
        <v>5</v>
      </c>
      <c r="F6" s="110">
        <v>1994</v>
      </c>
      <c r="G6" s="110" t="s">
        <v>187</v>
      </c>
      <c r="H6" s="110" t="s">
        <v>2441</v>
      </c>
      <c r="I6" s="110" t="s">
        <v>246</v>
      </c>
      <c r="J6" s="110" t="s">
        <v>246</v>
      </c>
      <c r="K6" s="110" t="s">
        <v>186</v>
      </c>
      <c r="L6" s="110" t="s">
        <v>186</v>
      </c>
      <c r="M6" s="110" t="s">
        <v>3173</v>
      </c>
      <c r="N6" s="110" t="s">
        <v>3168</v>
      </c>
      <c r="O6" s="110">
        <v>5</v>
      </c>
      <c r="Q6" s="110">
        <v>0.7</v>
      </c>
      <c r="R6" s="110" t="s">
        <v>272</v>
      </c>
      <c r="S6" s="110" t="s">
        <v>443</v>
      </c>
      <c r="T6" s="110" t="s">
        <v>611</v>
      </c>
      <c r="U6" s="110" t="s">
        <v>612</v>
      </c>
      <c r="V6" s="110">
        <v>41.531625720000001</v>
      </c>
      <c r="W6" s="110">
        <v>41.531625720000001</v>
      </c>
      <c r="X6" s="110">
        <v>-70.673833439999996</v>
      </c>
      <c r="Y6" s="110" t="s">
        <v>276</v>
      </c>
      <c r="Z6" s="110" t="s">
        <v>586</v>
      </c>
      <c r="AA6" s="110" t="s">
        <v>1788</v>
      </c>
      <c r="AB6" s="110" t="s">
        <v>1728</v>
      </c>
      <c r="AC6" s="110" t="s">
        <v>182</v>
      </c>
      <c r="AD6" s="110" t="s">
        <v>333</v>
      </c>
      <c r="AE6" s="110" t="s">
        <v>187</v>
      </c>
      <c r="AF6" s="110" t="s">
        <v>190</v>
      </c>
      <c r="AG6" s="110" t="s">
        <v>190</v>
      </c>
      <c r="AI6" s="110" t="s">
        <v>246</v>
      </c>
      <c r="AJ6" s="110" t="s">
        <v>246</v>
      </c>
      <c r="AK6" s="110" t="s">
        <v>698</v>
      </c>
      <c r="AL6" s="110" t="s">
        <v>723</v>
      </c>
      <c r="AM6" s="110">
        <v>300</v>
      </c>
      <c r="AN6" s="110" t="s">
        <v>1216</v>
      </c>
      <c r="AP6" s="110">
        <v>21</v>
      </c>
      <c r="AQ6" s="110" t="s">
        <v>176</v>
      </c>
      <c r="AR6" s="110" t="s">
        <v>174</v>
      </c>
      <c r="AS6" s="110" t="s">
        <v>174</v>
      </c>
      <c r="AT6" s="110" t="s">
        <v>174</v>
      </c>
      <c r="AU6" s="110">
        <v>100</v>
      </c>
      <c r="AW6" s="110" t="s">
        <v>174</v>
      </c>
      <c r="AX6" s="110" t="s">
        <v>174</v>
      </c>
      <c r="AY6" s="110" t="s">
        <v>174</v>
      </c>
      <c r="AZ6" s="110" t="s">
        <v>174</v>
      </c>
      <c r="BA6" s="110">
        <v>15</v>
      </c>
      <c r="BB6" s="110">
        <v>15</v>
      </c>
      <c r="BC6" s="110">
        <v>15</v>
      </c>
      <c r="BD6" s="110">
        <v>0</v>
      </c>
      <c r="BE6" s="110" t="s">
        <v>246</v>
      </c>
      <c r="BF6" s="110" t="s">
        <v>188</v>
      </c>
      <c r="BG6" s="110">
        <v>0</v>
      </c>
      <c r="BI6" s="110" t="s">
        <v>182</v>
      </c>
      <c r="BJ6" s="110" t="s">
        <v>700</v>
      </c>
      <c r="BK6" s="110">
        <v>2</v>
      </c>
      <c r="BL6" s="110">
        <v>5</v>
      </c>
      <c r="BM6" s="110" t="s">
        <v>174</v>
      </c>
      <c r="BN6" s="110" t="s">
        <v>174</v>
      </c>
      <c r="BO6" s="110" t="s">
        <v>174</v>
      </c>
      <c r="BP6" s="110" t="s">
        <v>174</v>
      </c>
      <c r="BQ6" s="110" t="s">
        <v>174</v>
      </c>
      <c r="BR6" s="110" t="s">
        <v>174</v>
      </c>
      <c r="BS6" s="110">
        <v>7</v>
      </c>
      <c r="BT6" s="110" t="s">
        <v>1385</v>
      </c>
      <c r="BU6" s="110" t="s">
        <v>3207</v>
      </c>
      <c r="BV6" s="110" t="s">
        <v>2603</v>
      </c>
      <c r="BW6" s="110">
        <v>0.94</v>
      </c>
      <c r="BZ6" s="110">
        <v>1.2483</v>
      </c>
      <c r="CB6" s="110">
        <v>3.48</v>
      </c>
      <c r="CC6" s="110" t="b">
        <v>0</v>
      </c>
      <c r="CD6" s="110">
        <v>49.3</v>
      </c>
      <c r="CE6" s="110">
        <v>49.3</v>
      </c>
      <c r="CF6" s="110" t="s">
        <v>182</v>
      </c>
      <c r="CG6" s="110" t="s">
        <v>174</v>
      </c>
      <c r="CH6" s="110" t="s">
        <v>699</v>
      </c>
      <c r="CI6" s="110" t="s">
        <v>701</v>
      </c>
    </row>
    <row r="7" spans="1:88">
      <c r="A7" s="110" t="s">
        <v>690</v>
      </c>
      <c r="B7" s="110">
        <v>1</v>
      </c>
      <c r="C7" s="110">
        <v>1</v>
      </c>
      <c r="D7" s="110">
        <v>2</v>
      </c>
      <c r="E7" s="110">
        <v>6</v>
      </c>
      <c r="F7" s="110">
        <v>1994</v>
      </c>
      <c r="G7" s="110" t="s">
        <v>187</v>
      </c>
      <c r="H7" s="110" t="s">
        <v>2441</v>
      </c>
      <c r="I7" s="110" t="s">
        <v>246</v>
      </c>
      <c r="J7" s="110" t="s">
        <v>246</v>
      </c>
      <c r="K7" s="110" t="s">
        <v>186</v>
      </c>
      <c r="L7" s="110" t="s">
        <v>186</v>
      </c>
      <c r="M7" s="110" t="s">
        <v>3173</v>
      </c>
      <c r="N7" s="110" t="s">
        <v>3168</v>
      </c>
      <c r="O7" s="110">
        <v>5</v>
      </c>
      <c r="Q7" s="110">
        <v>0.7</v>
      </c>
      <c r="R7" s="110" t="s">
        <v>272</v>
      </c>
      <c r="S7" s="110" t="s">
        <v>443</v>
      </c>
      <c r="T7" s="110" t="s">
        <v>611</v>
      </c>
      <c r="U7" s="110" t="s">
        <v>612</v>
      </c>
      <c r="V7" s="110">
        <v>41.531625720000001</v>
      </c>
      <c r="W7" s="110">
        <v>41.531625720000001</v>
      </c>
      <c r="X7" s="110">
        <v>-70.673833439999996</v>
      </c>
      <c r="Y7" s="110" t="s">
        <v>276</v>
      </c>
      <c r="Z7" s="110" t="s">
        <v>586</v>
      </c>
      <c r="AA7" s="110" t="s">
        <v>1788</v>
      </c>
      <c r="AB7" s="110" t="s">
        <v>1728</v>
      </c>
      <c r="AC7" s="110" t="s">
        <v>182</v>
      </c>
      <c r="AD7" s="110" t="s">
        <v>333</v>
      </c>
      <c r="AE7" s="110" t="s">
        <v>187</v>
      </c>
      <c r="AF7" s="110" t="s">
        <v>190</v>
      </c>
      <c r="AG7" s="110" t="s">
        <v>190</v>
      </c>
      <c r="AI7" s="110" t="s">
        <v>246</v>
      </c>
      <c r="AJ7" s="110" t="s">
        <v>246</v>
      </c>
      <c r="AK7" s="110" t="s">
        <v>698</v>
      </c>
      <c r="AL7" s="110" t="s">
        <v>723</v>
      </c>
      <c r="AM7" s="110">
        <v>300</v>
      </c>
      <c r="AN7" s="110" t="s">
        <v>1216</v>
      </c>
      <c r="AP7" s="110">
        <v>395</v>
      </c>
      <c r="AQ7" s="110" t="s">
        <v>176</v>
      </c>
      <c r="AR7" s="110" t="s">
        <v>174</v>
      </c>
      <c r="AS7" s="110" t="s">
        <v>174</v>
      </c>
      <c r="AT7" s="110" t="s">
        <v>174</v>
      </c>
      <c r="AU7" s="110">
        <v>25</v>
      </c>
      <c r="AW7" s="110" t="s">
        <v>174</v>
      </c>
      <c r="AX7" s="110">
        <v>6.6</v>
      </c>
      <c r="AY7" s="110" t="s">
        <v>174</v>
      </c>
      <c r="AZ7" s="110">
        <v>44.6</v>
      </c>
      <c r="BA7" s="110">
        <v>15</v>
      </c>
      <c r="BB7" s="110">
        <v>15</v>
      </c>
      <c r="BC7" s="110">
        <v>15</v>
      </c>
      <c r="BD7" s="110">
        <v>0</v>
      </c>
      <c r="BE7" s="110" t="s">
        <v>246</v>
      </c>
      <c r="BF7" s="110" t="s">
        <v>188</v>
      </c>
      <c r="BG7" s="110">
        <v>0</v>
      </c>
      <c r="BI7" s="110" t="s">
        <v>182</v>
      </c>
      <c r="BJ7" s="110" t="s">
        <v>700</v>
      </c>
      <c r="BK7" s="110">
        <v>6</v>
      </c>
      <c r="BL7" s="110">
        <v>2</v>
      </c>
      <c r="BM7" s="110" t="s">
        <v>174</v>
      </c>
      <c r="BN7" s="110" t="s">
        <v>174</v>
      </c>
      <c r="BO7" s="110" t="s">
        <v>174</v>
      </c>
      <c r="BP7" s="110" t="s">
        <v>174</v>
      </c>
      <c r="BQ7" s="110" t="s">
        <v>174</v>
      </c>
      <c r="BR7" s="110" t="s">
        <v>174</v>
      </c>
      <c r="BS7" s="110">
        <v>5</v>
      </c>
      <c r="BT7" s="110" t="s">
        <v>2347</v>
      </c>
      <c r="BU7" s="110" t="s">
        <v>1394</v>
      </c>
      <c r="BV7" s="110" t="s">
        <v>2603</v>
      </c>
      <c r="BW7" s="110">
        <v>0.84</v>
      </c>
      <c r="BZ7" s="110">
        <v>0.44</v>
      </c>
      <c r="CB7" s="110">
        <v>1.5</v>
      </c>
      <c r="CC7" s="110" t="b">
        <v>0</v>
      </c>
      <c r="CD7" s="110">
        <v>24.556962025316455</v>
      </c>
      <c r="CE7" s="110" t="s">
        <v>2256</v>
      </c>
      <c r="CF7" s="110" t="s">
        <v>2256</v>
      </c>
      <c r="CG7" s="110" t="s">
        <v>174</v>
      </c>
      <c r="CH7" s="110" t="s">
        <v>708</v>
      </c>
      <c r="CI7" s="110" t="s">
        <v>701</v>
      </c>
    </row>
    <row r="8" spans="1:88">
      <c r="A8" s="110" t="s">
        <v>690</v>
      </c>
      <c r="B8" s="110">
        <v>1</v>
      </c>
      <c r="C8" s="110">
        <v>1</v>
      </c>
      <c r="D8" s="110">
        <v>2</v>
      </c>
      <c r="E8" s="110">
        <v>7</v>
      </c>
      <c r="F8" s="110">
        <v>1994</v>
      </c>
      <c r="G8" s="110" t="s">
        <v>187</v>
      </c>
      <c r="H8" s="110" t="s">
        <v>2441</v>
      </c>
      <c r="I8" s="110" t="s">
        <v>246</v>
      </c>
      <c r="J8" s="110" t="s">
        <v>246</v>
      </c>
      <c r="K8" s="110" t="s">
        <v>186</v>
      </c>
      <c r="L8" s="110" t="s">
        <v>186</v>
      </c>
      <c r="M8" s="110" t="s">
        <v>3173</v>
      </c>
      <c r="N8" s="110" t="s">
        <v>3168</v>
      </c>
      <c r="O8" s="110">
        <v>5</v>
      </c>
      <c r="Q8" s="110">
        <v>0.7</v>
      </c>
      <c r="R8" s="110" t="s">
        <v>272</v>
      </c>
      <c r="S8" s="110" t="s">
        <v>443</v>
      </c>
      <c r="T8" s="110" t="s">
        <v>611</v>
      </c>
      <c r="U8" s="110" t="s">
        <v>612</v>
      </c>
      <c r="V8" s="110">
        <v>41.531625720000001</v>
      </c>
      <c r="W8" s="110">
        <v>41.531625720000001</v>
      </c>
      <c r="X8" s="110">
        <v>-70.673833439999996</v>
      </c>
      <c r="Y8" s="110" t="s">
        <v>276</v>
      </c>
      <c r="Z8" s="110" t="s">
        <v>586</v>
      </c>
      <c r="AA8" s="110" t="s">
        <v>1788</v>
      </c>
      <c r="AB8" s="110" t="s">
        <v>1728</v>
      </c>
      <c r="AC8" s="110" t="s">
        <v>182</v>
      </c>
      <c r="AD8" s="110" t="s">
        <v>333</v>
      </c>
      <c r="AE8" s="110" t="s">
        <v>187</v>
      </c>
      <c r="AF8" s="110" t="s">
        <v>190</v>
      </c>
      <c r="AG8" s="110" t="s">
        <v>190</v>
      </c>
      <c r="AI8" s="110" t="s">
        <v>246</v>
      </c>
      <c r="AJ8" s="110" t="s">
        <v>246</v>
      </c>
      <c r="AK8" s="110" t="s">
        <v>698</v>
      </c>
      <c r="AL8" s="110" t="s">
        <v>723</v>
      </c>
      <c r="AM8" s="110">
        <v>300</v>
      </c>
      <c r="AN8" s="110" t="s">
        <v>1216</v>
      </c>
      <c r="AP8" s="110">
        <v>833</v>
      </c>
      <c r="AQ8" s="110" t="s">
        <v>176</v>
      </c>
      <c r="AR8" s="110" t="s">
        <v>174</v>
      </c>
      <c r="AS8" s="110" t="s">
        <v>174</v>
      </c>
      <c r="AT8" s="110" t="s">
        <v>174</v>
      </c>
      <c r="AU8" s="110">
        <v>100</v>
      </c>
      <c r="AW8" s="110" t="s">
        <v>174</v>
      </c>
      <c r="AX8" s="110">
        <v>4.4000000000000004</v>
      </c>
      <c r="AY8" s="110" t="s">
        <v>174</v>
      </c>
      <c r="AZ8" s="110">
        <v>26.4</v>
      </c>
      <c r="BA8" s="110">
        <v>15</v>
      </c>
      <c r="BB8" s="110">
        <v>15</v>
      </c>
      <c r="BC8" s="110">
        <v>15</v>
      </c>
      <c r="BD8" s="110">
        <v>0</v>
      </c>
      <c r="BE8" s="110" t="s">
        <v>246</v>
      </c>
      <c r="BF8" s="110" t="s">
        <v>188</v>
      </c>
      <c r="BG8" s="110">
        <v>0</v>
      </c>
      <c r="BI8" s="110" t="s">
        <v>182</v>
      </c>
      <c r="BJ8" s="110" t="s">
        <v>700</v>
      </c>
      <c r="BK8" s="110">
        <v>3</v>
      </c>
      <c r="BL8" s="110">
        <v>2</v>
      </c>
      <c r="BM8" s="110" t="s">
        <v>174</v>
      </c>
      <c r="BN8" s="110" t="s">
        <v>174</v>
      </c>
      <c r="BO8" s="110" t="s">
        <v>174</v>
      </c>
      <c r="BP8" s="110" t="s">
        <v>174</v>
      </c>
      <c r="BQ8" s="110" t="s">
        <v>174</v>
      </c>
      <c r="BR8" s="110" t="s">
        <v>174</v>
      </c>
      <c r="BS8" s="110">
        <v>5</v>
      </c>
      <c r="BT8" s="110" t="s">
        <v>2347</v>
      </c>
      <c r="BU8" s="110" t="s">
        <v>1394</v>
      </c>
      <c r="BV8" s="110" t="s">
        <v>2603</v>
      </c>
      <c r="BW8" s="110">
        <v>0.99</v>
      </c>
      <c r="BZ8" s="110">
        <v>0.308</v>
      </c>
      <c r="CB8" s="110">
        <v>2.2000000000000002</v>
      </c>
      <c r="CC8" s="110" t="b">
        <v>0</v>
      </c>
      <c r="CD8" s="110">
        <v>24.609843937575029</v>
      </c>
      <c r="CE8" s="110" t="s">
        <v>2256</v>
      </c>
      <c r="CF8" s="110" t="s">
        <v>2256</v>
      </c>
      <c r="CG8" s="110" t="s">
        <v>174</v>
      </c>
      <c r="CH8" s="110" t="s">
        <v>708</v>
      </c>
      <c r="CI8" s="110" t="s">
        <v>701</v>
      </c>
    </row>
    <row r="9" spans="1:88">
      <c r="A9" s="110" t="s">
        <v>690</v>
      </c>
      <c r="B9" s="110">
        <v>1</v>
      </c>
      <c r="C9" s="110">
        <v>1</v>
      </c>
      <c r="D9" s="110">
        <v>2</v>
      </c>
      <c r="E9" s="110">
        <v>8</v>
      </c>
      <c r="F9" s="110">
        <v>1994</v>
      </c>
      <c r="G9" s="110" t="s">
        <v>187</v>
      </c>
      <c r="H9" s="110" t="s">
        <v>2441</v>
      </c>
      <c r="I9" s="110" t="s">
        <v>246</v>
      </c>
      <c r="J9" s="110" t="s">
        <v>246</v>
      </c>
      <c r="K9" s="110" t="s">
        <v>186</v>
      </c>
      <c r="L9" s="110" t="s">
        <v>186</v>
      </c>
      <c r="M9" s="110" t="s">
        <v>3173</v>
      </c>
      <c r="N9" s="110" t="s">
        <v>3168</v>
      </c>
      <c r="O9" s="110">
        <v>5</v>
      </c>
      <c r="Q9" s="110">
        <v>0.7</v>
      </c>
      <c r="R9" s="110" t="s">
        <v>1976</v>
      </c>
      <c r="S9" s="110" t="s">
        <v>446</v>
      </c>
      <c r="T9" s="110" t="s">
        <v>702</v>
      </c>
      <c r="U9" s="110" t="s">
        <v>703</v>
      </c>
      <c r="V9" s="110">
        <v>41.531625720000001</v>
      </c>
      <c r="W9" s="110">
        <v>41.531625720000001</v>
      </c>
      <c r="X9" s="110">
        <v>-70.673833439999996</v>
      </c>
      <c r="Y9" s="110" t="s">
        <v>276</v>
      </c>
      <c r="Z9" s="110" t="s">
        <v>586</v>
      </c>
      <c r="AA9" s="110" t="s">
        <v>1788</v>
      </c>
      <c r="AB9" s="110" t="s">
        <v>1728</v>
      </c>
      <c r="AC9" s="110" t="s">
        <v>182</v>
      </c>
      <c r="AD9" s="110" t="s">
        <v>333</v>
      </c>
      <c r="AE9" s="110" t="s">
        <v>187</v>
      </c>
      <c r="AF9" s="110" t="s">
        <v>190</v>
      </c>
      <c r="AG9" s="110" t="s">
        <v>190</v>
      </c>
      <c r="AI9" s="110" t="s">
        <v>246</v>
      </c>
      <c r="AJ9" s="110" t="s">
        <v>246</v>
      </c>
      <c r="AK9" s="110" t="s">
        <v>698</v>
      </c>
      <c r="AL9" s="110" t="s">
        <v>723</v>
      </c>
      <c r="AM9" s="110">
        <v>300</v>
      </c>
      <c r="AN9" s="110" t="s">
        <v>1216</v>
      </c>
      <c r="AP9" s="110">
        <v>282</v>
      </c>
      <c r="AQ9" s="110" t="s">
        <v>176</v>
      </c>
      <c r="AR9" s="110" t="s">
        <v>174</v>
      </c>
      <c r="AS9" s="110" t="s">
        <v>174</v>
      </c>
      <c r="AT9" s="110" t="s">
        <v>174</v>
      </c>
      <c r="AU9" s="110">
        <v>50</v>
      </c>
      <c r="AW9" s="110" t="s">
        <v>174</v>
      </c>
      <c r="AX9" s="110">
        <v>4.2</v>
      </c>
      <c r="AY9" s="110" t="s">
        <v>174</v>
      </c>
      <c r="AZ9" s="110">
        <v>39.5</v>
      </c>
      <c r="BA9" s="110">
        <v>15</v>
      </c>
      <c r="BB9" s="110">
        <v>15</v>
      </c>
      <c r="BC9" s="110">
        <v>15</v>
      </c>
      <c r="BD9" s="110">
        <v>0</v>
      </c>
      <c r="BE9" s="110" t="s">
        <v>246</v>
      </c>
      <c r="BF9" s="110" t="s">
        <v>188</v>
      </c>
      <c r="BG9" s="110">
        <v>0</v>
      </c>
      <c r="BI9" s="110" t="s">
        <v>182</v>
      </c>
      <c r="BJ9" s="110" t="s">
        <v>700</v>
      </c>
      <c r="BK9" s="110">
        <v>6</v>
      </c>
      <c r="BL9" s="110">
        <v>2</v>
      </c>
      <c r="BM9" s="110" t="s">
        <v>174</v>
      </c>
      <c r="BN9" s="110" t="s">
        <v>174</v>
      </c>
      <c r="BO9" s="110" t="s">
        <v>174</v>
      </c>
      <c r="BP9" s="110" t="s">
        <v>174</v>
      </c>
      <c r="BQ9" s="110" t="s">
        <v>174</v>
      </c>
      <c r="BR9" s="110" t="s">
        <v>174</v>
      </c>
      <c r="BS9" s="110">
        <v>6</v>
      </c>
      <c r="BT9" s="110" t="s">
        <v>2347</v>
      </c>
      <c r="BU9" s="110" t="s">
        <v>1394</v>
      </c>
      <c r="BV9" s="110" t="s">
        <v>2603</v>
      </c>
      <c r="BW9" s="110">
        <v>0.96</v>
      </c>
      <c r="BZ9" s="110">
        <v>0.24529999999999999</v>
      </c>
      <c r="CB9" s="110">
        <v>2.8</v>
      </c>
      <c r="CC9" s="110" t="b">
        <v>0</v>
      </c>
      <c r="CD9" s="110">
        <v>28.01418439716312</v>
      </c>
      <c r="CE9" s="110" t="s">
        <v>2256</v>
      </c>
      <c r="CF9" s="110" t="s">
        <v>2256</v>
      </c>
      <c r="CG9" s="110" t="s">
        <v>174</v>
      </c>
      <c r="CH9" s="110" t="s">
        <v>708</v>
      </c>
      <c r="CI9" s="110" t="s">
        <v>701</v>
      </c>
    </row>
    <row r="10" spans="1:88">
      <c r="A10" s="110" t="s">
        <v>690</v>
      </c>
      <c r="B10" s="110">
        <v>1</v>
      </c>
      <c r="C10" s="110">
        <v>1</v>
      </c>
      <c r="D10" s="110">
        <v>2</v>
      </c>
      <c r="E10" s="110">
        <v>9</v>
      </c>
      <c r="F10" s="110">
        <v>1994</v>
      </c>
      <c r="G10" s="110" t="s">
        <v>187</v>
      </c>
      <c r="H10" s="110" t="s">
        <v>2441</v>
      </c>
      <c r="I10" s="110" t="s">
        <v>246</v>
      </c>
      <c r="J10" s="110" t="s">
        <v>246</v>
      </c>
      <c r="K10" s="110" t="s">
        <v>186</v>
      </c>
      <c r="L10" s="110" t="s">
        <v>186</v>
      </c>
      <c r="M10" s="110" t="s">
        <v>3173</v>
      </c>
      <c r="N10" s="110" t="s">
        <v>3168</v>
      </c>
      <c r="O10" s="110">
        <v>5</v>
      </c>
      <c r="Q10" s="110">
        <v>0.7</v>
      </c>
      <c r="R10" s="110" t="s">
        <v>1976</v>
      </c>
      <c r="S10" s="110" t="s">
        <v>446</v>
      </c>
      <c r="T10" s="110" t="s">
        <v>702</v>
      </c>
      <c r="U10" s="110" t="s">
        <v>703</v>
      </c>
      <c r="V10" s="110">
        <v>41.531625720000001</v>
      </c>
      <c r="W10" s="110">
        <v>41.531625720000001</v>
      </c>
      <c r="X10" s="110">
        <v>-70.673833439999996</v>
      </c>
      <c r="Y10" s="110" t="s">
        <v>276</v>
      </c>
      <c r="Z10" s="110" t="s">
        <v>586</v>
      </c>
      <c r="AA10" s="110" t="s">
        <v>1788</v>
      </c>
      <c r="AB10" s="110" t="s">
        <v>1728</v>
      </c>
      <c r="AC10" s="110" t="s">
        <v>182</v>
      </c>
      <c r="AD10" s="110" t="s">
        <v>333</v>
      </c>
      <c r="AE10" s="110" t="s">
        <v>187</v>
      </c>
      <c r="AF10" s="110" t="s">
        <v>190</v>
      </c>
      <c r="AG10" s="110" t="s">
        <v>190</v>
      </c>
      <c r="AI10" s="110" t="s">
        <v>246</v>
      </c>
      <c r="AJ10" s="110" t="s">
        <v>246</v>
      </c>
      <c r="AK10" s="110" t="s">
        <v>698</v>
      </c>
      <c r="AL10" s="110" t="s">
        <v>723</v>
      </c>
      <c r="AM10" s="110">
        <v>300</v>
      </c>
      <c r="AN10" s="110" t="s">
        <v>1216</v>
      </c>
      <c r="AP10" s="110">
        <v>187</v>
      </c>
      <c r="AQ10" s="110" t="s">
        <v>176</v>
      </c>
      <c r="AR10" s="110" t="s">
        <v>174</v>
      </c>
      <c r="AS10" s="110" t="s">
        <v>174</v>
      </c>
      <c r="AT10" s="110" t="s">
        <v>174</v>
      </c>
      <c r="AU10" s="110">
        <v>100</v>
      </c>
      <c r="AW10" s="110" t="s">
        <v>174</v>
      </c>
      <c r="AX10" s="110">
        <v>4.4000000000000004</v>
      </c>
      <c r="AY10" s="110" t="s">
        <v>174</v>
      </c>
      <c r="AZ10" s="110">
        <v>34.299999999999997</v>
      </c>
      <c r="BA10" s="110">
        <v>15</v>
      </c>
      <c r="BB10" s="110">
        <v>15</v>
      </c>
      <c r="BC10" s="110">
        <v>15</v>
      </c>
      <c r="BD10" s="110">
        <v>0</v>
      </c>
      <c r="BE10" s="110" t="s">
        <v>246</v>
      </c>
      <c r="BF10" s="110" t="s">
        <v>188</v>
      </c>
      <c r="BG10" s="110">
        <v>0</v>
      </c>
      <c r="BI10" s="110" t="s">
        <v>182</v>
      </c>
      <c r="BJ10" s="110" t="s">
        <v>700</v>
      </c>
      <c r="BK10" s="110">
        <v>7</v>
      </c>
      <c r="BL10" s="110">
        <v>3</v>
      </c>
      <c r="BM10" s="110" t="s">
        <v>174</v>
      </c>
      <c r="BN10" s="110" t="s">
        <v>174</v>
      </c>
      <c r="BO10" s="110" t="s">
        <v>174</v>
      </c>
      <c r="BP10" s="110" t="s">
        <v>174</v>
      </c>
      <c r="BQ10" s="110" t="s">
        <v>174</v>
      </c>
      <c r="BR10" s="110" t="s">
        <v>174</v>
      </c>
      <c r="BS10" s="110">
        <v>6</v>
      </c>
      <c r="BT10" s="110" t="s">
        <v>2347</v>
      </c>
      <c r="BU10" s="110" t="s">
        <v>1394</v>
      </c>
      <c r="BV10" s="110" t="s">
        <v>2603</v>
      </c>
      <c r="BW10" s="110">
        <v>0.98</v>
      </c>
      <c r="BZ10" s="110">
        <v>0.19520000000000001</v>
      </c>
      <c r="CB10" s="110">
        <v>3.6</v>
      </c>
      <c r="CC10" s="110" t="b">
        <v>0</v>
      </c>
      <c r="CD10" s="110">
        <v>31.550802139037433</v>
      </c>
      <c r="CE10" s="110" t="s">
        <v>2256</v>
      </c>
      <c r="CF10" s="110" t="s">
        <v>2256</v>
      </c>
      <c r="CG10" s="110" t="s">
        <v>174</v>
      </c>
      <c r="CH10" s="110" t="s">
        <v>708</v>
      </c>
      <c r="CI10" s="110" t="s">
        <v>701</v>
      </c>
    </row>
    <row r="11" spans="1:88">
      <c r="A11" s="110" t="s">
        <v>690</v>
      </c>
      <c r="B11" s="110">
        <v>1</v>
      </c>
      <c r="C11" s="110">
        <v>1</v>
      </c>
      <c r="D11" s="110">
        <v>2</v>
      </c>
      <c r="E11" s="110">
        <v>10</v>
      </c>
      <c r="F11" s="110">
        <v>1994</v>
      </c>
      <c r="G11" s="110" t="s">
        <v>187</v>
      </c>
      <c r="H11" s="110" t="s">
        <v>2441</v>
      </c>
      <c r="I11" s="110" t="s">
        <v>246</v>
      </c>
      <c r="J11" s="110" t="s">
        <v>246</v>
      </c>
      <c r="K11" s="110" t="s">
        <v>186</v>
      </c>
      <c r="L11" s="110" t="s">
        <v>186</v>
      </c>
      <c r="M11" s="110" t="s">
        <v>3173</v>
      </c>
      <c r="N11" s="110" t="s">
        <v>3168</v>
      </c>
      <c r="O11" s="110">
        <v>5</v>
      </c>
      <c r="Q11" s="110">
        <v>0.7</v>
      </c>
      <c r="R11" s="110" t="s">
        <v>1976</v>
      </c>
      <c r="S11" s="110" t="s">
        <v>444</v>
      </c>
      <c r="T11" s="110" t="s">
        <v>445</v>
      </c>
      <c r="U11" s="110" t="s">
        <v>704</v>
      </c>
      <c r="V11" s="110">
        <v>41.531625720000001</v>
      </c>
      <c r="W11" s="110">
        <v>41.531625720000001</v>
      </c>
      <c r="X11" s="110">
        <v>-70.673833439999996</v>
      </c>
      <c r="Y11" s="110" t="s">
        <v>276</v>
      </c>
      <c r="Z11" s="110" t="s">
        <v>586</v>
      </c>
      <c r="AA11" s="110" t="s">
        <v>1788</v>
      </c>
      <c r="AB11" s="110" t="s">
        <v>1728</v>
      </c>
      <c r="AC11" s="110" t="s">
        <v>182</v>
      </c>
      <c r="AD11" s="110" t="s">
        <v>333</v>
      </c>
      <c r="AE11" s="110" t="s">
        <v>187</v>
      </c>
      <c r="AF11" s="110" t="s">
        <v>190</v>
      </c>
      <c r="AG11" s="110" t="s">
        <v>190</v>
      </c>
      <c r="AI11" s="110" t="s">
        <v>246</v>
      </c>
      <c r="AJ11" s="110" t="s">
        <v>246</v>
      </c>
      <c r="AK11" s="110" t="s">
        <v>698</v>
      </c>
      <c r="AL11" s="110" t="s">
        <v>723</v>
      </c>
      <c r="AM11" s="110">
        <v>300</v>
      </c>
      <c r="AN11" s="110" t="s">
        <v>1216</v>
      </c>
      <c r="AP11" s="110">
        <v>284</v>
      </c>
      <c r="AQ11" s="110" t="s">
        <v>176</v>
      </c>
      <c r="AR11" s="110" t="s">
        <v>174</v>
      </c>
      <c r="AS11" s="110" t="s">
        <v>174</v>
      </c>
      <c r="AT11" s="110" t="s">
        <v>174</v>
      </c>
      <c r="AU11" s="110">
        <v>50</v>
      </c>
      <c r="AW11" s="110" t="s">
        <v>174</v>
      </c>
      <c r="AX11" s="110">
        <v>4.7</v>
      </c>
      <c r="AY11" s="110" t="s">
        <v>174</v>
      </c>
      <c r="AZ11" s="110">
        <v>31.4</v>
      </c>
      <c r="BA11" s="110">
        <v>15</v>
      </c>
      <c r="BB11" s="110">
        <v>15</v>
      </c>
      <c r="BC11" s="110">
        <v>15</v>
      </c>
      <c r="BD11" s="110">
        <v>0</v>
      </c>
      <c r="BE11" s="110" t="s">
        <v>246</v>
      </c>
      <c r="BF11" s="110" t="s">
        <v>188</v>
      </c>
      <c r="BG11" s="110">
        <v>0</v>
      </c>
      <c r="BI11" s="110" t="s">
        <v>182</v>
      </c>
      <c r="BJ11" s="110" t="s">
        <v>700</v>
      </c>
      <c r="BK11" s="110">
        <v>6</v>
      </c>
      <c r="BL11" s="110">
        <v>2</v>
      </c>
      <c r="BM11" s="110" t="s">
        <v>174</v>
      </c>
      <c r="BN11" s="110" t="s">
        <v>174</v>
      </c>
      <c r="BO11" s="110" t="s">
        <v>174</v>
      </c>
      <c r="BP11" s="110" t="s">
        <v>174</v>
      </c>
      <c r="BQ11" s="110" t="s">
        <v>174</v>
      </c>
      <c r="BR11" s="110" t="s">
        <v>174</v>
      </c>
      <c r="BS11" s="110">
        <v>5</v>
      </c>
      <c r="BT11" s="110" t="s">
        <v>2347</v>
      </c>
      <c r="BU11" s="110" t="s">
        <v>1394</v>
      </c>
      <c r="BV11" s="110" t="s">
        <v>2603</v>
      </c>
      <c r="BW11" s="110">
        <v>0.99</v>
      </c>
      <c r="BZ11" s="110">
        <v>0.2475</v>
      </c>
      <c r="CB11" s="110">
        <v>2.7</v>
      </c>
      <c r="CC11" s="110" t="b">
        <v>0</v>
      </c>
      <c r="CD11" s="110">
        <v>25</v>
      </c>
      <c r="CE11" s="110" t="s">
        <v>2256</v>
      </c>
      <c r="CF11" s="110" t="s">
        <v>2256</v>
      </c>
      <c r="CG11" s="110" t="s">
        <v>174</v>
      </c>
      <c r="CH11" s="110" t="s">
        <v>708</v>
      </c>
      <c r="CI11" s="110" t="s">
        <v>701</v>
      </c>
    </row>
    <row r="12" spans="1:88">
      <c r="A12" s="110" t="s">
        <v>580</v>
      </c>
      <c r="B12" s="110">
        <v>2</v>
      </c>
      <c r="C12" s="110">
        <v>3</v>
      </c>
      <c r="D12" s="110">
        <v>1</v>
      </c>
      <c r="E12" s="110">
        <v>11</v>
      </c>
      <c r="F12" s="110">
        <v>1990</v>
      </c>
      <c r="G12" s="110" t="s">
        <v>161</v>
      </c>
      <c r="H12" s="110" t="s">
        <v>2440</v>
      </c>
      <c r="I12" s="110" t="s">
        <v>246</v>
      </c>
      <c r="J12" s="110" t="s">
        <v>246</v>
      </c>
      <c r="K12" s="110" t="s">
        <v>999</v>
      </c>
      <c r="L12" s="110" t="s">
        <v>999</v>
      </c>
      <c r="R12" s="110" t="s">
        <v>2611</v>
      </c>
      <c r="S12" s="110" t="s">
        <v>446</v>
      </c>
      <c r="T12" s="110" t="s">
        <v>798</v>
      </c>
      <c r="U12" s="110" t="s">
        <v>552</v>
      </c>
      <c r="V12" s="110">
        <v>62.149659800000002</v>
      </c>
      <c r="W12" s="110">
        <v>-62.149659800000002</v>
      </c>
      <c r="X12" s="110">
        <v>-58.41941362</v>
      </c>
      <c r="Y12" s="110" t="s">
        <v>538</v>
      </c>
      <c r="Z12" s="110" t="s">
        <v>797</v>
      </c>
      <c r="AA12" s="110" t="s">
        <v>424</v>
      </c>
      <c r="AB12" s="110" t="s">
        <v>333</v>
      </c>
      <c r="AC12" s="110" t="s">
        <v>246</v>
      </c>
      <c r="AD12" s="110" t="s">
        <v>1256</v>
      </c>
      <c r="AE12" s="110" t="s">
        <v>1306</v>
      </c>
      <c r="AF12" s="110" t="s">
        <v>1766</v>
      </c>
      <c r="AI12" s="110" t="s">
        <v>182</v>
      </c>
      <c r="AJ12" s="110" t="s">
        <v>1746</v>
      </c>
      <c r="AK12" s="110" t="s">
        <v>1744</v>
      </c>
      <c r="AL12" s="110" t="s">
        <v>190</v>
      </c>
      <c r="AO12" s="110">
        <v>1</v>
      </c>
      <c r="AP12" s="110" t="s">
        <v>190</v>
      </c>
      <c r="AQ12" s="110" t="s">
        <v>176</v>
      </c>
      <c r="AR12" s="110">
        <v>1990</v>
      </c>
      <c r="AS12" s="110" t="s">
        <v>670</v>
      </c>
      <c r="AT12" s="110" t="s">
        <v>420</v>
      </c>
      <c r="AU12" s="110">
        <v>15</v>
      </c>
      <c r="AW12" s="110">
        <v>40.700000000000003</v>
      </c>
      <c r="AX12" s="110" t="s">
        <v>174</v>
      </c>
      <c r="AY12" s="110">
        <v>29</v>
      </c>
      <c r="AZ12" s="110" t="s">
        <v>174</v>
      </c>
      <c r="BA12" s="110">
        <v>2</v>
      </c>
      <c r="BB12" s="110">
        <v>2</v>
      </c>
      <c r="BC12" s="110">
        <v>2</v>
      </c>
      <c r="BD12" s="110">
        <v>0</v>
      </c>
      <c r="BE12" s="110" t="s">
        <v>246</v>
      </c>
      <c r="BF12" s="110" t="s">
        <v>188</v>
      </c>
      <c r="BG12" s="110">
        <v>0</v>
      </c>
      <c r="BH12" s="110" t="s">
        <v>174</v>
      </c>
      <c r="BI12" s="110" t="s">
        <v>182</v>
      </c>
      <c r="BJ12" s="110" t="s">
        <v>412</v>
      </c>
      <c r="BK12" s="110">
        <v>26</v>
      </c>
      <c r="BL12" s="110">
        <v>1</v>
      </c>
      <c r="BM12" s="110" t="s">
        <v>1396</v>
      </c>
      <c r="BN12" s="110" t="s">
        <v>174</v>
      </c>
      <c r="BO12" s="110">
        <v>1.75</v>
      </c>
      <c r="BP12" s="110" t="s">
        <v>174</v>
      </c>
      <c r="BQ12" s="110" t="s">
        <v>174</v>
      </c>
      <c r="BR12" s="110" t="s">
        <v>174</v>
      </c>
      <c r="BS12" s="110">
        <v>20</v>
      </c>
      <c r="BT12" s="110" t="s">
        <v>2256</v>
      </c>
      <c r="BU12" s="110" t="s">
        <v>2606</v>
      </c>
      <c r="BV12" s="110" t="s">
        <v>2256</v>
      </c>
      <c r="CA12" s="110">
        <v>1.75</v>
      </c>
      <c r="CB12" s="110">
        <v>28.571428569999998</v>
      </c>
      <c r="CC12" s="110" t="b">
        <v>0</v>
      </c>
      <c r="CD12" s="110" t="s">
        <v>2256</v>
      </c>
      <c r="CE12" s="110" t="s">
        <v>2256</v>
      </c>
      <c r="CF12" s="110" t="s">
        <v>2256</v>
      </c>
      <c r="CG12" s="110">
        <v>57.142857139999997</v>
      </c>
      <c r="CH12" s="110" t="s">
        <v>916</v>
      </c>
      <c r="CI12" s="110" t="s">
        <v>917</v>
      </c>
      <c r="CJ12" s="110" t="s">
        <v>918</v>
      </c>
    </row>
    <row r="13" spans="1:88">
      <c r="A13" s="110" t="s">
        <v>578</v>
      </c>
      <c r="B13" s="110">
        <v>3</v>
      </c>
      <c r="C13" s="110">
        <v>1</v>
      </c>
      <c r="D13" s="110">
        <v>1</v>
      </c>
      <c r="E13" s="110">
        <v>12</v>
      </c>
      <c r="F13" s="110">
        <v>1984</v>
      </c>
      <c r="G13" s="110" t="s">
        <v>161</v>
      </c>
      <c r="H13" s="110" t="s">
        <v>2440</v>
      </c>
      <c r="I13" s="110" t="s">
        <v>246</v>
      </c>
      <c r="J13" s="110" t="s">
        <v>246</v>
      </c>
      <c r="K13" s="110" t="s">
        <v>999</v>
      </c>
      <c r="L13" s="110" t="s">
        <v>999</v>
      </c>
      <c r="R13" s="110" t="s">
        <v>152</v>
      </c>
      <c r="S13" s="110" t="s">
        <v>443</v>
      </c>
      <c r="T13" s="110" t="s">
        <v>156</v>
      </c>
      <c r="U13" s="110" t="s">
        <v>919</v>
      </c>
      <c r="V13" s="110">
        <v>55.721488000000001</v>
      </c>
      <c r="W13" s="110">
        <v>55.721488000000001</v>
      </c>
      <c r="X13" s="110">
        <v>-5.2678390000000004</v>
      </c>
      <c r="Y13" s="110" t="s">
        <v>160</v>
      </c>
      <c r="Z13" s="110" t="s">
        <v>155</v>
      </c>
      <c r="AA13" s="110" t="s">
        <v>424</v>
      </c>
      <c r="AB13" s="110" t="s">
        <v>333</v>
      </c>
      <c r="AC13" s="110" t="s">
        <v>246</v>
      </c>
      <c r="AD13" s="110" t="s">
        <v>333</v>
      </c>
      <c r="AE13" s="110" t="s">
        <v>1123</v>
      </c>
      <c r="AF13" s="110" t="s">
        <v>173</v>
      </c>
      <c r="AG13" s="110">
        <v>20</v>
      </c>
      <c r="AI13" s="110" t="s">
        <v>246</v>
      </c>
      <c r="AJ13" s="110" t="s">
        <v>246</v>
      </c>
      <c r="AK13" s="110" t="s">
        <v>171</v>
      </c>
      <c r="AL13" s="110" t="s">
        <v>190</v>
      </c>
      <c r="AO13" s="110">
        <v>1</v>
      </c>
      <c r="AP13" s="110" t="s">
        <v>190</v>
      </c>
      <c r="AQ13" s="110" t="s">
        <v>176</v>
      </c>
      <c r="AR13" s="110">
        <v>1977</v>
      </c>
      <c r="AS13" s="110" t="s">
        <v>253</v>
      </c>
      <c r="AT13" s="110" t="s">
        <v>254</v>
      </c>
      <c r="AU13" s="110">
        <v>100</v>
      </c>
      <c r="AW13" s="110" t="s">
        <v>174</v>
      </c>
      <c r="AX13" s="110" t="s">
        <v>174</v>
      </c>
      <c r="AY13" s="110" t="s">
        <v>174</v>
      </c>
      <c r="AZ13" s="110" t="s">
        <v>174</v>
      </c>
      <c r="BA13" s="110" t="s">
        <v>1766</v>
      </c>
      <c r="BB13" s="110" t="s">
        <v>1766</v>
      </c>
      <c r="BE13" s="110" t="s">
        <v>182</v>
      </c>
      <c r="BF13" s="110" t="s">
        <v>412</v>
      </c>
      <c r="BH13" s="110" t="s">
        <v>174</v>
      </c>
      <c r="BI13" s="110" t="s">
        <v>182</v>
      </c>
      <c r="BJ13" s="110" t="s">
        <v>412</v>
      </c>
      <c r="BK13" s="110">
        <v>6</v>
      </c>
      <c r="BL13" s="110">
        <v>6</v>
      </c>
      <c r="BM13" s="110" t="s">
        <v>1396</v>
      </c>
      <c r="BN13" s="110" t="s">
        <v>174</v>
      </c>
      <c r="BO13" s="110">
        <v>1.37</v>
      </c>
      <c r="BQ13" s="110" t="s">
        <v>174</v>
      </c>
      <c r="BR13" s="110" t="s">
        <v>174</v>
      </c>
      <c r="BS13" s="110">
        <v>60</v>
      </c>
      <c r="BT13" s="110" t="s">
        <v>1385</v>
      </c>
      <c r="BU13" s="110" t="s">
        <v>3207</v>
      </c>
      <c r="BV13" s="110" t="s">
        <v>2603</v>
      </c>
      <c r="BW13" s="110">
        <v>0.87</v>
      </c>
      <c r="BZ13" s="110">
        <v>3.3500000000000002E-2</v>
      </c>
      <c r="CB13" s="110">
        <v>26.3</v>
      </c>
      <c r="CC13" s="110" t="b">
        <v>0</v>
      </c>
      <c r="CD13" s="110">
        <v>0</v>
      </c>
      <c r="CE13" s="110">
        <v>0</v>
      </c>
      <c r="CF13" s="110" t="s">
        <v>246</v>
      </c>
      <c r="CG13" s="110" t="s">
        <v>174</v>
      </c>
      <c r="CH13" s="110" t="s">
        <v>2467</v>
      </c>
    </row>
    <row r="14" spans="1:88">
      <c r="A14" s="110" t="s">
        <v>578</v>
      </c>
      <c r="B14" s="110">
        <v>3</v>
      </c>
      <c r="C14" s="110">
        <v>1</v>
      </c>
      <c r="D14" s="110">
        <v>1</v>
      </c>
      <c r="E14" s="110">
        <v>13</v>
      </c>
      <c r="F14" s="110">
        <v>1984</v>
      </c>
      <c r="G14" s="110" t="s">
        <v>161</v>
      </c>
      <c r="H14" s="110" t="s">
        <v>2440</v>
      </c>
      <c r="I14" s="110" t="s">
        <v>246</v>
      </c>
      <c r="J14" s="110" t="s">
        <v>246</v>
      </c>
      <c r="K14" s="110" t="s">
        <v>999</v>
      </c>
      <c r="L14" s="110" t="s">
        <v>999</v>
      </c>
      <c r="R14" s="110" t="s">
        <v>152</v>
      </c>
      <c r="S14" s="110" t="s">
        <v>443</v>
      </c>
      <c r="T14" s="110" t="s">
        <v>156</v>
      </c>
      <c r="U14" s="110" t="s">
        <v>919</v>
      </c>
      <c r="V14" s="110">
        <v>55.721488000000001</v>
      </c>
      <c r="W14" s="110">
        <v>55.721488000000001</v>
      </c>
      <c r="X14" s="110">
        <v>-5.2678390000000004</v>
      </c>
      <c r="Y14" s="110" t="s">
        <v>160</v>
      </c>
      <c r="Z14" s="110" t="s">
        <v>155</v>
      </c>
      <c r="AA14" s="110" t="s">
        <v>424</v>
      </c>
      <c r="AB14" s="110" t="s">
        <v>333</v>
      </c>
      <c r="AC14" s="110" t="s">
        <v>246</v>
      </c>
      <c r="AD14" s="110" t="s">
        <v>333</v>
      </c>
      <c r="AE14" s="110" t="s">
        <v>1123</v>
      </c>
      <c r="AF14" s="110" t="s">
        <v>173</v>
      </c>
      <c r="AG14" s="110">
        <v>20</v>
      </c>
      <c r="AI14" s="110" t="s">
        <v>246</v>
      </c>
      <c r="AJ14" s="110" t="s">
        <v>246</v>
      </c>
      <c r="AK14" s="110" t="s">
        <v>171</v>
      </c>
      <c r="AL14" s="110" t="s">
        <v>190</v>
      </c>
      <c r="AO14" s="110">
        <v>50</v>
      </c>
      <c r="AP14" s="110" t="s">
        <v>190</v>
      </c>
      <c r="AQ14" s="110" t="s">
        <v>176</v>
      </c>
      <c r="AR14" s="110">
        <v>1977</v>
      </c>
      <c r="AS14" s="110" t="s">
        <v>253</v>
      </c>
      <c r="AT14" s="110" t="s">
        <v>254</v>
      </c>
      <c r="AU14" s="110">
        <v>100</v>
      </c>
      <c r="AW14" s="110" t="s">
        <v>174</v>
      </c>
      <c r="AX14" s="110" t="s">
        <v>174</v>
      </c>
      <c r="AY14" s="110" t="s">
        <v>174</v>
      </c>
      <c r="AZ14" s="110" t="s">
        <v>174</v>
      </c>
      <c r="BA14" s="110" t="s">
        <v>1766</v>
      </c>
      <c r="BB14" s="110" t="s">
        <v>1766</v>
      </c>
      <c r="BE14" s="110" t="s">
        <v>182</v>
      </c>
      <c r="BF14" s="110" t="s">
        <v>412</v>
      </c>
      <c r="BH14" s="110" t="s">
        <v>174</v>
      </c>
      <c r="BI14" s="110" t="s">
        <v>182</v>
      </c>
      <c r="BJ14" s="110" t="s">
        <v>412</v>
      </c>
      <c r="BK14" s="110">
        <v>6</v>
      </c>
      <c r="BL14" s="110">
        <v>6</v>
      </c>
      <c r="BM14" s="110" t="s">
        <v>1396</v>
      </c>
      <c r="BN14" s="110" t="s">
        <v>174</v>
      </c>
      <c r="BO14" s="110">
        <v>0.59</v>
      </c>
      <c r="BQ14" s="110" t="s">
        <v>174</v>
      </c>
      <c r="BR14" s="110" t="s">
        <v>174</v>
      </c>
      <c r="BS14" s="110">
        <v>60</v>
      </c>
      <c r="BT14" s="110" t="s">
        <v>1396</v>
      </c>
      <c r="BU14" s="110" t="s">
        <v>1396</v>
      </c>
      <c r="BV14" s="110" t="s">
        <v>1396</v>
      </c>
      <c r="BW14" s="110">
        <v>0.65</v>
      </c>
      <c r="CA14" s="110">
        <v>0.58499999999999996</v>
      </c>
      <c r="CB14" s="110">
        <v>85.470085470000001</v>
      </c>
      <c r="CC14" s="110" t="b">
        <v>0</v>
      </c>
      <c r="CD14" s="110">
        <v>57.8</v>
      </c>
      <c r="CE14" s="110">
        <v>0</v>
      </c>
      <c r="CF14" s="110" t="s">
        <v>246</v>
      </c>
      <c r="CG14" s="110">
        <v>170.9401709</v>
      </c>
      <c r="CH14" s="110" t="s">
        <v>2468</v>
      </c>
    </row>
    <row r="15" spans="1:88">
      <c r="A15" s="110" t="s">
        <v>578</v>
      </c>
      <c r="B15" s="110">
        <v>3</v>
      </c>
      <c r="C15" s="110">
        <v>1</v>
      </c>
      <c r="D15" s="110">
        <v>2</v>
      </c>
      <c r="E15" s="110">
        <v>14</v>
      </c>
      <c r="F15" s="110">
        <v>1984</v>
      </c>
      <c r="G15" s="110" t="s">
        <v>161</v>
      </c>
      <c r="H15" s="110" t="s">
        <v>2440</v>
      </c>
      <c r="I15" s="110" t="s">
        <v>246</v>
      </c>
      <c r="J15" s="110" t="s">
        <v>246</v>
      </c>
      <c r="K15" s="110" t="s">
        <v>999</v>
      </c>
      <c r="L15" s="110" t="s">
        <v>999</v>
      </c>
      <c r="R15" s="110" t="s">
        <v>152</v>
      </c>
      <c r="S15" s="110" t="s">
        <v>443</v>
      </c>
      <c r="T15" s="110" t="s">
        <v>156</v>
      </c>
      <c r="U15" s="110" t="s">
        <v>919</v>
      </c>
      <c r="V15" s="110">
        <v>55.721488000000001</v>
      </c>
      <c r="W15" s="110">
        <v>55.721488000000001</v>
      </c>
      <c r="X15" s="110">
        <v>-5.2678390000000004</v>
      </c>
      <c r="Y15" s="110" t="s">
        <v>160</v>
      </c>
      <c r="Z15" s="110" t="s">
        <v>155</v>
      </c>
      <c r="AA15" s="110" t="s">
        <v>424</v>
      </c>
      <c r="AB15" s="110" t="s">
        <v>333</v>
      </c>
      <c r="AC15" s="110" t="s">
        <v>246</v>
      </c>
      <c r="AD15" s="110" t="s">
        <v>333</v>
      </c>
      <c r="AE15" s="110" t="s">
        <v>1123</v>
      </c>
      <c r="AF15" s="110" t="s">
        <v>173</v>
      </c>
      <c r="AG15" s="110">
        <v>20</v>
      </c>
      <c r="AI15" s="110" t="s">
        <v>246</v>
      </c>
      <c r="AJ15" s="110" t="s">
        <v>246</v>
      </c>
      <c r="AK15" s="110" t="s">
        <v>171</v>
      </c>
      <c r="AL15" s="110" t="s">
        <v>190</v>
      </c>
      <c r="AO15" s="110">
        <v>1</v>
      </c>
      <c r="AP15" s="110" t="s">
        <v>190</v>
      </c>
      <c r="AQ15" s="110" t="s">
        <v>176</v>
      </c>
      <c r="AR15" s="110">
        <v>1977</v>
      </c>
      <c r="AS15" s="110" t="s">
        <v>670</v>
      </c>
      <c r="AT15" s="110" t="s">
        <v>385</v>
      </c>
      <c r="AU15" s="110">
        <v>100</v>
      </c>
      <c r="AW15" s="110" t="s">
        <v>174</v>
      </c>
      <c r="AX15" s="110" t="s">
        <v>174</v>
      </c>
      <c r="AY15" s="110" t="s">
        <v>174</v>
      </c>
      <c r="AZ15" s="110" t="s">
        <v>174</v>
      </c>
      <c r="BA15" s="110" t="s">
        <v>1766</v>
      </c>
      <c r="BB15" s="110" t="s">
        <v>1766</v>
      </c>
      <c r="BE15" s="110" t="s">
        <v>182</v>
      </c>
      <c r="BF15" s="110" t="s">
        <v>412</v>
      </c>
      <c r="BH15" s="110" t="s">
        <v>174</v>
      </c>
      <c r="BI15" s="110" t="s">
        <v>182</v>
      </c>
      <c r="BJ15" s="110" t="s">
        <v>412</v>
      </c>
      <c r="BK15" s="110">
        <v>6</v>
      </c>
      <c r="BL15" s="110">
        <v>6</v>
      </c>
      <c r="BM15" s="110" t="s">
        <v>1396</v>
      </c>
      <c r="BN15" s="110" t="s">
        <v>174</v>
      </c>
      <c r="BO15" s="110">
        <v>0.73</v>
      </c>
      <c r="BQ15" s="110" t="s">
        <v>174</v>
      </c>
      <c r="BR15" s="110" t="s">
        <v>174</v>
      </c>
      <c r="BS15" s="110">
        <v>97</v>
      </c>
      <c r="BT15" s="110" t="s">
        <v>1396</v>
      </c>
      <c r="BU15" s="110" t="s">
        <v>1396</v>
      </c>
      <c r="BV15" s="110" t="s">
        <v>1396</v>
      </c>
      <c r="BW15" s="110">
        <v>0.79</v>
      </c>
      <c r="CA15" s="110">
        <v>0.73270000000000002</v>
      </c>
      <c r="CB15" s="110">
        <v>68.240753380000001</v>
      </c>
      <c r="CC15" s="110" t="b">
        <v>0</v>
      </c>
      <c r="CD15" s="110">
        <v>35</v>
      </c>
      <c r="CE15" s="110">
        <v>0</v>
      </c>
      <c r="CF15" s="110" t="s">
        <v>246</v>
      </c>
      <c r="CG15" s="110">
        <v>136.48150680000001</v>
      </c>
      <c r="CH15" s="110" t="s">
        <v>2467</v>
      </c>
    </row>
    <row r="16" spans="1:88">
      <c r="A16" s="110" t="s">
        <v>578</v>
      </c>
      <c r="B16" s="110">
        <v>3</v>
      </c>
      <c r="C16" s="110">
        <v>1</v>
      </c>
      <c r="D16" s="110">
        <v>2</v>
      </c>
      <c r="E16" s="110">
        <v>15</v>
      </c>
      <c r="F16" s="110">
        <v>1984</v>
      </c>
      <c r="G16" s="110" t="s">
        <v>161</v>
      </c>
      <c r="H16" s="110" t="s">
        <v>2440</v>
      </c>
      <c r="I16" s="110" t="s">
        <v>246</v>
      </c>
      <c r="J16" s="110" t="s">
        <v>246</v>
      </c>
      <c r="K16" s="110" t="s">
        <v>999</v>
      </c>
      <c r="L16" s="110" t="s">
        <v>999</v>
      </c>
      <c r="R16" s="110" t="s">
        <v>152</v>
      </c>
      <c r="S16" s="110" t="s">
        <v>443</v>
      </c>
      <c r="T16" s="110" t="s">
        <v>156</v>
      </c>
      <c r="U16" s="110" t="s">
        <v>919</v>
      </c>
      <c r="V16" s="110">
        <v>55.721488000000001</v>
      </c>
      <c r="W16" s="110">
        <v>55.721488000000001</v>
      </c>
      <c r="X16" s="110">
        <v>-5.2678390000000004</v>
      </c>
      <c r="Y16" s="110" t="s">
        <v>160</v>
      </c>
      <c r="Z16" s="110" t="s">
        <v>155</v>
      </c>
      <c r="AA16" s="110" t="s">
        <v>424</v>
      </c>
      <c r="AB16" s="110" t="s">
        <v>333</v>
      </c>
      <c r="AC16" s="110" t="s">
        <v>246</v>
      </c>
      <c r="AD16" s="110" t="s">
        <v>333</v>
      </c>
      <c r="AE16" s="110" t="s">
        <v>1123</v>
      </c>
      <c r="AF16" s="110" t="s">
        <v>173</v>
      </c>
      <c r="AG16" s="110">
        <v>20</v>
      </c>
      <c r="AI16" s="110" t="s">
        <v>246</v>
      </c>
      <c r="AJ16" s="110" t="s">
        <v>246</v>
      </c>
      <c r="AK16" s="110" t="s">
        <v>171</v>
      </c>
      <c r="AL16" s="110" t="s">
        <v>190</v>
      </c>
      <c r="AO16" s="110">
        <v>50</v>
      </c>
      <c r="AP16" s="110" t="s">
        <v>190</v>
      </c>
      <c r="AQ16" s="110" t="s">
        <v>176</v>
      </c>
      <c r="AR16" s="110">
        <v>1977</v>
      </c>
      <c r="AS16" s="110" t="s">
        <v>670</v>
      </c>
      <c r="AT16" s="110" t="s">
        <v>385</v>
      </c>
      <c r="AU16" s="110">
        <v>100</v>
      </c>
      <c r="AW16" s="110" t="s">
        <v>174</v>
      </c>
      <c r="AX16" s="110" t="s">
        <v>174</v>
      </c>
      <c r="AY16" s="110" t="s">
        <v>174</v>
      </c>
      <c r="AZ16" s="110" t="s">
        <v>174</v>
      </c>
      <c r="BA16" s="110" t="s">
        <v>1766</v>
      </c>
      <c r="BB16" s="110" t="s">
        <v>1766</v>
      </c>
      <c r="BE16" s="110" t="s">
        <v>182</v>
      </c>
      <c r="BF16" s="110" t="s">
        <v>412</v>
      </c>
      <c r="BH16" s="110" t="s">
        <v>174</v>
      </c>
      <c r="BI16" s="110" t="s">
        <v>182</v>
      </c>
      <c r="BJ16" s="110" t="s">
        <v>412</v>
      </c>
      <c r="BK16" s="110">
        <v>6</v>
      </c>
      <c r="BL16" s="110">
        <v>6</v>
      </c>
      <c r="BM16" s="110" t="s">
        <v>1396</v>
      </c>
      <c r="BN16" s="110" t="s">
        <v>174</v>
      </c>
      <c r="BO16" s="110">
        <v>0.55000000000000004</v>
      </c>
      <c r="BQ16" s="110" t="s">
        <v>174</v>
      </c>
      <c r="BR16" s="110" t="s">
        <v>174</v>
      </c>
      <c r="BS16" s="110">
        <v>99</v>
      </c>
      <c r="BT16" s="110" t="s">
        <v>2378</v>
      </c>
      <c r="BU16" s="110" t="s">
        <v>1398</v>
      </c>
      <c r="BV16" s="110" t="s">
        <v>2603</v>
      </c>
      <c r="BW16" s="110">
        <v>0.83</v>
      </c>
      <c r="BX16" s="110" t="s">
        <v>1396</v>
      </c>
      <c r="CA16" s="110">
        <v>0.51419999999999999</v>
      </c>
      <c r="CB16" s="110">
        <v>97.238428630000001</v>
      </c>
      <c r="CC16" s="110" t="b">
        <v>0</v>
      </c>
      <c r="CD16" s="110">
        <v>44.8</v>
      </c>
      <c r="CE16" s="110">
        <v>0</v>
      </c>
      <c r="CF16" s="110" t="s">
        <v>246</v>
      </c>
      <c r="CG16" s="110">
        <v>194.47685730000001</v>
      </c>
      <c r="CH16" s="110" t="s">
        <v>2468</v>
      </c>
    </row>
    <row r="17" spans="1:88">
      <c r="A17" s="110" t="s">
        <v>578</v>
      </c>
      <c r="B17" s="110">
        <v>3</v>
      </c>
      <c r="C17" s="110">
        <v>1</v>
      </c>
      <c r="D17" s="110">
        <v>3</v>
      </c>
      <c r="E17" s="110">
        <v>16</v>
      </c>
      <c r="F17" s="110">
        <v>1984</v>
      </c>
      <c r="G17" s="110" t="s">
        <v>161</v>
      </c>
      <c r="H17" s="110" t="s">
        <v>2440</v>
      </c>
      <c r="I17" s="110" t="s">
        <v>246</v>
      </c>
      <c r="J17" s="110" t="s">
        <v>246</v>
      </c>
      <c r="K17" s="110" t="s">
        <v>999</v>
      </c>
      <c r="L17" s="110" t="s">
        <v>999</v>
      </c>
      <c r="R17" s="110" t="s">
        <v>152</v>
      </c>
      <c r="S17" s="110" t="s">
        <v>443</v>
      </c>
      <c r="T17" s="110" t="s">
        <v>156</v>
      </c>
      <c r="U17" s="110" t="s">
        <v>919</v>
      </c>
      <c r="V17" s="110">
        <v>55.721488000000001</v>
      </c>
      <c r="W17" s="110">
        <v>55.721488000000001</v>
      </c>
      <c r="X17" s="110">
        <v>-5.2678390000000004</v>
      </c>
      <c r="Y17" s="110" t="s">
        <v>160</v>
      </c>
      <c r="Z17" s="110" t="s">
        <v>155</v>
      </c>
      <c r="AA17" s="110" t="s">
        <v>424</v>
      </c>
      <c r="AB17" s="110" t="s">
        <v>333</v>
      </c>
      <c r="AC17" s="110" t="s">
        <v>246</v>
      </c>
      <c r="AD17" s="110" t="s">
        <v>333</v>
      </c>
      <c r="AE17" s="110" t="s">
        <v>1123</v>
      </c>
      <c r="AF17" s="110" t="s">
        <v>173</v>
      </c>
      <c r="AG17" s="110">
        <v>20</v>
      </c>
      <c r="AI17" s="110" t="s">
        <v>246</v>
      </c>
      <c r="AJ17" s="110" t="s">
        <v>246</v>
      </c>
      <c r="AK17" s="110" t="s">
        <v>171</v>
      </c>
      <c r="AL17" s="110" t="s">
        <v>190</v>
      </c>
      <c r="AO17" s="110">
        <v>50</v>
      </c>
      <c r="AP17" s="110" t="s">
        <v>190</v>
      </c>
      <c r="AQ17" s="110" t="s">
        <v>176</v>
      </c>
      <c r="AR17" s="110">
        <v>1977</v>
      </c>
      <c r="AS17" s="110" t="s">
        <v>384</v>
      </c>
      <c r="AT17" s="110" t="s">
        <v>298</v>
      </c>
      <c r="AU17" s="110">
        <v>100</v>
      </c>
      <c r="AW17" s="110" t="s">
        <v>174</v>
      </c>
      <c r="AX17" s="110" t="s">
        <v>174</v>
      </c>
      <c r="AY17" s="110" t="s">
        <v>174</v>
      </c>
      <c r="AZ17" s="110" t="s">
        <v>174</v>
      </c>
      <c r="BA17" s="110" t="s">
        <v>1766</v>
      </c>
      <c r="BB17" s="110" t="s">
        <v>1766</v>
      </c>
      <c r="BE17" s="110" t="s">
        <v>182</v>
      </c>
      <c r="BF17" s="110" t="s">
        <v>412</v>
      </c>
      <c r="BH17" s="110" t="s">
        <v>174</v>
      </c>
      <c r="BI17" s="110" t="s">
        <v>182</v>
      </c>
      <c r="BJ17" s="110" t="s">
        <v>412</v>
      </c>
      <c r="BK17" s="110">
        <v>6</v>
      </c>
      <c r="BL17" s="110">
        <v>6</v>
      </c>
      <c r="BM17" s="110" t="s">
        <v>1396</v>
      </c>
      <c r="BN17" s="110" t="s">
        <v>174</v>
      </c>
      <c r="BO17" s="110">
        <v>0.82</v>
      </c>
      <c r="BQ17" s="110" t="s">
        <v>174</v>
      </c>
      <c r="BR17" s="110" t="s">
        <v>174</v>
      </c>
      <c r="BS17" s="110">
        <v>88</v>
      </c>
      <c r="BT17" s="110" t="s">
        <v>1396</v>
      </c>
      <c r="BU17" s="110" t="s">
        <v>1396</v>
      </c>
      <c r="BV17" s="110" t="s">
        <v>1396</v>
      </c>
      <c r="BW17" s="110">
        <v>0.91</v>
      </c>
      <c r="CA17" s="110">
        <v>0.91110000000000002</v>
      </c>
      <c r="CB17" s="110">
        <v>54.878718030000002</v>
      </c>
      <c r="CC17" s="110" t="b">
        <v>0</v>
      </c>
      <c r="CD17" s="110">
        <v>10.400000000000006</v>
      </c>
      <c r="CE17" s="110">
        <v>0</v>
      </c>
      <c r="CF17" s="110" t="s">
        <v>246</v>
      </c>
      <c r="CG17" s="110">
        <v>109.75743610000001</v>
      </c>
      <c r="CH17" s="110" t="s">
        <v>2468</v>
      </c>
    </row>
    <row r="18" spans="1:88">
      <c r="A18" s="110" t="s">
        <v>679</v>
      </c>
      <c r="B18" s="110">
        <v>4</v>
      </c>
      <c r="C18" s="110">
        <v>3</v>
      </c>
      <c r="D18" s="110">
        <v>1</v>
      </c>
      <c r="E18" s="110">
        <v>17</v>
      </c>
      <c r="F18" s="110">
        <v>1983</v>
      </c>
      <c r="G18" s="110" t="s">
        <v>161</v>
      </c>
      <c r="H18" s="110" t="s">
        <v>1219</v>
      </c>
      <c r="I18" s="110" t="s">
        <v>246</v>
      </c>
      <c r="J18" s="110" t="s">
        <v>246</v>
      </c>
      <c r="K18" s="110" t="s">
        <v>999</v>
      </c>
      <c r="L18" s="110" t="s">
        <v>999</v>
      </c>
      <c r="R18" s="110" t="s">
        <v>1976</v>
      </c>
      <c r="S18" s="110" t="s">
        <v>444</v>
      </c>
      <c r="T18" s="110" t="s">
        <v>448</v>
      </c>
      <c r="U18" s="110" t="s">
        <v>799</v>
      </c>
      <c r="V18" s="110">
        <v>32.583581770000002</v>
      </c>
      <c r="W18" s="110">
        <v>-32.583581770000002</v>
      </c>
      <c r="X18" s="110">
        <v>115.66754400000001</v>
      </c>
      <c r="Y18" s="110" t="s">
        <v>349</v>
      </c>
      <c r="Z18" s="110" t="s">
        <v>802</v>
      </c>
      <c r="AA18" s="110" t="s">
        <v>1788</v>
      </c>
      <c r="AB18" s="110" t="s">
        <v>333</v>
      </c>
      <c r="AC18" s="110" t="s">
        <v>246</v>
      </c>
      <c r="AD18" s="110" t="s">
        <v>182</v>
      </c>
      <c r="AE18" s="110" t="s">
        <v>1123</v>
      </c>
      <c r="AF18" s="110" t="s">
        <v>1745</v>
      </c>
      <c r="AG18" s="110" t="s">
        <v>1766</v>
      </c>
      <c r="AI18" s="110" t="s">
        <v>182</v>
      </c>
      <c r="AJ18" s="110" t="s">
        <v>182</v>
      </c>
      <c r="AK18" s="110" t="s">
        <v>171</v>
      </c>
      <c r="AL18" s="110" t="s">
        <v>190</v>
      </c>
      <c r="AO18" s="110">
        <v>5.2999999999999999E-2</v>
      </c>
      <c r="AP18" s="110" t="s">
        <v>190</v>
      </c>
      <c r="AQ18" s="110" t="s">
        <v>176</v>
      </c>
      <c r="AR18" s="110">
        <v>1979</v>
      </c>
      <c r="AS18" s="110" t="s">
        <v>245</v>
      </c>
      <c r="AT18" s="110" t="s">
        <v>174</v>
      </c>
      <c r="AU18" s="110">
        <v>15</v>
      </c>
      <c r="AW18" s="110">
        <v>1.5</v>
      </c>
      <c r="AX18" s="110">
        <v>0.8</v>
      </c>
      <c r="AY18" s="110">
        <v>39.200000000000003</v>
      </c>
      <c r="AZ18" s="110">
        <v>31</v>
      </c>
      <c r="BA18" s="110">
        <v>13</v>
      </c>
      <c r="BB18" s="110">
        <v>23</v>
      </c>
      <c r="BC18" s="110">
        <v>18</v>
      </c>
      <c r="BD18" s="110">
        <v>10</v>
      </c>
      <c r="BE18" s="110" t="s">
        <v>246</v>
      </c>
      <c r="BF18" s="110" t="s">
        <v>188</v>
      </c>
      <c r="BG18" s="110">
        <v>0</v>
      </c>
      <c r="BH18" s="110" t="s">
        <v>174</v>
      </c>
      <c r="BI18" s="110" t="s">
        <v>246</v>
      </c>
      <c r="BJ18" s="110" t="s">
        <v>806</v>
      </c>
      <c r="BK18" s="110">
        <v>5</v>
      </c>
      <c r="BL18" s="110">
        <v>7</v>
      </c>
      <c r="BM18" s="110" t="s">
        <v>174</v>
      </c>
      <c r="BN18" s="110" t="s">
        <v>174</v>
      </c>
      <c r="BO18" s="110" t="s">
        <v>174</v>
      </c>
      <c r="BP18" s="110" t="s">
        <v>174</v>
      </c>
      <c r="BQ18" s="110" t="s">
        <v>174</v>
      </c>
      <c r="BR18" s="110" t="s">
        <v>174</v>
      </c>
      <c r="BS18" s="110">
        <v>146</v>
      </c>
      <c r="BT18" s="110" t="s">
        <v>1385</v>
      </c>
      <c r="BU18" s="110" t="s">
        <v>3207</v>
      </c>
      <c r="BV18" s="110" t="s">
        <v>2603</v>
      </c>
      <c r="BW18" s="110">
        <v>0.96</v>
      </c>
      <c r="BZ18" s="110">
        <v>6.8999999999999999E-3</v>
      </c>
      <c r="CB18" s="110">
        <v>145.88</v>
      </c>
      <c r="CC18" s="110" t="b">
        <v>0</v>
      </c>
      <c r="CD18" s="110">
        <v>22.2</v>
      </c>
      <c r="CE18" s="110">
        <v>22.2</v>
      </c>
      <c r="CF18" s="110" t="s">
        <v>182</v>
      </c>
      <c r="CG18" s="110" t="s">
        <v>174</v>
      </c>
      <c r="CH18" s="110" t="s">
        <v>800</v>
      </c>
      <c r="CI18" s="110" t="s">
        <v>803</v>
      </c>
    </row>
    <row r="19" spans="1:88">
      <c r="A19" s="110" t="s">
        <v>679</v>
      </c>
      <c r="B19" s="110">
        <v>4</v>
      </c>
      <c r="C19" s="110">
        <v>3</v>
      </c>
      <c r="D19" s="110">
        <v>1</v>
      </c>
      <c r="E19" s="110">
        <v>18</v>
      </c>
      <c r="F19" s="110">
        <v>1983</v>
      </c>
      <c r="G19" s="110" t="s">
        <v>161</v>
      </c>
      <c r="H19" s="110" t="s">
        <v>1219</v>
      </c>
      <c r="I19" s="110" t="s">
        <v>246</v>
      </c>
      <c r="J19" s="110" t="s">
        <v>246</v>
      </c>
      <c r="K19" s="110" t="s">
        <v>999</v>
      </c>
      <c r="L19" s="110" t="s">
        <v>999</v>
      </c>
      <c r="R19" s="110" t="s">
        <v>1976</v>
      </c>
      <c r="S19" s="110" t="s">
        <v>444</v>
      </c>
      <c r="T19" s="110" t="s">
        <v>448</v>
      </c>
      <c r="U19" s="110" t="s">
        <v>799</v>
      </c>
      <c r="V19" s="110">
        <v>32.583581770000002</v>
      </c>
      <c r="W19" s="110">
        <v>-32.583581770000002</v>
      </c>
      <c r="X19" s="110">
        <v>115.66754400000001</v>
      </c>
      <c r="Y19" s="110" t="s">
        <v>349</v>
      </c>
      <c r="Z19" s="110" t="s">
        <v>802</v>
      </c>
      <c r="AA19" s="110" t="s">
        <v>1788</v>
      </c>
      <c r="AB19" s="110" t="s">
        <v>1731</v>
      </c>
      <c r="AC19" s="110" t="s">
        <v>182</v>
      </c>
      <c r="AD19" s="110" t="s">
        <v>182</v>
      </c>
      <c r="AE19" s="110" t="s">
        <v>1123</v>
      </c>
      <c r="AF19" s="110" t="s">
        <v>1745</v>
      </c>
      <c r="AG19" s="110" t="s">
        <v>1766</v>
      </c>
      <c r="AI19" s="110" t="s">
        <v>182</v>
      </c>
      <c r="AJ19" s="110" t="s">
        <v>182</v>
      </c>
      <c r="AK19" s="110" t="s">
        <v>171</v>
      </c>
      <c r="AL19" s="110" t="s">
        <v>190</v>
      </c>
      <c r="AO19" s="110">
        <v>5.2999999999999999E-2</v>
      </c>
      <c r="AP19" s="110" t="s">
        <v>190</v>
      </c>
      <c r="AQ19" s="110" t="s">
        <v>176</v>
      </c>
      <c r="AR19" s="110">
        <v>1979</v>
      </c>
      <c r="AS19" s="110" t="s">
        <v>245</v>
      </c>
      <c r="AT19" s="110" t="s">
        <v>174</v>
      </c>
      <c r="AU19" s="110">
        <v>15</v>
      </c>
      <c r="AW19" s="110">
        <v>1</v>
      </c>
      <c r="AX19" s="110">
        <v>0.9</v>
      </c>
      <c r="AY19" s="110">
        <v>37.200000000000003</v>
      </c>
      <c r="AZ19" s="110">
        <v>31.5</v>
      </c>
      <c r="BA19" s="110">
        <v>13</v>
      </c>
      <c r="BB19" s="110">
        <v>23</v>
      </c>
      <c r="BC19" s="110">
        <v>18</v>
      </c>
      <c r="BD19" s="110">
        <v>10</v>
      </c>
      <c r="BE19" s="110" t="s">
        <v>246</v>
      </c>
      <c r="BF19" s="110" t="s">
        <v>188</v>
      </c>
      <c r="BG19" s="110">
        <v>0</v>
      </c>
      <c r="BH19" s="110" t="s">
        <v>174</v>
      </c>
      <c r="BI19" s="110" t="s">
        <v>246</v>
      </c>
      <c r="BJ19" s="110" t="s">
        <v>806</v>
      </c>
      <c r="BK19" s="110">
        <v>5</v>
      </c>
      <c r="BL19" s="110">
        <v>9</v>
      </c>
      <c r="BM19" s="110" t="s">
        <v>174</v>
      </c>
      <c r="BN19" s="110" t="s">
        <v>174</v>
      </c>
      <c r="BO19" s="110" t="s">
        <v>174</v>
      </c>
      <c r="BP19" s="110" t="s">
        <v>174</v>
      </c>
      <c r="BQ19" s="110" t="s">
        <v>174</v>
      </c>
      <c r="BR19" s="110" t="s">
        <v>174</v>
      </c>
      <c r="BS19" s="110">
        <v>364</v>
      </c>
      <c r="BT19" s="110" t="s">
        <v>1385</v>
      </c>
      <c r="BU19" s="110" t="s">
        <v>3207</v>
      </c>
      <c r="BV19" s="110" t="s">
        <v>2603</v>
      </c>
      <c r="BW19" s="110">
        <v>0.87</v>
      </c>
      <c r="BZ19" s="110">
        <v>1.01E-2</v>
      </c>
      <c r="CB19" s="110">
        <v>87.72</v>
      </c>
      <c r="CC19" s="110" t="b">
        <v>0</v>
      </c>
      <c r="CD19" s="110">
        <v>19.5</v>
      </c>
      <c r="CE19" s="110">
        <v>19.5</v>
      </c>
      <c r="CF19" s="110" t="s">
        <v>182</v>
      </c>
      <c r="CG19" s="110" t="s">
        <v>174</v>
      </c>
      <c r="CH19" s="110" t="s">
        <v>801</v>
      </c>
      <c r="CI19" s="110" t="s">
        <v>803</v>
      </c>
    </row>
    <row r="20" spans="1:88">
      <c r="A20" s="110" t="s">
        <v>651</v>
      </c>
      <c r="B20" s="110">
        <v>5</v>
      </c>
      <c r="C20" s="110">
        <v>1</v>
      </c>
      <c r="D20" s="110">
        <v>1</v>
      </c>
      <c r="E20" s="110">
        <v>19</v>
      </c>
      <c r="F20" s="110">
        <v>1996</v>
      </c>
      <c r="G20" s="110" t="s">
        <v>161</v>
      </c>
      <c r="H20" s="110" t="s">
        <v>2437</v>
      </c>
      <c r="I20" s="110" t="s">
        <v>182</v>
      </c>
      <c r="J20" s="110" t="s">
        <v>246</v>
      </c>
      <c r="K20" s="110" t="s">
        <v>999</v>
      </c>
      <c r="L20" s="110" t="s">
        <v>999</v>
      </c>
      <c r="R20" s="110" t="s">
        <v>1976</v>
      </c>
      <c r="S20" s="110" t="s">
        <v>444</v>
      </c>
      <c r="T20" s="110" t="s">
        <v>2186</v>
      </c>
      <c r="U20" s="110" t="s">
        <v>2187</v>
      </c>
      <c r="V20" s="110">
        <v>44.654307350000003</v>
      </c>
      <c r="W20" s="110">
        <v>44.654307350000003</v>
      </c>
      <c r="X20" s="110">
        <v>-1.1406765459999999</v>
      </c>
      <c r="Y20" s="110" t="s">
        <v>310</v>
      </c>
      <c r="Z20" s="110" t="s">
        <v>155</v>
      </c>
      <c r="AA20" s="110" t="s">
        <v>1788</v>
      </c>
      <c r="AB20" s="110" t="s">
        <v>333</v>
      </c>
      <c r="AC20" s="110" t="s">
        <v>246</v>
      </c>
      <c r="AD20" s="110" t="s">
        <v>1725</v>
      </c>
      <c r="AE20" s="110" t="s">
        <v>1306</v>
      </c>
      <c r="AF20" s="110" t="s">
        <v>1745</v>
      </c>
      <c r="AI20" s="110" t="s">
        <v>182</v>
      </c>
      <c r="AJ20" s="110" t="s">
        <v>1747</v>
      </c>
      <c r="AK20" s="110" t="s">
        <v>171</v>
      </c>
      <c r="AL20" s="110" t="s">
        <v>190</v>
      </c>
      <c r="AO20" s="110">
        <v>1</v>
      </c>
      <c r="AP20" s="110" t="s">
        <v>190</v>
      </c>
      <c r="AQ20" s="110" t="s">
        <v>176</v>
      </c>
      <c r="AR20" s="110">
        <v>1992</v>
      </c>
      <c r="AS20" s="110" t="s">
        <v>174</v>
      </c>
      <c r="AT20" s="110" t="s">
        <v>298</v>
      </c>
      <c r="AU20" s="110">
        <v>5.4</v>
      </c>
      <c r="AV20" s="110" t="s">
        <v>1255</v>
      </c>
      <c r="AW20" s="110">
        <v>8.5</v>
      </c>
      <c r="AX20" s="110">
        <v>5.3</v>
      </c>
      <c r="AY20" s="110">
        <v>32.9</v>
      </c>
      <c r="AZ20" s="110">
        <v>23</v>
      </c>
      <c r="BA20" s="110" t="s">
        <v>1766</v>
      </c>
      <c r="BB20" s="110" t="s">
        <v>1766</v>
      </c>
      <c r="BC20" s="110">
        <v>12.2</v>
      </c>
      <c r="BE20" s="110" t="s">
        <v>246</v>
      </c>
      <c r="BF20" s="110" t="s">
        <v>188</v>
      </c>
      <c r="BG20" s="110">
        <v>0</v>
      </c>
      <c r="BH20" s="110" t="s">
        <v>174</v>
      </c>
      <c r="BI20" s="110" t="s">
        <v>246</v>
      </c>
      <c r="BJ20" s="110" t="s">
        <v>653</v>
      </c>
      <c r="BK20" s="110" t="s">
        <v>1766</v>
      </c>
      <c r="BL20" s="110">
        <v>6</v>
      </c>
      <c r="BM20" s="110" t="s">
        <v>1394</v>
      </c>
      <c r="BN20" s="110">
        <v>0.433</v>
      </c>
      <c r="BO20" s="110" t="s">
        <v>174</v>
      </c>
      <c r="BP20" s="110">
        <v>1.600801803</v>
      </c>
      <c r="BQ20" s="110" t="s">
        <v>174</v>
      </c>
      <c r="BR20" s="110" t="s">
        <v>174</v>
      </c>
      <c r="BS20" s="110">
        <v>25</v>
      </c>
      <c r="BT20" s="110" t="s">
        <v>2378</v>
      </c>
      <c r="BU20" s="110" t="s">
        <v>1398</v>
      </c>
      <c r="BV20" s="110" t="s">
        <v>2603</v>
      </c>
      <c r="BW20" s="110">
        <v>0.89</v>
      </c>
      <c r="BX20" s="110" t="s">
        <v>1396</v>
      </c>
      <c r="BY20" s="110">
        <v>0.75</v>
      </c>
      <c r="CA20" s="110">
        <v>3.1960000000000002</v>
      </c>
      <c r="CB20" s="110">
        <v>15.644555690000001</v>
      </c>
      <c r="CC20" s="110" t="b">
        <v>0</v>
      </c>
      <c r="CD20" s="110">
        <v>23.954999999999998</v>
      </c>
      <c r="CE20" s="110" t="s">
        <v>2256</v>
      </c>
      <c r="CF20" s="110" t="s">
        <v>2256</v>
      </c>
      <c r="CH20" s="110" t="s">
        <v>170</v>
      </c>
      <c r="CI20" s="110" t="s">
        <v>654</v>
      </c>
    </row>
    <row r="21" spans="1:88">
      <c r="A21" s="110" t="s">
        <v>651</v>
      </c>
      <c r="B21" s="110">
        <v>5</v>
      </c>
      <c r="C21" s="110">
        <v>1</v>
      </c>
      <c r="D21" s="110">
        <v>2</v>
      </c>
      <c r="E21" s="110">
        <v>20</v>
      </c>
      <c r="F21" s="110">
        <v>1996</v>
      </c>
      <c r="G21" s="110" t="s">
        <v>161</v>
      </c>
      <c r="H21" s="110" t="s">
        <v>2437</v>
      </c>
      <c r="I21" s="110" t="s">
        <v>182</v>
      </c>
      <c r="J21" s="110" t="s">
        <v>246</v>
      </c>
      <c r="K21" s="110" t="s">
        <v>999</v>
      </c>
      <c r="L21" s="110" t="s">
        <v>999</v>
      </c>
      <c r="R21" s="110" t="s">
        <v>1976</v>
      </c>
      <c r="S21" s="110" t="s">
        <v>444</v>
      </c>
      <c r="T21" s="110" t="s">
        <v>2186</v>
      </c>
      <c r="U21" s="110" t="s">
        <v>2187</v>
      </c>
      <c r="V21" s="110">
        <v>44.654307350000003</v>
      </c>
      <c r="W21" s="110">
        <v>44.654307350000003</v>
      </c>
      <c r="X21" s="110">
        <v>-1.1406765459999999</v>
      </c>
      <c r="Y21" s="110" t="s">
        <v>310</v>
      </c>
      <c r="Z21" s="110" t="s">
        <v>155</v>
      </c>
      <c r="AA21" s="110" t="s">
        <v>1788</v>
      </c>
      <c r="AB21" s="110" t="s">
        <v>333</v>
      </c>
      <c r="AC21" s="110" t="s">
        <v>246</v>
      </c>
      <c r="AD21" s="110" t="s">
        <v>1725</v>
      </c>
      <c r="AE21" s="110" t="s">
        <v>1306</v>
      </c>
      <c r="AF21" s="110" t="s">
        <v>1745</v>
      </c>
      <c r="AI21" s="110" t="s">
        <v>182</v>
      </c>
      <c r="AJ21" s="110" t="s">
        <v>1747</v>
      </c>
      <c r="AK21" s="110" t="s">
        <v>171</v>
      </c>
      <c r="AL21" s="110" t="s">
        <v>190</v>
      </c>
      <c r="AO21" s="110">
        <v>1</v>
      </c>
      <c r="AP21" s="110" t="s">
        <v>190</v>
      </c>
      <c r="AQ21" s="110" t="s">
        <v>176</v>
      </c>
      <c r="AR21" s="110">
        <v>1992</v>
      </c>
      <c r="AS21" s="110" t="s">
        <v>174</v>
      </c>
      <c r="AT21" s="110" t="s">
        <v>420</v>
      </c>
      <c r="AU21" s="110" t="s">
        <v>652</v>
      </c>
      <c r="AW21" s="110" t="s">
        <v>174</v>
      </c>
      <c r="AX21" s="110" t="s">
        <v>174</v>
      </c>
      <c r="AY21" s="110" t="s">
        <v>174</v>
      </c>
      <c r="AZ21" s="110" t="s">
        <v>174</v>
      </c>
      <c r="BA21" s="110" t="s">
        <v>1766</v>
      </c>
      <c r="BB21" s="110" t="s">
        <v>1766</v>
      </c>
      <c r="BC21" s="110">
        <v>24.3</v>
      </c>
      <c r="BE21" s="110" t="s">
        <v>246</v>
      </c>
      <c r="BF21" s="110" t="s">
        <v>188</v>
      </c>
      <c r="BG21" s="110">
        <v>0</v>
      </c>
      <c r="BH21" s="110" t="s">
        <v>174</v>
      </c>
      <c r="BI21" s="110" t="s">
        <v>246</v>
      </c>
      <c r="BJ21" s="110" t="s">
        <v>653</v>
      </c>
      <c r="BK21" s="110" t="s">
        <v>1766</v>
      </c>
      <c r="BL21" s="110">
        <v>6</v>
      </c>
      <c r="BM21" s="110" t="s">
        <v>1394</v>
      </c>
      <c r="BN21" s="110">
        <v>8.2000000000000003E-2</v>
      </c>
      <c r="BO21" s="110" t="s">
        <v>174</v>
      </c>
      <c r="BP21" s="110" t="s">
        <v>174</v>
      </c>
      <c r="BQ21" s="110" t="s">
        <v>174</v>
      </c>
      <c r="BR21" s="110" t="s">
        <v>174</v>
      </c>
      <c r="BS21" s="110">
        <v>25</v>
      </c>
      <c r="BT21" s="110" t="s">
        <v>1385</v>
      </c>
      <c r="BU21" s="110" t="s">
        <v>3207</v>
      </c>
      <c r="BV21" s="110" t="s">
        <v>2603</v>
      </c>
      <c r="BW21" s="110">
        <v>0.82</v>
      </c>
      <c r="BZ21" s="110">
        <v>0.23380000000000001</v>
      </c>
      <c r="CB21" s="110">
        <v>5.31</v>
      </c>
      <c r="CC21" s="110" t="b">
        <v>0</v>
      </c>
      <c r="CD21" s="110">
        <v>29.6</v>
      </c>
      <c r="CE21" s="110">
        <v>29.6</v>
      </c>
      <c r="CF21" s="110" t="s">
        <v>182</v>
      </c>
      <c r="CG21" s="110">
        <v>24.324324319999999</v>
      </c>
      <c r="CH21" s="110" t="s">
        <v>217</v>
      </c>
      <c r="CI21" s="110" t="s">
        <v>654</v>
      </c>
    </row>
    <row r="22" spans="1:88">
      <c r="A22" s="110" t="s">
        <v>651</v>
      </c>
      <c r="B22" s="110">
        <v>5</v>
      </c>
      <c r="C22" s="110">
        <v>1</v>
      </c>
      <c r="D22" s="110">
        <v>3</v>
      </c>
      <c r="E22" s="110">
        <v>21</v>
      </c>
      <c r="F22" s="110">
        <v>1996</v>
      </c>
      <c r="G22" s="110" t="s">
        <v>161</v>
      </c>
      <c r="H22" s="110" t="s">
        <v>2437</v>
      </c>
      <c r="I22" s="110" t="s">
        <v>182</v>
      </c>
      <c r="J22" s="110" t="s">
        <v>246</v>
      </c>
      <c r="K22" s="110" t="s">
        <v>999</v>
      </c>
      <c r="L22" s="110" t="s">
        <v>999</v>
      </c>
      <c r="R22" s="110" t="s">
        <v>1976</v>
      </c>
      <c r="S22" s="110" t="s">
        <v>444</v>
      </c>
      <c r="T22" s="110" t="s">
        <v>2186</v>
      </c>
      <c r="U22" s="110" t="s">
        <v>2187</v>
      </c>
      <c r="V22" s="110">
        <v>44.654307350000003</v>
      </c>
      <c r="W22" s="110">
        <v>44.654307350000003</v>
      </c>
      <c r="X22" s="110">
        <v>-1.1406765459999999</v>
      </c>
      <c r="Y22" s="110" t="s">
        <v>310</v>
      </c>
      <c r="Z22" s="110" t="s">
        <v>155</v>
      </c>
      <c r="AA22" s="110" t="s">
        <v>1788</v>
      </c>
      <c r="AB22" s="110" t="s">
        <v>333</v>
      </c>
      <c r="AC22" s="110" t="s">
        <v>246</v>
      </c>
      <c r="AD22" s="110" t="s">
        <v>1725</v>
      </c>
      <c r="AE22" s="110" t="s">
        <v>1306</v>
      </c>
      <c r="AF22" s="110" t="s">
        <v>1745</v>
      </c>
      <c r="AI22" s="110" t="s">
        <v>182</v>
      </c>
      <c r="AJ22" s="110" t="s">
        <v>1747</v>
      </c>
      <c r="AK22" s="110" t="s">
        <v>171</v>
      </c>
      <c r="AL22" s="110" t="s">
        <v>190</v>
      </c>
      <c r="AO22" s="110">
        <v>1</v>
      </c>
      <c r="AP22" s="110" t="s">
        <v>190</v>
      </c>
      <c r="AQ22" s="110" t="s">
        <v>176</v>
      </c>
      <c r="AR22" s="110">
        <v>1992</v>
      </c>
      <c r="AS22" s="110" t="s">
        <v>174</v>
      </c>
      <c r="AT22" s="110" t="s">
        <v>254</v>
      </c>
      <c r="AU22" s="110" t="s">
        <v>652</v>
      </c>
      <c r="AW22" s="110">
        <v>4.43</v>
      </c>
      <c r="AX22" s="110" t="s">
        <v>174</v>
      </c>
      <c r="AY22" s="110" t="s">
        <v>174</v>
      </c>
      <c r="AZ22" s="110" t="s">
        <v>174</v>
      </c>
      <c r="BA22" s="110" t="s">
        <v>1766</v>
      </c>
      <c r="BB22" s="110" t="s">
        <v>1766</v>
      </c>
      <c r="BC22" s="110">
        <v>12.7</v>
      </c>
      <c r="BE22" s="110" t="s">
        <v>246</v>
      </c>
      <c r="BF22" s="110" t="s">
        <v>188</v>
      </c>
      <c r="BG22" s="110">
        <v>0</v>
      </c>
      <c r="BH22" s="110" t="s">
        <v>174</v>
      </c>
      <c r="BI22" s="110" t="s">
        <v>246</v>
      </c>
      <c r="BJ22" s="110" t="s">
        <v>653</v>
      </c>
      <c r="BK22" s="110" t="s">
        <v>1766</v>
      </c>
      <c r="BL22" s="110">
        <v>8</v>
      </c>
      <c r="BM22" s="110" t="s">
        <v>1394</v>
      </c>
      <c r="BN22" s="110">
        <v>0.223</v>
      </c>
      <c r="BO22" s="110" t="s">
        <v>174</v>
      </c>
      <c r="BP22" s="110" t="s">
        <v>174</v>
      </c>
      <c r="BQ22" s="110" t="s">
        <v>174</v>
      </c>
      <c r="BR22" s="110" t="s">
        <v>174</v>
      </c>
      <c r="BS22" s="110">
        <v>25</v>
      </c>
      <c r="BT22" s="110" t="s">
        <v>2378</v>
      </c>
      <c r="BU22" s="110" t="s">
        <v>1398</v>
      </c>
      <c r="BV22" s="110" t="s">
        <v>2603</v>
      </c>
      <c r="BW22" s="110">
        <v>0.97</v>
      </c>
      <c r="BX22" s="110" t="s">
        <v>1396</v>
      </c>
      <c r="BY22" s="110">
        <v>0.78779999999999994</v>
      </c>
      <c r="CA22" s="110">
        <v>2.444</v>
      </c>
      <c r="CB22" s="110">
        <v>20.458265140000002</v>
      </c>
      <c r="CC22" s="110" t="b">
        <v>0</v>
      </c>
      <c r="CD22" s="110">
        <v>19</v>
      </c>
      <c r="CE22" s="110" t="s">
        <v>2256</v>
      </c>
      <c r="CF22" s="110" t="s">
        <v>2256</v>
      </c>
      <c r="CG22" s="110" t="s">
        <v>174</v>
      </c>
      <c r="CH22" s="110" t="s">
        <v>657</v>
      </c>
      <c r="CI22" s="110" t="s">
        <v>654</v>
      </c>
    </row>
    <row r="23" spans="1:88">
      <c r="A23" s="110" t="s">
        <v>651</v>
      </c>
      <c r="B23" s="110">
        <v>5</v>
      </c>
      <c r="C23" s="110">
        <v>1</v>
      </c>
      <c r="D23" s="110">
        <v>4</v>
      </c>
      <c r="E23" s="110">
        <v>22</v>
      </c>
      <c r="F23" s="110">
        <v>1996</v>
      </c>
      <c r="G23" s="110" t="s">
        <v>161</v>
      </c>
      <c r="H23" s="110" t="s">
        <v>2437</v>
      </c>
      <c r="I23" s="110" t="s">
        <v>182</v>
      </c>
      <c r="J23" s="110" t="s">
        <v>246</v>
      </c>
      <c r="K23" s="110" t="s">
        <v>999</v>
      </c>
      <c r="L23" s="110" t="s">
        <v>999</v>
      </c>
      <c r="R23" s="110" t="s">
        <v>1976</v>
      </c>
      <c r="S23" s="110" t="s">
        <v>444</v>
      </c>
      <c r="T23" s="110" t="s">
        <v>2186</v>
      </c>
      <c r="U23" s="110" t="s">
        <v>2187</v>
      </c>
      <c r="V23" s="110">
        <v>44.654307350000003</v>
      </c>
      <c r="W23" s="110">
        <v>44.654307350000003</v>
      </c>
      <c r="X23" s="110">
        <v>-1.1406765459999999</v>
      </c>
      <c r="Y23" s="110" t="s">
        <v>310</v>
      </c>
      <c r="Z23" s="110" t="s">
        <v>155</v>
      </c>
      <c r="AA23" s="110" t="s">
        <v>1788</v>
      </c>
      <c r="AB23" s="110" t="s">
        <v>333</v>
      </c>
      <c r="AC23" s="110" t="s">
        <v>246</v>
      </c>
      <c r="AD23" s="110" t="s">
        <v>1725</v>
      </c>
      <c r="AE23" s="110" t="s">
        <v>1306</v>
      </c>
      <c r="AF23" s="110" t="s">
        <v>1745</v>
      </c>
      <c r="AI23" s="110" t="s">
        <v>182</v>
      </c>
      <c r="AJ23" s="110" t="s">
        <v>1747</v>
      </c>
      <c r="AK23" s="110" t="s">
        <v>171</v>
      </c>
      <c r="AL23" s="110" t="s">
        <v>190</v>
      </c>
      <c r="AO23" s="110">
        <v>1</v>
      </c>
      <c r="AP23" s="110" t="s">
        <v>190</v>
      </c>
      <c r="AQ23" s="110" t="s">
        <v>176</v>
      </c>
      <c r="AR23" s="110">
        <v>1992</v>
      </c>
      <c r="AS23" s="110" t="s">
        <v>174</v>
      </c>
      <c r="AT23" s="110" t="s">
        <v>385</v>
      </c>
      <c r="AU23" s="110" t="s">
        <v>652</v>
      </c>
      <c r="AW23" s="110">
        <v>5.17</v>
      </c>
      <c r="AX23" s="110" t="s">
        <v>174</v>
      </c>
      <c r="AY23" s="110" t="s">
        <v>174</v>
      </c>
      <c r="AZ23" s="110" t="s">
        <v>174</v>
      </c>
      <c r="BA23" s="110" t="s">
        <v>1766</v>
      </c>
      <c r="BB23" s="110" t="s">
        <v>1766</v>
      </c>
      <c r="BC23" s="110">
        <v>5.17</v>
      </c>
      <c r="BE23" s="110" t="s">
        <v>246</v>
      </c>
      <c r="BF23" s="110" t="s">
        <v>188</v>
      </c>
      <c r="BG23" s="110">
        <v>0</v>
      </c>
      <c r="BH23" s="110" t="s">
        <v>174</v>
      </c>
      <c r="BI23" s="110" t="s">
        <v>246</v>
      </c>
      <c r="BJ23" s="110" t="s">
        <v>653</v>
      </c>
      <c r="BK23" s="110" t="s">
        <v>1766</v>
      </c>
      <c r="BL23" s="110">
        <v>7</v>
      </c>
      <c r="BM23" s="110" t="s">
        <v>1482</v>
      </c>
      <c r="BN23" s="110">
        <v>0.223</v>
      </c>
      <c r="BO23" s="110" t="s">
        <v>174</v>
      </c>
      <c r="BP23" s="110" t="s">
        <v>174</v>
      </c>
      <c r="BQ23" s="110" t="s">
        <v>174</v>
      </c>
      <c r="BR23" s="110" t="s">
        <v>174</v>
      </c>
      <c r="BS23" s="110">
        <v>25</v>
      </c>
      <c r="BT23" s="110" t="s">
        <v>2378</v>
      </c>
      <c r="BU23" s="110" t="s">
        <v>1398</v>
      </c>
      <c r="BV23" s="110" t="s">
        <v>2603</v>
      </c>
      <c r="BW23" s="110">
        <v>0.75</v>
      </c>
      <c r="BX23" s="110" t="s">
        <v>1396</v>
      </c>
      <c r="BY23" s="110">
        <v>0.69</v>
      </c>
      <c r="CA23" s="110">
        <v>1.6</v>
      </c>
      <c r="CB23" s="110">
        <v>31.25</v>
      </c>
      <c r="CC23" s="110" t="b">
        <v>0</v>
      </c>
      <c r="CD23" s="110">
        <v>5.3</v>
      </c>
      <c r="CE23" s="110" t="s">
        <v>2256</v>
      </c>
      <c r="CF23" s="110" t="s">
        <v>2256</v>
      </c>
      <c r="CG23" s="110">
        <v>3.2</v>
      </c>
      <c r="CH23" s="110" t="s">
        <v>328</v>
      </c>
      <c r="CI23" s="110" t="s">
        <v>654</v>
      </c>
    </row>
    <row r="24" spans="1:88">
      <c r="A24" s="110" t="s">
        <v>651</v>
      </c>
      <c r="B24" s="110">
        <v>5</v>
      </c>
      <c r="C24" s="110">
        <v>1</v>
      </c>
      <c r="D24" s="110">
        <v>5</v>
      </c>
      <c r="E24" s="110">
        <v>23</v>
      </c>
      <c r="F24" s="110">
        <v>1996</v>
      </c>
      <c r="G24" s="110" t="s">
        <v>187</v>
      </c>
      <c r="H24" s="110" t="s">
        <v>2437</v>
      </c>
      <c r="I24" s="110" t="s">
        <v>182</v>
      </c>
      <c r="J24" s="110" t="s">
        <v>246</v>
      </c>
      <c r="K24" s="110" t="s">
        <v>999</v>
      </c>
      <c r="L24" s="110" t="s">
        <v>999</v>
      </c>
      <c r="R24" s="110" t="s">
        <v>1976</v>
      </c>
      <c r="S24" s="110" t="s">
        <v>444</v>
      </c>
      <c r="T24" s="110" t="s">
        <v>2186</v>
      </c>
      <c r="U24" s="110" t="s">
        <v>2187</v>
      </c>
      <c r="V24" s="110">
        <v>44.654307350000003</v>
      </c>
      <c r="W24" s="110">
        <v>44.654307350000003</v>
      </c>
      <c r="X24" s="110">
        <v>-1.1406765459999999</v>
      </c>
      <c r="Y24" s="110" t="s">
        <v>310</v>
      </c>
      <c r="Z24" s="110" t="s">
        <v>155</v>
      </c>
      <c r="AA24" s="110" t="s">
        <v>1788</v>
      </c>
      <c r="AB24" s="110" t="s">
        <v>333</v>
      </c>
      <c r="AC24" s="110" t="s">
        <v>246</v>
      </c>
      <c r="AD24" s="110" t="s">
        <v>1725</v>
      </c>
      <c r="AE24" s="110" t="s">
        <v>187</v>
      </c>
      <c r="AF24" s="110" t="s">
        <v>1745</v>
      </c>
      <c r="AG24" s="110" t="s">
        <v>1766</v>
      </c>
      <c r="AI24" s="110" t="s">
        <v>246</v>
      </c>
      <c r="AJ24" s="110" t="s">
        <v>246</v>
      </c>
      <c r="AK24" s="110" t="s">
        <v>902</v>
      </c>
      <c r="AL24" s="110" t="s">
        <v>1750</v>
      </c>
      <c r="AN24" s="110" t="s">
        <v>412</v>
      </c>
      <c r="AO24" s="110">
        <v>1</v>
      </c>
      <c r="AP24" s="110" t="s">
        <v>190</v>
      </c>
      <c r="AQ24" s="110" t="s">
        <v>176</v>
      </c>
      <c r="AR24" s="110">
        <v>1992</v>
      </c>
      <c r="AS24" s="110" t="s">
        <v>174</v>
      </c>
      <c r="AT24" s="110" t="s">
        <v>174</v>
      </c>
      <c r="AU24" s="110">
        <v>10.78</v>
      </c>
      <c r="AV24" s="110" t="s">
        <v>1255</v>
      </c>
      <c r="AW24" s="110" t="s">
        <v>174</v>
      </c>
      <c r="AX24" s="110" t="s">
        <v>174</v>
      </c>
      <c r="AY24" s="110" t="s">
        <v>174</v>
      </c>
      <c r="AZ24" s="110" t="s">
        <v>174</v>
      </c>
      <c r="BA24" s="110" t="s">
        <v>1766</v>
      </c>
      <c r="BB24" s="110" t="s">
        <v>1766</v>
      </c>
      <c r="BE24" s="110" t="s">
        <v>246</v>
      </c>
      <c r="BF24" s="110" t="s">
        <v>188</v>
      </c>
      <c r="BG24" s="110">
        <v>0</v>
      </c>
      <c r="BH24" s="110" t="s">
        <v>174</v>
      </c>
      <c r="BI24" s="110" t="s">
        <v>246</v>
      </c>
      <c r="BJ24" s="110" t="s">
        <v>653</v>
      </c>
      <c r="BK24" s="110" t="s">
        <v>1766</v>
      </c>
      <c r="BL24" s="110">
        <v>1</v>
      </c>
      <c r="BM24" s="110" t="s">
        <v>174</v>
      </c>
      <c r="BN24" s="110" t="s">
        <v>174</v>
      </c>
      <c r="BO24" s="110" t="s">
        <v>174</v>
      </c>
      <c r="BP24" s="110" t="s">
        <v>174</v>
      </c>
      <c r="BQ24" s="110" t="s">
        <v>174</v>
      </c>
      <c r="BR24" s="110" t="s">
        <v>174</v>
      </c>
      <c r="BS24" s="110">
        <v>55</v>
      </c>
      <c r="BT24" s="110" t="s">
        <v>2256</v>
      </c>
      <c r="BU24" s="110" t="s">
        <v>2606</v>
      </c>
      <c r="BV24" s="110" t="s">
        <v>2256</v>
      </c>
      <c r="CA24" s="110">
        <v>0.92</v>
      </c>
      <c r="CB24" s="110">
        <v>54.347826089999998</v>
      </c>
      <c r="CC24" s="110" t="b">
        <v>0</v>
      </c>
      <c r="CD24" s="110">
        <v>0</v>
      </c>
      <c r="CE24" s="110">
        <v>0</v>
      </c>
      <c r="CF24" s="110" t="s">
        <v>246</v>
      </c>
      <c r="CG24" s="110">
        <v>1.84</v>
      </c>
      <c r="CH24" s="110" t="s">
        <v>187</v>
      </c>
      <c r="CI24" s="110" t="s">
        <v>654</v>
      </c>
    </row>
    <row r="25" spans="1:88">
      <c r="A25" s="110" t="s">
        <v>668</v>
      </c>
      <c r="B25" s="110">
        <v>6</v>
      </c>
      <c r="C25" s="110">
        <v>1</v>
      </c>
      <c r="D25" s="110">
        <v>1</v>
      </c>
      <c r="E25" s="110">
        <v>24</v>
      </c>
      <c r="F25" s="110">
        <v>1996</v>
      </c>
      <c r="G25" s="110" t="s">
        <v>161</v>
      </c>
      <c r="H25" s="110" t="s">
        <v>1219</v>
      </c>
      <c r="I25" s="110" t="s">
        <v>182</v>
      </c>
      <c r="J25" s="110" t="s">
        <v>246</v>
      </c>
      <c r="K25" s="110" t="s">
        <v>999</v>
      </c>
      <c r="L25" s="110" t="s">
        <v>999</v>
      </c>
      <c r="R25" s="110" t="s">
        <v>2611</v>
      </c>
      <c r="S25" s="110" t="s">
        <v>443</v>
      </c>
      <c r="T25" s="110" t="s">
        <v>540</v>
      </c>
      <c r="U25" s="110" t="s">
        <v>669</v>
      </c>
      <c r="V25" s="110">
        <v>60.712538279999997</v>
      </c>
      <c r="W25" s="110">
        <v>-60.712538279999997</v>
      </c>
      <c r="X25" s="110">
        <v>-45.601030000000002</v>
      </c>
      <c r="Y25" s="110" t="s">
        <v>538</v>
      </c>
      <c r="Z25" s="110" t="s">
        <v>797</v>
      </c>
      <c r="AA25" s="110" t="s">
        <v>1788</v>
      </c>
      <c r="AB25" s="110" t="s">
        <v>333</v>
      </c>
      <c r="AC25" s="110" t="s">
        <v>246</v>
      </c>
      <c r="AD25" s="110" t="s">
        <v>333</v>
      </c>
      <c r="AE25" s="110" t="s">
        <v>1123</v>
      </c>
      <c r="AF25" s="110" t="s">
        <v>1745</v>
      </c>
      <c r="AG25" s="110">
        <v>12</v>
      </c>
      <c r="AI25" s="110" t="s">
        <v>246</v>
      </c>
      <c r="AJ25" s="110" t="s">
        <v>246</v>
      </c>
      <c r="AK25" s="110" t="s">
        <v>171</v>
      </c>
      <c r="AL25" s="110" t="s">
        <v>190</v>
      </c>
      <c r="AO25" s="110">
        <v>1</v>
      </c>
      <c r="AP25" s="110" t="s">
        <v>190</v>
      </c>
      <c r="AQ25" s="110" t="s">
        <v>176</v>
      </c>
      <c r="AR25" s="110">
        <v>1992</v>
      </c>
      <c r="AS25" s="110" t="s">
        <v>670</v>
      </c>
      <c r="AT25" s="110" t="s">
        <v>420</v>
      </c>
      <c r="AU25" s="110">
        <v>30</v>
      </c>
      <c r="AW25" s="110">
        <v>14.5</v>
      </c>
      <c r="AX25" s="110">
        <v>8.4</v>
      </c>
      <c r="AY25" s="110">
        <v>33.4</v>
      </c>
      <c r="AZ25" s="110">
        <v>33.6</v>
      </c>
      <c r="BA25" s="110">
        <v>-1.84</v>
      </c>
      <c r="BB25" s="110">
        <v>0.55000000000000004</v>
      </c>
      <c r="BC25" s="110">
        <v>-0.64500000000000002</v>
      </c>
      <c r="BD25" s="110">
        <v>2.39</v>
      </c>
      <c r="BE25" s="110" t="s">
        <v>182</v>
      </c>
      <c r="BF25" s="110" t="s">
        <v>412</v>
      </c>
      <c r="BH25" s="110" t="s">
        <v>174</v>
      </c>
      <c r="BJ25" s="110" t="s">
        <v>190</v>
      </c>
      <c r="BK25" s="110">
        <v>5</v>
      </c>
      <c r="BL25" s="110">
        <v>13</v>
      </c>
      <c r="BM25" s="110" t="s">
        <v>174</v>
      </c>
      <c r="BN25" s="110" t="s">
        <v>174</v>
      </c>
      <c r="BO25" s="110" t="s">
        <v>174</v>
      </c>
      <c r="BP25" s="110" t="s">
        <v>174</v>
      </c>
      <c r="BQ25" s="110" t="s">
        <v>174</v>
      </c>
      <c r="BR25" s="110" t="s">
        <v>174</v>
      </c>
      <c r="BS25" s="110">
        <v>313</v>
      </c>
      <c r="BT25" s="110" t="s">
        <v>2378</v>
      </c>
      <c r="BU25" s="110" t="s">
        <v>1398</v>
      </c>
      <c r="BV25" s="110" t="s">
        <v>2603</v>
      </c>
      <c r="BW25" s="110">
        <v>0.9073</v>
      </c>
      <c r="BX25" s="110" t="s">
        <v>1396</v>
      </c>
      <c r="BY25" s="110">
        <v>0.68369999999999997</v>
      </c>
      <c r="CA25" s="110">
        <v>9.6199999999999994E-2</v>
      </c>
      <c r="CB25" s="110">
        <v>519.75051980000001</v>
      </c>
      <c r="CC25" s="110" t="b">
        <v>1</v>
      </c>
      <c r="CD25" s="110">
        <v>60</v>
      </c>
      <c r="CE25" s="110">
        <v>0</v>
      </c>
      <c r="CF25" s="110" t="s">
        <v>246</v>
      </c>
      <c r="CG25" s="110" t="s">
        <v>174</v>
      </c>
      <c r="CH25" s="110" t="s">
        <v>412</v>
      </c>
      <c r="CI25" s="110" t="s">
        <v>673</v>
      </c>
    </row>
    <row r="26" spans="1:88">
      <c r="A26" s="110" t="s">
        <v>668</v>
      </c>
      <c r="B26" s="110">
        <v>6</v>
      </c>
      <c r="C26" s="110">
        <v>1</v>
      </c>
      <c r="D26" s="110">
        <v>1</v>
      </c>
      <c r="E26" s="110">
        <v>25</v>
      </c>
      <c r="F26" s="110">
        <v>1996</v>
      </c>
      <c r="G26" s="110" t="s">
        <v>161</v>
      </c>
      <c r="H26" s="110" t="s">
        <v>1219</v>
      </c>
      <c r="I26" s="110" t="s">
        <v>182</v>
      </c>
      <c r="J26" s="110" t="s">
        <v>246</v>
      </c>
      <c r="K26" s="110" t="s">
        <v>999</v>
      </c>
      <c r="L26" s="110" t="s">
        <v>999</v>
      </c>
      <c r="R26" s="110" t="s">
        <v>2611</v>
      </c>
      <c r="S26" s="110" t="s">
        <v>443</v>
      </c>
      <c r="T26" s="110" t="s">
        <v>540</v>
      </c>
      <c r="U26" s="110" t="s">
        <v>669</v>
      </c>
      <c r="V26" s="110">
        <v>60.712538279999997</v>
      </c>
      <c r="W26" s="110">
        <v>-60.712538279999997</v>
      </c>
      <c r="X26" s="110">
        <v>-45.601030000000002</v>
      </c>
      <c r="Y26" s="110" t="s">
        <v>538</v>
      </c>
      <c r="Z26" s="110" t="s">
        <v>797</v>
      </c>
      <c r="AA26" s="110" t="s">
        <v>1788</v>
      </c>
      <c r="AB26" s="110" t="s">
        <v>1727</v>
      </c>
      <c r="AC26" s="110" t="s">
        <v>182</v>
      </c>
      <c r="AD26" s="110" t="s">
        <v>333</v>
      </c>
      <c r="AE26" s="110" t="s">
        <v>1123</v>
      </c>
      <c r="AF26" s="110" t="s">
        <v>1745</v>
      </c>
      <c r="AG26" s="110">
        <v>12</v>
      </c>
      <c r="AI26" s="110" t="s">
        <v>246</v>
      </c>
      <c r="AJ26" s="110" t="s">
        <v>246</v>
      </c>
      <c r="AK26" s="110" t="s">
        <v>171</v>
      </c>
      <c r="AL26" s="110" t="s">
        <v>190</v>
      </c>
      <c r="AO26" s="110">
        <v>1</v>
      </c>
      <c r="AP26" s="110" t="s">
        <v>190</v>
      </c>
      <c r="AQ26" s="110" t="s">
        <v>176</v>
      </c>
      <c r="AR26" s="110">
        <v>1992</v>
      </c>
      <c r="AS26" s="110" t="s">
        <v>670</v>
      </c>
      <c r="AT26" s="110" t="s">
        <v>420</v>
      </c>
      <c r="AU26" s="110">
        <v>30</v>
      </c>
      <c r="AW26" s="110">
        <v>17.5</v>
      </c>
      <c r="AX26" s="110">
        <v>8.6</v>
      </c>
      <c r="AY26" s="110">
        <v>35.1</v>
      </c>
      <c r="AZ26" s="110">
        <v>30.2</v>
      </c>
      <c r="BA26" s="110">
        <v>-1.84</v>
      </c>
      <c r="BB26" s="110">
        <v>0.55000000000000004</v>
      </c>
      <c r="BC26" s="110">
        <v>-0.64500000000000002</v>
      </c>
      <c r="BD26" s="110">
        <v>2.39</v>
      </c>
      <c r="BE26" s="110" t="s">
        <v>182</v>
      </c>
      <c r="BF26" s="110" t="s">
        <v>412</v>
      </c>
      <c r="BH26" s="110" t="s">
        <v>174</v>
      </c>
      <c r="BJ26" s="110" t="s">
        <v>190</v>
      </c>
      <c r="BK26" s="110">
        <v>5</v>
      </c>
      <c r="BL26" s="110">
        <v>10</v>
      </c>
      <c r="BM26" s="110" t="s">
        <v>174</v>
      </c>
      <c r="BN26" s="110" t="s">
        <v>174</v>
      </c>
      <c r="BO26" s="110" t="s">
        <v>174</v>
      </c>
      <c r="BP26" s="110" t="s">
        <v>174</v>
      </c>
      <c r="BQ26" s="110" t="s">
        <v>174</v>
      </c>
      <c r="BR26" s="110" t="s">
        <v>174</v>
      </c>
      <c r="BS26" s="110">
        <v>83</v>
      </c>
      <c r="BT26" s="110" t="s">
        <v>1385</v>
      </c>
      <c r="BU26" s="110" t="s">
        <v>3207</v>
      </c>
      <c r="BV26" s="110" t="s">
        <v>2603</v>
      </c>
      <c r="BW26" s="110">
        <v>0.96</v>
      </c>
      <c r="BX26" s="110" t="s">
        <v>2347</v>
      </c>
      <c r="BY26" s="110">
        <v>0.93</v>
      </c>
      <c r="BZ26" s="110">
        <v>1.6400000000000001E-2</v>
      </c>
      <c r="CB26" s="110">
        <v>28.16</v>
      </c>
      <c r="CC26" s="110" t="b">
        <v>0</v>
      </c>
      <c r="CD26" s="110">
        <v>0</v>
      </c>
      <c r="CE26" s="110">
        <v>0</v>
      </c>
      <c r="CF26" s="110" t="s">
        <v>246</v>
      </c>
      <c r="CG26" s="110" t="s">
        <v>174</v>
      </c>
      <c r="CH26" s="110" t="s">
        <v>678</v>
      </c>
      <c r="CI26" s="110" t="s">
        <v>673</v>
      </c>
      <c r="CJ26" s="110" t="s">
        <v>671</v>
      </c>
    </row>
    <row r="27" spans="1:88">
      <c r="A27" s="110" t="s">
        <v>526</v>
      </c>
      <c r="B27" s="110">
        <v>7</v>
      </c>
      <c r="C27" s="110">
        <v>1</v>
      </c>
      <c r="D27" s="110">
        <v>1</v>
      </c>
      <c r="E27" s="110">
        <v>26</v>
      </c>
      <c r="F27" s="110">
        <v>1991</v>
      </c>
      <c r="G27" s="110" t="s">
        <v>161</v>
      </c>
      <c r="H27" s="110" t="s">
        <v>1219</v>
      </c>
      <c r="I27" s="110" t="s">
        <v>246</v>
      </c>
      <c r="J27" s="110" t="s">
        <v>246</v>
      </c>
      <c r="K27" s="110" t="s">
        <v>999</v>
      </c>
      <c r="L27" s="110" t="s">
        <v>999</v>
      </c>
      <c r="R27" s="110" t="s">
        <v>1976</v>
      </c>
      <c r="S27" s="110" t="s">
        <v>444</v>
      </c>
      <c r="T27" s="110" t="s">
        <v>445</v>
      </c>
      <c r="U27" s="110" t="s">
        <v>704</v>
      </c>
      <c r="V27" s="110">
        <v>41.525787680000001</v>
      </c>
      <c r="W27" s="110">
        <v>41.525787680000001</v>
      </c>
      <c r="X27" s="110">
        <v>-70.672420900000006</v>
      </c>
      <c r="Y27" s="110" t="s">
        <v>276</v>
      </c>
      <c r="Z27" s="110" t="s">
        <v>586</v>
      </c>
      <c r="AA27" s="110" t="s">
        <v>1788</v>
      </c>
      <c r="AB27" s="110" t="s">
        <v>333</v>
      </c>
      <c r="AC27" s="110" t="s">
        <v>246</v>
      </c>
      <c r="AD27" s="110" t="s">
        <v>333</v>
      </c>
      <c r="AE27" s="110" t="s">
        <v>1123</v>
      </c>
      <c r="AF27" s="110" t="s">
        <v>1745</v>
      </c>
      <c r="AG27" s="110">
        <v>2</v>
      </c>
      <c r="AI27" s="110" t="s">
        <v>246</v>
      </c>
      <c r="AJ27" s="110" t="s">
        <v>246</v>
      </c>
      <c r="AK27" s="110" t="s">
        <v>171</v>
      </c>
      <c r="AL27" s="110" t="s">
        <v>190</v>
      </c>
      <c r="AO27" s="110" t="s">
        <v>1766</v>
      </c>
      <c r="AP27" s="110" t="s">
        <v>190</v>
      </c>
      <c r="AQ27" s="110" t="s">
        <v>176</v>
      </c>
      <c r="AR27" s="110" t="s">
        <v>174</v>
      </c>
      <c r="AS27" s="110" t="s">
        <v>234</v>
      </c>
      <c r="AT27" s="110" t="s">
        <v>298</v>
      </c>
      <c r="AU27" s="110">
        <v>100</v>
      </c>
      <c r="AV27" s="110" t="s">
        <v>1255</v>
      </c>
      <c r="AW27" s="110">
        <v>10</v>
      </c>
      <c r="AX27" s="110">
        <v>11</v>
      </c>
      <c r="AY27" s="110">
        <v>24.9</v>
      </c>
      <c r="AZ27" s="110">
        <v>4.0999999999999996</v>
      </c>
      <c r="BA27" s="110" t="s">
        <v>1766</v>
      </c>
      <c r="BB27" s="110" t="s">
        <v>1766</v>
      </c>
      <c r="BE27" s="110" t="s">
        <v>182</v>
      </c>
      <c r="BF27" s="110" t="s">
        <v>412</v>
      </c>
      <c r="BH27" s="110" t="s">
        <v>174</v>
      </c>
      <c r="BJ27" s="110" t="s">
        <v>412</v>
      </c>
      <c r="BK27" s="110">
        <v>2.5</v>
      </c>
      <c r="BL27" s="110">
        <v>4</v>
      </c>
      <c r="BM27" s="110" t="s">
        <v>174</v>
      </c>
      <c r="BN27" s="110" t="s">
        <v>174</v>
      </c>
      <c r="BO27" s="110">
        <v>4.5579999999999998</v>
      </c>
      <c r="BP27" s="110" t="s">
        <v>174</v>
      </c>
      <c r="BQ27" s="110" t="s">
        <v>174</v>
      </c>
      <c r="BR27" s="110" t="s">
        <v>174</v>
      </c>
      <c r="BS27" s="110">
        <v>30</v>
      </c>
      <c r="BT27" s="110" t="s">
        <v>2378</v>
      </c>
      <c r="BU27" s="110" t="s">
        <v>1398</v>
      </c>
      <c r="BV27" s="110" t="s">
        <v>2603</v>
      </c>
      <c r="BW27" s="110">
        <v>0.97</v>
      </c>
      <c r="BX27" s="110" t="s">
        <v>1396</v>
      </c>
      <c r="BY27" s="110">
        <v>0.86</v>
      </c>
      <c r="CA27" s="110">
        <v>3.677</v>
      </c>
      <c r="CB27" s="110">
        <v>13.59804188</v>
      </c>
      <c r="CC27" s="110" t="b">
        <v>0</v>
      </c>
      <c r="CD27" s="110">
        <v>0.6</v>
      </c>
      <c r="CE27" s="110" t="s">
        <v>2256</v>
      </c>
      <c r="CF27" s="110" t="s">
        <v>2256</v>
      </c>
      <c r="CG27" s="110" t="s">
        <v>174</v>
      </c>
      <c r="CH27" s="110" t="s">
        <v>445</v>
      </c>
      <c r="CI27" s="110" t="s">
        <v>817</v>
      </c>
    </row>
    <row r="28" spans="1:88">
      <c r="A28" s="110" t="s">
        <v>526</v>
      </c>
      <c r="B28" s="110">
        <v>7</v>
      </c>
      <c r="C28" s="110">
        <v>1</v>
      </c>
      <c r="D28" s="110">
        <v>1</v>
      </c>
      <c r="E28" s="110">
        <v>27</v>
      </c>
      <c r="F28" s="110">
        <v>1991</v>
      </c>
      <c r="G28" s="110" t="s">
        <v>161</v>
      </c>
      <c r="H28" s="110" t="s">
        <v>1219</v>
      </c>
      <c r="I28" s="110" t="s">
        <v>246</v>
      </c>
      <c r="J28" s="110" t="s">
        <v>246</v>
      </c>
      <c r="K28" s="110" t="s">
        <v>999</v>
      </c>
      <c r="L28" s="110" t="s">
        <v>999</v>
      </c>
      <c r="R28" s="110" t="s">
        <v>1976</v>
      </c>
      <c r="S28" s="110" t="s">
        <v>446</v>
      </c>
      <c r="T28" s="110" t="s">
        <v>707</v>
      </c>
      <c r="U28" s="110" t="s">
        <v>703</v>
      </c>
      <c r="V28" s="110">
        <v>41.525787680000001</v>
      </c>
      <c r="W28" s="110">
        <v>41.525787680000001</v>
      </c>
      <c r="X28" s="110">
        <v>-70.672420900000006</v>
      </c>
      <c r="Y28" s="110" t="s">
        <v>276</v>
      </c>
      <c r="Z28" s="110" t="s">
        <v>586</v>
      </c>
      <c r="AA28" s="110" t="s">
        <v>1788</v>
      </c>
      <c r="AB28" s="110" t="s">
        <v>333</v>
      </c>
      <c r="AC28" s="110" t="s">
        <v>246</v>
      </c>
      <c r="AD28" s="110" t="s">
        <v>333</v>
      </c>
      <c r="AE28" s="110" t="s">
        <v>1123</v>
      </c>
      <c r="AF28" s="110" t="s">
        <v>1745</v>
      </c>
      <c r="AG28" s="110">
        <v>2</v>
      </c>
      <c r="AI28" s="110" t="s">
        <v>246</v>
      </c>
      <c r="AJ28" s="110" t="s">
        <v>246</v>
      </c>
      <c r="AK28" s="110" t="s">
        <v>171</v>
      </c>
      <c r="AL28" s="110" t="s">
        <v>190</v>
      </c>
      <c r="AO28" s="110" t="s">
        <v>1766</v>
      </c>
      <c r="AP28" s="110" t="s">
        <v>190</v>
      </c>
      <c r="AQ28" s="110" t="s">
        <v>176</v>
      </c>
      <c r="AR28" s="110" t="s">
        <v>174</v>
      </c>
      <c r="AS28" s="110" t="s">
        <v>234</v>
      </c>
      <c r="AT28" s="110" t="s">
        <v>298</v>
      </c>
      <c r="AU28" s="110">
        <v>100</v>
      </c>
      <c r="AV28" s="110" t="s">
        <v>1255</v>
      </c>
      <c r="AW28" s="110">
        <v>21</v>
      </c>
      <c r="AX28" s="110">
        <v>17</v>
      </c>
      <c r="AY28" s="110">
        <v>9.1</v>
      </c>
      <c r="AZ28" s="110">
        <v>0.6</v>
      </c>
      <c r="BA28" s="110" t="s">
        <v>1766</v>
      </c>
      <c r="BB28" s="110" t="s">
        <v>1766</v>
      </c>
      <c r="BE28" s="110" t="s">
        <v>182</v>
      </c>
      <c r="BF28" s="110" t="s">
        <v>412</v>
      </c>
      <c r="BH28" s="110" t="s">
        <v>174</v>
      </c>
      <c r="BI28" s="110" t="s">
        <v>182</v>
      </c>
      <c r="BJ28" s="110" t="s">
        <v>412</v>
      </c>
      <c r="BK28" s="110">
        <v>2.5</v>
      </c>
      <c r="BL28" s="110">
        <v>2</v>
      </c>
      <c r="BM28" s="110" t="s">
        <v>174</v>
      </c>
      <c r="BN28" s="110" t="s">
        <v>174</v>
      </c>
      <c r="BO28" s="110">
        <v>6.6230000000000002</v>
      </c>
      <c r="BP28" s="110" t="s">
        <v>174</v>
      </c>
      <c r="BQ28" s="110" t="s">
        <v>174</v>
      </c>
      <c r="BR28" s="110" t="s">
        <v>174</v>
      </c>
      <c r="BS28" s="110">
        <v>14</v>
      </c>
      <c r="BT28" s="110" t="s">
        <v>2347</v>
      </c>
      <c r="BU28" s="110" t="s">
        <v>1394</v>
      </c>
      <c r="BV28" s="110" t="s">
        <v>2603</v>
      </c>
      <c r="BW28" s="110">
        <v>0.99</v>
      </c>
      <c r="BZ28" s="110">
        <v>0.24340000000000001</v>
      </c>
      <c r="CB28" s="110">
        <v>2.8</v>
      </c>
      <c r="CC28" s="110" t="b">
        <v>0</v>
      </c>
      <c r="CD28" s="110">
        <v>7.1</v>
      </c>
      <c r="CE28" s="110" t="s">
        <v>2256</v>
      </c>
      <c r="CF28" s="110" t="s">
        <v>2256</v>
      </c>
      <c r="CG28" s="110" t="s">
        <v>174</v>
      </c>
      <c r="CH28" s="110" t="s">
        <v>707</v>
      </c>
      <c r="CI28" s="110" t="s">
        <v>817</v>
      </c>
    </row>
    <row r="29" spans="1:88">
      <c r="A29" s="110" t="s">
        <v>526</v>
      </c>
      <c r="B29" s="110">
        <v>7</v>
      </c>
      <c r="C29" s="110">
        <v>1</v>
      </c>
      <c r="D29" s="110">
        <v>1</v>
      </c>
      <c r="E29" s="110">
        <v>28</v>
      </c>
      <c r="F29" s="110">
        <v>1991</v>
      </c>
      <c r="G29" s="110" t="s">
        <v>161</v>
      </c>
      <c r="H29" s="110" t="s">
        <v>1219</v>
      </c>
      <c r="I29" s="110" t="s">
        <v>246</v>
      </c>
      <c r="J29" s="110" t="s">
        <v>246</v>
      </c>
      <c r="K29" s="110" t="s">
        <v>999</v>
      </c>
      <c r="L29" s="110" t="s">
        <v>999</v>
      </c>
      <c r="R29" s="110" t="s">
        <v>272</v>
      </c>
      <c r="S29" s="110" t="s">
        <v>443</v>
      </c>
      <c r="T29" s="110" t="s">
        <v>611</v>
      </c>
      <c r="U29" s="110" t="s">
        <v>612</v>
      </c>
      <c r="V29" s="110">
        <v>41.525787680000001</v>
      </c>
      <c r="W29" s="110">
        <v>41.525787680000001</v>
      </c>
      <c r="X29" s="110">
        <v>-70.672420900000006</v>
      </c>
      <c r="Y29" s="110" t="s">
        <v>276</v>
      </c>
      <c r="Z29" s="110" t="s">
        <v>586</v>
      </c>
      <c r="AA29" s="110" t="s">
        <v>1788</v>
      </c>
      <c r="AB29" s="110" t="s">
        <v>333</v>
      </c>
      <c r="AC29" s="110" t="s">
        <v>246</v>
      </c>
      <c r="AD29" s="110" t="s">
        <v>333</v>
      </c>
      <c r="AE29" s="110" t="s">
        <v>1123</v>
      </c>
      <c r="AF29" s="110" t="s">
        <v>1745</v>
      </c>
      <c r="AG29" s="110">
        <v>2</v>
      </c>
      <c r="AI29" s="110" t="s">
        <v>246</v>
      </c>
      <c r="AJ29" s="110" t="s">
        <v>246</v>
      </c>
      <c r="AK29" s="110" t="s">
        <v>171</v>
      </c>
      <c r="AL29" s="110" t="s">
        <v>190</v>
      </c>
      <c r="AO29" s="110" t="s">
        <v>1766</v>
      </c>
      <c r="AP29" s="110" t="s">
        <v>190</v>
      </c>
      <c r="AQ29" s="110" t="s">
        <v>176</v>
      </c>
      <c r="AR29" s="110" t="s">
        <v>174</v>
      </c>
      <c r="AS29" s="110" t="s">
        <v>234</v>
      </c>
      <c r="AT29" s="110" t="s">
        <v>298</v>
      </c>
      <c r="AU29" s="110">
        <v>100</v>
      </c>
      <c r="AV29" s="110" t="s">
        <v>1255</v>
      </c>
      <c r="AW29" s="110">
        <v>25</v>
      </c>
      <c r="AX29" s="110">
        <v>26</v>
      </c>
      <c r="AY29" s="110">
        <v>37.1</v>
      </c>
      <c r="AZ29" s="110">
        <v>6.7</v>
      </c>
      <c r="BA29" s="110" t="s">
        <v>1766</v>
      </c>
      <c r="BB29" s="110" t="s">
        <v>1766</v>
      </c>
      <c r="BE29" s="110" t="s">
        <v>182</v>
      </c>
      <c r="BF29" s="110" t="s">
        <v>412</v>
      </c>
      <c r="BH29" s="110" t="s">
        <v>174</v>
      </c>
      <c r="BI29" s="110" t="s">
        <v>182</v>
      </c>
      <c r="BJ29" s="110" t="s">
        <v>412</v>
      </c>
      <c r="BK29" s="110">
        <v>2.5</v>
      </c>
      <c r="BL29" s="110">
        <v>4</v>
      </c>
      <c r="BM29" s="110" t="s">
        <v>174</v>
      </c>
      <c r="BN29" s="110" t="s">
        <v>174</v>
      </c>
      <c r="BO29" s="110">
        <v>1.0189999999999999</v>
      </c>
      <c r="BP29" s="110" t="s">
        <v>174</v>
      </c>
      <c r="BQ29" s="110" t="s">
        <v>174</v>
      </c>
      <c r="BR29" s="110" t="s">
        <v>174</v>
      </c>
      <c r="BS29" s="110">
        <v>60</v>
      </c>
      <c r="BT29" s="110" t="s">
        <v>1385</v>
      </c>
      <c r="BU29" s="110" t="s">
        <v>3207</v>
      </c>
      <c r="BV29" s="110" t="s">
        <v>2603</v>
      </c>
      <c r="BW29" s="110">
        <v>0.97</v>
      </c>
      <c r="BZ29" s="110">
        <v>9.3100000000000002E-2</v>
      </c>
      <c r="CB29" s="110">
        <v>9.8800000000000008</v>
      </c>
      <c r="CC29" s="110" t="b">
        <v>0</v>
      </c>
      <c r="CD29" s="110">
        <v>16.399999999999999</v>
      </c>
      <c r="CE29" s="110">
        <v>16.399999999999999</v>
      </c>
      <c r="CF29" s="110" t="s">
        <v>182</v>
      </c>
      <c r="CG29" s="110" t="s">
        <v>174</v>
      </c>
      <c r="CH29" s="110" t="s">
        <v>611</v>
      </c>
      <c r="CI29" s="110" t="s">
        <v>817</v>
      </c>
    </row>
    <row r="30" spans="1:88">
      <c r="A30" s="110" t="s">
        <v>940</v>
      </c>
      <c r="B30" s="110">
        <v>8</v>
      </c>
      <c r="C30" s="110">
        <v>1</v>
      </c>
      <c r="D30" s="110">
        <v>1</v>
      </c>
      <c r="E30" s="110">
        <v>29</v>
      </c>
      <c r="F30" s="110">
        <v>2003</v>
      </c>
      <c r="G30" s="110" t="s">
        <v>187</v>
      </c>
      <c r="H30" s="110" t="s">
        <v>1219</v>
      </c>
      <c r="I30" s="110" t="s">
        <v>182</v>
      </c>
      <c r="J30" s="110" t="s">
        <v>246</v>
      </c>
      <c r="K30" s="110" t="s">
        <v>186</v>
      </c>
      <c r="L30" s="110" t="s">
        <v>186</v>
      </c>
      <c r="M30" s="110" t="s">
        <v>3161</v>
      </c>
      <c r="Q30" s="110">
        <v>0.2</v>
      </c>
      <c r="R30" s="110" t="s">
        <v>1976</v>
      </c>
      <c r="S30" s="110" t="s">
        <v>444</v>
      </c>
      <c r="T30" s="110" t="s">
        <v>445</v>
      </c>
      <c r="U30" s="110" t="s">
        <v>853</v>
      </c>
      <c r="V30" s="110">
        <v>44.822442649999999</v>
      </c>
      <c r="W30" s="110">
        <v>44.822442649999999</v>
      </c>
      <c r="X30" s="110">
        <v>12.344489429999999</v>
      </c>
      <c r="Y30" s="110" t="s">
        <v>1273</v>
      </c>
      <c r="Z30" s="110" t="s">
        <v>155</v>
      </c>
      <c r="AA30" s="110" t="s">
        <v>1788</v>
      </c>
      <c r="AB30" s="110" t="s">
        <v>1738</v>
      </c>
      <c r="AC30" s="110" t="s">
        <v>182</v>
      </c>
      <c r="AD30" s="110" t="s">
        <v>1725</v>
      </c>
      <c r="AE30" s="110" t="s">
        <v>187</v>
      </c>
      <c r="AF30" s="110" t="s">
        <v>190</v>
      </c>
      <c r="AG30" s="110" t="s">
        <v>190</v>
      </c>
      <c r="AI30" s="110" t="s">
        <v>246</v>
      </c>
      <c r="AJ30" s="110" t="s">
        <v>246</v>
      </c>
      <c r="AK30" s="110" t="s">
        <v>882</v>
      </c>
      <c r="AL30" s="110" t="s">
        <v>1274</v>
      </c>
      <c r="AM30" s="110">
        <v>700</v>
      </c>
      <c r="AN30" s="110" t="s">
        <v>1216</v>
      </c>
      <c r="AP30" s="110" t="s">
        <v>174</v>
      </c>
      <c r="AQ30" s="110" t="s">
        <v>175</v>
      </c>
      <c r="AR30" s="110">
        <v>1998</v>
      </c>
      <c r="AS30" s="110" t="s">
        <v>475</v>
      </c>
      <c r="AT30" s="110" t="s">
        <v>420</v>
      </c>
      <c r="AU30" s="110" t="s">
        <v>174</v>
      </c>
      <c r="AV30" s="110" t="s">
        <v>174</v>
      </c>
      <c r="AW30" s="110" t="s">
        <v>174</v>
      </c>
      <c r="AX30" s="110" t="s">
        <v>174</v>
      </c>
      <c r="AY30" s="110" t="s">
        <v>174</v>
      </c>
      <c r="AZ30" s="110" t="s">
        <v>174</v>
      </c>
      <c r="BA30" s="110">
        <v>20</v>
      </c>
      <c r="BB30" s="110">
        <v>20</v>
      </c>
      <c r="BC30" s="110">
        <v>20</v>
      </c>
      <c r="BD30" s="110">
        <v>0</v>
      </c>
      <c r="BE30" s="110" t="s">
        <v>246</v>
      </c>
      <c r="BF30" s="110" t="s">
        <v>188</v>
      </c>
      <c r="BG30" s="110">
        <v>0</v>
      </c>
      <c r="BI30" s="110" t="s">
        <v>182</v>
      </c>
      <c r="BJ30" s="110" t="s">
        <v>1276</v>
      </c>
      <c r="BK30" s="110">
        <v>5</v>
      </c>
      <c r="BL30" s="110">
        <v>3</v>
      </c>
      <c r="BM30" s="110" t="s">
        <v>1394</v>
      </c>
      <c r="BN30" s="110" t="s">
        <v>174</v>
      </c>
      <c r="BO30" s="110" t="s">
        <v>174</v>
      </c>
      <c r="BP30" s="110" t="s">
        <v>174</v>
      </c>
      <c r="BQ30" s="110" t="s">
        <v>174</v>
      </c>
      <c r="BR30" s="110" t="s">
        <v>174</v>
      </c>
      <c r="BS30" s="110">
        <v>22</v>
      </c>
      <c r="BT30" s="110" t="s">
        <v>1385</v>
      </c>
      <c r="BU30" s="110" t="s">
        <v>3207</v>
      </c>
      <c r="BV30" s="110" t="s">
        <v>2603</v>
      </c>
      <c r="BW30" s="110">
        <v>1</v>
      </c>
      <c r="BZ30" s="110">
        <v>0.35630000000000001</v>
      </c>
      <c r="CB30" s="110">
        <v>2.98</v>
      </c>
      <c r="CC30" s="110" t="b">
        <v>0</v>
      </c>
      <c r="CD30" s="110">
        <v>23.6</v>
      </c>
      <c r="CE30" s="110">
        <v>23.6</v>
      </c>
      <c r="CF30" s="110" t="s">
        <v>182</v>
      </c>
      <c r="CH30" s="110" t="s">
        <v>2493</v>
      </c>
      <c r="CI30" s="110" t="s">
        <v>1275</v>
      </c>
    </row>
    <row r="31" spans="1:88">
      <c r="A31" s="110" t="s">
        <v>940</v>
      </c>
      <c r="B31" s="110">
        <v>8</v>
      </c>
      <c r="C31" s="110">
        <v>1</v>
      </c>
      <c r="D31" s="110">
        <v>1</v>
      </c>
      <c r="E31" s="110">
        <v>30</v>
      </c>
      <c r="F31" s="110">
        <v>2003</v>
      </c>
      <c r="G31" s="110" t="s">
        <v>187</v>
      </c>
      <c r="H31" s="110" t="s">
        <v>1219</v>
      </c>
      <c r="I31" s="110" t="s">
        <v>182</v>
      </c>
      <c r="J31" s="110" t="s">
        <v>246</v>
      </c>
      <c r="K31" s="110" t="s">
        <v>725</v>
      </c>
      <c r="L31" s="110" t="s">
        <v>725</v>
      </c>
      <c r="M31" s="110" t="s">
        <v>3161</v>
      </c>
      <c r="P31" s="110" t="s">
        <v>3179</v>
      </c>
      <c r="R31" s="110" t="s">
        <v>1976</v>
      </c>
      <c r="S31" s="110" t="s">
        <v>444</v>
      </c>
      <c r="T31" s="110" t="s">
        <v>445</v>
      </c>
      <c r="U31" s="110" t="s">
        <v>853</v>
      </c>
      <c r="V31" s="110">
        <v>44.822442649999999</v>
      </c>
      <c r="W31" s="110">
        <v>44.822442649999999</v>
      </c>
      <c r="X31" s="110">
        <v>12.344489429999999</v>
      </c>
      <c r="Y31" s="110" t="s">
        <v>1273</v>
      </c>
      <c r="Z31" s="110" t="s">
        <v>155</v>
      </c>
      <c r="AA31" s="110" t="s">
        <v>1788</v>
      </c>
      <c r="AB31" s="110" t="s">
        <v>1738</v>
      </c>
      <c r="AC31" s="110" t="s">
        <v>182</v>
      </c>
      <c r="AD31" s="110" t="s">
        <v>1725</v>
      </c>
      <c r="AE31" s="110" t="s">
        <v>187</v>
      </c>
      <c r="AF31" s="110" t="s">
        <v>190</v>
      </c>
      <c r="AG31" s="110" t="s">
        <v>190</v>
      </c>
      <c r="AI31" s="110" t="s">
        <v>246</v>
      </c>
      <c r="AJ31" s="110" t="s">
        <v>246</v>
      </c>
      <c r="AK31" s="110" t="s">
        <v>882</v>
      </c>
      <c r="AL31" s="110" t="s">
        <v>1274</v>
      </c>
      <c r="AM31" s="110">
        <v>700</v>
      </c>
      <c r="AN31" s="110" t="s">
        <v>1216</v>
      </c>
      <c r="AO31" s="110" t="s">
        <v>190</v>
      </c>
      <c r="AP31" s="110" t="s">
        <v>190</v>
      </c>
      <c r="AQ31" s="110" t="s">
        <v>175</v>
      </c>
      <c r="AR31" s="110">
        <v>1998</v>
      </c>
      <c r="AS31" s="110" t="s">
        <v>475</v>
      </c>
      <c r="AT31" s="110" t="s">
        <v>420</v>
      </c>
      <c r="AU31" s="110" t="s">
        <v>174</v>
      </c>
      <c r="AV31" s="110" t="s">
        <v>174</v>
      </c>
      <c r="AW31" s="110" t="s">
        <v>174</v>
      </c>
      <c r="AX31" s="110" t="s">
        <v>174</v>
      </c>
      <c r="AY31" s="110" t="s">
        <v>174</v>
      </c>
      <c r="AZ31" s="110" t="s">
        <v>174</v>
      </c>
      <c r="BA31" s="110">
        <v>20</v>
      </c>
      <c r="BB31" s="110">
        <v>20</v>
      </c>
      <c r="BC31" s="110">
        <v>20</v>
      </c>
      <c r="BD31" s="110">
        <v>0</v>
      </c>
      <c r="BE31" s="110" t="s">
        <v>246</v>
      </c>
      <c r="BF31" s="110" t="s">
        <v>188</v>
      </c>
      <c r="BG31" s="110">
        <v>0</v>
      </c>
      <c r="BH31" s="110" t="s">
        <v>174</v>
      </c>
      <c r="BI31" s="110" t="s">
        <v>182</v>
      </c>
      <c r="BJ31" s="110" t="s">
        <v>1276</v>
      </c>
      <c r="BK31" s="110">
        <v>5</v>
      </c>
      <c r="BL31" s="110">
        <v>3</v>
      </c>
      <c r="BM31" s="110" t="s">
        <v>1394</v>
      </c>
      <c r="BN31" s="110">
        <v>8.4699999999999998E-2</v>
      </c>
      <c r="BP31" s="110">
        <v>8.07</v>
      </c>
      <c r="BS31" s="110">
        <v>22</v>
      </c>
      <c r="BT31" s="110" t="s">
        <v>1385</v>
      </c>
      <c r="BU31" s="110" t="s">
        <v>3207</v>
      </c>
      <c r="BV31" s="110" t="s">
        <v>2603</v>
      </c>
      <c r="BW31" s="110">
        <v>0.97</v>
      </c>
      <c r="BZ31" s="110">
        <v>0.1169</v>
      </c>
      <c r="CB31" s="110">
        <v>7.48</v>
      </c>
      <c r="CC31" s="110" t="b">
        <v>0</v>
      </c>
      <c r="CD31" s="110">
        <v>13.8</v>
      </c>
      <c r="CE31" s="110">
        <v>13.8</v>
      </c>
      <c r="CF31" s="110" t="s">
        <v>182</v>
      </c>
      <c r="CH31" s="110" t="s">
        <v>2493</v>
      </c>
      <c r="CI31" s="110" t="s">
        <v>1275</v>
      </c>
      <c r="CJ31" s="110" t="s">
        <v>1285</v>
      </c>
    </row>
    <row r="32" spans="1:88">
      <c r="A32" s="110" t="s">
        <v>940</v>
      </c>
      <c r="B32" s="110">
        <v>8</v>
      </c>
      <c r="C32" s="110">
        <v>1</v>
      </c>
      <c r="D32" s="110">
        <v>2</v>
      </c>
      <c r="E32" s="110">
        <v>31</v>
      </c>
      <c r="F32" s="110">
        <v>2003</v>
      </c>
      <c r="G32" s="110" t="s">
        <v>187</v>
      </c>
      <c r="H32" s="110" t="s">
        <v>1219</v>
      </c>
      <c r="I32" s="110" t="s">
        <v>182</v>
      </c>
      <c r="J32" s="110" t="s">
        <v>246</v>
      </c>
      <c r="K32" s="110" t="s">
        <v>725</v>
      </c>
      <c r="L32" s="110" t="s">
        <v>725</v>
      </c>
      <c r="M32" s="110" t="s">
        <v>3161</v>
      </c>
      <c r="P32" s="110" t="s">
        <v>3179</v>
      </c>
      <c r="R32" s="110" t="s">
        <v>1976</v>
      </c>
      <c r="S32" s="110" t="s">
        <v>444</v>
      </c>
      <c r="T32" s="110" t="s">
        <v>445</v>
      </c>
      <c r="U32" s="110" t="s">
        <v>853</v>
      </c>
      <c r="V32" s="110">
        <v>44.822442649999999</v>
      </c>
      <c r="W32" s="110">
        <v>44.822442649999999</v>
      </c>
      <c r="X32" s="110">
        <v>12.344489429999999</v>
      </c>
      <c r="Y32" s="110" t="s">
        <v>1273</v>
      </c>
      <c r="Z32" s="110" t="s">
        <v>155</v>
      </c>
      <c r="AA32" s="110" t="s">
        <v>1788</v>
      </c>
      <c r="AB32" s="110" t="s">
        <v>1738</v>
      </c>
      <c r="AC32" s="110" t="s">
        <v>182</v>
      </c>
      <c r="AD32" s="110" t="s">
        <v>1725</v>
      </c>
      <c r="AE32" s="110" t="s">
        <v>187</v>
      </c>
      <c r="AF32" s="110" t="s">
        <v>190</v>
      </c>
      <c r="AG32" s="110" t="s">
        <v>190</v>
      </c>
      <c r="AI32" s="110" t="s">
        <v>246</v>
      </c>
      <c r="AJ32" s="110" t="s">
        <v>246</v>
      </c>
      <c r="AK32" s="110" t="s">
        <v>882</v>
      </c>
      <c r="AL32" s="110" t="s">
        <v>1274</v>
      </c>
      <c r="AM32" s="110">
        <v>700</v>
      </c>
      <c r="AN32" s="110" t="s">
        <v>1216</v>
      </c>
      <c r="AO32" s="110" t="s">
        <v>190</v>
      </c>
      <c r="AP32" s="110" t="s">
        <v>190</v>
      </c>
      <c r="AQ32" s="110" t="s">
        <v>175</v>
      </c>
      <c r="AR32" s="110">
        <v>1998</v>
      </c>
      <c r="AS32" s="110" t="s">
        <v>475</v>
      </c>
      <c r="AT32" s="110" t="s">
        <v>420</v>
      </c>
      <c r="AU32" s="110" t="s">
        <v>174</v>
      </c>
      <c r="AV32" s="110" t="s">
        <v>174</v>
      </c>
      <c r="AW32" s="110" t="s">
        <v>174</v>
      </c>
      <c r="AX32" s="110" t="s">
        <v>174</v>
      </c>
      <c r="AY32" s="110" t="s">
        <v>174</v>
      </c>
      <c r="AZ32" s="110" t="s">
        <v>174</v>
      </c>
      <c r="BA32" s="110">
        <v>20</v>
      </c>
      <c r="BB32" s="110">
        <v>20</v>
      </c>
      <c r="BC32" s="110">
        <v>20</v>
      </c>
      <c r="BD32" s="110">
        <v>0</v>
      </c>
      <c r="BE32" s="110" t="s">
        <v>246</v>
      </c>
      <c r="BF32" s="110" t="s">
        <v>188</v>
      </c>
      <c r="BG32" s="110">
        <v>0</v>
      </c>
      <c r="BH32" s="110" t="s">
        <v>174</v>
      </c>
      <c r="BI32" s="110" t="s">
        <v>182</v>
      </c>
      <c r="BJ32" s="110" t="s">
        <v>1276</v>
      </c>
      <c r="BK32" s="110">
        <v>5</v>
      </c>
      <c r="BL32" s="110">
        <v>3</v>
      </c>
      <c r="BM32" s="110" t="s">
        <v>1706</v>
      </c>
      <c r="BN32" s="110">
        <v>8.9899999999999994E-2</v>
      </c>
      <c r="BO32" s="110" t="s">
        <v>174</v>
      </c>
      <c r="BP32" s="110">
        <v>7.58</v>
      </c>
      <c r="BQ32" s="110" t="s">
        <v>174</v>
      </c>
      <c r="BR32" s="110" t="s">
        <v>174</v>
      </c>
      <c r="BS32" s="110">
        <v>22</v>
      </c>
      <c r="BT32" s="110" t="s">
        <v>2458</v>
      </c>
      <c r="BU32" s="110" t="s">
        <v>2606</v>
      </c>
      <c r="BV32" s="110" t="s">
        <v>2458</v>
      </c>
      <c r="BZ32" s="110">
        <v>8.9899999999999994E-2</v>
      </c>
      <c r="CB32" s="110">
        <v>7.58</v>
      </c>
      <c r="CC32" s="110" t="b">
        <v>0</v>
      </c>
      <c r="CD32" s="110" t="s">
        <v>2256</v>
      </c>
      <c r="CE32" s="110" t="s">
        <v>2256</v>
      </c>
      <c r="CF32" s="110" t="s">
        <v>2256</v>
      </c>
      <c r="CG32" s="110" t="s">
        <v>174</v>
      </c>
      <c r="CH32" s="110" t="s">
        <v>2493</v>
      </c>
      <c r="CI32" s="110" t="s">
        <v>1275</v>
      </c>
      <c r="CJ32" s="110" t="s">
        <v>1286</v>
      </c>
    </row>
    <row r="33" spans="1:88">
      <c r="A33" s="110" t="s">
        <v>577</v>
      </c>
      <c r="B33" s="110">
        <v>9</v>
      </c>
      <c r="C33" s="110">
        <v>3</v>
      </c>
      <c r="D33" s="110">
        <v>1</v>
      </c>
      <c r="E33" s="110">
        <v>32</v>
      </c>
      <c r="F33" s="110">
        <v>2007</v>
      </c>
      <c r="G33" s="110" t="s">
        <v>161</v>
      </c>
      <c r="H33" s="110" t="s">
        <v>2440</v>
      </c>
      <c r="I33" s="110" t="s">
        <v>182</v>
      </c>
      <c r="J33" s="110" t="s">
        <v>246</v>
      </c>
      <c r="K33" s="110" t="s">
        <v>999</v>
      </c>
      <c r="L33" s="110" t="s">
        <v>999</v>
      </c>
      <c r="R33" s="110" t="s">
        <v>1976</v>
      </c>
      <c r="S33" s="110" t="s">
        <v>444</v>
      </c>
      <c r="T33" s="110" t="s">
        <v>445</v>
      </c>
      <c r="U33" s="110" t="s">
        <v>552</v>
      </c>
      <c r="V33" s="110">
        <v>13.51</v>
      </c>
      <c r="W33" s="110">
        <v>-13.51</v>
      </c>
      <c r="X33" s="110">
        <v>-76.16</v>
      </c>
      <c r="Y33" s="110" t="s">
        <v>826</v>
      </c>
      <c r="Z33" s="110" t="s">
        <v>827</v>
      </c>
      <c r="AA33" s="110" t="s">
        <v>1788</v>
      </c>
      <c r="AB33" s="110" t="s">
        <v>333</v>
      </c>
      <c r="AC33" s="110" t="s">
        <v>246</v>
      </c>
      <c r="AD33" s="110" t="s">
        <v>182</v>
      </c>
      <c r="AE33" s="110" t="s">
        <v>1306</v>
      </c>
      <c r="AF33" s="110" t="s">
        <v>1789</v>
      </c>
      <c r="AH33" s="110" t="s">
        <v>1772</v>
      </c>
      <c r="AI33" s="110" t="s">
        <v>182</v>
      </c>
      <c r="AJ33" s="110" t="s">
        <v>1746</v>
      </c>
      <c r="AK33" s="110" t="s">
        <v>171</v>
      </c>
      <c r="AL33" s="110" t="s">
        <v>190</v>
      </c>
      <c r="AO33" s="110">
        <v>5</v>
      </c>
      <c r="AP33" s="110" t="s">
        <v>190</v>
      </c>
      <c r="AQ33" s="110" t="s">
        <v>176</v>
      </c>
      <c r="AR33" s="110">
        <v>2003</v>
      </c>
      <c r="AS33" s="110" t="s">
        <v>234</v>
      </c>
      <c r="AT33" s="110" t="s">
        <v>254</v>
      </c>
      <c r="AU33" s="110">
        <v>107.9</v>
      </c>
      <c r="AW33" s="110" t="s">
        <v>174</v>
      </c>
      <c r="AX33" s="110" t="s">
        <v>174</v>
      </c>
      <c r="AY33" s="110" t="s">
        <v>174</v>
      </c>
      <c r="AZ33" s="110" t="s">
        <v>174</v>
      </c>
      <c r="BA33" s="110" t="s">
        <v>1766</v>
      </c>
      <c r="BB33" s="110" t="s">
        <v>1766</v>
      </c>
      <c r="BE33" s="110" t="s">
        <v>246</v>
      </c>
      <c r="BF33" s="110" t="s">
        <v>188</v>
      </c>
      <c r="BG33" s="110">
        <v>0</v>
      </c>
      <c r="BH33" s="110" t="s">
        <v>174</v>
      </c>
      <c r="BI33" s="110" t="s">
        <v>182</v>
      </c>
      <c r="BJ33" s="110" t="s">
        <v>412</v>
      </c>
      <c r="BK33" s="110">
        <v>4</v>
      </c>
      <c r="BL33" s="110">
        <v>3</v>
      </c>
      <c r="BM33" s="110" t="s">
        <v>1394</v>
      </c>
      <c r="BN33" s="110">
        <v>6.2E-2</v>
      </c>
      <c r="BO33" s="110" t="s">
        <v>174</v>
      </c>
      <c r="BQ33" s="110" t="s">
        <v>174</v>
      </c>
      <c r="BR33" s="110" t="s">
        <v>174</v>
      </c>
      <c r="BS33" s="110">
        <v>9</v>
      </c>
      <c r="BT33" s="110" t="s">
        <v>2347</v>
      </c>
      <c r="BU33" s="110" t="s">
        <v>1394</v>
      </c>
      <c r="BV33" s="110" t="s">
        <v>2603</v>
      </c>
      <c r="BW33" s="110">
        <v>0.93</v>
      </c>
      <c r="BZ33" s="110">
        <v>5.5100000000000003E-2</v>
      </c>
      <c r="CB33" s="110">
        <v>11.2</v>
      </c>
      <c r="CC33" s="110" t="b">
        <v>0</v>
      </c>
      <c r="CD33" s="110">
        <v>63.6</v>
      </c>
      <c r="CE33" s="110" t="s">
        <v>2256</v>
      </c>
      <c r="CF33" s="110" t="s">
        <v>2256</v>
      </c>
      <c r="CG33" s="110" t="s">
        <v>174</v>
      </c>
      <c r="CH33" s="110" t="s">
        <v>2410</v>
      </c>
      <c r="CI33" s="110" t="s">
        <v>836</v>
      </c>
      <c r="CJ33" s="110" t="s">
        <v>829</v>
      </c>
    </row>
    <row r="34" spans="1:88">
      <c r="A34" s="110" t="s">
        <v>577</v>
      </c>
      <c r="B34" s="110">
        <v>9</v>
      </c>
      <c r="C34" s="110">
        <v>3</v>
      </c>
      <c r="D34" s="110">
        <v>1</v>
      </c>
      <c r="E34" s="110">
        <v>33</v>
      </c>
      <c r="F34" s="110">
        <v>2007</v>
      </c>
      <c r="G34" s="110" t="s">
        <v>161</v>
      </c>
      <c r="H34" s="110" t="s">
        <v>2440</v>
      </c>
      <c r="I34" s="110" t="s">
        <v>182</v>
      </c>
      <c r="J34" s="110" t="s">
        <v>246</v>
      </c>
      <c r="K34" s="110" t="s">
        <v>999</v>
      </c>
      <c r="L34" s="110" t="s">
        <v>999</v>
      </c>
      <c r="R34" s="110" t="s">
        <v>1976</v>
      </c>
      <c r="S34" s="110" t="s">
        <v>444</v>
      </c>
      <c r="T34" s="110" t="s">
        <v>445</v>
      </c>
      <c r="U34" s="110" t="s">
        <v>552</v>
      </c>
      <c r="V34" s="110">
        <v>13.51</v>
      </c>
      <c r="W34" s="110">
        <v>-13.51</v>
      </c>
      <c r="X34" s="110">
        <v>-76.16</v>
      </c>
      <c r="Y34" s="110" t="s">
        <v>826</v>
      </c>
      <c r="Z34" s="110" t="s">
        <v>827</v>
      </c>
      <c r="AA34" s="110" t="s">
        <v>1788</v>
      </c>
      <c r="AB34" s="110" t="s">
        <v>333</v>
      </c>
      <c r="AC34" s="110" t="s">
        <v>246</v>
      </c>
      <c r="AD34" s="110" t="s">
        <v>182</v>
      </c>
      <c r="AE34" s="110" t="s">
        <v>1306</v>
      </c>
      <c r="AF34" s="110" t="s">
        <v>1789</v>
      </c>
      <c r="AH34" s="110" t="s">
        <v>1772</v>
      </c>
      <c r="AI34" s="110" t="s">
        <v>182</v>
      </c>
      <c r="AJ34" s="110" t="s">
        <v>1746</v>
      </c>
      <c r="AK34" s="110" t="s">
        <v>171</v>
      </c>
      <c r="AL34" s="110" t="s">
        <v>190</v>
      </c>
      <c r="AO34" s="110">
        <v>1</v>
      </c>
      <c r="AP34" s="110" t="s">
        <v>190</v>
      </c>
      <c r="AQ34" s="110" t="s">
        <v>176</v>
      </c>
      <c r="AR34" s="110">
        <v>2003</v>
      </c>
      <c r="AS34" s="110" t="s">
        <v>234</v>
      </c>
      <c r="AT34" s="110" t="s">
        <v>254</v>
      </c>
      <c r="AU34" s="110">
        <v>85.4</v>
      </c>
      <c r="AW34" s="110" t="s">
        <v>174</v>
      </c>
      <c r="AX34" s="110" t="s">
        <v>174</v>
      </c>
      <c r="AY34" s="110" t="s">
        <v>174</v>
      </c>
      <c r="AZ34" s="110" t="s">
        <v>174</v>
      </c>
      <c r="BA34" s="110" t="s">
        <v>1766</v>
      </c>
      <c r="BB34" s="110" t="s">
        <v>1766</v>
      </c>
      <c r="BE34" s="110" t="s">
        <v>246</v>
      </c>
      <c r="BF34" s="110" t="s">
        <v>188</v>
      </c>
      <c r="BG34" s="110">
        <v>0</v>
      </c>
      <c r="BH34" s="110" t="s">
        <v>174</v>
      </c>
      <c r="BI34" s="110" t="s">
        <v>182</v>
      </c>
      <c r="BJ34" s="110" t="s">
        <v>412</v>
      </c>
      <c r="BK34" s="110">
        <v>4</v>
      </c>
      <c r="BL34" s="110">
        <v>3</v>
      </c>
      <c r="BM34" s="110" t="s">
        <v>1394</v>
      </c>
      <c r="BN34" s="110">
        <v>4.1000000000000002E-2</v>
      </c>
      <c r="BO34" s="110" t="s">
        <v>174</v>
      </c>
      <c r="BQ34" s="110" t="s">
        <v>174</v>
      </c>
      <c r="BR34" s="110" t="s">
        <v>174</v>
      </c>
      <c r="BS34" s="110">
        <v>9</v>
      </c>
      <c r="BT34" s="110" t="s">
        <v>1385</v>
      </c>
      <c r="BU34" s="110" t="s">
        <v>3207</v>
      </c>
      <c r="BV34" s="110" t="s">
        <v>2603</v>
      </c>
      <c r="BW34" s="110">
        <v>0.99</v>
      </c>
      <c r="BZ34" s="110">
        <v>0.41539999999999999</v>
      </c>
      <c r="CB34" s="110" t="s">
        <v>190</v>
      </c>
      <c r="CC34" s="110" t="b">
        <v>0</v>
      </c>
      <c r="CD34" s="110">
        <v>59.4</v>
      </c>
      <c r="CE34" s="110">
        <v>59.4</v>
      </c>
      <c r="CF34" s="110" t="s">
        <v>182</v>
      </c>
      <c r="CG34" s="110" t="s">
        <v>174</v>
      </c>
      <c r="CH34" s="110" t="s">
        <v>2409</v>
      </c>
      <c r="CI34" s="110" t="s">
        <v>836</v>
      </c>
      <c r="CJ34" s="110" t="s">
        <v>829</v>
      </c>
    </row>
    <row r="35" spans="1:88">
      <c r="A35" s="110" t="s">
        <v>577</v>
      </c>
      <c r="B35" s="110">
        <v>9</v>
      </c>
      <c r="C35" s="110">
        <v>3</v>
      </c>
      <c r="D35" s="110">
        <v>1</v>
      </c>
      <c r="E35" s="110">
        <v>34</v>
      </c>
      <c r="F35" s="110">
        <v>2007</v>
      </c>
      <c r="G35" s="110" t="s">
        <v>161</v>
      </c>
      <c r="H35" s="110" t="s">
        <v>2440</v>
      </c>
      <c r="I35" s="110" t="s">
        <v>182</v>
      </c>
      <c r="J35" s="110" t="s">
        <v>246</v>
      </c>
      <c r="K35" s="110" t="s">
        <v>999</v>
      </c>
      <c r="L35" s="110" t="s">
        <v>999</v>
      </c>
      <c r="R35" s="110" t="s">
        <v>1976</v>
      </c>
      <c r="S35" s="110" t="s">
        <v>444</v>
      </c>
      <c r="T35" s="110" t="s">
        <v>445</v>
      </c>
      <c r="U35" s="110" t="s">
        <v>552</v>
      </c>
      <c r="V35" s="110">
        <v>13.51</v>
      </c>
      <c r="W35" s="110">
        <v>-13.51</v>
      </c>
      <c r="X35" s="110">
        <v>-76.16</v>
      </c>
      <c r="Y35" s="110" t="s">
        <v>826</v>
      </c>
      <c r="Z35" s="110" t="s">
        <v>827</v>
      </c>
      <c r="AA35" s="110" t="s">
        <v>1788</v>
      </c>
      <c r="AB35" s="110" t="s">
        <v>333</v>
      </c>
      <c r="AC35" s="110" t="s">
        <v>246</v>
      </c>
      <c r="AD35" s="110" t="s">
        <v>182</v>
      </c>
      <c r="AE35" s="110" t="s">
        <v>1306</v>
      </c>
      <c r="AF35" s="110" t="s">
        <v>1789</v>
      </c>
      <c r="AH35" s="110" t="s">
        <v>1772</v>
      </c>
      <c r="AI35" s="110" t="s">
        <v>182</v>
      </c>
      <c r="AJ35" s="110" t="s">
        <v>1746</v>
      </c>
      <c r="AK35" s="110" t="s">
        <v>171</v>
      </c>
      <c r="AL35" s="110" t="s">
        <v>190</v>
      </c>
      <c r="AO35" s="110">
        <v>0.08</v>
      </c>
      <c r="AP35" s="110" t="s">
        <v>190</v>
      </c>
      <c r="AQ35" s="110" t="s">
        <v>176</v>
      </c>
      <c r="AR35" s="110">
        <v>2003</v>
      </c>
      <c r="AS35" s="110" t="s">
        <v>234</v>
      </c>
      <c r="AT35" s="110" t="s">
        <v>254</v>
      </c>
      <c r="AU35" s="110">
        <v>108</v>
      </c>
      <c r="AW35" s="110" t="s">
        <v>174</v>
      </c>
      <c r="AX35" s="110" t="s">
        <v>174</v>
      </c>
      <c r="AY35" s="110" t="s">
        <v>174</v>
      </c>
      <c r="AZ35" s="110" t="s">
        <v>174</v>
      </c>
      <c r="BA35" s="110" t="s">
        <v>1766</v>
      </c>
      <c r="BB35" s="110" t="s">
        <v>1766</v>
      </c>
      <c r="BE35" s="110" t="s">
        <v>246</v>
      </c>
      <c r="BF35" s="110" t="s">
        <v>188</v>
      </c>
      <c r="BG35" s="110">
        <v>0</v>
      </c>
      <c r="BH35" s="110" t="s">
        <v>174</v>
      </c>
      <c r="BI35" s="110" t="s">
        <v>182</v>
      </c>
      <c r="BJ35" s="110" t="s">
        <v>412</v>
      </c>
      <c r="BK35" s="110">
        <v>4</v>
      </c>
      <c r="BL35" s="110">
        <v>3</v>
      </c>
      <c r="BM35" s="110" t="s">
        <v>1394</v>
      </c>
      <c r="BN35" s="110">
        <v>4.2000000000000003E-2</v>
      </c>
      <c r="BO35" s="110" t="s">
        <v>174</v>
      </c>
      <c r="BQ35" s="110" t="s">
        <v>174</v>
      </c>
      <c r="BR35" s="110" t="s">
        <v>174</v>
      </c>
      <c r="BS35" s="110">
        <v>9</v>
      </c>
      <c r="BT35" s="110" t="s">
        <v>2347</v>
      </c>
      <c r="BU35" s="110" t="s">
        <v>1394</v>
      </c>
      <c r="BV35" s="110" t="s">
        <v>2603</v>
      </c>
      <c r="BW35" s="110">
        <v>0.92900000000000005</v>
      </c>
      <c r="BZ35" s="110">
        <v>6.3100000000000003E-2</v>
      </c>
      <c r="CB35" s="110">
        <v>10.98489985</v>
      </c>
      <c r="CC35" s="110" t="b">
        <v>0</v>
      </c>
      <c r="CD35" s="110">
        <v>75</v>
      </c>
      <c r="CE35" s="110" t="s">
        <v>2256</v>
      </c>
      <c r="CF35" s="110" t="s">
        <v>2256</v>
      </c>
      <c r="CG35" s="110" t="s">
        <v>174</v>
      </c>
      <c r="CH35" s="110" t="s">
        <v>2407</v>
      </c>
      <c r="CI35" s="110" t="s">
        <v>836</v>
      </c>
      <c r="CJ35" s="110" t="s">
        <v>829</v>
      </c>
    </row>
    <row r="36" spans="1:88">
      <c r="A36" s="110" t="s">
        <v>577</v>
      </c>
      <c r="B36" s="110">
        <v>9</v>
      </c>
      <c r="C36" s="110">
        <v>3</v>
      </c>
      <c r="D36" s="110">
        <v>2</v>
      </c>
      <c r="E36" s="110">
        <v>35</v>
      </c>
      <c r="F36" s="110">
        <v>2007</v>
      </c>
      <c r="G36" s="110" t="s">
        <v>161</v>
      </c>
      <c r="H36" s="110" t="s">
        <v>2440</v>
      </c>
      <c r="I36" s="110" t="s">
        <v>182</v>
      </c>
      <c r="J36" s="110" t="s">
        <v>246</v>
      </c>
      <c r="K36" s="110" t="s">
        <v>999</v>
      </c>
      <c r="L36" s="110" t="s">
        <v>999</v>
      </c>
      <c r="R36" s="110" t="s">
        <v>1976</v>
      </c>
      <c r="S36" s="110" t="s">
        <v>444</v>
      </c>
      <c r="T36" s="110" t="s">
        <v>445</v>
      </c>
      <c r="U36" s="110" t="s">
        <v>552</v>
      </c>
      <c r="V36" s="110">
        <v>13.51</v>
      </c>
      <c r="W36" s="110">
        <v>-13.51</v>
      </c>
      <c r="X36" s="110">
        <v>-76.16</v>
      </c>
      <c r="Y36" s="110" t="s">
        <v>826</v>
      </c>
      <c r="Z36" s="110" t="s">
        <v>827</v>
      </c>
      <c r="AA36" s="110" t="s">
        <v>1788</v>
      </c>
      <c r="AB36" s="110" t="s">
        <v>333</v>
      </c>
      <c r="AC36" s="110" t="s">
        <v>246</v>
      </c>
      <c r="AD36" s="110" t="s">
        <v>182</v>
      </c>
      <c r="AE36" s="110" t="s">
        <v>1306</v>
      </c>
      <c r="AF36" s="110" t="s">
        <v>1789</v>
      </c>
      <c r="AH36" s="110" t="s">
        <v>1772</v>
      </c>
      <c r="AI36" s="110" t="s">
        <v>182</v>
      </c>
      <c r="AJ36" s="110" t="s">
        <v>1746</v>
      </c>
      <c r="AK36" s="110" t="s">
        <v>171</v>
      </c>
      <c r="AL36" s="110" t="s">
        <v>190</v>
      </c>
      <c r="AO36" s="110">
        <v>5</v>
      </c>
      <c r="AP36" s="110" t="s">
        <v>190</v>
      </c>
      <c r="AQ36" s="110" t="s">
        <v>176</v>
      </c>
      <c r="AR36" s="110">
        <v>2003</v>
      </c>
      <c r="AS36" s="110" t="s">
        <v>234</v>
      </c>
      <c r="AT36" s="110" t="s">
        <v>254</v>
      </c>
      <c r="AU36" s="110">
        <v>75.599999999999994</v>
      </c>
      <c r="AW36" s="110" t="s">
        <v>174</v>
      </c>
      <c r="AX36" s="110" t="s">
        <v>174</v>
      </c>
      <c r="AY36" s="110" t="s">
        <v>174</v>
      </c>
      <c r="AZ36" s="110" t="s">
        <v>174</v>
      </c>
      <c r="BA36" s="110" t="s">
        <v>1766</v>
      </c>
      <c r="BB36" s="110" t="s">
        <v>1766</v>
      </c>
      <c r="BE36" s="110" t="s">
        <v>246</v>
      </c>
      <c r="BF36" s="110" t="s">
        <v>188</v>
      </c>
      <c r="BG36" s="110">
        <v>0</v>
      </c>
      <c r="BH36" s="110" t="s">
        <v>174</v>
      </c>
      <c r="BI36" s="110" t="s">
        <v>182</v>
      </c>
      <c r="BJ36" s="110" t="s">
        <v>412</v>
      </c>
      <c r="BK36" s="110">
        <v>5</v>
      </c>
      <c r="BL36" s="110">
        <v>4</v>
      </c>
      <c r="BM36" s="110" t="s">
        <v>1394</v>
      </c>
      <c r="BN36" s="110">
        <v>2.1999999999999999E-2</v>
      </c>
      <c r="BO36" s="110" t="s">
        <v>174</v>
      </c>
      <c r="BQ36" s="110" t="s">
        <v>174</v>
      </c>
      <c r="BR36" s="110" t="s">
        <v>174</v>
      </c>
      <c r="BS36" s="110">
        <v>18</v>
      </c>
      <c r="BT36" s="110" t="s">
        <v>1385</v>
      </c>
      <c r="BU36" s="110" t="s">
        <v>3207</v>
      </c>
      <c r="BV36" s="110" t="s">
        <v>2603</v>
      </c>
      <c r="BW36" s="110">
        <v>0.83</v>
      </c>
      <c r="BZ36" s="110">
        <v>0.39739999999999998</v>
      </c>
      <c r="CB36" s="110" t="s">
        <v>190</v>
      </c>
      <c r="CC36" s="110" t="b">
        <v>0</v>
      </c>
      <c r="CD36" s="110">
        <v>54.82</v>
      </c>
      <c r="CE36" s="110">
        <v>54.82</v>
      </c>
      <c r="CF36" s="110" t="s">
        <v>182</v>
      </c>
      <c r="CG36" s="110" t="s">
        <v>174</v>
      </c>
      <c r="CH36" s="110" t="s">
        <v>2411</v>
      </c>
      <c r="CI36" s="110" t="s">
        <v>836</v>
      </c>
      <c r="CJ36" s="110" t="s">
        <v>829</v>
      </c>
    </row>
    <row r="37" spans="1:88">
      <c r="A37" s="110" t="s">
        <v>577</v>
      </c>
      <c r="B37" s="110">
        <v>9</v>
      </c>
      <c r="C37" s="110">
        <v>3</v>
      </c>
      <c r="D37" s="110">
        <v>2</v>
      </c>
      <c r="E37" s="110">
        <v>36</v>
      </c>
      <c r="F37" s="110">
        <v>2007</v>
      </c>
      <c r="G37" s="110" t="s">
        <v>161</v>
      </c>
      <c r="H37" s="110" t="s">
        <v>2440</v>
      </c>
      <c r="I37" s="110" t="s">
        <v>182</v>
      </c>
      <c r="J37" s="110" t="s">
        <v>246</v>
      </c>
      <c r="K37" s="110" t="s">
        <v>999</v>
      </c>
      <c r="L37" s="110" t="s">
        <v>999</v>
      </c>
      <c r="R37" s="110" t="s">
        <v>1976</v>
      </c>
      <c r="S37" s="110" t="s">
        <v>444</v>
      </c>
      <c r="T37" s="110" t="s">
        <v>445</v>
      </c>
      <c r="U37" s="110" t="s">
        <v>552</v>
      </c>
      <c r="V37" s="110">
        <v>13.51</v>
      </c>
      <c r="W37" s="110">
        <v>-13.51</v>
      </c>
      <c r="X37" s="110">
        <v>-76.16</v>
      </c>
      <c r="Y37" s="110" t="s">
        <v>826</v>
      </c>
      <c r="Z37" s="110" t="s">
        <v>827</v>
      </c>
      <c r="AA37" s="110" t="s">
        <v>1788</v>
      </c>
      <c r="AB37" s="110" t="s">
        <v>333</v>
      </c>
      <c r="AC37" s="110" t="s">
        <v>246</v>
      </c>
      <c r="AD37" s="110" t="s">
        <v>182</v>
      </c>
      <c r="AE37" s="110" t="s">
        <v>1306</v>
      </c>
      <c r="AF37" s="110" t="s">
        <v>1789</v>
      </c>
      <c r="AH37" s="110" t="s">
        <v>1772</v>
      </c>
      <c r="AI37" s="110" t="s">
        <v>182</v>
      </c>
      <c r="AJ37" s="110" t="s">
        <v>1746</v>
      </c>
      <c r="AK37" s="110" t="s">
        <v>171</v>
      </c>
      <c r="AL37" s="110" t="s">
        <v>190</v>
      </c>
      <c r="AO37" s="110">
        <v>1</v>
      </c>
      <c r="AP37" s="110" t="s">
        <v>190</v>
      </c>
      <c r="AQ37" s="110" t="s">
        <v>176</v>
      </c>
      <c r="AR37" s="110">
        <v>2003</v>
      </c>
      <c r="AS37" s="110" t="s">
        <v>234</v>
      </c>
      <c r="AT37" s="110" t="s">
        <v>254</v>
      </c>
      <c r="AU37" s="110">
        <v>85.5</v>
      </c>
      <c r="AW37" s="110" t="s">
        <v>174</v>
      </c>
      <c r="AX37" s="110" t="s">
        <v>174</v>
      </c>
      <c r="AY37" s="110" t="s">
        <v>174</v>
      </c>
      <c r="AZ37" s="110" t="s">
        <v>174</v>
      </c>
      <c r="BA37" s="110" t="s">
        <v>1766</v>
      </c>
      <c r="BB37" s="110" t="s">
        <v>1766</v>
      </c>
      <c r="BE37" s="110" t="s">
        <v>246</v>
      </c>
      <c r="BF37" s="110" t="s">
        <v>188</v>
      </c>
      <c r="BG37" s="110">
        <v>0</v>
      </c>
      <c r="BH37" s="110" t="s">
        <v>174</v>
      </c>
      <c r="BI37" s="110" t="s">
        <v>182</v>
      </c>
      <c r="BJ37" s="110" t="s">
        <v>412</v>
      </c>
      <c r="BK37" s="110">
        <v>5</v>
      </c>
      <c r="BL37" s="110">
        <v>4</v>
      </c>
      <c r="BM37" s="110" t="s">
        <v>1394</v>
      </c>
      <c r="BN37" s="110">
        <v>3.1E-2</v>
      </c>
      <c r="BO37" s="110" t="s">
        <v>174</v>
      </c>
      <c r="BQ37" s="110" t="s">
        <v>174</v>
      </c>
      <c r="BR37" s="110" t="s">
        <v>174</v>
      </c>
      <c r="BS37" s="110">
        <v>18</v>
      </c>
      <c r="BT37" s="110" t="s">
        <v>2347</v>
      </c>
      <c r="BU37" s="110" t="s">
        <v>1394</v>
      </c>
      <c r="BV37" s="110" t="s">
        <v>2603</v>
      </c>
      <c r="BW37" s="110">
        <v>0.86</v>
      </c>
      <c r="BZ37" s="110">
        <v>3.7499999999999999E-2</v>
      </c>
      <c r="CB37" s="110">
        <v>18.5</v>
      </c>
      <c r="CC37" s="110" t="b">
        <v>0</v>
      </c>
      <c r="CD37" s="110">
        <v>46.9</v>
      </c>
      <c r="CE37" s="110" t="s">
        <v>2256</v>
      </c>
      <c r="CF37" s="110" t="s">
        <v>2256</v>
      </c>
      <c r="CG37" s="110" t="s">
        <v>174</v>
      </c>
      <c r="CH37" s="110" t="s">
        <v>2408</v>
      </c>
      <c r="CI37" s="110" t="s">
        <v>836</v>
      </c>
      <c r="CJ37" s="110" t="s">
        <v>829</v>
      </c>
    </row>
    <row r="38" spans="1:88">
      <c r="A38" s="110" t="s">
        <v>577</v>
      </c>
      <c r="B38" s="110">
        <v>9</v>
      </c>
      <c r="C38" s="110">
        <v>3</v>
      </c>
      <c r="D38" s="110">
        <v>2</v>
      </c>
      <c r="E38" s="110">
        <v>37</v>
      </c>
      <c r="F38" s="110">
        <v>2007</v>
      </c>
      <c r="G38" s="110" t="s">
        <v>161</v>
      </c>
      <c r="H38" s="110" t="s">
        <v>2440</v>
      </c>
      <c r="I38" s="110" t="s">
        <v>182</v>
      </c>
      <c r="J38" s="110" t="s">
        <v>246</v>
      </c>
      <c r="K38" s="110" t="s">
        <v>999</v>
      </c>
      <c r="L38" s="110" t="s">
        <v>999</v>
      </c>
      <c r="R38" s="110" t="s">
        <v>1976</v>
      </c>
      <c r="S38" s="110" t="s">
        <v>444</v>
      </c>
      <c r="T38" s="110" t="s">
        <v>445</v>
      </c>
      <c r="U38" s="110" t="s">
        <v>552</v>
      </c>
      <c r="V38" s="110">
        <v>13.51</v>
      </c>
      <c r="W38" s="110">
        <v>-13.51</v>
      </c>
      <c r="X38" s="110">
        <v>-76.16</v>
      </c>
      <c r="Y38" s="110" t="s">
        <v>826</v>
      </c>
      <c r="Z38" s="110" t="s">
        <v>827</v>
      </c>
      <c r="AA38" s="110" t="s">
        <v>1788</v>
      </c>
      <c r="AB38" s="110" t="s">
        <v>333</v>
      </c>
      <c r="AC38" s="110" t="s">
        <v>246</v>
      </c>
      <c r="AD38" s="110" t="s">
        <v>182</v>
      </c>
      <c r="AE38" s="110" t="s">
        <v>1306</v>
      </c>
      <c r="AF38" s="110" t="s">
        <v>1789</v>
      </c>
      <c r="AH38" s="110" t="s">
        <v>1772</v>
      </c>
      <c r="AI38" s="110" t="s">
        <v>182</v>
      </c>
      <c r="AJ38" s="110" t="s">
        <v>1746</v>
      </c>
      <c r="AK38" s="110" t="s">
        <v>171</v>
      </c>
      <c r="AL38" s="110" t="s">
        <v>190</v>
      </c>
      <c r="AO38" s="110">
        <v>0.08</v>
      </c>
      <c r="AP38" s="110" t="s">
        <v>190</v>
      </c>
      <c r="AQ38" s="110" t="s">
        <v>176</v>
      </c>
      <c r="AR38" s="110">
        <v>2003</v>
      </c>
      <c r="AS38" s="110" t="s">
        <v>234</v>
      </c>
      <c r="AT38" s="110" t="s">
        <v>254</v>
      </c>
      <c r="AU38" s="110">
        <v>79.5</v>
      </c>
      <c r="AW38" s="110" t="s">
        <v>174</v>
      </c>
      <c r="AX38" s="110" t="s">
        <v>174</v>
      </c>
      <c r="AY38" s="110" t="s">
        <v>174</v>
      </c>
      <c r="AZ38" s="110" t="s">
        <v>174</v>
      </c>
      <c r="BA38" s="110" t="s">
        <v>1766</v>
      </c>
      <c r="BB38" s="110" t="s">
        <v>1766</v>
      </c>
      <c r="BE38" s="110" t="s">
        <v>246</v>
      </c>
      <c r="BF38" s="110" t="s">
        <v>188</v>
      </c>
      <c r="BG38" s="110">
        <v>0</v>
      </c>
      <c r="BH38" s="110" t="s">
        <v>174</v>
      </c>
      <c r="BI38" s="110" t="s">
        <v>182</v>
      </c>
      <c r="BJ38" s="110" t="s">
        <v>412</v>
      </c>
      <c r="BK38" s="110">
        <v>5</v>
      </c>
      <c r="BL38" s="110">
        <v>4</v>
      </c>
      <c r="BM38" s="110" t="s">
        <v>1394</v>
      </c>
      <c r="BN38" s="110">
        <v>0.02</v>
      </c>
      <c r="BO38" s="110" t="s">
        <v>174</v>
      </c>
      <c r="BQ38" s="110" t="s">
        <v>174</v>
      </c>
      <c r="BR38" s="110" t="s">
        <v>174</v>
      </c>
      <c r="BS38" s="110">
        <v>18</v>
      </c>
      <c r="BT38" s="110" t="s">
        <v>1385</v>
      </c>
      <c r="BU38" s="110" t="s">
        <v>3207</v>
      </c>
      <c r="BV38" s="110" t="s">
        <v>2603</v>
      </c>
      <c r="BW38" s="110">
        <v>0.85</v>
      </c>
      <c r="BZ38" s="110">
        <v>0.33650000000000002</v>
      </c>
      <c r="CB38" s="110" t="s">
        <v>190</v>
      </c>
      <c r="CC38" s="110" t="b">
        <v>0</v>
      </c>
      <c r="CD38" s="110">
        <v>58.2</v>
      </c>
      <c r="CE38" s="110">
        <v>58.2</v>
      </c>
      <c r="CF38" s="110" t="s">
        <v>182</v>
      </c>
      <c r="CG38" s="110" t="s">
        <v>174</v>
      </c>
      <c r="CH38" s="110" t="s">
        <v>2406</v>
      </c>
      <c r="CI38" s="110" t="s">
        <v>836</v>
      </c>
      <c r="CJ38" s="110" t="s">
        <v>829</v>
      </c>
    </row>
    <row r="39" spans="1:88">
      <c r="A39" s="110" t="s">
        <v>1106</v>
      </c>
      <c r="B39" s="110">
        <v>10</v>
      </c>
      <c r="C39" s="110">
        <v>1</v>
      </c>
      <c r="D39" s="110">
        <v>1</v>
      </c>
      <c r="E39" s="110">
        <v>38</v>
      </c>
      <c r="F39" s="110">
        <v>2020</v>
      </c>
      <c r="G39" s="110" t="s">
        <v>187</v>
      </c>
      <c r="H39" s="110" t="s">
        <v>2441</v>
      </c>
      <c r="I39" s="110" t="s">
        <v>182</v>
      </c>
      <c r="J39" s="110" t="s">
        <v>182</v>
      </c>
      <c r="K39" s="110" t="s">
        <v>186</v>
      </c>
      <c r="L39" s="110" t="s">
        <v>186</v>
      </c>
      <c r="M39" s="110" t="s">
        <v>3161</v>
      </c>
      <c r="Q39" s="110">
        <v>0.7</v>
      </c>
      <c r="R39" s="110" t="s">
        <v>1976</v>
      </c>
      <c r="S39" s="110" t="s">
        <v>444</v>
      </c>
      <c r="T39" s="110" t="s">
        <v>445</v>
      </c>
      <c r="U39" s="110" t="s">
        <v>811</v>
      </c>
      <c r="V39" s="110">
        <v>35.96</v>
      </c>
      <c r="W39" s="110">
        <v>35.96</v>
      </c>
      <c r="X39" s="110">
        <v>120.25</v>
      </c>
      <c r="Y39" s="110" t="s">
        <v>185</v>
      </c>
      <c r="Z39" s="110" t="s">
        <v>380</v>
      </c>
      <c r="AA39" s="110" t="s">
        <v>1788</v>
      </c>
      <c r="AB39" s="110" t="s">
        <v>333</v>
      </c>
      <c r="AC39" s="110" t="s">
        <v>246</v>
      </c>
      <c r="AD39" s="110" t="s">
        <v>1256</v>
      </c>
      <c r="AE39" s="110" t="s">
        <v>187</v>
      </c>
      <c r="AF39" s="110" t="s">
        <v>190</v>
      </c>
      <c r="AG39" s="110" t="s">
        <v>190</v>
      </c>
      <c r="AI39" s="110" t="s">
        <v>246</v>
      </c>
      <c r="AJ39" s="110" t="s">
        <v>246</v>
      </c>
      <c r="AK39" s="110" t="s">
        <v>1107</v>
      </c>
      <c r="AL39" s="110" t="s">
        <v>1086</v>
      </c>
      <c r="AM39" s="110">
        <v>18000</v>
      </c>
      <c r="AN39" s="110" t="s">
        <v>1216</v>
      </c>
      <c r="AP39" s="110">
        <v>6248</v>
      </c>
      <c r="AQ39" s="110" t="s">
        <v>176</v>
      </c>
      <c r="AR39" s="110">
        <v>2016</v>
      </c>
      <c r="AS39" s="110" t="s">
        <v>174</v>
      </c>
      <c r="AT39" s="110" t="s">
        <v>174</v>
      </c>
      <c r="AU39" s="110">
        <v>180</v>
      </c>
      <c r="AV39" s="110" t="s">
        <v>1256</v>
      </c>
      <c r="AW39" s="110" t="s">
        <v>174</v>
      </c>
      <c r="AX39" s="110" t="s">
        <v>174</v>
      </c>
      <c r="AY39" s="110" t="s">
        <v>174</v>
      </c>
      <c r="AZ39" s="110" t="s">
        <v>174</v>
      </c>
      <c r="BA39" s="110">
        <v>20</v>
      </c>
      <c r="BB39" s="110">
        <v>25</v>
      </c>
      <c r="BC39" s="110">
        <v>22.5</v>
      </c>
      <c r="BD39" s="110">
        <v>5</v>
      </c>
      <c r="BE39" s="110" t="s">
        <v>246</v>
      </c>
      <c r="BF39" s="110" t="s">
        <v>188</v>
      </c>
      <c r="BG39" s="110">
        <v>0</v>
      </c>
      <c r="BI39" s="110" t="s">
        <v>182</v>
      </c>
      <c r="BJ39" s="110" t="s">
        <v>1108</v>
      </c>
      <c r="BK39" s="110">
        <v>3</v>
      </c>
      <c r="BL39" s="110">
        <v>25</v>
      </c>
      <c r="BM39" s="110" t="s">
        <v>174</v>
      </c>
      <c r="BN39" s="110" t="s">
        <v>174</v>
      </c>
      <c r="BO39" s="110" t="s">
        <v>174</v>
      </c>
      <c r="BP39" s="110" t="s">
        <v>174</v>
      </c>
      <c r="BQ39" s="110" t="s">
        <v>174</v>
      </c>
      <c r="BR39" s="110" t="s">
        <v>174</v>
      </c>
      <c r="BS39" s="110">
        <v>520</v>
      </c>
      <c r="BT39" s="110" t="s">
        <v>2382</v>
      </c>
      <c r="BU39" s="110" t="s">
        <v>3206</v>
      </c>
      <c r="BV39" s="110" t="s">
        <v>2603</v>
      </c>
      <c r="BW39" s="110">
        <v>0.99</v>
      </c>
      <c r="BX39" s="110" t="s">
        <v>1385</v>
      </c>
      <c r="BY39" s="110">
        <v>0.86699999999999999</v>
      </c>
      <c r="BZ39" s="110">
        <v>6.2E-2</v>
      </c>
      <c r="CB39" s="110">
        <v>14.32</v>
      </c>
      <c r="CC39" s="110" t="b">
        <v>0</v>
      </c>
      <c r="CD39" s="110">
        <v>6.5941101152368757</v>
      </c>
      <c r="CE39" s="110">
        <v>5.6079999999999997</v>
      </c>
      <c r="CF39" s="110" t="s">
        <v>182</v>
      </c>
      <c r="CG39" s="110" t="s">
        <v>174</v>
      </c>
      <c r="CH39" s="110" t="s">
        <v>1111</v>
      </c>
      <c r="CI39" s="110" t="s">
        <v>1109</v>
      </c>
    </row>
    <row r="40" spans="1:88">
      <c r="A40" s="110" t="s">
        <v>659</v>
      </c>
      <c r="B40" s="110">
        <v>11</v>
      </c>
      <c r="C40" s="110">
        <v>1</v>
      </c>
      <c r="D40" s="110">
        <v>1</v>
      </c>
      <c r="E40" s="110">
        <v>39</v>
      </c>
      <c r="F40" s="110">
        <v>1996</v>
      </c>
      <c r="G40" s="110" t="s">
        <v>161</v>
      </c>
      <c r="H40" s="110" t="s">
        <v>2440</v>
      </c>
      <c r="I40" s="110" t="s">
        <v>246</v>
      </c>
      <c r="J40" s="110" t="s">
        <v>246</v>
      </c>
      <c r="K40" s="110" t="s">
        <v>999</v>
      </c>
      <c r="L40" s="110" t="s">
        <v>999</v>
      </c>
      <c r="R40" s="110" t="s">
        <v>152</v>
      </c>
      <c r="S40" s="110" t="s">
        <v>443</v>
      </c>
      <c r="T40" s="110" t="s">
        <v>279</v>
      </c>
      <c r="U40" s="110" t="s">
        <v>280</v>
      </c>
      <c r="V40" s="110">
        <v>54.11</v>
      </c>
      <c r="W40" s="110">
        <v>-54.11</v>
      </c>
      <c r="X40" s="110">
        <v>-36.4</v>
      </c>
      <c r="Y40" s="110" t="s">
        <v>1719</v>
      </c>
      <c r="Z40" s="110" t="s">
        <v>797</v>
      </c>
      <c r="AA40" s="110" t="s">
        <v>424</v>
      </c>
      <c r="AB40" s="110" t="s">
        <v>333</v>
      </c>
      <c r="AC40" s="110" t="s">
        <v>246</v>
      </c>
      <c r="AD40" s="110" t="s">
        <v>333</v>
      </c>
      <c r="AE40" s="110" t="s">
        <v>1306</v>
      </c>
      <c r="AF40" s="110" t="s">
        <v>1789</v>
      </c>
      <c r="AH40" s="110" t="s">
        <v>1774</v>
      </c>
      <c r="AI40" s="110" t="s">
        <v>182</v>
      </c>
      <c r="AJ40" s="110" t="s">
        <v>1753</v>
      </c>
      <c r="AK40" s="110" t="s">
        <v>661</v>
      </c>
      <c r="AL40" s="110" t="s">
        <v>190</v>
      </c>
      <c r="AO40" s="110" t="s">
        <v>190</v>
      </c>
      <c r="AP40" s="110" t="s">
        <v>190</v>
      </c>
      <c r="AQ40" s="110" t="s">
        <v>176</v>
      </c>
      <c r="AR40" s="110">
        <v>1994</v>
      </c>
      <c r="AS40" s="110" t="s">
        <v>327</v>
      </c>
      <c r="AT40" s="110" t="s">
        <v>420</v>
      </c>
      <c r="AU40" s="110">
        <v>4.57</v>
      </c>
      <c r="AV40" s="110" t="s">
        <v>1255</v>
      </c>
      <c r="AW40" s="110" t="s">
        <v>174</v>
      </c>
      <c r="AX40" s="110" t="s">
        <v>174</v>
      </c>
      <c r="AY40" s="110" t="s">
        <v>174</v>
      </c>
      <c r="AZ40" s="110" t="s">
        <v>174</v>
      </c>
      <c r="BA40" s="110" t="s">
        <v>1766</v>
      </c>
      <c r="BB40" s="110" t="s">
        <v>1766</v>
      </c>
      <c r="BC40" s="110">
        <v>4.5</v>
      </c>
      <c r="BE40" s="110" t="s">
        <v>246</v>
      </c>
      <c r="BF40" s="110" t="s">
        <v>188</v>
      </c>
      <c r="BG40" s="110">
        <v>0</v>
      </c>
      <c r="BH40" s="110" t="s">
        <v>174</v>
      </c>
      <c r="BI40" s="110" t="s">
        <v>182</v>
      </c>
      <c r="BJ40" s="110" t="s">
        <v>412</v>
      </c>
      <c r="BK40" s="110">
        <v>1</v>
      </c>
      <c r="BL40" s="110">
        <v>10</v>
      </c>
      <c r="BM40" s="110" t="s">
        <v>174</v>
      </c>
      <c r="BN40" s="110" t="s">
        <v>174</v>
      </c>
      <c r="BO40" s="110" t="s">
        <v>174</v>
      </c>
      <c r="BP40" s="110" t="s">
        <v>174</v>
      </c>
      <c r="BQ40" s="110" t="s">
        <v>174</v>
      </c>
      <c r="BR40" s="110" t="s">
        <v>174</v>
      </c>
      <c r="BS40" s="110">
        <v>9</v>
      </c>
      <c r="BT40" s="110" t="s">
        <v>1385</v>
      </c>
      <c r="BU40" s="110" t="s">
        <v>3207</v>
      </c>
      <c r="BV40" s="110" t="s">
        <v>2603</v>
      </c>
      <c r="BW40" s="110">
        <v>0.9</v>
      </c>
      <c r="BZ40" s="110">
        <v>0.13250000000000001</v>
      </c>
      <c r="CB40" s="110">
        <v>8.43</v>
      </c>
      <c r="CC40" s="110" t="b">
        <v>0</v>
      </c>
      <c r="CD40" s="110">
        <v>21.4</v>
      </c>
      <c r="CE40" s="110">
        <v>21.4</v>
      </c>
      <c r="CF40" s="110" t="s">
        <v>182</v>
      </c>
      <c r="CG40" s="110" t="s">
        <v>174</v>
      </c>
      <c r="CH40" s="110" t="s">
        <v>666</v>
      </c>
      <c r="CI40" s="110" t="s">
        <v>667</v>
      </c>
      <c r="CJ40" s="110" t="s">
        <v>660</v>
      </c>
    </row>
    <row r="41" spans="1:88">
      <c r="A41" s="110" t="s">
        <v>659</v>
      </c>
      <c r="B41" s="110">
        <v>11</v>
      </c>
      <c r="C41" s="110">
        <v>1</v>
      </c>
      <c r="D41" s="110">
        <v>1</v>
      </c>
      <c r="E41" s="110">
        <v>40</v>
      </c>
      <c r="F41" s="110">
        <v>1996</v>
      </c>
      <c r="G41" s="110" t="s">
        <v>161</v>
      </c>
      <c r="H41" s="110" t="s">
        <v>2440</v>
      </c>
      <c r="I41" s="110" t="s">
        <v>246</v>
      </c>
      <c r="J41" s="110" t="s">
        <v>246</v>
      </c>
      <c r="K41" s="110" t="s">
        <v>999</v>
      </c>
      <c r="L41" s="110" t="s">
        <v>999</v>
      </c>
      <c r="R41" s="110" t="s">
        <v>152</v>
      </c>
      <c r="S41" s="110" t="s">
        <v>443</v>
      </c>
      <c r="T41" s="110" t="s">
        <v>279</v>
      </c>
      <c r="U41" s="110" t="s">
        <v>280</v>
      </c>
      <c r="V41" s="110">
        <v>54.11</v>
      </c>
      <c r="W41" s="110">
        <v>-54.11</v>
      </c>
      <c r="X41" s="110">
        <v>-36.4</v>
      </c>
      <c r="Y41" s="110" t="s">
        <v>1719</v>
      </c>
      <c r="Z41" s="110" t="s">
        <v>797</v>
      </c>
      <c r="AA41" s="110" t="s">
        <v>424</v>
      </c>
      <c r="AB41" s="110" t="s">
        <v>333</v>
      </c>
      <c r="AC41" s="110" t="s">
        <v>246</v>
      </c>
      <c r="AD41" s="110" t="s">
        <v>333</v>
      </c>
      <c r="AE41" s="110" t="s">
        <v>1306</v>
      </c>
      <c r="AF41" s="110" t="s">
        <v>1789</v>
      </c>
      <c r="AH41" s="110" t="s">
        <v>1774</v>
      </c>
      <c r="AI41" s="110" t="s">
        <v>182</v>
      </c>
      <c r="AJ41" s="110" t="s">
        <v>1753</v>
      </c>
      <c r="AK41" s="110" t="s">
        <v>661</v>
      </c>
      <c r="AL41" s="110" t="s">
        <v>190</v>
      </c>
      <c r="AO41" s="110" t="s">
        <v>190</v>
      </c>
      <c r="AP41" s="110" t="s">
        <v>190</v>
      </c>
      <c r="AQ41" s="110" t="s">
        <v>176</v>
      </c>
      <c r="AR41" s="110">
        <v>1994</v>
      </c>
      <c r="AS41" s="110" t="s">
        <v>327</v>
      </c>
      <c r="AT41" s="110" t="s">
        <v>420</v>
      </c>
      <c r="AU41" s="110">
        <v>4.26</v>
      </c>
      <c r="AV41" s="110" t="s">
        <v>1255</v>
      </c>
      <c r="AW41" s="110" t="s">
        <v>174</v>
      </c>
      <c r="AX41" s="110" t="s">
        <v>174</v>
      </c>
      <c r="AY41" s="110" t="s">
        <v>174</v>
      </c>
      <c r="AZ41" s="110" t="s">
        <v>174</v>
      </c>
      <c r="BA41" s="110" t="s">
        <v>1766</v>
      </c>
      <c r="BB41" s="110" t="s">
        <v>1766</v>
      </c>
      <c r="BC41" s="110">
        <v>4.5</v>
      </c>
      <c r="BE41" s="110" t="s">
        <v>246</v>
      </c>
      <c r="BF41" s="110" t="s">
        <v>188</v>
      </c>
      <c r="BG41" s="110">
        <v>0</v>
      </c>
      <c r="BH41" s="110" t="s">
        <v>174</v>
      </c>
      <c r="BI41" s="110" t="s">
        <v>182</v>
      </c>
      <c r="BJ41" s="110" t="s">
        <v>412</v>
      </c>
      <c r="BK41" s="110">
        <v>1</v>
      </c>
      <c r="BL41" s="110">
        <v>10</v>
      </c>
      <c r="BM41" s="110" t="s">
        <v>174</v>
      </c>
      <c r="BN41" s="110" t="s">
        <v>174</v>
      </c>
      <c r="BO41" s="110" t="s">
        <v>174</v>
      </c>
      <c r="BP41" s="110" t="s">
        <v>174</v>
      </c>
      <c r="BQ41" s="110" t="s">
        <v>174</v>
      </c>
      <c r="BR41" s="110" t="s">
        <v>174</v>
      </c>
      <c r="BS41" s="110">
        <v>9</v>
      </c>
      <c r="BT41" s="110" t="s">
        <v>2347</v>
      </c>
      <c r="BU41" s="110" t="s">
        <v>1394</v>
      </c>
      <c r="BV41" s="110" t="s">
        <v>2603</v>
      </c>
      <c r="BW41" s="110">
        <v>0.95</v>
      </c>
      <c r="BZ41" s="110">
        <v>4.7399999999999998E-2</v>
      </c>
      <c r="CB41" s="110">
        <v>15.9</v>
      </c>
      <c r="CC41" s="110" t="b">
        <v>0</v>
      </c>
      <c r="CD41" s="110">
        <v>15</v>
      </c>
      <c r="CE41" s="110" t="s">
        <v>2256</v>
      </c>
      <c r="CF41" s="110" t="s">
        <v>2256</v>
      </c>
      <c r="CG41" s="110" t="s">
        <v>174</v>
      </c>
      <c r="CH41" s="110" t="s">
        <v>665</v>
      </c>
      <c r="CI41" s="110" t="s">
        <v>667</v>
      </c>
      <c r="CJ41" s="110" t="s">
        <v>660</v>
      </c>
    </row>
    <row r="42" spans="1:88">
      <c r="A42" s="110" t="s">
        <v>377</v>
      </c>
      <c r="B42" s="110">
        <v>12</v>
      </c>
      <c r="C42" s="110">
        <v>2</v>
      </c>
      <c r="D42" s="110">
        <v>1</v>
      </c>
      <c r="E42" s="110">
        <v>41</v>
      </c>
      <c r="F42" s="110">
        <v>2016</v>
      </c>
      <c r="G42" s="110" t="s">
        <v>161</v>
      </c>
      <c r="H42" s="110" t="s">
        <v>2437</v>
      </c>
      <c r="I42" s="110" t="s">
        <v>182</v>
      </c>
      <c r="J42" s="110" t="s">
        <v>246</v>
      </c>
      <c r="K42" s="110" t="s">
        <v>999</v>
      </c>
      <c r="L42" s="110" t="s">
        <v>999</v>
      </c>
      <c r="R42" s="110" t="s">
        <v>1976</v>
      </c>
      <c r="S42" s="110" t="s">
        <v>444</v>
      </c>
      <c r="T42" s="110" t="s">
        <v>445</v>
      </c>
      <c r="U42" s="110" t="s">
        <v>853</v>
      </c>
      <c r="V42" s="110">
        <v>41.832166669999999</v>
      </c>
      <c r="W42" s="110">
        <v>41.832166669999999</v>
      </c>
      <c r="X42" s="110">
        <v>-71.441416669999995</v>
      </c>
      <c r="Y42" s="110" t="s">
        <v>276</v>
      </c>
      <c r="Z42" s="110" t="s">
        <v>586</v>
      </c>
      <c r="AA42" s="110" t="s">
        <v>1788</v>
      </c>
      <c r="AB42" s="110" t="s">
        <v>1741</v>
      </c>
      <c r="AC42" s="110" t="s">
        <v>182</v>
      </c>
      <c r="AD42" s="110" t="s">
        <v>182</v>
      </c>
      <c r="AE42" s="110" t="s">
        <v>1123</v>
      </c>
      <c r="AF42" s="110" t="s">
        <v>1745</v>
      </c>
      <c r="AG42" s="110">
        <v>0.2</v>
      </c>
      <c r="AI42" s="110" t="s">
        <v>246</v>
      </c>
      <c r="AJ42" s="110" t="s">
        <v>246</v>
      </c>
      <c r="AK42" s="110" t="s">
        <v>171</v>
      </c>
      <c r="AL42" s="110" t="s">
        <v>190</v>
      </c>
      <c r="AO42" s="110">
        <v>0.5</v>
      </c>
      <c r="AP42" s="110" t="s">
        <v>190</v>
      </c>
      <c r="AQ42" s="110" t="s">
        <v>176</v>
      </c>
      <c r="AR42" s="110">
        <v>2010</v>
      </c>
      <c r="AS42" s="110" t="s">
        <v>220</v>
      </c>
      <c r="AT42" s="110" t="s">
        <v>420</v>
      </c>
      <c r="AU42" s="110">
        <v>4.9000000000000004</v>
      </c>
      <c r="AW42" s="110" t="s">
        <v>445</v>
      </c>
      <c r="AX42" s="110" t="s">
        <v>853</v>
      </c>
      <c r="AY42" s="110" t="s">
        <v>174</v>
      </c>
      <c r="AZ42" s="110" t="s">
        <v>174</v>
      </c>
      <c r="BA42" s="110">
        <v>22.8</v>
      </c>
      <c r="BB42" s="110">
        <v>22.8</v>
      </c>
      <c r="BC42" s="110">
        <v>22.8</v>
      </c>
      <c r="BD42" s="110">
        <v>0</v>
      </c>
      <c r="BE42" s="110" t="s">
        <v>182</v>
      </c>
      <c r="BF42" s="110" t="s">
        <v>412</v>
      </c>
      <c r="BH42" s="110" t="s">
        <v>174</v>
      </c>
      <c r="BI42" s="110" t="s">
        <v>182</v>
      </c>
      <c r="BJ42" s="110" t="s">
        <v>412</v>
      </c>
      <c r="BK42" s="110">
        <v>1</v>
      </c>
      <c r="BL42" s="110">
        <v>6</v>
      </c>
      <c r="BM42" s="110" t="s">
        <v>1703</v>
      </c>
      <c r="BN42" s="110">
        <v>0.21</v>
      </c>
      <c r="BO42" s="110" t="s">
        <v>174</v>
      </c>
      <c r="BP42" s="110">
        <v>3.3007008600000001</v>
      </c>
      <c r="BQ42" s="110" t="s">
        <v>174</v>
      </c>
      <c r="BR42" s="110" t="s">
        <v>174</v>
      </c>
      <c r="BS42" s="110">
        <v>35</v>
      </c>
      <c r="BT42" s="110" t="s">
        <v>2458</v>
      </c>
      <c r="BU42" s="110" t="s">
        <v>2606</v>
      </c>
      <c r="BV42" s="110" t="s">
        <v>2458</v>
      </c>
      <c r="BZ42" s="110">
        <v>0.21</v>
      </c>
      <c r="CB42" s="110">
        <v>3.3007008600000001</v>
      </c>
      <c r="CC42" s="110" t="b">
        <v>0</v>
      </c>
      <c r="CD42" s="110" t="s">
        <v>2256</v>
      </c>
      <c r="CE42" s="110" t="s">
        <v>2256</v>
      </c>
      <c r="CF42" s="110" t="s">
        <v>2256</v>
      </c>
      <c r="CG42" s="110" t="s">
        <v>174</v>
      </c>
      <c r="CH42" s="110" t="s">
        <v>243</v>
      </c>
      <c r="CI42" s="110" t="s">
        <v>858</v>
      </c>
      <c r="CJ42" s="110" t="s">
        <v>859</v>
      </c>
    </row>
    <row r="43" spans="1:88">
      <c r="A43" s="110" t="s">
        <v>377</v>
      </c>
      <c r="B43" s="110">
        <v>12</v>
      </c>
      <c r="C43" s="110">
        <v>2</v>
      </c>
      <c r="D43" s="110">
        <v>2</v>
      </c>
      <c r="E43" s="110">
        <v>42</v>
      </c>
      <c r="F43" s="110">
        <v>2016</v>
      </c>
      <c r="G43" s="110" t="s">
        <v>161</v>
      </c>
      <c r="H43" s="110" t="s">
        <v>2437</v>
      </c>
      <c r="I43" s="110" t="s">
        <v>182</v>
      </c>
      <c r="J43" s="110" t="s">
        <v>246</v>
      </c>
      <c r="K43" s="110" t="s">
        <v>999</v>
      </c>
      <c r="L43" s="110" t="s">
        <v>999</v>
      </c>
      <c r="R43" s="110" t="s">
        <v>1976</v>
      </c>
      <c r="S43" s="110" t="s">
        <v>444</v>
      </c>
      <c r="T43" s="110" t="s">
        <v>445</v>
      </c>
      <c r="U43" s="110" t="s">
        <v>853</v>
      </c>
      <c r="V43" s="110">
        <v>41.832166669999999</v>
      </c>
      <c r="W43" s="110">
        <v>41.832166669999999</v>
      </c>
      <c r="X43" s="110">
        <v>-71.441416669999995</v>
      </c>
      <c r="Y43" s="110" t="s">
        <v>276</v>
      </c>
      <c r="Z43" s="110" t="s">
        <v>586</v>
      </c>
      <c r="AA43" s="110" t="s">
        <v>1788</v>
      </c>
      <c r="AB43" s="110" t="s">
        <v>1741</v>
      </c>
      <c r="AC43" s="110" t="s">
        <v>182</v>
      </c>
      <c r="AD43" s="110" t="s">
        <v>182</v>
      </c>
      <c r="AE43" s="110" t="s">
        <v>1123</v>
      </c>
      <c r="AF43" s="110" t="s">
        <v>1745</v>
      </c>
      <c r="AG43" s="110">
        <v>0.2</v>
      </c>
      <c r="AI43" s="110" t="s">
        <v>246</v>
      </c>
      <c r="AJ43" s="110" t="s">
        <v>246</v>
      </c>
      <c r="AK43" s="110" t="s">
        <v>171</v>
      </c>
      <c r="AL43" s="110" t="s">
        <v>190</v>
      </c>
      <c r="AO43" s="110">
        <v>0.5</v>
      </c>
      <c r="AP43" s="110" t="s">
        <v>190</v>
      </c>
      <c r="AQ43" s="110" t="s">
        <v>176</v>
      </c>
      <c r="AR43" s="110">
        <v>2010</v>
      </c>
      <c r="AS43" s="110" t="s">
        <v>220</v>
      </c>
      <c r="AT43" s="110" t="s">
        <v>420</v>
      </c>
      <c r="AU43" s="110">
        <v>4.9000000000000004</v>
      </c>
      <c r="AW43" s="110" t="s">
        <v>445</v>
      </c>
      <c r="AX43" s="110" t="s">
        <v>853</v>
      </c>
      <c r="AY43" s="110" t="s">
        <v>174</v>
      </c>
      <c r="AZ43" s="110" t="s">
        <v>174</v>
      </c>
      <c r="BA43" s="110">
        <v>23.7</v>
      </c>
      <c r="BB43" s="110">
        <v>23.7</v>
      </c>
      <c r="BC43" s="110">
        <v>23.7</v>
      </c>
      <c r="BD43" s="110">
        <v>0</v>
      </c>
      <c r="BE43" s="110" t="s">
        <v>182</v>
      </c>
      <c r="BF43" s="110" t="s">
        <v>412</v>
      </c>
      <c r="BH43" s="110" t="s">
        <v>174</v>
      </c>
      <c r="BI43" s="110" t="s">
        <v>182</v>
      </c>
      <c r="BJ43" s="110" t="s">
        <v>412</v>
      </c>
      <c r="BK43" s="110">
        <v>1</v>
      </c>
      <c r="BL43" s="110">
        <v>6</v>
      </c>
      <c r="BM43" s="110" t="s">
        <v>1703</v>
      </c>
      <c r="BN43" s="110">
        <v>0.41</v>
      </c>
      <c r="BO43" s="110" t="s">
        <v>174</v>
      </c>
      <c r="BP43" s="110">
        <v>1.6906028790000001</v>
      </c>
      <c r="BQ43" s="110" t="s">
        <v>174</v>
      </c>
      <c r="BR43" s="110" t="s">
        <v>174</v>
      </c>
      <c r="BS43" s="110">
        <v>32</v>
      </c>
      <c r="BT43" s="110" t="s">
        <v>2458</v>
      </c>
      <c r="BU43" s="110" t="s">
        <v>2606</v>
      </c>
      <c r="BV43" s="110" t="s">
        <v>2458</v>
      </c>
      <c r="BZ43" s="110">
        <v>0.41</v>
      </c>
      <c r="CB43" s="110">
        <v>1.6906028790000001</v>
      </c>
      <c r="CC43" s="110" t="b">
        <v>0</v>
      </c>
      <c r="CD43" s="110" t="s">
        <v>2256</v>
      </c>
      <c r="CE43" s="110" t="s">
        <v>2256</v>
      </c>
      <c r="CF43" s="110" t="s">
        <v>2256</v>
      </c>
      <c r="CG43" s="110" t="s">
        <v>174</v>
      </c>
      <c r="CH43" s="110" t="s">
        <v>243</v>
      </c>
      <c r="CI43" s="110" t="s">
        <v>858</v>
      </c>
      <c r="CJ43" s="110" t="s">
        <v>859</v>
      </c>
    </row>
    <row r="44" spans="1:88">
      <c r="A44" s="110" t="s">
        <v>377</v>
      </c>
      <c r="B44" s="110">
        <v>12</v>
      </c>
      <c r="C44" s="110">
        <v>2</v>
      </c>
      <c r="D44" s="110">
        <v>3</v>
      </c>
      <c r="E44" s="110">
        <v>43</v>
      </c>
      <c r="F44" s="110">
        <v>2016</v>
      </c>
      <c r="G44" s="110" t="s">
        <v>161</v>
      </c>
      <c r="H44" s="110" t="s">
        <v>2437</v>
      </c>
      <c r="I44" s="110" t="s">
        <v>182</v>
      </c>
      <c r="J44" s="110" t="s">
        <v>246</v>
      </c>
      <c r="K44" s="110" t="s">
        <v>999</v>
      </c>
      <c r="L44" s="110" t="s">
        <v>999</v>
      </c>
      <c r="R44" s="110" t="s">
        <v>1976</v>
      </c>
      <c r="S44" s="110" t="s">
        <v>444</v>
      </c>
      <c r="T44" s="110" t="s">
        <v>445</v>
      </c>
      <c r="U44" s="110" t="s">
        <v>853</v>
      </c>
      <c r="V44" s="110">
        <v>41.832166669999999</v>
      </c>
      <c r="W44" s="110">
        <v>41.832166669999999</v>
      </c>
      <c r="X44" s="110">
        <v>-71.441416669999995</v>
      </c>
      <c r="Y44" s="110" t="s">
        <v>276</v>
      </c>
      <c r="Z44" s="110" t="s">
        <v>586</v>
      </c>
      <c r="AA44" s="110" t="s">
        <v>1788</v>
      </c>
      <c r="AB44" s="110" t="s">
        <v>1741</v>
      </c>
      <c r="AC44" s="110" t="s">
        <v>182</v>
      </c>
      <c r="AD44" s="110" t="s">
        <v>182</v>
      </c>
      <c r="AE44" s="110" t="s">
        <v>1123</v>
      </c>
      <c r="AF44" s="110" t="s">
        <v>1745</v>
      </c>
      <c r="AG44" s="110">
        <v>0.2</v>
      </c>
      <c r="AI44" s="110" t="s">
        <v>246</v>
      </c>
      <c r="AJ44" s="110" t="s">
        <v>246</v>
      </c>
      <c r="AK44" s="110" t="s">
        <v>171</v>
      </c>
      <c r="AL44" s="110" t="s">
        <v>190</v>
      </c>
      <c r="AO44" s="110">
        <v>0.5</v>
      </c>
      <c r="AP44" s="110" t="s">
        <v>190</v>
      </c>
      <c r="AQ44" s="110" t="s">
        <v>176</v>
      </c>
      <c r="AR44" s="110">
        <v>2010</v>
      </c>
      <c r="AS44" s="110" t="s">
        <v>237</v>
      </c>
      <c r="AT44" s="110" t="s">
        <v>420</v>
      </c>
      <c r="AU44" s="110">
        <v>4.9000000000000004</v>
      </c>
      <c r="AW44" s="110" t="s">
        <v>445</v>
      </c>
      <c r="AX44" s="110" t="s">
        <v>853</v>
      </c>
      <c r="AY44" s="110" t="s">
        <v>174</v>
      </c>
      <c r="AZ44" s="110" t="s">
        <v>174</v>
      </c>
      <c r="BA44" s="110">
        <v>24.5</v>
      </c>
      <c r="BB44" s="110">
        <v>24.5</v>
      </c>
      <c r="BC44" s="110">
        <v>24.5</v>
      </c>
      <c r="BD44" s="110">
        <v>0</v>
      </c>
      <c r="BE44" s="110" t="s">
        <v>182</v>
      </c>
      <c r="BF44" s="110" t="s">
        <v>412</v>
      </c>
      <c r="BH44" s="110" t="s">
        <v>174</v>
      </c>
      <c r="BI44" s="110" t="s">
        <v>182</v>
      </c>
      <c r="BJ44" s="110" t="s">
        <v>412</v>
      </c>
      <c r="BK44" s="110">
        <v>1</v>
      </c>
      <c r="BL44" s="110">
        <v>6</v>
      </c>
      <c r="BM44" s="110" t="s">
        <v>1703</v>
      </c>
      <c r="BN44" s="110">
        <v>0.52</v>
      </c>
      <c r="BO44" s="110" t="s">
        <v>174</v>
      </c>
      <c r="BP44" s="110">
        <v>1.3329753470000001</v>
      </c>
      <c r="BQ44" s="110" t="s">
        <v>174</v>
      </c>
      <c r="BR44" s="110" t="s">
        <v>174</v>
      </c>
      <c r="BS44" s="110">
        <v>32</v>
      </c>
      <c r="BT44" s="110" t="s">
        <v>2458</v>
      </c>
      <c r="BU44" s="110" t="s">
        <v>2606</v>
      </c>
      <c r="BV44" s="110" t="s">
        <v>2458</v>
      </c>
      <c r="BZ44" s="110">
        <v>0.52</v>
      </c>
      <c r="CB44" s="110">
        <v>1.3329753470000001</v>
      </c>
      <c r="CC44" s="110" t="b">
        <v>0</v>
      </c>
      <c r="CD44" s="110" t="s">
        <v>2256</v>
      </c>
      <c r="CE44" s="110" t="s">
        <v>2256</v>
      </c>
      <c r="CF44" s="110" t="s">
        <v>2256</v>
      </c>
      <c r="CG44" s="110" t="s">
        <v>174</v>
      </c>
      <c r="CH44" s="110" t="s">
        <v>243</v>
      </c>
      <c r="CI44" s="110" t="s">
        <v>858</v>
      </c>
      <c r="CJ44" s="110" t="s">
        <v>859</v>
      </c>
    </row>
    <row r="45" spans="1:88">
      <c r="A45" s="110" t="s">
        <v>377</v>
      </c>
      <c r="B45" s="110">
        <v>12</v>
      </c>
      <c r="C45" s="110">
        <v>2</v>
      </c>
      <c r="D45" s="110">
        <v>4</v>
      </c>
      <c r="E45" s="110">
        <v>44</v>
      </c>
      <c r="F45" s="110">
        <v>2016</v>
      </c>
      <c r="G45" s="110" t="s">
        <v>161</v>
      </c>
      <c r="H45" s="110" t="s">
        <v>2437</v>
      </c>
      <c r="I45" s="110" t="s">
        <v>182</v>
      </c>
      <c r="J45" s="110" t="s">
        <v>246</v>
      </c>
      <c r="K45" s="110" t="s">
        <v>999</v>
      </c>
      <c r="L45" s="110" t="s">
        <v>999</v>
      </c>
      <c r="R45" s="110" t="s">
        <v>1976</v>
      </c>
      <c r="S45" s="110" t="s">
        <v>444</v>
      </c>
      <c r="T45" s="110" t="s">
        <v>445</v>
      </c>
      <c r="U45" s="110" t="s">
        <v>853</v>
      </c>
      <c r="V45" s="110">
        <v>41.832166669999999</v>
      </c>
      <c r="W45" s="110">
        <v>41.832166669999999</v>
      </c>
      <c r="X45" s="110">
        <v>-71.441416669999995</v>
      </c>
      <c r="Y45" s="110" t="s">
        <v>276</v>
      </c>
      <c r="Z45" s="110" t="s">
        <v>586</v>
      </c>
      <c r="AA45" s="110" t="s">
        <v>1788</v>
      </c>
      <c r="AB45" s="110" t="s">
        <v>1741</v>
      </c>
      <c r="AC45" s="110" t="s">
        <v>182</v>
      </c>
      <c r="AD45" s="110" t="s">
        <v>182</v>
      </c>
      <c r="AE45" s="110" t="s">
        <v>1123</v>
      </c>
      <c r="AF45" s="110" t="s">
        <v>1745</v>
      </c>
      <c r="AG45" s="110">
        <v>0.2</v>
      </c>
      <c r="AI45" s="110" t="s">
        <v>246</v>
      </c>
      <c r="AJ45" s="110" t="s">
        <v>246</v>
      </c>
      <c r="AK45" s="110" t="s">
        <v>171</v>
      </c>
      <c r="AL45" s="110" t="s">
        <v>190</v>
      </c>
      <c r="AO45" s="110">
        <v>0.5</v>
      </c>
      <c r="AP45" s="110" t="s">
        <v>190</v>
      </c>
      <c r="AQ45" s="110" t="s">
        <v>176</v>
      </c>
      <c r="AR45" s="110">
        <v>2010</v>
      </c>
      <c r="AS45" s="110" t="s">
        <v>237</v>
      </c>
      <c r="AT45" s="110" t="s">
        <v>420</v>
      </c>
      <c r="AU45" s="110">
        <v>4.9000000000000004</v>
      </c>
      <c r="AW45" s="110" t="s">
        <v>445</v>
      </c>
      <c r="AX45" s="110" t="s">
        <v>853</v>
      </c>
      <c r="AY45" s="110" t="s">
        <v>174</v>
      </c>
      <c r="AZ45" s="110" t="s">
        <v>174</v>
      </c>
      <c r="BA45" s="110">
        <v>24</v>
      </c>
      <c r="BB45" s="110">
        <v>24</v>
      </c>
      <c r="BC45" s="110">
        <v>24</v>
      </c>
      <c r="BD45" s="110">
        <v>0</v>
      </c>
      <c r="BE45" s="110" t="s">
        <v>182</v>
      </c>
      <c r="BF45" s="110" t="s">
        <v>412</v>
      </c>
      <c r="BH45" s="110" t="s">
        <v>174</v>
      </c>
      <c r="BI45" s="110" t="s">
        <v>182</v>
      </c>
      <c r="BJ45" s="110" t="s">
        <v>412</v>
      </c>
      <c r="BK45" s="110">
        <v>1</v>
      </c>
      <c r="BL45" s="110">
        <v>6</v>
      </c>
      <c r="BM45" s="110" t="s">
        <v>1703</v>
      </c>
      <c r="BN45" s="110">
        <v>0.67</v>
      </c>
      <c r="BO45" s="110" t="s">
        <v>174</v>
      </c>
      <c r="BP45" s="110">
        <v>1.0345480309999999</v>
      </c>
      <c r="BQ45" s="110" t="s">
        <v>174</v>
      </c>
      <c r="BR45" s="110" t="s">
        <v>174</v>
      </c>
      <c r="BS45" s="110">
        <v>32</v>
      </c>
      <c r="BT45" s="110" t="s">
        <v>2458</v>
      </c>
      <c r="BU45" s="110" t="s">
        <v>2606</v>
      </c>
      <c r="BV45" s="110" t="s">
        <v>2458</v>
      </c>
      <c r="BZ45" s="110">
        <v>0.67</v>
      </c>
      <c r="CB45" s="110">
        <v>1.0345480309999999</v>
      </c>
      <c r="CC45" s="110" t="b">
        <v>0</v>
      </c>
      <c r="CD45" s="110" t="s">
        <v>2256</v>
      </c>
      <c r="CE45" s="110" t="s">
        <v>2256</v>
      </c>
      <c r="CF45" s="110" t="s">
        <v>2256</v>
      </c>
      <c r="CG45" s="110" t="s">
        <v>174</v>
      </c>
      <c r="CH45" s="110" t="s">
        <v>243</v>
      </c>
      <c r="CI45" s="110" t="s">
        <v>858</v>
      </c>
      <c r="CJ45" s="110" t="s">
        <v>859</v>
      </c>
    </row>
    <row r="46" spans="1:88">
      <c r="A46" s="110" t="s">
        <v>377</v>
      </c>
      <c r="B46" s="110">
        <v>12</v>
      </c>
      <c r="C46" s="110">
        <v>2</v>
      </c>
      <c r="D46" s="110">
        <v>5</v>
      </c>
      <c r="E46" s="110">
        <v>45</v>
      </c>
      <c r="F46" s="110">
        <v>2016</v>
      </c>
      <c r="G46" s="110" t="s">
        <v>161</v>
      </c>
      <c r="H46" s="110" t="s">
        <v>2437</v>
      </c>
      <c r="I46" s="110" t="s">
        <v>182</v>
      </c>
      <c r="J46" s="110" t="s">
        <v>246</v>
      </c>
      <c r="K46" s="110" t="s">
        <v>999</v>
      </c>
      <c r="L46" s="110" t="s">
        <v>999</v>
      </c>
      <c r="R46" s="110" t="s">
        <v>1976</v>
      </c>
      <c r="S46" s="110" t="s">
        <v>444</v>
      </c>
      <c r="T46" s="110" t="s">
        <v>445</v>
      </c>
      <c r="U46" s="110" t="s">
        <v>853</v>
      </c>
      <c r="V46" s="110">
        <v>41.832166669999999</v>
      </c>
      <c r="W46" s="110">
        <v>41.832166669999999</v>
      </c>
      <c r="X46" s="110">
        <v>-71.441416669999995</v>
      </c>
      <c r="Y46" s="110" t="s">
        <v>276</v>
      </c>
      <c r="Z46" s="110" t="s">
        <v>586</v>
      </c>
      <c r="AA46" s="110" t="s">
        <v>1788</v>
      </c>
      <c r="AB46" s="110" t="s">
        <v>1741</v>
      </c>
      <c r="AC46" s="110" t="s">
        <v>182</v>
      </c>
      <c r="AD46" s="110" t="s">
        <v>182</v>
      </c>
      <c r="AE46" s="110" t="s">
        <v>1123</v>
      </c>
      <c r="AF46" s="110" t="s">
        <v>1745</v>
      </c>
      <c r="AG46" s="110">
        <v>0.2</v>
      </c>
      <c r="AI46" s="110" t="s">
        <v>246</v>
      </c>
      <c r="AJ46" s="110" t="s">
        <v>246</v>
      </c>
      <c r="AK46" s="110" t="s">
        <v>171</v>
      </c>
      <c r="AL46" s="110" t="s">
        <v>190</v>
      </c>
      <c r="AO46" s="110">
        <v>0.5</v>
      </c>
      <c r="AP46" s="110" t="s">
        <v>190</v>
      </c>
      <c r="AQ46" s="110" t="s">
        <v>176</v>
      </c>
      <c r="AR46" s="110">
        <v>2010</v>
      </c>
      <c r="AS46" s="110" t="s">
        <v>237</v>
      </c>
      <c r="AT46" s="110" t="s">
        <v>420</v>
      </c>
      <c r="AU46" s="110">
        <v>4.9000000000000004</v>
      </c>
      <c r="AW46" s="110" t="s">
        <v>445</v>
      </c>
      <c r="AX46" s="110" t="s">
        <v>853</v>
      </c>
      <c r="AY46" s="110">
        <v>28.80289698</v>
      </c>
      <c r="AZ46" s="110" t="s">
        <v>174</v>
      </c>
      <c r="BA46" s="110">
        <v>24</v>
      </c>
      <c r="BB46" s="110">
        <v>24</v>
      </c>
      <c r="BC46" s="110">
        <v>24</v>
      </c>
      <c r="BD46" s="110">
        <v>0</v>
      </c>
      <c r="BE46" s="110" t="s">
        <v>182</v>
      </c>
      <c r="BF46" s="110" t="s">
        <v>412</v>
      </c>
      <c r="BH46" s="110" t="s">
        <v>174</v>
      </c>
      <c r="BI46" s="110" t="s">
        <v>182</v>
      </c>
      <c r="BJ46" s="110" t="s">
        <v>412</v>
      </c>
      <c r="BK46" s="110">
        <v>1</v>
      </c>
      <c r="BL46" s="110">
        <v>6</v>
      </c>
      <c r="BM46" s="110" t="s">
        <v>1703</v>
      </c>
      <c r="BN46" s="110">
        <v>0.51</v>
      </c>
      <c r="BO46" s="110" t="s">
        <v>174</v>
      </c>
      <c r="BP46" s="110">
        <v>1.359112119</v>
      </c>
      <c r="BQ46" s="110" t="s">
        <v>174</v>
      </c>
      <c r="BR46" s="110" t="s">
        <v>174</v>
      </c>
      <c r="BS46" s="110">
        <v>32</v>
      </c>
      <c r="BT46" s="110" t="s">
        <v>2458</v>
      </c>
      <c r="BU46" s="110" t="s">
        <v>2606</v>
      </c>
      <c r="BV46" s="110" t="s">
        <v>2458</v>
      </c>
      <c r="BZ46" s="110">
        <v>0.51</v>
      </c>
      <c r="CB46" s="110">
        <v>1.359112119</v>
      </c>
      <c r="CC46" s="110" t="b">
        <v>0</v>
      </c>
      <c r="CD46" s="110" t="s">
        <v>2256</v>
      </c>
      <c r="CE46" s="110" t="s">
        <v>2256</v>
      </c>
      <c r="CF46" s="110" t="s">
        <v>2256</v>
      </c>
      <c r="CG46" s="110" t="s">
        <v>174</v>
      </c>
      <c r="CH46" s="110" t="s">
        <v>243</v>
      </c>
      <c r="CI46" s="110" t="s">
        <v>858</v>
      </c>
      <c r="CJ46" s="110" t="s">
        <v>859</v>
      </c>
    </row>
    <row r="47" spans="1:88">
      <c r="A47" s="110" t="s">
        <v>377</v>
      </c>
      <c r="B47" s="110">
        <v>12</v>
      </c>
      <c r="C47" s="110">
        <v>2</v>
      </c>
      <c r="D47" s="110">
        <v>6</v>
      </c>
      <c r="E47" s="110">
        <v>46</v>
      </c>
      <c r="F47" s="110">
        <v>2016</v>
      </c>
      <c r="G47" s="110" t="s">
        <v>161</v>
      </c>
      <c r="H47" s="110" t="s">
        <v>2437</v>
      </c>
      <c r="I47" s="110" t="s">
        <v>182</v>
      </c>
      <c r="J47" s="110" t="s">
        <v>246</v>
      </c>
      <c r="K47" s="110" t="s">
        <v>999</v>
      </c>
      <c r="L47" s="110" t="s">
        <v>999</v>
      </c>
      <c r="R47" s="110" t="s">
        <v>1976</v>
      </c>
      <c r="S47" s="110" t="s">
        <v>444</v>
      </c>
      <c r="T47" s="110" t="s">
        <v>445</v>
      </c>
      <c r="U47" s="110" t="s">
        <v>853</v>
      </c>
      <c r="V47" s="110">
        <v>41.832166669999999</v>
      </c>
      <c r="W47" s="110">
        <v>41.832166669999999</v>
      </c>
      <c r="X47" s="110">
        <v>-71.441416669999995</v>
      </c>
      <c r="Y47" s="110" t="s">
        <v>276</v>
      </c>
      <c r="Z47" s="110" t="s">
        <v>586</v>
      </c>
      <c r="AA47" s="110" t="s">
        <v>1788</v>
      </c>
      <c r="AB47" s="110" t="s">
        <v>1741</v>
      </c>
      <c r="AC47" s="110" t="s">
        <v>182</v>
      </c>
      <c r="AD47" s="110" t="s">
        <v>182</v>
      </c>
      <c r="AE47" s="110" t="s">
        <v>1123</v>
      </c>
      <c r="AF47" s="110" t="s">
        <v>1745</v>
      </c>
      <c r="AG47" s="110">
        <v>0.2</v>
      </c>
      <c r="AI47" s="110" t="s">
        <v>246</v>
      </c>
      <c r="AJ47" s="110" t="s">
        <v>246</v>
      </c>
      <c r="AK47" s="110" t="s">
        <v>171</v>
      </c>
      <c r="AL47" s="110" t="s">
        <v>190</v>
      </c>
      <c r="AO47" s="110">
        <v>0.5</v>
      </c>
      <c r="AP47" s="110" t="s">
        <v>190</v>
      </c>
      <c r="AQ47" s="110" t="s">
        <v>176</v>
      </c>
      <c r="AR47" s="110">
        <v>2010</v>
      </c>
      <c r="AS47" s="110" t="s">
        <v>220</v>
      </c>
      <c r="AT47" s="110" t="s">
        <v>420</v>
      </c>
      <c r="AU47" s="110">
        <v>4.9000000000000004</v>
      </c>
      <c r="AW47" s="110" t="s">
        <v>445</v>
      </c>
      <c r="AX47" s="110" t="s">
        <v>853</v>
      </c>
      <c r="AY47" s="110" t="s">
        <v>174</v>
      </c>
      <c r="AZ47" s="110" t="s">
        <v>174</v>
      </c>
      <c r="BA47" s="110">
        <v>23.8</v>
      </c>
      <c r="BB47" s="110">
        <v>23.8</v>
      </c>
      <c r="BC47" s="110">
        <v>23.8</v>
      </c>
      <c r="BD47" s="110">
        <v>0</v>
      </c>
      <c r="BE47" s="110" t="s">
        <v>182</v>
      </c>
      <c r="BF47" s="110" t="s">
        <v>412</v>
      </c>
      <c r="BH47" s="110" t="s">
        <v>174</v>
      </c>
      <c r="BI47" s="110" t="s">
        <v>182</v>
      </c>
      <c r="BJ47" s="110" t="s">
        <v>412</v>
      </c>
      <c r="BK47" s="110">
        <v>1</v>
      </c>
      <c r="BL47" s="110">
        <v>6</v>
      </c>
      <c r="BM47" s="110" t="s">
        <v>1703</v>
      </c>
      <c r="BN47" s="110">
        <v>0.41</v>
      </c>
      <c r="BO47" s="110" t="s">
        <v>174</v>
      </c>
      <c r="BP47" s="110">
        <v>1.6906028790000001</v>
      </c>
      <c r="BQ47" s="110" t="s">
        <v>174</v>
      </c>
      <c r="BR47" s="110" t="s">
        <v>174</v>
      </c>
      <c r="BS47" s="110">
        <v>32</v>
      </c>
      <c r="BT47" s="110" t="s">
        <v>2458</v>
      </c>
      <c r="BU47" s="110" t="s">
        <v>2606</v>
      </c>
      <c r="BV47" s="110" t="s">
        <v>2458</v>
      </c>
      <c r="BZ47" s="110">
        <v>0.41</v>
      </c>
      <c r="CB47" s="110">
        <v>1.6906028790000001</v>
      </c>
      <c r="CC47" s="110" t="b">
        <v>0</v>
      </c>
      <c r="CD47" s="110" t="s">
        <v>2256</v>
      </c>
      <c r="CE47" s="110" t="s">
        <v>2256</v>
      </c>
      <c r="CF47" s="110" t="s">
        <v>2256</v>
      </c>
      <c r="CG47" s="110" t="s">
        <v>174</v>
      </c>
      <c r="CH47" s="110" t="s">
        <v>243</v>
      </c>
      <c r="CI47" s="110" t="s">
        <v>858</v>
      </c>
      <c r="CJ47" s="110" t="s">
        <v>859</v>
      </c>
    </row>
    <row r="48" spans="1:88">
      <c r="A48" s="110" t="s">
        <v>377</v>
      </c>
      <c r="B48" s="110">
        <v>12</v>
      </c>
      <c r="C48" s="110">
        <v>2</v>
      </c>
      <c r="D48" s="110">
        <v>7</v>
      </c>
      <c r="E48" s="110">
        <v>47</v>
      </c>
      <c r="F48" s="110">
        <v>2016</v>
      </c>
      <c r="G48" s="110" t="s">
        <v>161</v>
      </c>
      <c r="H48" s="110" t="s">
        <v>2437</v>
      </c>
      <c r="I48" s="110" t="s">
        <v>182</v>
      </c>
      <c r="J48" s="110" t="s">
        <v>246</v>
      </c>
      <c r="K48" s="110" t="s">
        <v>999</v>
      </c>
      <c r="L48" s="110" t="s">
        <v>999</v>
      </c>
      <c r="R48" s="110" t="s">
        <v>1976</v>
      </c>
      <c r="S48" s="110" t="s">
        <v>444</v>
      </c>
      <c r="T48" s="110" t="s">
        <v>445</v>
      </c>
      <c r="U48" s="110" t="s">
        <v>853</v>
      </c>
      <c r="V48" s="110">
        <v>41.832166669999999</v>
      </c>
      <c r="W48" s="110">
        <v>41.832166669999999</v>
      </c>
      <c r="X48" s="110">
        <v>-71.441416669999995</v>
      </c>
      <c r="Y48" s="110" t="s">
        <v>276</v>
      </c>
      <c r="Z48" s="110" t="s">
        <v>586</v>
      </c>
      <c r="AA48" s="110" t="s">
        <v>1788</v>
      </c>
      <c r="AB48" s="110" t="s">
        <v>1741</v>
      </c>
      <c r="AC48" s="110" t="s">
        <v>182</v>
      </c>
      <c r="AD48" s="110" t="s">
        <v>182</v>
      </c>
      <c r="AE48" s="110" t="s">
        <v>1123</v>
      </c>
      <c r="AF48" s="110" t="s">
        <v>1745</v>
      </c>
      <c r="AG48" s="110">
        <v>0.2</v>
      </c>
      <c r="AI48" s="110" t="s">
        <v>246</v>
      </c>
      <c r="AJ48" s="110" t="s">
        <v>246</v>
      </c>
      <c r="AK48" s="110" t="s">
        <v>171</v>
      </c>
      <c r="AL48" s="110" t="s">
        <v>190</v>
      </c>
      <c r="AO48" s="110">
        <v>0.5</v>
      </c>
      <c r="AP48" s="110" t="s">
        <v>190</v>
      </c>
      <c r="AQ48" s="110" t="s">
        <v>176</v>
      </c>
      <c r="AR48" s="110">
        <v>2010</v>
      </c>
      <c r="AS48" s="110" t="s">
        <v>220</v>
      </c>
      <c r="AT48" s="110" t="s">
        <v>420</v>
      </c>
      <c r="AU48" s="110">
        <v>4.9000000000000004</v>
      </c>
      <c r="AW48" s="110" t="s">
        <v>445</v>
      </c>
      <c r="AX48" s="110" t="s">
        <v>853</v>
      </c>
      <c r="AY48" s="110" t="s">
        <v>174</v>
      </c>
      <c r="AZ48" s="110" t="s">
        <v>174</v>
      </c>
      <c r="BA48" s="110">
        <v>22.7</v>
      </c>
      <c r="BB48" s="110">
        <v>22.7</v>
      </c>
      <c r="BC48" s="110">
        <v>22.7</v>
      </c>
      <c r="BD48" s="110">
        <v>0</v>
      </c>
      <c r="BE48" s="110" t="s">
        <v>182</v>
      </c>
      <c r="BF48" s="110" t="s">
        <v>412</v>
      </c>
      <c r="BH48" s="110" t="s">
        <v>174</v>
      </c>
      <c r="BI48" s="110" t="s">
        <v>182</v>
      </c>
      <c r="BJ48" s="110" t="s">
        <v>412</v>
      </c>
      <c r="BK48" s="110">
        <v>1</v>
      </c>
      <c r="BL48" s="110">
        <v>6</v>
      </c>
      <c r="BM48" s="110" t="s">
        <v>1703</v>
      </c>
      <c r="BN48" s="110">
        <v>0.36</v>
      </c>
      <c r="BO48" s="110" t="s">
        <v>174</v>
      </c>
      <c r="BP48" s="110">
        <v>1.925408835</v>
      </c>
      <c r="BQ48" s="110" t="s">
        <v>174</v>
      </c>
      <c r="BR48" s="110" t="s">
        <v>174</v>
      </c>
      <c r="BS48" s="110">
        <v>24</v>
      </c>
      <c r="BT48" s="110" t="s">
        <v>2458</v>
      </c>
      <c r="BU48" s="110" t="s">
        <v>2606</v>
      </c>
      <c r="BV48" s="110" t="s">
        <v>2458</v>
      </c>
      <c r="BZ48" s="110">
        <v>0.36</v>
      </c>
      <c r="CB48" s="110">
        <v>1.925408835</v>
      </c>
      <c r="CC48" s="110" t="b">
        <v>0</v>
      </c>
      <c r="CD48" s="110" t="s">
        <v>2256</v>
      </c>
      <c r="CE48" s="110" t="s">
        <v>2256</v>
      </c>
      <c r="CF48" s="110" t="s">
        <v>2256</v>
      </c>
      <c r="CG48" s="110" t="s">
        <v>174</v>
      </c>
      <c r="CH48" s="110" t="s">
        <v>243</v>
      </c>
      <c r="CI48" s="110" t="s">
        <v>858</v>
      </c>
      <c r="CJ48" s="110" t="s">
        <v>859</v>
      </c>
    </row>
    <row r="49" spans="1:88">
      <c r="A49" s="110" t="s">
        <v>377</v>
      </c>
      <c r="B49" s="110">
        <v>12</v>
      </c>
      <c r="C49" s="110">
        <v>2</v>
      </c>
      <c r="D49" s="110">
        <v>7</v>
      </c>
      <c r="E49" s="110">
        <v>48</v>
      </c>
      <c r="F49" s="110">
        <v>2016</v>
      </c>
      <c r="G49" s="110" t="s">
        <v>161</v>
      </c>
      <c r="H49" s="110" t="s">
        <v>2437</v>
      </c>
      <c r="I49" s="110" t="s">
        <v>182</v>
      </c>
      <c r="J49" s="110" t="s">
        <v>246</v>
      </c>
      <c r="K49" s="110" t="s">
        <v>999</v>
      </c>
      <c r="L49" s="110" t="s">
        <v>999</v>
      </c>
      <c r="R49" s="110" t="s">
        <v>272</v>
      </c>
      <c r="S49" s="110" t="s">
        <v>443</v>
      </c>
      <c r="T49" s="110" t="s">
        <v>611</v>
      </c>
      <c r="U49" s="110" t="s">
        <v>612</v>
      </c>
      <c r="V49" s="110">
        <v>41.832166669999999</v>
      </c>
      <c r="W49" s="110">
        <v>41.832166669999999</v>
      </c>
      <c r="X49" s="110">
        <v>-71.441416669999995</v>
      </c>
      <c r="Y49" s="110" t="s">
        <v>276</v>
      </c>
      <c r="Z49" s="110" t="s">
        <v>586</v>
      </c>
      <c r="AA49" s="110" t="s">
        <v>1788</v>
      </c>
      <c r="AB49" s="110" t="s">
        <v>1741</v>
      </c>
      <c r="AC49" s="110" t="s">
        <v>182</v>
      </c>
      <c r="AD49" s="110" t="s">
        <v>182</v>
      </c>
      <c r="AE49" s="110" t="s">
        <v>1123</v>
      </c>
      <c r="AF49" s="110" t="s">
        <v>1745</v>
      </c>
      <c r="AG49" s="110">
        <v>0.2</v>
      </c>
      <c r="AI49" s="110" t="s">
        <v>246</v>
      </c>
      <c r="AJ49" s="110" t="s">
        <v>246</v>
      </c>
      <c r="AK49" s="110" t="s">
        <v>171</v>
      </c>
      <c r="AL49" s="110" t="s">
        <v>190</v>
      </c>
      <c r="AO49" s="110">
        <v>0.5</v>
      </c>
      <c r="AP49" s="110" t="s">
        <v>190</v>
      </c>
      <c r="AQ49" s="110" t="s">
        <v>176</v>
      </c>
      <c r="AR49" s="110">
        <v>2010</v>
      </c>
      <c r="AS49" s="110" t="s">
        <v>237</v>
      </c>
      <c r="AT49" s="110" t="s">
        <v>420</v>
      </c>
      <c r="AU49" s="110">
        <v>19.8</v>
      </c>
      <c r="AW49" s="110" t="s">
        <v>611</v>
      </c>
      <c r="AX49" s="110" t="s">
        <v>612</v>
      </c>
      <c r="AY49" s="110" t="s">
        <v>174</v>
      </c>
      <c r="AZ49" s="110" t="s">
        <v>174</v>
      </c>
      <c r="BA49" s="110">
        <v>23.6</v>
      </c>
      <c r="BB49" s="110">
        <v>23.6</v>
      </c>
      <c r="BC49" s="110">
        <v>23.6</v>
      </c>
      <c r="BD49" s="110">
        <v>0</v>
      </c>
      <c r="BE49" s="110" t="s">
        <v>182</v>
      </c>
      <c r="BF49" s="110" t="s">
        <v>412</v>
      </c>
      <c r="BH49" s="110" t="s">
        <v>174</v>
      </c>
      <c r="BI49" s="110" t="s">
        <v>182</v>
      </c>
      <c r="BJ49" s="110" t="s">
        <v>412</v>
      </c>
      <c r="BK49" s="110">
        <v>1</v>
      </c>
      <c r="BL49" s="110">
        <v>6</v>
      </c>
      <c r="BM49" s="110" t="s">
        <v>1703</v>
      </c>
      <c r="BN49" s="110">
        <v>8.6999999999999994E-2</v>
      </c>
      <c r="BO49" s="110" t="s">
        <v>174</v>
      </c>
      <c r="BP49" s="110">
        <v>7.9672089719999999</v>
      </c>
      <c r="BQ49" s="110" t="s">
        <v>174</v>
      </c>
      <c r="BR49" s="110" t="s">
        <v>174</v>
      </c>
      <c r="BS49" s="110">
        <v>32</v>
      </c>
      <c r="BT49" s="110" t="s">
        <v>2458</v>
      </c>
      <c r="BU49" s="110" t="s">
        <v>2606</v>
      </c>
      <c r="BV49" s="110" t="s">
        <v>2458</v>
      </c>
      <c r="BZ49" s="110">
        <v>8.6999999999999994E-2</v>
      </c>
      <c r="CB49" s="110">
        <v>7.9672089719999999</v>
      </c>
      <c r="CC49" s="110" t="b">
        <v>0</v>
      </c>
      <c r="CD49" s="110" t="s">
        <v>2256</v>
      </c>
      <c r="CE49" s="110" t="s">
        <v>2256</v>
      </c>
      <c r="CF49" s="110" t="s">
        <v>2256</v>
      </c>
      <c r="CG49" s="110" t="s">
        <v>174</v>
      </c>
      <c r="CH49" s="110" t="s">
        <v>194</v>
      </c>
      <c r="CI49" s="110" t="s">
        <v>858</v>
      </c>
      <c r="CJ49" s="110" t="s">
        <v>859</v>
      </c>
    </row>
    <row r="50" spans="1:88">
      <c r="A50" s="110" t="s">
        <v>377</v>
      </c>
      <c r="B50" s="110">
        <v>12</v>
      </c>
      <c r="C50" s="110">
        <v>2</v>
      </c>
      <c r="D50" s="110">
        <v>8</v>
      </c>
      <c r="E50" s="110">
        <v>49</v>
      </c>
      <c r="F50" s="110">
        <v>2016</v>
      </c>
      <c r="G50" s="110" t="s">
        <v>161</v>
      </c>
      <c r="H50" s="110" t="s">
        <v>2437</v>
      </c>
      <c r="I50" s="110" t="s">
        <v>182</v>
      </c>
      <c r="J50" s="110" t="s">
        <v>246</v>
      </c>
      <c r="K50" s="110" t="s">
        <v>999</v>
      </c>
      <c r="L50" s="110" t="s">
        <v>999</v>
      </c>
      <c r="R50" s="110" t="s">
        <v>1976</v>
      </c>
      <c r="S50" s="110" t="s">
        <v>446</v>
      </c>
      <c r="T50" s="110" t="s">
        <v>707</v>
      </c>
      <c r="U50" s="110" t="s">
        <v>856</v>
      </c>
      <c r="V50" s="110">
        <v>41.832166669999999</v>
      </c>
      <c r="W50" s="110">
        <v>41.832166669999999</v>
      </c>
      <c r="X50" s="110">
        <v>-71.441416669999995</v>
      </c>
      <c r="Y50" s="110" t="s">
        <v>276</v>
      </c>
      <c r="Z50" s="110" t="s">
        <v>586</v>
      </c>
      <c r="AA50" s="110" t="s">
        <v>1788</v>
      </c>
      <c r="AB50" s="110" t="s">
        <v>1741</v>
      </c>
      <c r="AC50" s="110" t="s">
        <v>182</v>
      </c>
      <c r="AD50" s="110" t="s">
        <v>182</v>
      </c>
      <c r="AE50" s="110" t="s">
        <v>1123</v>
      </c>
      <c r="AF50" s="110" t="s">
        <v>1745</v>
      </c>
      <c r="AG50" s="110">
        <v>0.2</v>
      </c>
      <c r="AI50" s="110" t="s">
        <v>246</v>
      </c>
      <c r="AJ50" s="110" t="s">
        <v>246</v>
      </c>
      <c r="AK50" s="110" t="s">
        <v>171</v>
      </c>
      <c r="AL50" s="110" t="s">
        <v>190</v>
      </c>
      <c r="AO50" s="110">
        <v>0.5</v>
      </c>
      <c r="AP50" s="110" t="s">
        <v>190</v>
      </c>
      <c r="AQ50" s="110" t="s">
        <v>176</v>
      </c>
      <c r="AR50" s="110">
        <v>2010</v>
      </c>
      <c r="AS50" s="110" t="s">
        <v>237</v>
      </c>
      <c r="AT50" s="110" t="s">
        <v>420</v>
      </c>
      <c r="AU50" s="110">
        <v>8.9</v>
      </c>
      <c r="AW50" s="110" t="s">
        <v>707</v>
      </c>
      <c r="AX50" s="110" t="s">
        <v>856</v>
      </c>
      <c r="AY50" s="110" t="s">
        <v>174</v>
      </c>
      <c r="AZ50" s="110" t="s">
        <v>174</v>
      </c>
      <c r="BA50" s="110">
        <v>24</v>
      </c>
      <c r="BB50" s="110">
        <v>24</v>
      </c>
      <c r="BC50" s="110">
        <v>24</v>
      </c>
      <c r="BD50" s="110">
        <v>0</v>
      </c>
      <c r="BE50" s="110" t="s">
        <v>182</v>
      </c>
      <c r="BF50" s="110" t="s">
        <v>412</v>
      </c>
      <c r="BH50" s="110" t="s">
        <v>174</v>
      </c>
      <c r="BI50" s="110" t="s">
        <v>182</v>
      </c>
      <c r="BJ50" s="110" t="s">
        <v>412</v>
      </c>
      <c r="BK50" s="110">
        <v>1</v>
      </c>
      <c r="BL50" s="110">
        <v>6</v>
      </c>
      <c r="BM50" s="110" t="s">
        <v>1703</v>
      </c>
      <c r="BN50" s="110">
        <v>0.34599999999999997</v>
      </c>
      <c r="BO50" s="110" t="s">
        <v>174</v>
      </c>
      <c r="BP50" s="110">
        <v>2.003315551</v>
      </c>
      <c r="BQ50" s="110" t="s">
        <v>174</v>
      </c>
      <c r="BR50" s="110" t="s">
        <v>174</v>
      </c>
      <c r="BS50" s="110">
        <v>32</v>
      </c>
      <c r="BT50" s="110" t="s">
        <v>2458</v>
      </c>
      <c r="BU50" s="110" t="s">
        <v>2606</v>
      </c>
      <c r="BV50" s="110" t="s">
        <v>2458</v>
      </c>
      <c r="BZ50" s="110">
        <v>0.34599999999999997</v>
      </c>
      <c r="CB50" s="110">
        <v>2.003315551</v>
      </c>
      <c r="CC50" s="110" t="b">
        <v>0</v>
      </c>
      <c r="CD50" s="110" t="s">
        <v>2256</v>
      </c>
      <c r="CE50" s="110" t="s">
        <v>2256</v>
      </c>
      <c r="CF50" s="110" t="s">
        <v>2256</v>
      </c>
      <c r="CG50" s="110" t="s">
        <v>174</v>
      </c>
      <c r="CH50" s="110" t="s">
        <v>194</v>
      </c>
      <c r="CI50" s="110" t="s">
        <v>858</v>
      </c>
      <c r="CJ50" s="110" t="s">
        <v>859</v>
      </c>
    </row>
    <row r="51" spans="1:88">
      <c r="A51" s="110" t="s">
        <v>377</v>
      </c>
      <c r="B51" s="110">
        <v>12</v>
      </c>
      <c r="C51" s="110">
        <v>2</v>
      </c>
      <c r="D51" s="110">
        <v>8</v>
      </c>
      <c r="E51" s="110">
        <v>50</v>
      </c>
      <c r="F51" s="110">
        <v>2016</v>
      </c>
      <c r="G51" s="110" t="s">
        <v>161</v>
      </c>
      <c r="H51" s="110" t="s">
        <v>2437</v>
      </c>
      <c r="I51" s="110" t="s">
        <v>182</v>
      </c>
      <c r="J51" s="110" t="s">
        <v>246</v>
      </c>
      <c r="K51" s="110" t="s">
        <v>999</v>
      </c>
      <c r="L51" s="110" t="s">
        <v>999</v>
      </c>
      <c r="R51" s="110" t="s">
        <v>1976</v>
      </c>
      <c r="S51" s="110" t="s">
        <v>444</v>
      </c>
      <c r="T51" s="110" t="s">
        <v>445</v>
      </c>
      <c r="U51" s="110" t="s">
        <v>852</v>
      </c>
      <c r="V51" s="110">
        <v>41.832166669999999</v>
      </c>
      <c r="W51" s="110">
        <v>41.832166669999999</v>
      </c>
      <c r="X51" s="110">
        <v>-71.441416669999995</v>
      </c>
      <c r="Y51" s="110" t="s">
        <v>276</v>
      </c>
      <c r="Z51" s="110" t="s">
        <v>586</v>
      </c>
      <c r="AA51" s="110" t="s">
        <v>1788</v>
      </c>
      <c r="AB51" s="110" t="s">
        <v>1741</v>
      </c>
      <c r="AC51" s="110" t="s">
        <v>182</v>
      </c>
      <c r="AD51" s="110" t="s">
        <v>182</v>
      </c>
      <c r="AE51" s="110" t="s">
        <v>1123</v>
      </c>
      <c r="AF51" s="110" t="s">
        <v>1745</v>
      </c>
      <c r="AG51" s="110">
        <v>0.2</v>
      </c>
      <c r="AI51" s="110" t="s">
        <v>246</v>
      </c>
      <c r="AJ51" s="110" t="s">
        <v>246</v>
      </c>
      <c r="AK51" s="110" t="s">
        <v>171</v>
      </c>
      <c r="AL51" s="110" t="s">
        <v>190</v>
      </c>
      <c r="AO51" s="110">
        <v>0.5</v>
      </c>
      <c r="AP51" s="110" t="s">
        <v>190</v>
      </c>
      <c r="AQ51" s="110" t="s">
        <v>176</v>
      </c>
      <c r="AR51" s="110">
        <v>2010</v>
      </c>
      <c r="AS51" s="110" t="s">
        <v>237</v>
      </c>
      <c r="AT51" s="110" t="s">
        <v>420</v>
      </c>
      <c r="AU51" s="110">
        <v>6.1</v>
      </c>
      <c r="AW51" s="110" t="s">
        <v>445</v>
      </c>
      <c r="AX51" s="110" t="s">
        <v>852</v>
      </c>
      <c r="AY51" s="110" t="s">
        <v>174</v>
      </c>
      <c r="AZ51" s="110" t="s">
        <v>174</v>
      </c>
      <c r="BA51" s="110">
        <v>23.4</v>
      </c>
      <c r="BB51" s="110">
        <v>23.4</v>
      </c>
      <c r="BC51" s="110">
        <v>23.4</v>
      </c>
      <c r="BD51" s="110">
        <v>0</v>
      </c>
      <c r="BE51" s="110" t="s">
        <v>182</v>
      </c>
      <c r="BF51" s="110" t="s">
        <v>412</v>
      </c>
      <c r="BH51" s="110" t="s">
        <v>174</v>
      </c>
      <c r="BI51" s="110" t="s">
        <v>182</v>
      </c>
      <c r="BJ51" s="110" t="s">
        <v>412</v>
      </c>
      <c r="BK51" s="110">
        <v>1</v>
      </c>
      <c r="BL51" s="110">
        <v>6</v>
      </c>
      <c r="BM51" s="110" t="s">
        <v>1703</v>
      </c>
      <c r="BN51" s="110">
        <v>0.51600000000000001</v>
      </c>
      <c r="BO51" s="110" t="s">
        <v>174</v>
      </c>
      <c r="BP51" s="110">
        <v>1.343308489</v>
      </c>
      <c r="BQ51" s="110" t="s">
        <v>174</v>
      </c>
      <c r="BR51" s="110" t="s">
        <v>174</v>
      </c>
      <c r="BS51" s="110">
        <v>32</v>
      </c>
      <c r="BT51" s="110" t="s">
        <v>2458</v>
      </c>
      <c r="BU51" s="110" t="s">
        <v>2606</v>
      </c>
      <c r="BV51" s="110" t="s">
        <v>2458</v>
      </c>
      <c r="BZ51" s="110">
        <v>0.51600000000000001</v>
      </c>
      <c r="CB51" s="110">
        <v>1.343308489</v>
      </c>
      <c r="CC51" s="110" t="b">
        <v>0</v>
      </c>
      <c r="CD51" s="110" t="s">
        <v>2256</v>
      </c>
      <c r="CE51" s="110" t="s">
        <v>2256</v>
      </c>
      <c r="CF51" s="110" t="s">
        <v>2256</v>
      </c>
      <c r="CG51" s="110" t="s">
        <v>174</v>
      </c>
      <c r="CH51" s="110" t="s">
        <v>194</v>
      </c>
      <c r="CI51" s="110" t="s">
        <v>858</v>
      </c>
      <c r="CJ51" s="110" t="s">
        <v>859</v>
      </c>
    </row>
    <row r="52" spans="1:88">
      <c r="A52" s="110" t="s">
        <v>377</v>
      </c>
      <c r="B52" s="110">
        <v>12</v>
      </c>
      <c r="C52" s="110">
        <v>2</v>
      </c>
      <c r="D52" s="110">
        <v>8</v>
      </c>
      <c r="E52" s="110">
        <v>51</v>
      </c>
      <c r="F52" s="110">
        <v>2016</v>
      </c>
      <c r="G52" s="110" t="s">
        <v>161</v>
      </c>
      <c r="H52" s="110" t="s">
        <v>2437</v>
      </c>
      <c r="I52" s="110" t="s">
        <v>182</v>
      </c>
      <c r="J52" s="110" t="s">
        <v>246</v>
      </c>
      <c r="K52" s="110" t="s">
        <v>999</v>
      </c>
      <c r="L52" s="110" t="s">
        <v>999</v>
      </c>
      <c r="R52" s="110" t="s">
        <v>1976</v>
      </c>
      <c r="S52" s="110" t="s">
        <v>446</v>
      </c>
      <c r="T52" s="110" t="s">
        <v>854</v>
      </c>
      <c r="U52" s="110" t="s">
        <v>855</v>
      </c>
      <c r="V52" s="110">
        <v>41.832166669999999</v>
      </c>
      <c r="W52" s="110">
        <v>41.832166669999999</v>
      </c>
      <c r="X52" s="110">
        <v>-71.441416669999995</v>
      </c>
      <c r="Y52" s="110" t="s">
        <v>276</v>
      </c>
      <c r="Z52" s="110" t="s">
        <v>586</v>
      </c>
      <c r="AA52" s="110" t="s">
        <v>1788</v>
      </c>
      <c r="AB52" s="110" t="s">
        <v>1741</v>
      </c>
      <c r="AC52" s="110" t="s">
        <v>182</v>
      </c>
      <c r="AD52" s="110" t="s">
        <v>182</v>
      </c>
      <c r="AE52" s="110" t="s">
        <v>1123</v>
      </c>
      <c r="AF52" s="110" t="s">
        <v>1745</v>
      </c>
      <c r="AG52" s="110">
        <v>0.2</v>
      </c>
      <c r="AI52" s="110" t="s">
        <v>246</v>
      </c>
      <c r="AJ52" s="110" t="s">
        <v>246</v>
      </c>
      <c r="AK52" s="110" t="s">
        <v>171</v>
      </c>
      <c r="AL52" s="110" t="s">
        <v>190</v>
      </c>
      <c r="AO52" s="110">
        <v>0.5</v>
      </c>
      <c r="AP52" s="110" t="s">
        <v>190</v>
      </c>
      <c r="AQ52" s="110" t="s">
        <v>176</v>
      </c>
      <c r="AR52" s="110">
        <v>2010</v>
      </c>
      <c r="AS52" s="110" t="s">
        <v>237</v>
      </c>
      <c r="AT52" s="110" t="s">
        <v>420</v>
      </c>
      <c r="AU52" s="110">
        <v>6.2</v>
      </c>
      <c r="AW52" s="110" t="s">
        <v>854</v>
      </c>
      <c r="AX52" s="110" t="s">
        <v>855</v>
      </c>
      <c r="AY52" s="110" t="s">
        <v>174</v>
      </c>
      <c r="AZ52" s="110" t="s">
        <v>174</v>
      </c>
      <c r="BA52" s="110">
        <v>23.8</v>
      </c>
      <c r="BB52" s="110">
        <v>23.8</v>
      </c>
      <c r="BC52" s="110">
        <v>23.8</v>
      </c>
      <c r="BD52" s="110">
        <v>0</v>
      </c>
      <c r="BE52" s="110" t="s">
        <v>182</v>
      </c>
      <c r="BF52" s="110" t="s">
        <v>412</v>
      </c>
      <c r="BH52" s="110" t="s">
        <v>174</v>
      </c>
      <c r="BI52" s="110" t="s">
        <v>182</v>
      </c>
      <c r="BJ52" s="110" t="s">
        <v>412</v>
      </c>
      <c r="BK52" s="110">
        <v>1</v>
      </c>
      <c r="BL52" s="110">
        <v>6</v>
      </c>
      <c r="BM52" s="110" t="s">
        <v>1703</v>
      </c>
      <c r="BN52" s="110">
        <v>0.26500000000000001</v>
      </c>
      <c r="BO52" s="110" t="s">
        <v>174</v>
      </c>
      <c r="BP52" s="110">
        <v>2.6156497380000001</v>
      </c>
      <c r="BQ52" s="110" t="s">
        <v>174</v>
      </c>
      <c r="BR52" s="110" t="s">
        <v>174</v>
      </c>
      <c r="BS52" s="110">
        <v>32</v>
      </c>
      <c r="BT52" s="110" t="s">
        <v>2458</v>
      </c>
      <c r="BU52" s="110" t="s">
        <v>2606</v>
      </c>
      <c r="BV52" s="110" t="s">
        <v>2458</v>
      </c>
      <c r="BZ52" s="110">
        <v>0.26500000000000001</v>
      </c>
      <c r="CB52" s="110">
        <v>2.6156497380000001</v>
      </c>
      <c r="CC52" s="110" t="b">
        <v>0</v>
      </c>
      <c r="CD52" s="110" t="s">
        <v>2256</v>
      </c>
      <c r="CE52" s="110" t="s">
        <v>2256</v>
      </c>
      <c r="CF52" s="110" t="s">
        <v>2256</v>
      </c>
      <c r="CG52" s="110" t="s">
        <v>174</v>
      </c>
      <c r="CH52" s="110" t="s">
        <v>194</v>
      </c>
      <c r="CI52" s="110" t="s">
        <v>858</v>
      </c>
      <c r="CJ52" s="110" t="s">
        <v>859</v>
      </c>
    </row>
    <row r="53" spans="1:88">
      <c r="A53" s="110" t="s">
        <v>377</v>
      </c>
      <c r="B53" s="110">
        <v>12</v>
      </c>
      <c r="C53" s="110">
        <v>2</v>
      </c>
      <c r="D53" s="110">
        <v>8</v>
      </c>
      <c r="E53" s="110">
        <v>52</v>
      </c>
      <c r="F53" s="110">
        <v>2016</v>
      </c>
      <c r="G53" s="110" t="s">
        <v>161</v>
      </c>
      <c r="H53" s="110" t="s">
        <v>2437</v>
      </c>
      <c r="I53" s="110" t="s">
        <v>182</v>
      </c>
      <c r="J53" s="110" t="s">
        <v>246</v>
      </c>
      <c r="K53" s="110" t="s">
        <v>999</v>
      </c>
      <c r="L53" s="110" t="s">
        <v>999</v>
      </c>
      <c r="R53" s="110" t="s">
        <v>1976</v>
      </c>
      <c r="S53" s="110" t="s">
        <v>444</v>
      </c>
      <c r="T53" s="110" t="s">
        <v>445</v>
      </c>
      <c r="U53" s="110" t="s">
        <v>853</v>
      </c>
      <c r="V53" s="110">
        <v>41.832166669999999</v>
      </c>
      <c r="W53" s="110">
        <v>41.832166669999999</v>
      </c>
      <c r="X53" s="110">
        <v>-71.441416669999995</v>
      </c>
      <c r="Y53" s="110" t="s">
        <v>276</v>
      </c>
      <c r="Z53" s="110" t="s">
        <v>586</v>
      </c>
      <c r="AA53" s="110" t="s">
        <v>1788</v>
      </c>
      <c r="AB53" s="110" t="s">
        <v>1741</v>
      </c>
      <c r="AC53" s="110" t="s">
        <v>182</v>
      </c>
      <c r="AD53" s="110" t="s">
        <v>182</v>
      </c>
      <c r="AE53" s="110" t="s">
        <v>1123</v>
      </c>
      <c r="AF53" s="110" t="s">
        <v>1745</v>
      </c>
      <c r="AG53" s="110">
        <v>0.2</v>
      </c>
      <c r="AI53" s="110" t="s">
        <v>246</v>
      </c>
      <c r="AJ53" s="110" t="s">
        <v>246</v>
      </c>
      <c r="AK53" s="110" t="s">
        <v>171</v>
      </c>
      <c r="AL53" s="110" t="s">
        <v>190</v>
      </c>
      <c r="AO53" s="110">
        <v>0.5</v>
      </c>
      <c r="AP53" s="110" t="s">
        <v>190</v>
      </c>
      <c r="AQ53" s="110" t="s">
        <v>176</v>
      </c>
      <c r="AR53" s="110">
        <v>2010</v>
      </c>
      <c r="AS53" s="110" t="s">
        <v>237</v>
      </c>
      <c r="AT53" s="110" t="s">
        <v>420</v>
      </c>
      <c r="AU53" s="110">
        <v>4.9000000000000004</v>
      </c>
      <c r="AW53" s="110" t="s">
        <v>445</v>
      </c>
      <c r="AX53" s="110" t="s">
        <v>853</v>
      </c>
      <c r="AY53" s="110" t="s">
        <v>174</v>
      </c>
      <c r="AZ53" s="110" t="s">
        <v>174</v>
      </c>
      <c r="BA53" s="110">
        <v>22.7</v>
      </c>
      <c r="BB53" s="110">
        <v>22.7</v>
      </c>
      <c r="BC53" s="110">
        <v>22.7</v>
      </c>
      <c r="BD53" s="110">
        <v>0</v>
      </c>
      <c r="BE53" s="110" t="s">
        <v>182</v>
      </c>
      <c r="BF53" s="110" t="s">
        <v>412</v>
      </c>
      <c r="BH53" s="110" t="s">
        <v>174</v>
      </c>
      <c r="BI53" s="110" t="s">
        <v>182</v>
      </c>
      <c r="BJ53" s="110" t="s">
        <v>412</v>
      </c>
      <c r="BK53" s="110">
        <v>1</v>
      </c>
      <c r="BL53" s="110">
        <v>6</v>
      </c>
      <c r="BM53" s="110" t="s">
        <v>1703</v>
      </c>
      <c r="BN53" s="110">
        <v>0.441</v>
      </c>
      <c r="BO53" s="110" t="s">
        <v>174</v>
      </c>
      <c r="BP53" s="110">
        <v>1.5717623140000001</v>
      </c>
      <c r="BQ53" s="110" t="s">
        <v>174</v>
      </c>
      <c r="BR53" s="110" t="s">
        <v>174</v>
      </c>
      <c r="BS53" s="110">
        <v>32</v>
      </c>
      <c r="BT53" s="110" t="s">
        <v>2458</v>
      </c>
      <c r="BU53" s="110" t="s">
        <v>2606</v>
      </c>
      <c r="BV53" s="110" t="s">
        <v>2458</v>
      </c>
      <c r="BZ53" s="110">
        <v>0.441</v>
      </c>
      <c r="CB53" s="110">
        <v>1.5717623140000001</v>
      </c>
      <c r="CC53" s="110" t="b">
        <v>0</v>
      </c>
      <c r="CD53" s="110" t="s">
        <v>2256</v>
      </c>
      <c r="CE53" s="110" t="s">
        <v>2256</v>
      </c>
      <c r="CF53" s="110" t="s">
        <v>2256</v>
      </c>
      <c r="CG53" s="110" t="s">
        <v>174</v>
      </c>
      <c r="CH53" s="110" t="s">
        <v>243</v>
      </c>
      <c r="CI53" s="110" t="s">
        <v>858</v>
      </c>
      <c r="CJ53" s="110" t="s">
        <v>859</v>
      </c>
    </row>
    <row r="54" spans="1:88">
      <c r="A54" s="110" t="s">
        <v>742</v>
      </c>
      <c r="B54" s="110">
        <v>13</v>
      </c>
      <c r="C54" s="110">
        <v>1</v>
      </c>
      <c r="D54" s="110">
        <v>1</v>
      </c>
      <c r="E54" s="110">
        <v>53</v>
      </c>
      <c r="F54" s="110">
        <v>1987</v>
      </c>
      <c r="G54" s="110" t="s">
        <v>161</v>
      </c>
      <c r="H54" s="110" t="s">
        <v>2440</v>
      </c>
      <c r="I54" s="110" t="s">
        <v>182</v>
      </c>
      <c r="J54" s="110" t="s">
        <v>246</v>
      </c>
      <c r="K54" s="110" t="s">
        <v>999</v>
      </c>
      <c r="L54" s="110" t="s">
        <v>999</v>
      </c>
      <c r="R54" s="110" t="s">
        <v>272</v>
      </c>
      <c r="S54" s="110" t="s">
        <v>443</v>
      </c>
      <c r="T54" s="110" t="s">
        <v>562</v>
      </c>
      <c r="U54" s="110" t="s">
        <v>563</v>
      </c>
      <c r="V54" s="110">
        <v>46.54</v>
      </c>
      <c r="W54" s="110">
        <v>-46.54</v>
      </c>
      <c r="X54" s="110">
        <v>37.450000000000003</v>
      </c>
      <c r="Y54" s="110" t="s">
        <v>770</v>
      </c>
      <c r="Z54" s="110" t="s">
        <v>802</v>
      </c>
      <c r="AA54" s="110" t="s">
        <v>424</v>
      </c>
      <c r="AB54" s="110" t="s">
        <v>333</v>
      </c>
      <c r="AC54" s="110" t="s">
        <v>246</v>
      </c>
      <c r="AD54" s="110" t="s">
        <v>333</v>
      </c>
      <c r="AE54" s="110" t="s">
        <v>1306</v>
      </c>
      <c r="AF54" s="110" t="s">
        <v>1789</v>
      </c>
      <c r="AI54" s="110" t="s">
        <v>246</v>
      </c>
      <c r="AJ54" s="110" t="s">
        <v>246</v>
      </c>
      <c r="AK54" s="110" t="s">
        <v>333</v>
      </c>
      <c r="AL54" s="110" t="s">
        <v>190</v>
      </c>
      <c r="AO54" s="110" t="s">
        <v>190</v>
      </c>
      <c r="AP54" s="110" t="s">
        <v>190</v>
      </c>
      <c r="AQ54" s="110" t="s">
        <v>176</v>
      </c>
      <c r="AR54" s="110">
        <v>1984</v>
      </c>
      <c r="AS54" s="110" t="s">
        <v>743</v>
      </c>
      <c r="AT54" s="110" t="s">
        <v>420</v>
      </c>
      <c r="AU54" s="110">
        <v>1000</v>
      </c>
      <c r="AW54" s="110" t="s">
        <v>174</v>
      </c>
      <c r="AX54" s="110" t="s">
        <v>174</v>
      </c>
      <c r="AY54" s="110" t="s">
        <v>174</v>
      </c>
      <c r="AZ54" s="110" t="s">
        <v>174</v>
      </c>
      <c r="BA54" s="110">
        <v>8.1999999999999993</v>
      </c>
      <c r="BB54" s="110">
        <v>8.1999999999999993</v>
      </c>
      <c r="BC54" s="110">
        <v>8.1999999999999993</v>
      </c>
      <c r="BD54" s="110">
        <v>0</v>
      </c>
      <c r="BE54" s="110" t="s">
        <v>182</v>
      </c>
      <c r="BF54" s="110" t="s">
        <v>412</v>
      </c>
      <c r="BH54" s="110" t="s">
        <v>190</v>
      </c>
      <c r="BI54" s="110" t="s">
        <v>182</v>
      </c>
      <c r="BJ54" s="110" t="s">
        <v>412</v>
      </c>
      <c r="BK54" s="110">
        <v>2</v>
      </c>
      <c r="BL54" s="110">
        <v>19</v>
      </c>
      <c r="BM54" s="110" t="s">
        <v>174</v>
      </c>
      <c r="BN54" s="110" t="s">
        <v>174</v>
      </c>
      <c r="BO54" s="110" t="s">
        <v>174</v>
      </c>
      <c r="BP54" s="110" t="s">
        <v>174</v>
      </c>
      <c r="BQ54" s="110" t="s">
        <v>174</v>
      </c>
      <c r="BR54" s="110" t="s">
        <v>174</v>
      </c>
      <c r="BS54" s="110">
        <v>30</v>
      </c>
      <c r="BT54" s="110" t="s">
        <v>1396</v>
      </c>
      <c r="BU54" s="110" t="s">
        <v>1396</v>
      </c>
      <c r="BV54" s="110" t="s">
        <v>1396</v>
      </c>
      <c r="BW54" s="110">
        <v>0.97</v>
      </c>
      <c r="CA54" s="110">
        <v>2.7553000000000001</v>
      </c>
      <c r="CB54" s="110">
        <v>18.146844260000002</v>
      </c>
      <c r="CC54" s="110" t="b">
        <v>0</v>
      </c>
      <c r="CD54" s="110">
        <v>9</v>
      </c>
      <c r="CE54" s="110" t="s">
        <v>2256</v>
      </c>
      <c r="CF54" s="110" t="s">
        <v>2256</v>
      </c>
      <c r="CG54" s="110">
        <v>36.293688529999997</v>
      </c>
      <c r="CH54" s="110" t="s">
        <v>190</v>
      </c>
      <c r="CI54" s="110" t="s">
        <v>751</v>
      </c>
    </row>
    <row r="55" spans="1:88">
      <c r="A55" s="110" t="s">
        <v>742</v>
      </c>
      <c r="B55" s="110">
        <v>13</v>
      </c>
      <c r="C55" s="110">
        <v>1</v>
      </c>
      <c r="D55" s="110">
        <v>2</v>
      </c>
      <c r="E55" s="110">
        <v>54</v>
      </c>
      <c r="F55" s="110">
        <v>1987</v>
      </c>
      <c r="G55" s="110" t="s">
        <v>161</v>
      </c>
      <c r="H55" s="110" t="s">
        <v>2440</v>
      </c>
      <c r="I55" s="110" t="s">
        <v>182</v>
      </c>
      <c r="J55" s="110" t="s">
        <v>246</v>
      </c>
      <c r="K55" s="110" t="s">
        <v>999</v>
      </c>
      <c r="L55" s="110" t="s">
        <v>999</v>
      </c>
      <c r="R55" s="110" t="s">
        <v>272</v>
      </c>
      <c r="S55" s="110" t="s">
        <v>443</v>
      </c>
      <c r="T55" s="110" t="s">
        <v>562</v>
      </c>
      <c r="U55" s="110" t="s">
        <v>563</v>
      </c>
      <c r="V55" s="110">
        <v>46.54</v>
      </c>
      <c r="W55" s="110">
        <v>-46.54</v>
      </c>
      <c r="X55" s="110">
        <v>37.450000000000003</v>
      </c>
      <c r="Y55" s="110" t="s">
        <v>770</v>
      </c>
      <c r="Z55" s="110" t="s">
        <v>802</v>
      </c>
      <c r="AA55" s="110" t="s">
        <v>424</v>
      </c>
      <c r="AB55" s="110" t="s">
        <v>333</v>
      </c>
      <c r="AC55" s="110" t="s">
        <v>246</v>
      </c>
      <c r="AD55" s="110" t="s">
        <v>333</v>
      </c>
      <c r="AE55" s="110" t="s">
        <v>1306</v>
      </c>
      <c r="AF55" s="110" t="s">
        <v>1789</v>
      </c>
      <c r="AI55" s="110" t="s">
        <v>182</v>
      </c>
      <c r="AJ55" s="110" t="s">
        <v>1746</v>
      </c>
      <c r="AK55" s="110" t="s">
        <v>661</v>
      </c>
      <c r="AL55" s="110" t="s">
        <v>190</v>
      </c>
      <c r="AO55" s="110" t="s">
        <v>190</v>
      </c>
      <c r="AP55" s="110" t="s">
        <v>190</v>
      </c>
      <c r="AQ55" s="110" t="s">
        <v>176</v>
      </c>
      <c r="AR55" s="110">
        <v>1984</v>
      </c>
      <c r="AS55" s="110" t="s">
        <v>743</v>
      </c>
      <c r="AT55" s="110" t="s">
        <v>420</v>
      </c>
      <c r="AU55" s="110">
        <v>7500</v>
      </c>
      <c r="AW55" s="110" t="s">
        <v>174</v>
      </c>
      <c r="AX55" s="110" t="s">
        <v>174</v>
      </c>
      <c r="AY55" s="110" t="s">
        <v>174</v>
      </c>
      <c r="AZ55" s="110" t="s">
        <v>174</v>
      </c>
      <c r="BA55" s="110">
        <v>8.1999999999999993</v>
      </c>
      <c r="BB55" s="110">
        <v>8.1999999999999993</v>
      </c>
      <c r="BC55" s="110">
        <v>8.1999999999999993</v>
      </c>
      <c r="BD55" s="110">
        <v>0</v>
      </c>
      <c r="BE55" s="110" t="s">
        <v>246</v>
      </c>
      <c r="BF55" s="110" t="s">
        <v>188</v>
      </c>
      <c r="BG55" s="110">
        <v>0</v>
      </c>
      <c r="BH55" s="110" t="s">
        <v>190</v>
      </c>
      <c r="BI55" s="110" t="s">
        <v>182</v>
      </c>
      <c r="BJ55" s="110" t="s">
        <v>412</v>
      </c>
      <c r="BK55" s="110">
        <v>1</v>
      </c>
      <c r="BL55" s="110">
        <v>11</v>
      </c>
      <c r="BM55" s="110" t="s">
        <v>174</v>
      </c>
      <c r="BN55" s="110" t="s">
        <v>174</v>
      </c>
      <c r="BO55" s="110" t="s">
        <v>174</v>
      </c>
      <c r="BP55" s="110" t="s">
        <v>174</v>
      </c>
      <c r="BQ55" s="110" t="s">
        <v>174</v>
      </c>
      <c r="BR55" s="110" t="s">
        <v>174</v>
      </c>
      <c r="BS55" s="110">
        <v>15</v>
      </c>
      <c r="BT55" s="110" t="s">
        <v>2347</v>
      </c>
      <c r="BU55" s="110" t="s">
        <v>1394</v>
      </c>
      <c r="BV55" s="110" t="s">
        <v>2603</v>
      </c>
      <c r="BW55" s="110">
        <v>0.98</v>
      </c>
      <c r="BX55" s="110" t="s">
        <v>1385</v>
      </c>
      <c r="BY55" s="110">
        <v>0.99</v>
      </c>
      <c r="BZ55" s="110">
        <v>0.1547</v>
      </c>
      <c r="CB55" s="110">
        <v>4.5</v>
      </c>
      <c r="CC55" s="110" t="b">
        <v>0</v>
      </c>
      <c r="CD55" s="110">
        <v>5</v>
      </c>
      <c r="CE55" s="110" t="s">
        <v>2256</v>
      </c>
      <c r="CF55" s="110" t="s">
        <v>2256</v>
      </c>
      <c r="CG55" s="110" t="s">
        <v>174</v>
      </c>
      <c r="CH55" s="110" t="s">
        <v>745</v>
      </c>
      <c r="CI55" s="110" t="s">
        <v>752</v>
      </c>
    </row>
    <row r="56" spans="1:88">
      <c r="A56" s="110" t="s">
        <v>742</v>
      </c>
      <c r="B56" s="110">
        <v>13</v>
      </c>
      <c r="C56" s="110">
        <v>1</v>
      </c>
      <c r="D56" s="110">
        <v>2</v>
      </c>
      <c r="E56" s="110">
        <v>55</v>
      </c>
      <c r="F56" s="110">
        <v>1987</v>
      </c>
      <c r="G56" s="110" t="s">
        <v>161</v>
      </c>
      <c r="H56" s="110" t="s">
        <v>2440</v>
      </c>
      <c r="I56" s="110" t="s">
        <v>182</v>
      </c>
      <c r="J56" s="110" t="s">
        <v>246</v>
      </c>
      <c r="K56" s="110" t="s">
        <v>999</v>
      </c>
      <c r="L56" s="110" t="s">
        <v>999</v>
      </c>
      <c r="R56" s="110" t="s">
        <v>272</v>
      </c>
      <c r="S56" s="110" t="s">
        <v>443</v>
      </c>
      <c r="T56" s="110" t="s">
        <v>562</v>
      </c>
      <c r="U56" s="110" t="s">
        <v>563</v>
      </c>
      <c r="V56" s="110">
        <v>46.54</v>
      </c>
      <c r="W56" s="110">
        <v>-46.54</v>
      </c>
      <c r="X56" s="110">
        <v>37.450000000000003</v>
      </c>
      <c r="Y56" s="110" t="s">
        <v>770</v>
      </c>
      <c r="Z56" s="110" t="s">
        <v>802</v>
      </c>
      <c r="AA56" s="110" t="s">
        <v>424</v>
      </c>
      <c r="AB56" s="110" t="s">
        <v>333</v>
      </c>
      <c r="AC56" s="110" t="s">
        <v>246</v>
      </c>
      <c r="AD56" s="110" t="s">
        <v>333</v>
      </c>
      <c r="AE56" s="110" t="s">
        <v>1306</v>
      </c>
      <c r="AF56" s="110" t="s">
        <v>1789</v>
      </c>
      <c r="AI56" s="110" t="s">
        <v>182</v>
      </c>
      <c r="AJ56" s="110" t="s">
        <v>1746</v>
      </c>
      <c r="AK56" s="110" t="s">
        <v>333</v>
      </c>
      <c r="AL56" s="110" t="s">
        <v>190</v>
      </c>
      <c r="AO56" s="110" t="s">
        <v>190</v>
      </c>
      <c r="AP56" s="110" t="s">
        <v>190</v>
      </c>
      <c r="AQ56" s="110" t="s">
        <v>176</v>
      </c>
      <c r="AR56" s="110">
        <v>1984</v>
      </c>
      <c r="AS56" s="110" t="s">
        <v>743</v>
      </c>
      <c r="AT56" s="110" t="s">
        <v>420</v>
      </c>
      <c r="AU56" s="110">
        <v>6000</v>
      </c>
      <c r="AW56" s="110" t="s">
        <v>174</v>
      </c>
      <c r="AX56" s="110" t="s">
        <v>174</v>
      </c>
      <c r="AY56" s="110" t="s">
        <v>174</v>
      </c>
      <c r="AZ56" s="110" t="s">
        <v>174</v>
      </c>
      <c r="BA56" s="110">
        <v>8.1999999999999993</v>
      </c>
      <c r="BB56" s="110">
        <v>8.1999999999999993</v>
      </c>
      <c r="BC56" s="110">
        <v>8.1999999999999993</v>
      </c>
      <c r="BD56" s="110">
        <v>0</v>
      </c>
      <c r="BE56" s="110" t="s">
        <v>246</v>
      </c>
      <c r="BF56" s="110" t="s">
        <v>188</v>
      </c>
      <c r="BG56" s="110">
        <v>0</v>
      </c>
      <c r="BH56" s="110" t="s">
        <v>190</v>
      </c>
      <c r="BI56" s="110" t="s">
        <v>182</v>
      </c>
      <c r="BJ56" s="110" t="s">
        <v>412</v>
      </c>
      <c r="BK56" s="110">
        <v>1</v>
      </c>
      <c r="BL56" s="110">
        <v>18</v>
      </c>
      <c r="BM56" s="110" t="s">
        <v>174</v>
      </c>
      <c r="BN56" s="110" t="s">
        <v>174</v>
      </c>
      <c r="BO56" s="110" t="s">
        <v>174</v>
      </c>
      <c r="BP56" s="110" t="s">
        <v>174</v>
      </c>
      <c r="BQ56" s="110" t="s">
        <v>174</v>
      </c>
      <c r="BR56" s="110" t="s">
        <v>174</v>
      </c>
      <c r="BS56" s="110">
        <v>31</v>
      </c>
      <c r="BT56" s="110" t="s">
        <v>1385</v>
      </c>
      <c r="BU56" s="110" t="s">
        <v>3207</v>
      </c>
      <c r="BV56" s="110" t="s">
        <v>2603</v>
      </c>
      <c r="BW56" s="110">
        <v>0.99</v>
      </c>
      <c r="BZ56" s="110">
        <v>0.1404</v>
      </c>
      <c r="CB56" s="110">
        <v>8.8800000000000008</v>
      </c>
      <c r="CC56" s="110" t="b">
        <v>0</v>
      </c>
      <c r="CD56" s="110">
        <v>27.2</v>
      </c>
      <c r="CE56" s="110">
        <v>27.2</v>
      </c>
      <c r="CF56" s="110" t="s">
        <v>182</v>
      </c>
      <c r="CG56" s="110" t="s">
        <v>174</v>
      </c>
      <c r="CH56" s="110" t="s">
        <v>746</v>
      </c>
      <c r="CI56" s="110" t="s">
        <v>752</v>
      </c>
    </row>
    <row r="57" spans="1:88">
      <c r="A57" s="110" t="s">
        <v>370</v>
      </c>
      <c r="B57" s="110">
        <v>14</v>
      </c>
      <c r="C57" s="110">
        <v>1</v>
      </c>
      <c r="D57" s="110">
        <v>1</v>
      </c>
      <c r="E57" s="110">
        <v>56</v>
      </c>
      <c r="F57" s="110">
        <v>2020</v>
      </c>
      <c r="G57" s="110" t="s">
        <v>161</v>
      </c>
      <c r="H57" s="110" t="s">
        <v>1219</v>
      </c>
      <c r="I57" s="110" t="s">
        <v>182</v>
      </c>
      <c r="J57" s="110" t="s">
        <v>246</v>
      </c>
      <c r="K57" s="110" t="s">
        <v>999</v>
      </c>
      <c r="L57" s="110" t="s">
        <v>999</v>
      </c>
      <c r="R57" s="110" t="s">
        <v>152</v>
      </c>
      <c r="S57" s="110" t="s">
        <v>443</v>
      </c>
      <c r="T57" s="110" t="s">
        <v>156</v>
      </c>
      <c r="U57" s="110" t="s">
        <v>158</v>
      </c>
      <c r="V57" s="110">
        <v>48.709383330000001</v>
      </c>
      <c r="W57" s="110">
        <v>48.709383330000001</v>
      </c>
      <c r="X57" s="110">
        <v>-3.9534333300000002</v>
      </c>
      <c r="Y57" s="110" t="s">
        <v>310</v>
      </c>
      <c r="Z57" s="110" t="s">
        <v>155</v>
      </c>
      <c r="AA57" s="110" t="s">
        <v>1788</v>
      </c>
      <c r="AB57" s="110" t="s">
        <v>333</v>
      </c>
      <c r="AC57" s="110" t="s">
        <v>246</v>
      </c>
      <c r="AD57" s="110" t="s">
        <v>333</v>
      </c>
      <c r="AE57" s="110" t="s">
        <v>1123</v>
      </c>
      <c r="AF57" s="110" t="s">
        <v>1745</v>
      </c>
      <c r="AG57" s="110">
        <v>4.5</v>
      </c>
      <c r="AI57" s="110" t="s">
        <v>246</v>
      </c>
      <c r="AJ57" s="110" t="s">
        <v>246</v>
      </c>
      <c r="AK57" s="110" t="s">
        <v>1749</v>
      </c>
      <c r="AL57" s="110" t="s">
        <v>190</v>
      </c>
      <c r="AO57" s="110">
        <v>10</v>
      </c>
      <c r="AP57" s="110" t="s">
        <v>190</v>
      </c>
      <c r="AQ57" s="110" t="s">
        <v>176</v>
      </c>
      <c r="AR57" s="110">
        <v>2017</v>
      </c>
      <c r="AS57" s="110" t="s">
        <v>319</v>
      </c>
      <c r="AT57" s="110" t="s">
        <v>298</v>
      </c>
      <c r="AU57" s="110">
        <v>911</v>
      </c>
      <c r="AW57" s="110">
        <v>14.44</v>
      </c>
      <c r="AX57" s="110">
        <v>16.100000000000001</v>
      </c>
      <c r="AY57" s="110">
        <v>28.7</v>
      </c>
      <c r="AZ57" s="110">
        <v>26.48</v>
      </c>
      <c r="BA57" s="110">
        <v>11.7</v>
      </c>
      <c r="BB57" s="110">
        <v>17.8</v>
      </c>
      <c r="BC57" s="110">
        <v>14.75</v>
      </c>
      <c r="BD57" s="110">
        <v>6.1</v>
      </c>
      <c r="BE57" s="110" t="s">
        <v>182</v>
      </c>
      <c r="BF57" s="110" t="s">
        <v>412</v>
      </c>
      <c r="BG57" s="110" t="s">
        <v>374</v>
      </c>
      <c r="BH57" s="110" t="s">
        <v>224</v>
      </c>
      <c r="BI57" s="110" t="s">
        <v>182</v>
      </c>
      <c r="BJ57" s="110" t="s">
        <v>190</v>
      </c>
      <c r="BK57" s="110">
        <v>5</v>
      </c>
      <c r="BL57" s="110">
        <v>7</v>
      </c>
      <c r="BM57" s="110" t="s">
        <v>1394</v>
      </c>
      <c r="BN57" s="110">
        <v>1.0699999999999999E-2</v>
      </c>
      <c r="BO57" s="110" t="s">
        <v>174</v>
      </c>
      <c r="BP57" s="110">
        <v>65</v>
      </c>
      <c r="BQ57" s="110">
        <v>0</v>
      </c>
      <c r="BR57" s="110" t="s">
        <v>174</v>
      </c>
      <c r="BS57" s="110">
        <v>168</v>
      </c>
      <c r="BT57" s="110" t="s">
        <v>1385</v>
      </c>
      <c r="BU57" s="110" t="s">
        <v>3207</v>
      </c>
      <c r="BV57" s="110" t="s">
        <v>2603</v>
      </c>
      <c r="BW57" s="110">
        <v>0.95</v>
      </c>
      <c r="BZ57" s="110">
        <v>1.18E-2</v>
      </c>
      <c r="CB57" s="110">
        <v>18</v>
      </c>
      <c r="CC57" s="110" t="b">
        <v>0</v>
      </c>
      <c r="CD57" s="110">
        <v>2.64</v>
      </c>
      <c r="CE57" s="110">
        <v>2.64</v>
      </c>
      <c r="CF57" s="110" t="s">
        <v>182</v>
      </c>
      <c r="CG57" s="110" t="s">
        <v>174</v>
      </c>
      <c r="CH57" s="110" t="s">
        <v>2384</v>
      </c>
      <c r="CI57" s="110" t="s">
        <v>371</v>
      </c>
    </row>
    <row r="58" spans="1:88">
      <c r="A58" s="110" t="s">
        <v>370</v>
      </c>
      <c r="B58" s="110">
        <v>14</v>
      </c>
      <c r="C58" s="110">
        <v>1</v>
      </c>
      <c r="D58" s="110">
        <v>1</v>
      </c>
      <c r="E58" s="110">
        <v>57</v>
      </c>
      <c r="F58" s="110">
        <v>2020</v>
      </c>
      <c r="G58" s="110" t="s">
        <v>161</v>
      </c>
      <c r="H58" s="110" t="s">
        <v>1219</v>
      </c>
      <c r="I58" s="110" t="s">
        <v>182</v>
      </c>
      <c r="J58" s="110" t="s">
        <v>246</v>
      </c>
      <c r="K58" s="110" t="s">
        <v>999</v>
      </c>
      <c r="L58" s="110" t="s">
        <v>999</v>
      </c>
      <c r="R58" s="110" t="s">
        <v>152</v>
      </c>
      <c r="S58" s="110" t="s">
        <v>443</v>
      </c>
      <c r="T58" s="110" t="s">
        <v>156</v>
      </c>
      <c r="U58" s="110" t="s">
        <v>158</v>
      </c>
      <c r="V58" s="110">
        <v>48.709383330000001</v>
      </c>
      <c r="W58" s="110">
        <v>48.709383330000001</v>
      </c>
      <c r="X58" s="110">
        <v>-3.9534333300000002</v>
      </c>
      <c r="Y58" s="110" t="s">
        <v>310</v>
      </c>
      <c r="Z58" s="110" t="s">
        <v>155</v>
      </c>
      <c r="AA58" s="110" t="s">
        <v>1788</v>
      </c>
      <c r="AB58" s="110" t="s">
        <v>333</v>
      </c>
      <c r="AC58" s="110" t="s">
        <v>246</v>
      </c>
      <c r="AD58" s="110" t="s">
        <v>333</v>
      </c>
      <c r="AE58" s="110" t="s">
        <v>1123</v>
      </c>
      <c r="AF58" s="110" t="s">
        <v>1745</v>
      </c>
      <c r="AG58" s="110">
        <v>4.5</v>
      </c>
      <c r="AI58" s="110" t="s">
        <v>246</v>
      </c>
      <c r="AJ58" s="110" t="s">
        <v>246</v>
      </c>
      <c r="AK58" s="110" t="s">
        <v>1749</v>
      </c>
      <c r="AL58" s="110" t="s">
        <v>190</v>
      </c>
      <c r="AO58" s="110">
        <v>10</v>
      </c>
      <c r="AP58" s="110" t="s">
        <v>190</v>
      </c>
      <c r="AQ58" s="110" t="s">
        <v>176</v>
      </c>
      <c r="AR58" s="110">
        <v>2017</v>
      </c>
      <c r="AS58" s="110" t="s">
        <v>319</v>
      </c>
      <c r="AT58" s="110" t="s">
        <v>298</v>
      </c>
      <c r="AU58" s="110">
        <v>911</v>
      </c>
      <c r="AW58" s="110" t="s">
        <v>174</v>
      </c>
      <c r="AX58" s="110" t="s">
        <v>174</v>
      </c>
      <c r="AY58" s="110" t="s">
        <v>174</v>
      </c>
      <c r="AZ58" s="110" t="s">
        <v>174</v>
      </c>
      <c r="BA58" s="110">
        <v>11.7</v>
      </c>
      <c r="BB58" s="110">
        <v>17.8</v>
      </c>
      <c r="BC58" s="110">
        <v>14.75</v>
      </c>
      <c r="BD58" s="110">
        <v>6.1</v>
      </c>
      <c r="BE58" s="110" t="s">
        <v>182</v>
      </c>
      <c r="BF58" s="110" t="s">
        <v>412</v>
      </c>
      <c r="BG58" s="110" t="s">
        <v>374</v>
      </c>
      <c r="BH58" s="110" t="s">
        <v>224</v>
      </c>
      <c r="BI58" s="110" t="s">
        <v>182</v>
      </c>
      <c r="BJ58" s="110" t="s">
        <v>190</v>
      </c>
      <c r="BK58" s="110">
        <v>5</v>
      </c>
      <c r="BL58" s="110">
        <v>5</v>
      </c>
      <c r="BM58" s="110" t="s">
        <v>1394</v>
      </c>
      <c r="BN58" s="110">
        <v>3.6600000000000001E-2</v>
      </c>
      <c r="BO58" s="110" t="s">
        <v>174</v>
      </c>
      <c r="BP58" s="110">
        <v>18.899999999999999</v>
      </c>
      <c r="BQ58" s="110">
        <v>0</v>
      </c>
      <c r="BR58" s="110" t="s">
        <v>174</v>
      </c>
      <c r="BS58" s="110">
        <v>140</v>
      </c>
      <c r="BT58" s="110" t="s">
        <v>1385</v>
      </c>
      <c r="BU58" s="110" t="s">
        <v>3207</v>
      </c>
      <c r="BV58" s="110" t="s">
        <v>2603</v>
      </c>
      <c r="BW58" s="110">
        <v>0.95199999999999996</v>
      </c>
      <c r="BZ58" s="110">
        <v>3.61E-2</v>
      </c>
      <c r="CB58" s="110">
        <v>19</v>
      </c>
      <c r="CC58" s="110" t="b">
        <v>0</v>
      </c>
      <c r="CD58" s="110">
        <v>7.21</v>
      </c>
      <c r="CE58" s="110">
        <v>7.21</v>
      </c>
      <c r="CF58" s="110" t="s">
        <v>182</v>
      </c>
      <c r="CG58" s="110" t="s">
        <v>174</v>
      </c>
      <c r="CH58" s="110" t="s">
        <v>2385</v>
      </c>
      <c r="CI58" s="110" t="s">
        <v>371</v>
      </c>
    </row>
    <row r="59" spans="1:88">
      <c r="A59" s="110" t="s">
        <v>607</v>
      </c>
      <c r="B59" s="110">
        <v>15</v>
      </c>
      <c r="C59" s="110">
        <v>1</v>
      </c>
      <c r="D59" s="110">
        <v>1</v>
      </c>
      <c r="E59" s="110">
        <v>58</v>
      </c>
      <c r="F59" s="110">
        <v>2012</v>
      </c>
      <c r="G59" s="110" t="s">
        <v>161</v>
      </c>
      <c r="H59" s="110" t="s">
        <v>2440</v>
      </c>
      <c r="I59" s="110" t="s">
        <v>182</v>
      </c>
      <c r="J59" s="110" t="s">
        <v>246</v>
      </c>
      <c r="K59" s="110" t="s">
        <v>999</v>
      </c>
      <c r="L59" s="110" t="s">
        <v>999</v>
      </c>
      <c r="R59" s="110" t="s">
        <v>272</v>
      </c>
      <c r="S59" s="110" t="s">
        <v>443</v>
      </c>
      <c r="T59" s="110" t="s">
        <v>562</v>
      </c>
      <c r="U59" s="110" t="s">
        <v>563</v>
      </c>
      <c r="V59" s="110">
        <v>45.86065267</v>
      </c>
      <c r="W59" s="110">
        <v>-45.86065267</v>
      </c>
      <c r="X59" s="110">
        <v>170.66683689999999</v>
      </c>
      <c r="Y59" s="110" t="s">
        <v>483</v>
      </c>
      <c r="Z59" s="110" t="s">
        <v>802</v>
      </c>
      <c r="AA59" s="110" t="s">
        <v>1788</v>
      </c>
      <c r="AB59" s="110" t="s">
        <v>333</v>
      </c>
      <c r="AC59" s="110" t="s">
        <v>246</v>
      </c>
      <c r="AD59" s="110" t="s">
        <v>1725</v>
      </c>
      <c r="AE59" s="110" t="s">
        <v>1123</v>
      </c>
      <c r="AF59" s="110" t="s">
        <v>1745</v>
      </c>
      <c r="AG59" s="110" t="s">
        <v>1766</v>
      </c>
      <c r="AI59" s="110" t="s">
        <v>246</v>
      </c>
      <c r="AJ59" s="110" t="s">
        <v>246</v>
      </c>
      <c r="AK59" s="110" t="s">
        <v>171</v>
      </c>
      <c r="AL59" s="110" t="s">
        <v>190</v>
      </c>
      <c r="AO59" s="110">
        <v>10</v>
      </c>
      <c r="AP59" s="110" t="s">
        <v>190</v>
      </c>
      <c r="AQ59" s="110" t="s">
        <v>176</v>
      </c>
      <c r="AR59" s="110">
        <v>2008</v>
      </c>
      <c r="AS59" s="110" t="s">
        <v>319</v>
      </c>
      <c r="AT59" s="110" t="s">
        <v>254</v>
      </c>
      <c r="AU59" s="110">
        <v>1000</v>
      </c>
      <c r="AW59" s="110" t="s">
        <v>174</v>
      </c>
      <c r="AX59" s="110" t="s">
        <v>174</v>
      </c>
      <c r="AY59" s="110">
        <v>28.3</v>
      </c>
      <c r="AZ59" s="110">
        <v>22.7</v>
      </c>
      <c r="BA59" s="110">
        <v>12.4</v>
      </c>
      <c r="BB59" s="110">
        <v>12.4</v>
      </c>
      <c r="BC59" s="110">
        <v>12.4</v>
      </c>
      <c r="BD59" s="110">
        <v>0</v>
      </c>
      <c r="BE59" s="110" t="s">
        <v>182</v>
      </c>
      <c r="BF59" s="110" t="s">
        <v>412</v>
      </c>
      <c r="BH59" s="110" t="s">
        <v>174</v>
      </c>
      <c r="BI59" s="110" t="s">
        <v>182</v>
      </c>
      <c r="BJ59" s="110" t="s">
        <v>190</v>
      </c>
      <c r="BK59" s="110">
        <v>4</v>
      </c>
      <c r="BL59" s="110">
        <v>6</v>
      </c>
      <c r="BM59" s="110" t="s">
        <v>174</v>
      </c>
      <c r="BN59" s="110" t="s">
        <v>174</v>
      </c>
      <c r="BO59" s="110" t="s">
        <v>174</v>
      </c>
      <c r="BP59" s="110" t="s">
        <v>174</v>
      </c>
      <c r="BQ59" s="110" t="s">
        <v>174</v>
      </c>
      <c r="BR59" s="110" t="s">
        <v>174</v>
      </c>
      <c r="BS59" s="110">
        <v>30</v>
      </c>
      <c r="BT59" s="110" t="s">
        <v>1385</v>
      </c>
      <c r="BU59" s="110" t="s">
        <v>3207</v>
      </c>
      <c r="BV59" s="110" t="s">
        <v>2603</v>
      </c>
      <c r="BW59" s="110">
        <v>0.97</v>
      </c>
      <c r="BZ59" s="110">
        <v>0.82420000000000004</v>
      </c>
      <c r="CB59" s="110">
        <v>2.96</v>
      </c>
      <c r="CC59" s="110" t="b">
        <v>0</v>
      </c>
      <c r="CD59" s="110">
        <v>45.3</v>
      </c>
      <c r="CE59" s="110">
        <v>45.3</v>
      </c>
      <c r="CF59" s="110" t="s">
        <v>182</v>
      </c>
      <c r="CG59" s="110" t="s">
        <v>174</v>
      </c>
      <c r="CH59" s="110" t="s">
        <v>10</v>
      </c>
      <c r="CI59" s="110" t="s">
        <v>564</v>
      </c>
    </row>
    <row r="60" spans="1:88">
      <c r="A60" s="110" t="s">
        <v>607</v>
      </c>
      <c r="B60" s="110">
        <v>15</v>
      </c>
      <c r="C60" s="110">
        <v>1</v>
      </c>
      <c r="D60" s="110">
        <v>1</v>
      </c>
      <c r="E60" s="110">
        <v>59</v>
      </c>
      <c r="F60" s="110">
        <v>2012</v>
      </c>
      <c r="G60" s="110" t="s">
        <v>161</v>
      </c>
      <c r="H60" s="110" t="s">
        <v>2440</v>
      </c>
      <c r="I60" s="110" t="s">
        <v>182</v>
      </c>
      <c r="J60" s="110" t="s">
        <v>246</v>
      </c>
      <c r="K60" s="110" t="s">
        <v>999</v>
      </c>
      <c r="L60" s="110" t="s">
        <v>999</v>
      </c>
      <c r="R60" s="110" t="s">
        <v>272</v>
      </c>
      <c r="S60" s="110" t="s">
        <v>443</v>
      </c>
      <c r="T60" s="110" t="s">
        <v>562</v>
      </c>
      <c r="U60" s="110" t="s">
        <v>563</v>
      </c>
      <c r="V60" s="110">
        <v>45.86065267</v>
      </c>
      <c r="W60" s="110">
        <v>-45.86065267</v>
      </c>
      <c r="X60" s="110">
        <v>170.66683689999999</v>
      </c>
      <c r="Y60" s="110" t="s">
        <v>483</v>
      </c>
      <c r="Z60" s="110" t="s">
        <v>802</v>
      </c>
      <c r="AA60" s="110" t="s">
        <v>1788</v>
      </c>
      <c r="AB60" s="110" t="s">
        <v>333</v>
      </c>
      <c r="AC60" s="110" t="s">
        <v>246</v>
      </c>
      <c r="AD60" s="110" t="s">
        <v>1725</v>
      </c>
      <c r="AE60" s="110" t="s">
        <v>1123</v>
      </c>
      <c r="AF60" s="110" t="s">
        <v>1745</v>
      </c>
      <c r="AG60" s="110" t="s">
        <v>1766</v>
      </c>
      <c r="AI60" s="110" t="s">
        <v>246</v>
      </c>
      <c r="AJ60" s="110" t="s">
        <v>246</v>
      </c>
      <c r="AK60" s="110" t="s">
        <v>171</v>
      </c>
      <c r="AL60" s="110" t="s">
        <v>190</v>
      </c>
      <c r="AO60" s="110">
        <v>10</v>
      </c>
      <c r="AP60" s="110" t="s">
        <v>190</v>
      </c>
      <c r="AQ60" s="110" t="s">
        <v>176</v>
      </c>
      <c r="AR60" s="110">
        <v>2008</v>
      </c>
      <c r="AS60" s="110" t="s">
        <v>236</v>
      </c>
      <c r="AT60" s="110" t="s">
        <v>385</v>
      </c>
      <c r="AU60" s="110">
        <v>1000</v>
      </c>
      <c r="AW60" s="110" t="s">
        <v>174</v>
      </c>
      <c r="AX60" s="110" t="s">
        <v>174</v>
      </c>
      <c r="AY60" s="110">
        <v>28.05</v>
      </c>
      <c r="AZ60" s="110">
        <v>22.7</v>
      </c>
      <c r="BA60" s="110">
        <v>8.3000000000000007</v>
      </c>
      <c r="BB60" s="110">
        <v>8.3000000000000007</v>
      </c>
      <c r="BC60" s="110">
        <v>8.3000000000000007</v>
      </c>
      <c r="BD60" s="110">
        <v>0</v>
      </c>
      <c r="BE60" s="110" t="s">
        <v>182</v>
      </c>
      <c r="BF60" s="110" t="s">
        <v>412</v>
      </c>
      <c r="BH60" s="110" t="s">
        <v>174</v>
      </c>
      <c r="BI60" s="110" t="s">
        <v>182</v>
      </c>
      <c r="BJ60" s="110" t="s">
        <v>190</v>
      </c>
      <c r="BK60" s="110">
        <v>4</v>
      </c>
      <c r="BL60" s="110">
        <v>6</v>
      </c>
      <c r="BM60" s="110" t="s">
        <v>174</v>
      </c>
      <c r="BN60" s="110" t="s">
        <v>174</v>
      </c>
      <c r="BO60" s="110" t="s">
        <v>174</v>
      </c>
      <c r="BP60" s="110" t="s">
        <v>174</v>
      </c>
      <c r="BQ60" s="110" t="s">
        <v>174</v>
      </c>
      <c r="BR60" s="110" t="s">
        <v>174</v>
      </c>
      <c r="BS60" s="110">
        <v>30</v>
      </c>
      <c r="BT60" s="110" t="s">
        <v>1385</v>
      </c>
      <c r="BU60" s="110" t="s">
        <v>3207</v>
      </c>
      <c r="BV60" s="110" t="s">
        <v>2603</v>
      </c>
      <c r="BW60" s="110">
        <v>0.83</v>
      </c>
      <c r="BZ60" s="110">
        <v>1.5206999999999999</v>
      </c>
      <c r="CB60" s="110" t="s">
        <v>190</v>
      </c>
      <c r="CC60" s="110" t="b">
        <v>0</v>
      </c>
      <c r="CD60" s="110">
        <v>62.3</v>
      </c>
      <c r="CE60" s="110">
        <v>62.3</v>
      </c>
      <c r="CF60" s="110" t="s">
        <v>182</v>
      </c>
      <c r="CG60" s="110" t="s">
        <v>174</v>
      </c>
      <c r="CH60" s="110" t="s">
        <v>10</v>
      </c>
      <c r="CI60" s="110" t="s">
        <v>564</v>
      </c>
    </row>
    <row r="61" spans="1:88">
      <c r="A61" s="110" t="s">
        <v>534</v>
      </c>
      <c r="B61" s="110">
        <v>16</v>
      </c>
      <c r="C61" s="110">
        <v>1</v>
      </c>
      <c r="D61" s="110">
        <v>1</v>
      </c>
      <c r="E61" s="110">
        <v>60</v>
      </c>
      <c r="F61" s="110">
        <v>2016</v>
      </c>
      <c r="G61" s="110" t="s">
        <v>161</v>
      </c>
      <c r="H61" s="110" t="s">
        <v>2440</v>
      </c>
      <c r="I61" s="110" t="s">
        <v>246</v>
      </c>
      <c r="J61" s="110" t="s">
        <v>246</v>
      </c>
      <c r="K61" s="110" t="s">
        <v>999</v>
      </c>
      <c r="L61" s="110" t="s">
        <v>999</v>
      </c>
      <c r="R61" s="110" t="s">
        <v>152</v>
      </c>
      <c r="S61" s="110" t="s">
        <v>443</v>
      </c>
      <c r="T61" s="110" t="s">
        <v>506</v>
      </c>
      <c r="U61" s="110" t="s">
        <v>507</v>
      </c>
      <c r="V61" s="110">
        <v>48.575000000000003</v>
      </c>
      <c r="W61" s="110">
        <v>48.575000000000003</v>
      </c>
      <c r="X61" s="110">
        <v>-123.0008</v>
      </c>
      <c r="Y61" s="110" t="s">
        <v>276</v>
      </c>
      <c r="Z61" s="110" t="s">
        <v>275</v>
      </c>
      <c r="AA61" s="110" t="s">
        <v>1788</v>
      </c>
      <c r="AB61" s="110" t="s">
        <v>333</v>
      </c>
      <c r="AC61" s="110" t="s">
        <v>246</v>
      </c>
      <c r="AD61" s="110" t="s">
        <v>333</v>
      </c>
      <c r="AE61" s="110" t="s">
        <v>1123</v>
      </c>
      <c r="AF61" s="110" t="s">
        <v>173</v>
      </c>
      <c r="AG61" s="110">
        <v>30.5</v>
      </c>
      <c r="AI61" s="110" t="s">
        <v>246</v>
      </c>
      <c r="AJ61" s="110" t="s">
        <v>246</v>
      </c>
      <c r="AK61" s="110" t="s">
        <v>171</v>
      </c>
      <c r="AL61" s="110" t="s">
        <v>190</v>
      </c>
      <c r="AO61" s="110">
        <v>20</v>
      </c>
      <c r="AP61" s="110" t="s">
        <v>190</v>
      </c>
      <c r="AQ61" s="110" t="s">
        <v>176</v>
      </c>
      <c r="AR61" s="110">
        <v>2011</v>
      </c>
      <c r="AS61" s="110" t="s">
        <v>236</v>
      </c>
      <c r="AT61" s="110" t="s">
        <v>420</v>
      </c>
      <c r="AU61" s="110" t="s">
        <v>174</v>
      </c>
      <c r="AW61" s="110" t="s">
        <v>174</v>
      </c>
      <c r="AX61" s="110" t="s">
        <v>174</v>
      </c>
      <c r="AY61" s="110" t="s">
        <v>174</v>
      </c>
      <c r="AZ61" s="110" t="s">
        <v>174</v>
      </c>
      <c r="BA61" s="110" t="s">
        <v>1766</v>
      </c>
      <c r="BB61" s="110" t="s">
        <v>1766</v>
      </c>
      <c r="BE61" s="110" t="s">
        <v>182</v>
      </c>
      <c r="BF61" s="110" t="s">
        <v>412</v>
      </c>
      <c r="BH61" s="110" t="s">
        <v>174</v>
      </c>
      <c r="BI61" s="110" t="s">
        <v>182</v>
      </c>
      <c r="BJ61" s="110" t="s">
        <v>190</v>
      </c>
      <c r="BK61" s="110">
        <v>3</v>
      </c>
      <c r="BL61" s="110">
        <v>1</v>
      </c>
      <c r="BM61" s="110" t="s">
        <v>174</v>
      </c>
      <c r="BN61" s="110" t="s">
        <v>174</v>
      </c>
      <c r="BO61" s="110" t="s">
        <v>174</v>
      </c>
      <c r="BP61" s="110" t="s">
        <v>174</v>
      </c>
      <c r="BQ61" s="110" t="s">
        <v>174</v>
      </c>
      <c r="BR61" s="110" t="s">
        <v>174</v>
      </c>
      <c r="BS61" s="110">
        <v>28</v>
      </c>
      <c r="BT61" s="110" t="s">
        <v>2256</v>
      </c>
      <c r="BU61" s="110" t="s">
        <v>2606</v>
      </c>
      <c r="BV61" s="110" t="s">
        <v>2256</v>
      </c>
      <c r="CA61" s="110">
        <v>3.36429</v>
      </c>
      <c r="CB61" s="110">
        <v>14.861976820000001</v>
      </c>
      <c r="CC61" s="110" t="b">
        <v>0</v>
      </c>
      <c r="CD61" s="110">
        <v>6.15</v>
      </c>
      <c r="CE61" s="110" t="s">
        <v>2256</v>
      </c>
      <c r="CF61" s="110" t="s">
        <v>2256</v>
      </c>
      <c r="CG61" s="110">
        <v>29.723953640000001</v>
      </c>
      <c r="CH61" s="110" t="s">
        <v>3088</v>
      </c>
      <c r="CI61" s="110" t="s">
        <v>510</v>
      </c>
    </row>
    <row r="62" spans="1:88">
      <c r="A62" s="110" t="s">
        <v>534</v>
      </c>
      <c r="B62" s="110">
        <v>16</v>
      </c>
      <c r="C62" s="110">
        <v>1</v>
      </c>
      <c r="D62" s="110">
        <v>1</v>
      </c>
      <c r="E62" s="110">
        <v>61</v>
      </c>
      <c r="F62" s="110">
        <v>2016</v>
      </c>
      <c r="G62" s="110" t="s">
        <v>161</v>
      </c>
      <c r="H62" s="110" t="s">
        <v>2440</v>
      </c>
      <c r="I62" s="110" t="s">
        <v>246</v>
      </c>
      <c r="J62" s="110" t="s">
        <v>246</v>
      </c>
      <c r="K62" s="110" t="s">
        <v>999</v>
      </c>
      <c r="L62" s="110" t="s">
        <v>999</v>
      </c>
      <c r="R62" s="110" t="s">
        <v>152</v>
      </c>
      <c r="S62" s="110" t="s">
        <v>443</v>
      </c>
      <c r="T62" s="110" t="s">
        <v>508</v>
      </c>
      <c r="U62" s="110" t="s">
        <v>509</v>
      </c>
      <c r="V62" s="110">
        <v>48.575000000000003</v>
      </c>
      <c r="W62" s="110">
        <v>48.575000000000003</v>
      </c>
      <c r="X62" s="110">
        <v>-123.0008</v>
      </c>
      <c r="Y62" s="110" t="s">
        <v>276</v>
      </c>
      <c r="Z62" s="110" t="s">
        <v>275</v>
      </c>
      <c r="AA62" s="110" t="s">
        <v>1788</v>
      </c>
      <c r="AB62" s="110" t="s">
        <v>333</v>
      </c>
      <c r="AC62" s="110" t="s">
        <v>246</v>
      </c>
      <c r="AD62" s="110" t="s">
        <v>333</v>
      </c>
      <c r="AE62" s="110" t="s">
        <v>1123</v>
      </c>
      <c r="AF62" s="110" t="s">
        <v>173</v>
      </c>
      <c r="AG62" s="110">
        <v>30.5</v>
      </c>
      <c r="AI62" s="110" t="s">
        <v>246</v>
      </c>
      <c r="AJ62" s="110" t="s">
        <v>246</v>
      </c>
      <c r="AK62" s="110" t="s">
        <v>171</v>
      </c>
      <c r="AL62" s="110" t="s">
        <v>190</v>
      </c>
      <c r="AO62" s="110">
        <v>20</v>
      </c>
      <c r="AP62" s="110" t="s">
        <v>190</v>
      </c>
      <c r="AQ62" s="110" t="s">
        <v>176</v>
      </c>
      <c r="AR62" s="110">
        <v>2011</v>
      </c>
      <c r="AS62" s="110" t="s">
        <v>236</v>
      </c>
      <c r="AT62" s="110" t="s">
        <v>420</v>
      </c>
      <c r="AU62" s="110" t="s">
        <v>174</v>
      </c>
      <c r="AW62" s="110" t="s">
        <v>174</v>
      </c>
      <c r="AX62" s="110" t="s">
        <v>174</v>
      </c>
      <c r="AY62" s="110" t="s">
        <v>174</v>
      </c>
      <c r="AZ62" s="110" t="s">
        <v>174</v>
      </c>
      <c r="BA62" s="110" t="s">
        <v>1766</v>
      </c>
      <c r="BB62" s="110" t="s">
        <v>1766</v>
      </c>
      <c r="BE62" s="110" t="s">
        <v>182</v>
      </c>
      <c r="BF62" s="110" t="s">
        <v>412</v>
      </c>
      <c r="BH62" s="110" t="s">
        <v>174</v>
      </c>
      <c r="BI62" s="110" t="s">
        <v>182</v>
      </c>
      <c r="BJ62" s="110" t="s">
        <v>190</v>
      </c>
      <c r="BK62" s="110">
        <v>3</v>
      </c>
      <c r="BL62" s="110">
        <v>1</v>
      </c>
      <c r="BM62" s="110" t="s">
        <v>174</v>
      </c>
      <c r="BN62" s="110" t="s">
        <v>174</v>
      </c>
      <c r="BO62" s="110" t="s">
        <v>174</v>
      </c>
      <c r="BP62" s="110" t="s">
        <v>174</v>
      </c>
      <c r="BQ62" s="110" t="s">
        <v>174</v>
      </c>
      <c r="BR62" s="110" t="s">
        <v>174</v>
      </c>
      <c r="BS62" s="110">
        <v>28</v>
      </c>
      <c r="BT62" s="110" t="s">
        <v>2256</v>
      </c>
      <c r="BU62" s="110" t="s">
        <v>2606</v>
      </c>
      <c r="BV62" s="110" t="s">
        <v>2256</v>
      </c>
      <c r="CA62" s="110">
        <v>0.73140000000000005</v>
      </c>
      <c r="CB62" s="110">
        <v>68.362045390000006</v>
      </c>
      <c r="CC62" s="110" t="b">
        <v>0</v>
      </c>
      <c r="CD62" s="110">
        <v>79.87</v>
      </c>
      <c r="CE62" s="110" t="s">
        <v>2256</v>
      </c>
      <c r="CF62" s="110" t="s">
        <v>2256</v>
      </c>
      <c r="CG62" s="110">
        <v>136.7240908</v>
      </c>
      <c r="CH62" s="110" t="s">
        <v>3090</v>
      </c>
      <c r="CI62" s="110" t="s">
        <v>510</v>
      </c>
    </row>
    <row r="63" spans="1:88">
      <c r="A63" s="110" t="s">
        <v>534</v>
      </c>
      <c r="B63" s="110">
        <v>16</v>
      </c>
      <c r="C63" s="110">
        <v>1</v>
      </c>
      <c r="D63" s="110">
        <v>2</v>
      </c>
      <c r="E63" s="110">
        <v>62</v>
      </c>
      <c r="F63" s="110">
        <v>2016</v>
      </c>
      <c r="G63" s="110" t="s">
        <v>161</v>
      </c>
      <c r="H63" s="110" t="s">
        <v>2440</v>
      </c>
      <c r="I63" s="110" t="s">
        <v>246</v>
      </c>
      <c r="J63" s="110" t="s">
        <v>246</v>
      </c>
      <c r="K63" s="110" t="s">
        <v>999</v>
      </c>
      <c r="L63" s="110" t="s">
        <v>999</v>
      </c>
      <c r="R63" s="110" t="s">
        <v>152</v>
      </c>
      <c r="S63" s="110" t="s">
        <v>443</v>
      </c>
      <c r="T63" s="110" t="s">
        <v>506</v>
      </c>
      <c r="U63" s="110" t="s">
        <v>507</v>
      </c>
      <c r="V63" s="110">
        <v>48.575000000000003</v>
      </c>
      <c r="W63" s="110">
        <v>48.575000000000003</v>
      </c>
      <c r="X63" s="110">
        <v>-123.0008</v>
      </c>
      <c r="Y63" s="110" t="s">
        <v>276</v>
      </c>
      <c r="Z63" s="110" t="s">
        <v>275</v>
      </c>
      <c r="AA63" s="110" t="s">
        <v>1788</v>
      </c>
      <c r="AB63" s="110" t="s">
        <v>333</v>
      </c>
      <c r="AC63" s="110" t="s">
        <v>246</v>
      </c>
      <c r="AD63" s="110" t="s">
        <v>333</v>
      </c>
      <c r="AE63" s="110" t="s">
        <v>1123</v>
      </c>
      <c r="AF63" s="110" t="s">
        <v>173</v>
      </c>
      <c r="AG63" s="110">
        <v>11</v>
      </c>
      <c r="AI63" s="110" t="s">
        <v>246</v>
      </c>
      <c r="AJ63" s="110" t="s">
        <v>246</v>
      </c>
      <c r="AK63" s="110" t="s">
        <v>171</v>
      </c>
      <c r="AL63" s="110" t="s">
        <v>190</v>
      </c>
      <c r="AO63" s="110">
        <v>20</v>
      </c>
      <c r="AP63" s="110" t="s">
        <v>190</v>
      </c>
      <c r="AQ63" s="110" t="s">
        <v>176</v>
      </c>
      <c r="AR63" s="110">
        <v>2012</v>
      </c>
      <c r="AS63" s="110" t="s">
        <v>236</v>
      </c>
      <c r="AT63" s="110" t="s">
        <v>420</v>
      </c>
      <c r="AU63" s="110" t="s">
        <v>174</v>
      </c>
      <c r="AW63" s="110" t="s">
        <v>174</v>
      </c>
      <c r="AX63" s="110" t="s">
        <v>174</v>
      </c>
      <c r="AY63" s="110" t="s">
        <v>174</v>
      </c>
      <c r="AZ63" s="110" t="s">
        <v>174</v>
      </c>
      <c r="BA63" s="110" t="s">
        <v>1766</v>
      </c>
      <c r="BB63" s="110" t="s">
        <v>1766</v>
      </c>
      <c r="BE63" s="110" t="s">
        <v>182</v>
      </c>
      <c r="BF63" s="110" t="s">
        <v>412</v>
      </c>
      <c r="BH63" s="110" t="s">
        <v>174</v>
      </c>
      <c r="BI63" s="110" t="s">
        <v>182</v>
      </c>
      <c r="BJ63" s="110" t="s">
        <v>190</v>
      </c>
      <c r="BK63" s="110">
        <v>3</v>
      </c>
      <c r="BL63" s="110">
        <v>1</v>
      </c>
      <c r="BM63" s="110" t="s">
        <v>174</v>
      </c>
      <c r="BN63" s="110" t="s">
        <v>174</v>
      </c>
      <c r="BO63" s="110" t="s">
        <v>174</v>
      </c>
      <c r="BP63" s="110" t="s">
        <v>174</v>
      </c>
      <c r="BQ63" s="110" t="s">
        <v>174</v>
      </c>
      <c r="BR63" s="110" t="s">
        <v>174</v>
      </c>
      <c r="BS63" s="110">
        <v>21</v>
      </c>
      <c r="BT63" s="110" t="s">
        <v>2256</v>
      </c>
      <c r="BU63" s="110" t="s">
        <v>2606</v>
      </c>
      <c r="BV63" s="110" t="s">
        <v>2256</v>
      </c>
      <c r="CA63" s="110">
        <v>2.4035700000000002</v>
      </c>
      <c r="CB63" s="110">
        <v>20.802389779999999</v>
      </c>
      <c r="CC63" s="110" t="b">
        <v>0</v>
      </c>
      <c r="CD63" s="110">
        <v>32.94</v>
      </c>
      <c r="CE63" s="110" t="s">
        <v>2256</v>
      </c>
      <c r="CF63" s="110" t="s">
        <v>2256</v>
      </c>
      <c r="CG63" s="110">
        <v>41.604779559999997</v>
      </c>
      <c r="CH63" s="110" t="s">
        <v>3087</v>
      </c>
      <c r="CI63" s="110" t="s">
        <v>510</v>
      </c>
    </row>
    <row r="64" spans="1:88">
      <c r="A64" s="110" t="s">
        <v>534</v>
      </c>
      <c r="B64" s="110">
        <v>16</v>
      </c>
      <c r="C64" s="110">
        <v>1</v>
      </c>
      <c r="D64" s="110">
        <v>2</v>
      </c>
      <c r="E64" s="110">
        <v>63</v>
      </c>
      <c r="F64" s="110">
        <v>2016</v>
      </c>
      <c r="G64" s="110" t="s">
        <v>161</v>
      </c>
      <c r="H64" s="110" t="s">
        <v>2440</v>
      </c>
      <c r="I64" s="110" t="s">
        <v>246</v>
      </c>
      <c r="J64" s="110" t="s">
        <v>246</v>
      </c>
      <c r="K64" s="110" t="s">
        <v>999</v>
      </c>
      <c r="L64" s="110" t="s">
        <v>999</v>
      </c>
      <c r="R64" s="110" t="s">
        <v>152</v>
      </c>
      <c r="S64" s="110" t="s">
        <v>443</v>
      </c>
      <c r="T64" s="110" t="s">
        <v>508</v>
      </c>
      <c r="U64" s="110" t="s">
        <v>509</v>
      </c>
      <c r="V64" s="110">
        <v>48.575000000000003</v>
      </c>
      <c r="W64" s="110">
        <v>48.575000000000003</v>
      </c>
      <c r="X64" s="110">
        <v>-123.0008</v>
      </c>
      <c r="Y64" s="110" t="s">
        <v>276</v>
      </c>
      <c r="Z64" s="110" t="s">
        <v>275</v>
      </c>
      <c r="AA64" s="110" t="s">
        <v>1788</v>
      </c>
      <c r="AB64" s="110" t="s">
        <v>333</v>
      </c>
      <c r="AC64" s="110" t="s">
        <v>246</v>
      </c>
      <c r="AD64" s="110" t="s">
        <v>333</v>
      </c>
      <c r="AE64" s="110" t="s">
        <v>1123</v>
      </c>
      <c r="AF64" s="110" t="s">
        <v>173</v>
      </c>
      <c r="AG64" s="110">
        <v>11</v>
      </c>
      <c r="AI64" s="110" t="s">
        <v>246</v>
      </c>
      <c r="AJ64" s="110" t="s">
        <v>246</v>
      </c>
      <c r="AK64" s="110" t="s">
        <v>171</v>
      </c>
      <c r="AL64" s="110" t="s">
        <v>190</v>
      </c>
      <c r="AO64" s="110">
        <v>20</v>
      </c>
      <c r="AP64" s="110" t="s">
        <v>190</v>
      </c>
      <c r="AQ64" s="110" t="s">
        <v>176</v>
      </c>
      <c r="AR64" s="110">
        <v>2012</v>
      </c>
      <c r="AS64" s="110" t="s">
        <v>236</v>
      </c>
      <c r="AT64" s="110" t="s">
        <v>420</v>
      </c>
      <c r="AU64" s="110" t="s">
        <v>174</v>
      </c>
      <c r="AW64" s="110" t="s">
        <v>174</v>
      </c>
      <c r="AX64" s="110" t="s">
        <v>174</v>
      </c>
      <c r="AY64" s="110" t="s">
        <v>174</v>
      </c>
      <c r="AZ64" s="110" t="s">
        <v>174</v>
      </c>
      <c r="BA64" s="110" t="s">
        <v>1766</v>
      </c>
      <c r="BB64" s="110" t="s">
        <v>1766</v>
      </c>
      <c r="BE64" s="110" t="s">
        <v>182</v>
      </c>
      <c r="BF64" s="110" t="s">
        <v>412</v>
      </c>
      <c r="BH64" s="110" t="s">
        <v>174</v>
      </c>
      <c r="BI64" s="110" t="s">
        <v>182</v>
      </c>
      <c r="BJ64" s="110" t="s">
        <v>190</v>
      </c>
      <c r="BK64" s="110">
        <v>3</v>
      </c>
      <c r="BL64" s="110">
        <v>1</v>
      </c>
      <c r="BM64" s="110" t="s">
        <v>174</v>
      </c>
      <c r="BN64" s="110" t="s">
        <v>174</v>
      </c>
      <c r="BO64" s="110" t="s">
        <v>174</v>
      </c>
      <c r="BP64" s="110" t="s">
        <v>174</v>
      </c>
      <c r="BQ64" s="110" t="s">
        <v>174</v>
      </c>
      <c r="BR64" s="110" t="s">
        <v>174</v>
      </c>
      <c r="BS64" s="110">
        <v>28</v>
      </c>
      <c r="BT64" s="110" t="s">
        <v>2256</v>
      </c>
      <c r="BU64" s="110" t="s">
        <v>2606</v>
      </c>
      <c r="BV64" s="110" t="s">
        <v>2256</v>
      </c>
      <c r="CA64" s="110">
        <v>0.56428999999999996</v>
      </c>
      <c r="CB64" s="110">
        <v>88.606921970000002</v>
      </c>
      <c r="CC64" s="110" t="b">
        <v>0</v>
      </c>
      <c r="CD64" s="110">
        <v>84.835999999999999</v>
      </c>
      <c r="CE64" s="110" t="s">
        <v>2256</v>
      </c>
      <c r="CF64" s="110" t="s">
        <v>2256</v>
      </c>
      <c r="CG64" s="110">
        <v>177.2138439</v>
      </c>
      <c r="CH64" s="110" t="s">
        <v>3089</v>
      </c>
      <c r="CI64" s="110" t="s">
        <v>510</v>
      </c>
    </row>
    <row r="65" spans="1:88">
      <c r="A65" s="110" t="s">
        <v>534</v>
      </c>
      <c r="B65" s="110">
        <v>16</v>
      </c>
      <c r="C65" s="110">
        <v>1</v>
      </c>
      <c r="D65" s="110">
        <v>3</v>
      </c>
      <c r="E65" s="110">
        <v>64</v>
      </c>
      <c r="F65" s="110">
        <v>2016</v>
      </c>
      <c r="G65" s="110" t="s">
        <v>161</v>
      </c>
      <c r="H65" s="110" t="s">
        <v>2440</v>
      </c>
      <c r="I65" s="110" t="s">
        <v>246</v>
      </c>
      <c r="J65" s="110" t="s">
        <v>246</v>
      </c>
      <c r="K65" s="110" t="s">
        <v>999</v>
      </c>
      <c r="L65" s="110" t="s">
        <v>999</v>
      </c>
      <c r="R65" s="110" t="s">
        <v>152</v>
      </c>
      <c r="S65" s="110" t="s">
        <v>443</v>
      </c>
      <c r="T65" s="110" t="s">
        <v>506</v>
      </c>
      <c r="U65" s="110" t="s">
        <v>507</v>
      </c>
      <c r="V65" s="110">
        <v>48.575000000000003</v>
      </c>
      <c r="W65" s="110">
        <v>48.575000000000003</v>
      </c>
      <c r="X65" s="110">
        <v>-123.0008</v>
      </c>
      <c r="Y65" s="110" t="s">
        <v>276</v>
      </c>
      <c r="Z65" s="110" t="s">
        <v>275</v>
      </c>
      <c r="AA65" s="110" t="s">
        <v>1788</v>
      </c>
      <c r="AB65" s="110" t="s">
        <v>333</v>
      </c>
      <c r="AC65" s="110" t="s">
        <v>246</v>
      </c>
      <c r="AD65" s="110" t="s">
        <v>333</v>
      </c>
      <c r="AE65" s="110" t="s">
        <v>1123</v>
      </c>
      <c r="AF65" s="110" t="s">
        <v>173</v>
      </c>
      <c r="AG65" s="110">
        <v>30</v>
      </c>
      <c r="AI65" s="110" t="s">
        <v>246</v>
      </c>
      <c r="AJ65" s="110" t="s">
        <v>246</v>
      </c>
      <c r="AK65" s="110" t="s">
        <v>171</v>
      </c>
      <c r="AL65" s="110" t="s">
        <v>190</v>
      </c>
      <c r="AO65" s="110">
        <v>20</v>
      </c>
      <c r="AP65" s="110" t="s">
        <v>190</v>
      </c>
      <c r="AQ65" s="110" t="s">
        <v>176</v>
      </c>
      <c r="AR65" s="110">
        <v>2011</v>
      </c>
      <c r="AS65" s="110" t="s">
        <v>475</v>
      </c>
      <c r="AT65" s="110" t="s">
        <v>420</v>
      </c>
      <c r="AU65" s="110" t="s">
        <v>174</v>
      </c>
      <c r="AW65" s="110" t="s">
        <v>174</v>
      </c>
      <c r="AX65" s="110" t="s">
        <v>174</v>
      </c>
      <c r="AY65" s="110" t="s">
        <v>174</v>
      </c>
      <c r="AZ65" s="110" t="s">
        <v>174</v>
      </c>
      <c r="BA65" s="110" t="s">
        <v>1766</v>
      </c>
      <c r="BB65" s="110" t="s">
        <v>1766</v>
      </c>
      <c r="BE65" s="110" t="s">
        <v>182</v>
      </c>
      <c r="BF65" s="110" t="s">
        <v>412</v>
      </c>
      <c r="BH65" s="110" t="s">
        <v>174</v>
      </c>
      <c r="BI65" s="110" t="s">
        <v>182</v>
      </c>
      <c r="BJ65" s="110" t="s">
        <v>190</v>
      </c>
      <c r="BK65" s="110">
        <v>3</v>
      </c>
      <c r="BL65" s="110">
        <v>3</v>
      </c>
      <c r="BM65" s="110" t="s">
        <v>174</v>
      </c>
      <c r="BN65" s="110" t="s">
        <v>174</v>
      </c>
      <c r="BO65" s="110" t="s">
        <v>174</v>
      </c>
      <c r="BP65" s="110" t="s">
        <v>174</v>
      </c>
      <c r="BQ65" s="110" t="s">
        <v>174</v>
      </c>
      <c r="BR65" s="110" t="s">
        <v>174</v>
      </c>
      <c r="BS65" s="110">
        <v>28</v>
      </c>
      <c r="BT65" s="110" t="s">
        <v>2378</v>
      </c>
      <c r="BU65" s="110" t="s">
        <v>1398</v>
      </c>
      <c r="BV65" s="110" t="s">
        <v>2603</v>
      </c>
      <c r="BW65" s="110">
        <v>0.996</v>
      </c>
      <c r="BX65" s="110" t="s">
        <v>1396</v>
      </c>
      <c r="BY65" s="110">
        <v>0.82</v>
      </c>
      <c r="CA65" s="110">
        <v>3.8860000000000001</v>
      </c>
      <c r="CB65" s="110">
        <v>12.866700979999999</v>
      </c>
      <c r="CC65" s="110" t="b">
        <v>0</v>
      </c>
      <c r="CD65" s="110">
        <v>5.8</v>
      </c>
      <c r="CE65" s="110" t="s">
        <v>2256</v>
      </c>
      <c r="CF65" s="110" t="s">
        <v>2256</v>
      </c>
      <c r="CG65" s="110" t="s">
        <v>174</v>
      </c>
      <c r="CH65" s="110" t="s">
        <v>515</v>
      </c>
      <c r="CI65" s="110" t="s">
        <v>510</v>
      </c>
    </row>
    <row r="66" spans="1:88">
      <c r="A66" s="110" t="s">
        <v>936</v>
      </c>
      <c r="B66" s="110">
        <v>17</v>
      </c>
      <c r="C66" s="110">
        <v>1</v>
      </c>
      <c r="D66" s="110">
        <v>1</v>
      </c>
      <c r="E66" s="110">
        <v>65</v>
      </c>
      <c r="F66" s="110">
        <v>2022</v>
      </c>
      <c r="G66" s="110" t="s">
        <v>187</v>
      </c>
      <c r="H66" s="110" t="s">
        <v>1119</v>
      </c>
      <c r="I66" s="110" t="s">
        <v>182</v>
      </c>
      <c r="J66" s="110" t="s">
        <v>182</v>
      </c>
      <c r="K66" s="110" t="s">
        <v>186</v>
      </c>
      <c r="L66" s="110" t="s">
        <v>186</v>
      </c>
      <c r="M66" s="110" t="s">
        <v>3161</v>
      </c>
      <c r="Q66" s="110">
        <v>0.7</v>
      </c>
      <c r="R66" s="110" t="s">
        <v>152</v>
      </c>
      <c r="S66" s="110" t="s">
        <v>443</v>
      </c>
      <c r="T66" s="110" t="s">
        <v>154</v>
      </c>
      <c r="U66" s="110" t="s">
        <v>326</v>
      </c>
      <c r="V66" s="110">
        <v>37.09304796</v>
      </c>
      <c r="W66" s="110">
        <v>37.09304796</v>
      </c>
      <c r="X66" s="110">
        <v>122.4652177</v>
      </c>
      <c r="Y66" s="110" t="s">
        <v>185</v>
      </c>
      <c r="Z66" s="110" t="s">
        <v>380</v>
      </c>
      <c r="AA66" s="110" t="s">
        <v>1788</v>
      </c>
      <c r="AB66" s="110" t="s">
        <v>333</v>
      </c>
      <c r="AC66" s="110" t="s">
        <v>246</v>
      </c>
      <c r="AD66" s="110" t="s">
        <v>1725</v>
      </c>
      <c r="AE66" s="110" t="s">
        <v>187</v>
      </c>
      <c r="AF66" s="110" t="s">
        <v>190</v>
      </c>
      <c r="AG66" s="110" t="s">
        <v>190</v>
      </c>
      <c r="AI66" s="110" t="s">
        <v>246</v>
      </c>
      <c r="AJ66" s="110" t="s">
        <v>246</v>
      </c>
      <c r="AK66" s="110" t="s">
        <v>1257</v>
      </c>
      <c r="AL66" s="110" t="s">
        <v>1258</v>
      </c>
      <c r="AM66" s="110">
        <v>20000</v>
      </c>
      <c r="AN66" s="110" t="s">
        <v>1216</v>
      </c>
      <c r="AP66" s="110">
        <v>5249</v>
      </c>
      <c r="AQ66" s="110" t="s">
        <v>176</v>
      </c>
      <c r="AR66" s="110">
        <v>2020</v>
      </c>
      <c r="AS66" s="110" t="s">
        <v>236</v>
      </c>
      <c r="AT66" s="110" t="s">
        <v>174</v>
      </c>
      <c r="AU66" s="110">
        <v>20</v>
      </c>
      <c r="AV66" s="110" t="s">
        <v>1256</v>
      </c>
      <c r="AW66" s="110" t="s">
        <v>174</v>
      </c>
      <c r="AX66" s="110" t="s">
        <v>174</v>
      </c>
      <c r="AY66" s="110" t="s">
        <v>174</v>
      </c>
      <c r="AZ66" s="110" t="s">
        <v>174</v>
      </c>
      <c r="BA66" s="110">
        <v>20</v>
      </c>
      <c r="BB66" s="110">
        <v>25</v>
      </c>
      <c r="BC66" s="110">
        <v>22.5</v>
      </c>
      <c r="BD66" s="110">
        <v>5</v>
      </c>
      <c r="BE66" s="110" t="s">
        <v>246</v>
      </c>
      <c r="BF66" s="110" t="s">
        <v>188</v>
      </c>
      <c r="BG66" s="110">
        <v>0</v>
      </c>
      <c r="BI66" s="110" t="s">
        <v>182</v>
      </c>
      <c r="BJ66" s="110" t="s">
        <v>1108</v>
      </c>
      <c r="BK66" s="110">
        <v>3</v>
      </c>
      <c r="BL66" s="110">
        <v>9</v>
      </c>
      <c r="BM66" s="110" t="s">
        <v>1703</v>
      </c>
      <c r="BN66" s="110" t="s">
        <v>174</v>
      </c>
      <c r="BO66" s="110" t="s">
        <v>174</v>
      </c>
      <c r="BP66" s="110" t="s">
        <v>174</v>
      </c>
      <c r="BQ66" s="110">
        <v>8.85</v>
      </c>
      <c r="BR66" s="110" t="s">
        <v>174</v>
      </c>
      <c r="BS66" s="110">
        <v>210</v>
      </c>
      <c r="BT66" s="110" t="s">
        <v>1385</v>
      </c>
      <c r="BU66" s="110" t="s">
        <v>3207</v>
      </c>
      <c r="BV66" s="110" t="s">
        <v>2603</v>
      </c>
      <c r="BW66" s="110">
        <v>0.94699999999999995</v>
      </c>
      <c r="BZ66" s="110">
        <v>9.4700000000000006E-2</v>
      </c>
      <c r="CB66" s="110">
        <v>8.5299999999999994</v>
      </c>
      <c r="CC66" s="110" t="b">
        <v>0</v>
      </c>
      <c r="CD66" s="110">
        <v>3.6</v>
      </c>
      <c r="CE66" s="110">
        <v>3.6</v>
      </c>
      <c r="CF66" s="110" t="s">
        <v>182</v>
      </c>
      <c r="CG66" s="110" t="s">
        <v>174</v>
      </c>
      <c r="CH66" s="110" t="s">
        <v>174</v>
      </c>
      <c r="CI66" s="110" t="s">
        <v>1260</v>
      </c>
    </row>
    <row r="67" spans="1:88">
      <c r="A67" s="110" t="s">
        <v>936</v>
      </c>
      <c r="B67" s="110">
        <v>17</v>
      </c>
      <c r="C67" s="110">
        <v>1</v>
      </c>
      <c r="D67" s="110">
        <v>1</v>
      </c>
      <c r="E67" s="110">
        <v>66</v>
      </c>
      <c r="F67" s="110">
        <v>2022</v>
      </c>
      <c r="G67" s="110" t="s">
        <v>187</v>
      </c>
      <c r="H67" s="110" t="s">
        <v>1119</v>
      </c>
      <c r="I67" s="110" t="s">
        <v>182</v>
      </c>
      <c r="J67" s="110" t="s">
        <v>182</v>
      </c>
      <c r="K67" s="110" t="s">
        <v>725</v>
      </c>
      <c r="L67" s="110" t="s">
        <v>725</v>
      </c>
      <c r="M67" s="110" t="s">
        <v>3161</v>
      </c>
      <c r="P67" s="110" t="s">
        <v>3178</v>
      </c>
      <c r="R67" s="110" t="s">
        <v>152</v>
      </c>
      <c r="S67" s="110" t="s">
        <v>443</v>
      </c>
      <c r="T67" s="110" t="s">
        <v>154</v>
      </c>
      <c r="U67" s="110" t="s">
        <v>326</v>
      </c>
      <c r="V67" s="110">
        <v>37.09304796</v>
      </c>
      <c r="W67" s="110">
        <v>37.09304796</v>
      </c>
      <c r="X67" s="110">
        <v>122.4652177</v>
      </c>
      <c r="Y67" s="110" t="s">
        <v>185</v>
      </c>
      <c r="Z67" s="110" t="s">
        <v>380</v>
      </c>
      <c r="AA67" s="110" t="s">
        <v>1788</v>
      </c>
      <c r="AB67" s="110" t="s">
        <v>333</v>
      </c>
      <c r="AC67" s="110" t="s">
        <v>246</v>
      </c>
      <c r="AD67" s="110" t="s">
        <v>1725</v>
      </c>
      <c r="AE67" s="110" t="s">
        <v>187</v>
      </c>
      <c r="AF67" s="110" t="s">
        <v>190</v>
      </c>
      <c r="AG67" s="110" t="s">
        <v>190</v>
      </c>
      <c r="AI67" s="110" t="s">
        <v>246</v>
      </c>
      <c r="AJ67" s="110" t="s">
        <v>246</v>
      </c>
      <c r="AK67" s="110" t="s">
        <v>1257</v>
      </c>
      <c r="AL67" s="110" t="s">
        <v>1258</v>
      </c>
      <c r="AM67" s="110">
        <v>20000</v>
      </c>
      <c r="AN67" s="110" t="s">
        <v>1216</v>
      </c>
      <c r="AO67" s="110" t="s">
        <v>190</v>
      </c>
      <c r="AP67" s="110" t="s">
        <v>1266</v>
      </c>
      <c r="AQ67" s="110" t="s">
        <v>176</v>
      </c>
      <c r="AR67" s="110">
        <v>2020</v>
      </c>
      <c r="AS67" s="110" t="s">
        <v>236</v>
      </c>
      <c r="AT67" s="110" t="s">
        <v>174</v>
      </c>
      <c r="AU67" s="110">
        <v>20</v>
      </c>
      <c r="AV67" s="110" t="s">
        <v>1256</v>
      </c>
      <c r="AW67" s="110" t="s">
        <v>174</v>
      </c>
      <c r="AX67" s="110" t="s">
        <v>174</v>
      </c>
      <c r="AY67" s="110" t="s">
        <v>174</v>
      </c>
      <c r="AZ67" s="110" t="s">
        <v>174</v>
      </c>
      <c r="BA67" s="110">
        <v>20</v>
      </c>
      <c r="BB67" s="110">
        <v>25</v>
      </c>
      <c r="BC67" s="110">
        <v>22.5</v>
      </c>
      <c r="BD67" s="110">
        <v>5</v>
      </c>
      <c r="BE67" s="110" t="s">
        <v>246</v>
      </c>
      <c r="BF67" s="110" t="s">
        <v>188</v>
      </c>
      <c r="BG67" s="110">
        <v>0</v>
      </c>
      <c r="BH67" s="110" t="s">
        <v>174</v>
      </c>
      <c r="BI67" s="110" t="s">
        <v>246</v>
      </c>
      <c r="BJ67" s="110" t="s">
        <v>1108</v>
      </c>
      <c r="BK67" s="110">
        <v>3</v>
      </c>
      <c r="BL67" s="110">
        <v>13</v>
      </c>
      <c r="BM67" s="110" t="s">
        <v>1703</v>
      </c>
      <c r="BN67" s="110" t="s">
        <v>174</v>
      </c>
      <c r="BO67" s="110" t="s">
        <v>174</v>
      </c>
      <c r="BP67" s="110" t="s">
        <v>174</v>
      </c>
      <c r="BQ67" s="110">
        <v>8.85</v>
      </c>
      <c r="BR67" s="110" t="s">
        <v>174</v>
      </c>
      <c r="BS67" s="110">
        <v>210</v>
      </c>
      <c r="BT67" s="110" t="s">
        <v>1385</v>
      </c>
      <c r="BU67" s="110" t="s">
        <v>3207</v>
      </c>
      <c r="BV67" s="110" t="s">
        <v>2603</v>
      </c>
      <c r="BW67" s="110">
        <v>0.81</v>
      </c>
      <c r="BZ67" s="110">
        <v>0.13039999999999999</v>
      </c>
      <c r="CB67" s="110">
        <v>5.65</v>
      </c>
      <c r="CC67" s="110" t="b">
        <v>0</v>
      </c>
      <c r="CD67" s="110">
        <v>6.6</v>
      </c>
      <c r="CE67" s="110">
        <v>6.6</v>
      </c>
      <c r="CF67" s="110" t="s">
        <v>182</v>
      </c>
      <c r="CG67" s="110" t="s">
        <v>174</v>
      </c>
      <c r="CH67" s="110" t="s">
        <v>174</v>
      </c>
      <c r="CI67" s="110" t="s">
        <v>1260</v>
      </c>
    </row>
    <row r="68" spans="1:88">
      <c r="A68" s="110" t="s">
        <v>1118</v>
      </c>
      <c r="B68" s="110">
        <v>18</v>
      </c>
      <c r="C68" s="110">
        <v>1</v>
      </c>
      <c r="D68" s="110">
        <v>1</v>
      </c>
      <c r="E68" s="110">
        <v>67</v>
      </c>
      <c r="F68" s="110">
        <v>2022</v>
      </c>
      <c r="G68" s="110" t="s">
        <v>161</v>
      </c>
      <c r="H68" s="110" t="s">
        <v>1119</v>
      </c>
      <c r="I68" s="110" t="s">
        <v>182</v>
      </c>
      <c r="J68" s="110" t="s">
        <v>182</v>
      </c>
      <c r="K68" s="110" t="s">
        <v>999</v>
      </c>
      <c r="L68" s="110" t="s">
        <v>999</v>
      </c>
      <c r="R68" s="110" t="s">
        <v>152</v>
      </c>
      <c r="S68" s="110" t="s">
        <v>443</v>
      </c>
      <c r="T68" s="110" t="s">
        <v>154</v>
      </c>
      <c r="U68" s="110" t="s">
        <v>255</v>
      </c>
      <c r="V68" s="110">
        <v>69.599999999999994</v>
      </c>
      <c r="W68" s="110">
        <v>69.599999999999994</v>
      </c>
      <c r="X68" s="110">
        <v>18</v>
      </c>
      <c r="Y68" s="110" t="s">
        <v>291</v>
      </c>
      <c r="Z68" s="110" t="s">
        <v>155</v>
      </c>
      <c r="AA68" s="110" t="s">
        <v>1788</v>
      </c>
      <c r="AB68" s="110" t="s">
        <v>333</v>
      </c>
      <c r="AC68" s="110" t="s">
        <v>246</v>
      </c>
      <c r="AD68" s="110" t="s">
        <v>333</v>
      </c>
      <c r="AE68" s="110" t="s">
        <v>1123</v>
      </c>
      <c r="AF68" s="110" t="s">
        <v>1745</v>
      </c>
      <c r="AG68" s="110">
        <v>10</v>
      </c>
      <c r="AI68" s="110" t="s">
        <v>246</v>
      </c>
      <c r="AJ68" s="110" t="s">
        <v>246</v>
      </c>
      <c r="AK68" s="110" t="s">
        <v>171</v>
      </c>
      <c r="AL68" s="110" t="s">
        <v>190</v>
      </c>
      <c r="AM68" s="110" t="s">
        <v>174</v>
      </c>
      <c r="AO68" s="110">
        <v>10</v>
      </c>
      <c r="AP68" s="110" t="s">
        <v>190</v>
      </c>
      <c r="AQ68" s="110" t="s">
        <v>176</v>
      </c>
      <c r="AR68" s="110">
        <v>2018</v>
      </c>
      <c r="AS68" s="110" t="s">
        <v>234</v>
      </c>
      <c r="AT68" s="110" t="s">
        <v>298</v>
      </c>
      <c r="AU68" s="110">
        <v>20</v>
      </c>
      <c r="AW68" s="110">
        <v>16.719770650000001</v>
      </c>
      <c r="AX68" s="110" t="s">
        <v>174</v>
      </c>
      <c r="AY68" s="110">
        <v>31.81</v>
      </c>
      <c r="AZ68" s="110">
        <v>34.200000000000003</v>
      </c>
      <c r="BA68" s="110">
        <v>8.6</v>
      </c>
      <c r="BB68" s="110">
        <v>8.6</v>
      </c>
      <c r="BC68" s="110">
        <v>8.6</v>
      </c>
      <c r="BD68" s="110">
        <v>0</v>
      </c>
      <c r="BE68" s="110" t="s">
        <v>182</v>
      </c>
      <c r="BF68" s="110" t="s">
        <v>412</v>
      </c>
      <c r="BG68" s="110">
        <v>93.9</v>
      </c>
      <c r="BH68" s="110" t="s">
        <v>894</v>
      </c>
      <c r="BI68" s="110" t="s">
        <v>182</v>
      </c>
      <c r="BJ68" s="110" t="s">
        <v>412</v>
      </c>
      <c r="BK68" s="110">
        <v>3</v>
      </c>
      <c r="BL68" s="110">
        <v>2</v>
      </c>
      <c r="BM68" s="110" t="s">
        <v>1703</v>
      </c>
      <c r="BO68" s="110">
        <v>0.2</v>
      </c>
      <c r="BP68" s="110">
        <v>250</v>
      </c>
      <c r="BQ68" s="110" t="s">
        <v>174</v>
      </c>
      <c r="BR68" s="110">
        <v>500</v>
      </c>
      <c r="BS68" s="110">
        <v>120</v>
      </c>
      <c r="BT68" s="110" t="s">
        <v>1387</v>
      </c>
      <c r="BU68" s="110" t="s">
        <v>2606</v>
      </c>
      <c r="BV68" s="110" t="s">
        <v>1387</v>
      </c>
      <c r="CB68" s="110" t="s">
        <v>190</v>
      </c>
      <c r="CC68" s="110" t="b">
        <v>0</v>
      </c>
      <c r="CD68" s="110">
        <v>54.192893509999998</v>
      </c>
      <c r="CE68" s="110" t="s">
        <v>2256</v>
      </c>
      <c r="CF68" s="110" t="s">
        <v>2256</v>
      </c>
      <c r="CG68" s="110" t="s">
        <v>174</v>
      </c>
      <c r="CH68" s="110" t="s">
        <v>1122</v>
      </c>
      <c r="CI68" s="110" t="s">
        <v>259</v>
      </c>
      <c r="CJ68" s="110" t="s">
        <v>2262</v>
      </c>
    </row>
    <row r="69" spans="1:88">
      <c r="A69" s="110" t="s">
        <v>1118</v>
      </c>
      <c r="B69" s="110">
        <v>18</v>
      </c>
      <c r="C69" s="110">
        <v>1</v>
      </c>
      <c r="D69" s="110">
        <v>1</v>
      </c>
      <c r="E69" s="110">
        <v>69</v>
      </c>
      <c r="F69" s="110">
        <v>2022</v>
      </c>
      <c r="G69" s="110" t="s">
        <v>161</v>
      </c>
      <c r="H69" s="110" t="s">
        <v>1119</v>
      </c>
      <c r="I69" s="110" t="s">
        <v>182</v>
      </c>
      <c r="J69" s="110" t="s">
        <v>182</v>
      </c>
      <c r="K69" s="110" t="s">
        <v>999</v>
      </c>
      <c r="L69" s="110" t="s">
        <v>999</v>
      </c>
      <c r="R69" s="110" t="s">
        <v>152</v>
      </c>
      <c r="S69" s="110" t="s">
        <v>443</v>
      </c>
      <c r="T69" s="110" t="s">
        <v>154</v>
      </c>
      <c r="U69" s="110" t="s">
        <v>255</v>
      </c>
      <c r="V69" s="110">
        <v>58.4</v>
      </c>
      <c r="W69" s="110">
        <v>58.4</v>
      </c>
      <c r="X69" s="110">
        <v>8.6999999999999993</v>
      </c>
      <c r="Y69" s="110" t="s">
        <v>291</v>
      </c>
      <c r="Z69" s="110" t="s">
        <v>155</v>
      </c>
      <c r="AA69" s="110" t="s">
        <v>1788</v>
      </c>
      <c r="AB69" s="110" t="s">
        <v>333</v>
      </c>
      <c r="AC69" s="110" t="s">
        <v>246</v>
      </c>
      <c r="AD69" s="110" t="s">
        <v>333</v>
      </c>
      <c r="AE69" s="110" t="s">
        <v>1123</v>
      </c>
      <c r="AF69" s="110" t="s">
        <v>1745</v>
      </c>
      <c r="AG69" s="110">
        <v>10</v>
      </c>
      <c r="AI69" s="110" t="s">
        <v>246</v>
      </c>
      <c r="AJ69" s="110" t="s">
        <v>246</v>
      </c>
      <c r="AK69" s="110" t="s">
        <v>171</v>
      </c>
      <c r="AL69" s="110" t="s">
        <v>190</v>
      </c>
      <c r="AM69" s="110" t="s">
        <v>174</v>
      </c>
      <c r="AO69" s="110">
        <v>10</v>
      </c>
      <c r="AP69" s="110" t="s">
        <v>190</v>
      </c>
      <c r="AQ69" s="110" t="s">
        <v>176</v>
      </c>
      <c r="AR69" s="110">
        <v>2018</v>
      </c>
      <c r="AS69" s="110" t="s">
        <v>475</v>
      </c>
      <c r="AT69" s="110" t="s">
        <v>420</v>
      </c>
      <c r="AU69" s="110">
        <v>20</v>
      </c>
      <c r="AW69" s="110">
        <v>36.509772050000002</v>
      </c>
      <c r="AX69" s="110" t="s">
        <v>174</v>
      </c>
      <c r="AY69" s="110">
        <v>37.07</v>
      </c>
      <c r="AZ69" s="110">
        <v>36.5</v>
      </c>
      <c r="BA69" s="110">
        <v>14.2</v>
      </c>
      <c r="BB69" s="110">
        <v>14.2</v>
      </c>
      <c r="BC69" s="110">
        <v>14.2</v>
      </c>
      <c r="BD69" s="110">
        <v>0</v>
      </c>
      <c r="BE69" s="110" t="s">
        <v>182</v>
      </c>
      <c r="BF69" s="110" t="s">
        <v>412</v>
      </c>
      <c r="BG69" s="110">
        <v>378.4</v>
      </c>
      <c r="BH69" s="110" t="s">
        <v>894</v>
      </c>
      <c r="BI69" s="110" t="s">
        <v>182</v>
      </c>
      <c r="BJ69" s="110" t="s">
        <v>412</v>
      </c>
      <c r="BK69" s="110">
        <v>3</v>
      </c>
      <c r="BL69" s="110">
        <v>4</v>
      </c>
      <c r="BM69" s="110" t="s">
        <v>1703</v>
      </c>
      <c r="BO69" s="110">
        <v>0.7</v>
      </c>
      <c r="BP69" s="110">
        <v>71</v>
      </c>
      <c r="BQ69" s="110" t="s">
        <v>174</v>
      </c>
      <c r="BR69" s="110">
        <v>143</v>
      </c>
      <c r="BS69" s="110">
        <v>83</v>
      </c>
      <c r="BT69" s="110" t="s">
        <v>1396</v>
      </c>
      <c r="BU69" s="110" t="s">
        <v>1396</v>
      </c>
      <c r="BV69" s="110" t="s">
        <v>1396</v>
      </c>
      <c r="BW69" s="110">
        <v>0.625</v>
      </c>
      <c r="CA69" s="110">
        <v>0.61850000000000005</v>
      </c>
      <c r="CB69" s="110">
        <v>80.84074373</v>
      </c>
      <c r="CC69" s="110" t="b">
        <v>0</v>
      </c>
      <c r="CD69" s="110">
        <v>60.358158943883197</v>
      </c>
      <c r="CE69" s="110">
        <v>0</v>
      </c>
      <c r="CF69" s="110" t="s">
        <v>246</v>
      </c>
      <c r="CG69" s="110" t="s">
        <v>174</v>
      </c>
      <c r="CH69" s="110" t="s">
        <v>1122</v>
      </c>
      <c r="CI69" s="110" t="s">
        <v>259</v>
      </c>
      <c r="CJ69" s="110" t="s">
        <v>2261</v>
      </c>
    </row>
    <row r="70" spans="1:88">
      <c r="A70" s="110" t="s">
        <v>1118</v>
      </c>
      <c r="B70" s="110">
        <v>18</v>
      </c>
      <c r="C70" s="110">
        <v>1</v>
      </c>
      <c r="D70" s="110">
        <v>1</v>
      </c>
      <c r="E70" s="110">
        <v>70</v>
      </c>
      <c r="F70" s="110">
        <v>2022</v>
      </c>
      <c r="G70" s="110" t="s">
        <v>161</v>
      </c>
      <c r="H70" s="110" t="s">
        <v>1119</v>
      </c>
      <c r="I70" s="110" t="s">
        <v>182</v>
      </c>
      <c r="J70" s="110" t="s">
        <v>182</v>
      </c>
      <c r="K70" s="110" t="s">
        <v>999</v>
      </c>
      <c r="L70" s="110" t="s">
        <v>999</v>
      </c>
      <c r="R70" s="110" t="s">
        <v>152</v>
      </c>
      <c r="S70" s="110" t="s">
        <v>443</v>
      </c>
      <c r="T70" s="110" t="s">
        <v>154</v>
      </c>
      <c r="U70" s="110" t="s">
        <v>255</v>
      </c>
      <c r="V70" s="110">
        <v>56.5</v>
      </c>
      <c r="W70" s="110">
        <v>56.5</v>
      </c>
      <c r="X70" s="110">
        <v>-5.5</v>
      </c>
      <c r="Y70" s="110" t="s">
        <v>160</v>
      </c>
      <c r="Z70" s="110" t="s">
        <v>155</v>
      </c>
      <c r="AA70" s="110" t="s">
        <v>1788</v>
      </c>
      <c r="AB70" s="110" t="s">
        <v>333</v>
      </c>
      <c r="AC70" s="110" t="s">
        <v>246</v>
      </c>
      <c r="AD70" s="110" t="s">
        <v>333</v>
      </c>
      <c r="AE70" s="110" t="s">
        <v>1123</v>
      </c>
      <c r="AF70" s="110" t="s">
        <v>1745</v>
      </c>
      <c r="AG70" s="110">
        <v>10</v>
      </c>
      <c r="AI70" s="110" t="s">
        <v>246</v>
      </c>
      <c r="AJ70" s="110" t="s">
        <v>246</v>
      </c>
      <c r="AK70" s="110" t="s">
        <v>171</v>
      </c>
      <c r="AL70" s="110" t="s">
        <v>190</v>
      </c>
      <c r="AM70" s="110" t="s">
        <v>174</v>
      </c>
      <c r="AO70" s="110">
        <v>10</v>
      </c>
      <c r="AP70" s="110" t="s">
        <v>190</v>
      </c>
      <c r="AQ70" s="110" t="s">
        <v>176</v>
      </c>
      <c r="AR70" s="110">
        <v>2018</v>
      </c>
      <c r="AS70" s="110" t="s">
        <v>237</v>
      </c>
      <c r="AT70" s="110" t="s">
        <v>420</v>
      </c>
      <c r="AU70" s="110">
        <v>20</v>
      </c>
      <c r="AW70" s="110">
        <v>32.043276679999998</v>
      </c>
      <c r="AX70" s="110" t="s">
        <v>174</v>
      </c>
      <c r="AY70" s="110">
        <v>35.17</v>
      </c>
      <c r="AZ70" s="110">
        <v>36.6</v>
      </c>
      <c r="BA70" s="110">
        <v>13.4</v>
      </c>
      <c r="BB70" s="110">
        <v>13.4</v>
      </c>
      <c r="BC70" s="110">
        <v>13.4</v>
      </c>
      <c r="BD70" s="110">
        <v>0</v>
      </c>
      <c r="BE70" s="110" t="s">
        <v>182</v>
      </c>
      <c r="BF70" s="110" t="s">
        <v>412</v>
      </c>
      <c r="BG70" s="110">
        <v>83</v>
      </c>
      <c r="BH70" s="110" t="s">
        <v>894</v>
      </c>
      <c r="BI70" s="110" t="s">
        <v>182</v>
      </c>
      <c r="BJ70" s="110" t="s">
        <v>412</v>
      </c>
      <c r="BK70" s="110">
        <v>3</v>
      </c>
      <c r="BL70" s="110">
        <v>2</v>
      </c>
      <c r="BM70" s="110" t="s">
        <v>1703</v>
      </c>
      <c r="BO70" s="110">
        <v>0.4</v>
      </c>
      <c r="BP70" s="110">
        <v>125</v>
      </c>
      <c r="BQ70" s="110" t="s">
        <v>174</v>
      </c>
      <c r="BR70" s="110">
        <v>250</v>
      </c>
      <c r="BS70" s="110">
        <v>70</v>
      </c>
      <c r="BT70" s="110" t="s">
        <v>1385</v>
      </c>
      <c r="BU70" s="110" t="s">
        <v>3207</v>
      </c>
      <c r="BV70" s="110" t="s">
        <v>2603</v>
      </c>
      <c r="BW70" s="110">
        <v>1</v>
      </c>
      <c r="BZ70" s="110">
        <v>7.1999999999999998E-3</v>
      </c>
      <c r="CB70" s="110">
        <v>118.8</v>
      </c>
      <c r="CC70" s="110" t="b">
        <v>0</v>
      </c>
      <c r="CD70" s="110">
        <v>13.028</v>
      </c>
      <c r="CE70" s="110">
        <v>13.028</v>
      </c>
      <c r="CF70" s="110" t="s">
        <v>182</v>
      </c>
      <c r="CG70" s="110" t="s">
        <v>174</v>
      </c>
      <c r="CH70" s="110" t="s">
        <v>1122</v>
      </c>
      <c r="CI70" s="110" t="s">
        <v>259</v>
      </c>
      <c r="CJ70" s="110" t="s">
        <v>2259</v>
      </c>
    </row>
    <row r="71" spans="1:88">
      <c r="A71" s="110" t="s">
        <v>1118</v>
      </c>
      <c r="B71" s="110">
        <v>18</v>
      </c>
      <c r="C71" s="110">
        <v>1</v>
      </c>
      <c r="D71" s="110">
        <v>1</v>
      </c>
      <c r="E71" s="110">
        <v>71</v>
      </c>
      <c r="F71" s="110">
        <v>2022</v>
      </c>
      <c r="G71" s="110" t="s">
        <v>161</v>
      </c>
      <c r="H71" s="110" t="s">
        <v>1119</v>
      </c>
      <c r="I71" s="110" t="s">
        <v>182</v>
      </c>
      <c r="J71" s="110" t="s">
        <v>182</v>
      </c>
      <c r="K71" s="110" t="s">
        <v>999</v>
      </c>
      <c r="L71" s="110" t="s">
        <v>999</v>
      </c>
      <c r="R71" s="110" t="s">
        <v>152</v>
      </c>
      <c r="S71" s="110" t="s">
        <v>443</v>
      </c>
      <c r="T71" s="110" t="s">
        <v>154</v>
      </c>
      <c r="U71" s="110" t="s">
        <v>255</v>
      </c>
      <c r="V71" s="110">
        <v>50.3</v>
      </c>
      <c r="W71" s="110">
        <v>50.3</v>
      </c>
      <c r="X71" s="110">
        <v>-4.0999999999999996</v>
      </c>
      <c r="Y71" s="110" t="s">
        <v>160</v>
      </c>
      <c r="Z71" s="110" t="s">
        <v>155</v>
      </c>
      <c r="AA71" s="110" t="s">
        <v>1788</v>
      </c>
      <c r="AB71" s="110" t="s">
        <v>333</v>
      </c>
      <c r="AC71" s="110" t="s">
        <v>246</v>
      </c>
      <c r="AD71" s="110" t="s">
        <v>333</v>
      </c>
      <c r="AE71" s="110" t="s">
        <v>1123</v>
      </c>
      <c r="AF71" s="110" t="s">
        <v>1745</v>
      </c>
      <c r="AG71" s="110">
        <v>10</v>
      </c>
      <c r="AI71" s="110" t="s">
        <v>246</v>
      </c>
      <c r="AJ71" s="110" t="s">
        <v>246</v>
      </c>
      <c r="AK71" s="110" t="s">
        <v>171</v>
      </c>
      <c r="AL71" s="110" t="s">
        <v>190</v>
      </c>
      <c r="AM71" s="110" t="s">
        <v>174</v>
      </c>
      <c r="AO71" s="110">
        <v>10</v>
      </c>
      <c r="AP71" s="110" t="s">
        <v>190</v>
      </c>
      <c r="AQ71" s="110" t="s">
        <v>176</v>
      </c>
      <c r="AR71" s="110">
        <v>2018</v>
      </c>
      <c r="AS71" s="110" t="s">
        <v>237</v>
      </c>
      <c r="AT71" s="110" t="s">
        <v>420</v>
      </c>
      <c r="AU71" s="110">
        <v>20</v>
      </c>
      <c r="AW71" s="110">
        <v>18.4035875</v>
      </c>
      <c r="AX71" s="110" t="s">
        <v>174</v>
      </c>
      <c r="AY71" s="110">
        <v>35</v>
      </c>
      <c r="AZ71" s="110">
        <v>33</v>
      </c>
      <c r="BA71" s="110">
        <v>16.899999999999999</v>
      </c>
      <c r="BB71" s="110">
        <v>16.899999999999999</v>
      </c>
      <c r="BC71" s="110">
        <v>16.899999999999999</v>
      </c>
      <c r="BD71" s="110">
        <v>0</v>
      </c>
      <c r="BE71" s="110" t="s">
        <v>182</v>
      </c>
      <c r="BF71" s="110" t="s">
        <v>412</v>
      </c>
      <c r="BG71" s="110">
        <v>209.2</v>
      </c>
      <c r="BH71" s="110" t="s">
        <v>894</v>
      </c>
      <c r="BI71" s="110" t="s">
        <v>182</v>
      </c>
      <c r="BJ71" s="110" t="s">
        <v>412</v>
      </c>
      <c r="BK71" s="110">
        <v>3</v>
      </c>
      <c r="BL71" s="110">
        <v>2</v>
      </c>
      <c r="BM71" s="110" t="s">
        <v>1703</v>
      </c>
      <c r="BO71" s="110">
        <v>0.1</v>
      </c>
      <c r="BP71" s="110">
        <v>500</v>
      </c>
      <c r="BQ71" s="110" t="s">
        <v>174</v>
      </c>
      <c r="BR71" s="110">
        <v>1000</v>
      </c>
      <c r="BS71" s="110">
        <v>61</v>
      </c>
      <c r="BT71" s="110" t="s">
        <v>1396</v>
      </c>
      <c r="BU71" s="110" t="s">
        <v>1396</v>
      </c>
      <c r="BV71" s="110" t="s">
        <v>1396</v>
      </c>
      <c r="BW71" s="110">
        <v>0.99</v>
      </c>
      <c r="CA71" s="110">
        <v>0.15770000000000001</v>
      </c>
      <c r="CB71" s="110">
        <v>317.0577045</v>
      </c>
      <c r="CC71" s="110" t="b">
        <v>1</v>
      </c>
      <c r="CD71" s="110">
        <v>90.137439999999998</v>
      </c>
      <c r="CE71" s="110">
        <v>0</v>
      </c>
      <c r="CF71" s="110" t="s">
        <v>246</v>
      </c>
      <c r="CG71" s="110" t="s">
        <v>174</v>
      </c>
      <c r="CH71" s="110" t="s">
        <v>1122</v>
      </c>
      <c r="CI71" s="110" t="s">
        <v>259</v>
      </c>
      <c r="CJ71" s="110" t="s">
        <v>2274</v>
      </c>
    </row>
    <row r="72" spans="1:88">
      <c r="A72" s="110" t="s">
        <v>1118</v>
      </c>
      <c r="B72" s="110">
        <v>18</v>
      </c>
      <c r="C72" s="110">
        <v>1</v>
      </c>
      <c r="D72" s="110">
        <v>1</v>
      </c>
      <c r="E72" s="110">
        <v>72</v>
      </c>
      <c r="F72" s="110">
        <v>2022</v>
      </c>
      <c r="G72" s="110" t="s">
        <v>161</v>
      </c>
      <c r="H72" s="110" t="s">
        <v>1119</v>
      </c>
      <c r="I72" s="110" t="s">
        <v>182</v>
      </c>
      <c r="J72" s="110" t="s">
        <v>182</v>
      </c>
      <c r="K72" s="110" t="s">
        <v>999</v>
      </c>
      <c r="L72" s="110" t="s">
        <v>999</v>
      </c>
      <c r="R72" s="110" t="s">
        <v>152</v>
      </c>
      <c r="S72" s="110" t="s">
        <v>443</v>
      </c>
      <c r="T72" s="110" t="s">
        <v>154</v>
      </c>
      <c r="U72" s="110" t="s">
        <v>255</v>
      </c>
      <c r="V72" s="110">
        <v>48.7</v>
      </c>
      <c r="W72" s="110">
        <v>48.7</v>
      </c>
      <c r="X72" s="110">
        <v>-3.9</v>
      </c>
      <c r="Y72" s="110" t="s">
        <v>310</v>
      </c>
      <c r="Z72" s="110" t="s">
        <v>155</v>
      </c>
      <c r="AA72" s="110" t="s">
        <v>1788</v>
      </c>
      <c r="AB72" s="110" t="s">
        <v>333</v>
      </c>
      <c r="AC72" s="110" t="s">
        <v>246</v>
      </c>
      <c r="AD72" s="110" t="s">
        <v>333</v>
      </c>
      <c r="AE72" s="110" t="s">
        <v>1123</v>
      </c>
      <c r="AF72" s="110" t="s">
        <v>1745</v>
      </c>
      <c r="AG72" s="110">
        <v>10</v>
      </c>
      <c r="AI72" s="110" t="s">
        <v>246</v>
      </c>
      <c r="AJ72" s="110" t="s">
        <v>246</v>
      </c>
      <c r="AK72" s="110" t="s">
        <v>171</v>
      </c>
      <c r="AL72" s="110" t="s">
        <v>190</v>
      </c>
      <c r="AM72" s="110" t="s">
        <v>174</v>
      </c>
      <c r="AO72" s="110">
        <v>10</v>
      </c>
      <c r="AP72" s="110" t="s">
        <v>190</v>
      </c>
      <c r="AQ72" s="110" t="s">
        <v>176</v>
      </c>
      <c r="AR72" s="110">
        <v>2018</v>
      </c>
      <c r="AS72" s="110" t="s">
        <v>237</v>
      </c>
      <c r="AT72" s="110" t="s">
        <v>420</v>
      </c>
      <c r="AU72" s="110">
        <v>20</v>
      </c>
      <c r="AW72" s="110">
        <v>37.345947219999999</v>
      </c>
      <c r="AX72" s="110" t="s">
        <v>174</v>
      </c>
      <c r="AY72" s="110">
        <v>35.94</v>
      </c>
      <c r="AZ72" s="110">
        <v>36.200000000000003</v>
      </c>
      <c r="BA72" s="110">
        <v>16.3</v>
      </c>
      <c r="BB72" s="110">
        <v>16.3</v>
      </c>
      <c r="BC72" s="110">
        <v>16.3</v>
      </c>
      <c r="BD72" s="110">
        <v>0</v>
      </c>
      <c r="BE72" s="110" t="s">
        <v>182</v>
      </c>
      <c r="BF72" s="110" t="s">
        <v>412</v>
      </c>
      <c r="BG72" s="110">
        <v>23.2</v>
      </c>
      <c r="BH72" s="110" t="s">
        <v>894</v>
      </c>
      <c r="BI72" s="110" t="s">
        <v>182</v>
      </c>
      <c r="BJ72" s="110" t="s">
        <v>412</v>
      </c>
      <c r="BK72" s="110">
        <v>3</v>
      </c>
      <c r="BL72" s="110">
        <v>2</v>
      </c>
      <c r="BM72" s="110" t="s">
        <v>1703</v>
      </c>
      <c r="BO72" s="110">
        <v>0.5</v>
      </c>
      <c r="BP72" s="110">
        <v>100</v>
      </c>
      <c r="BQ72" s="110" t="s">
        <v>174</v>
      </c>
      <c r="BR72" s="110">
        <v>200</v>
      </c>
      <c r="BS72" s="110">
        <v>93</v>
      </c>
      <c r="BT72" s="110" t="s">
        <v>1396</v>
      </c>
      <c r="BU72" s="110" t="s">
        <v>1396</v>
      </c>
      <c r="BV72" s="110" t="s">
        <v>1396</v>
      </c>
      <c r="BW72" s="110">
        <v>0.98</v>
      </c>
      <c r="CA72" s="110">
        <v>0.4652</v>
      </c>
      <c r="CB72" s="110">
        <v>107.4806535</v>
      </c>
      <c r="CC72" s="110" t="b">
        <v>0</v>
      </c>
      <c r="CD72" s="110">
        <v>55.207682666055462</v>
      </c>
      <c r="CE72" s="110">
        <v>0</v>
      </c>
      <c r="CF72" s="110" t="s">
        <v>246</v>
      </c>
      <c r="CG72" s="110" t="s">
        <v>174</v>
      </c>
      <c r="CH72" s="110" t="s">
        <v>1122</v>
      </c>
      <c r="CI72" s="110" t="s">
        <v>259</v>
      </c>
      <c r="CJ72" s="110" t="s">
        <v>2272</v>
      </c>
    </row>
    <row r="73" spans="1:88">
      <c r="A73" s="110" t="s">
        <v>1118</v>
      </c>
      <c r="B73" s="110">
        <v>18</v>
      </c>
      <c r="C73" s="110">
        <v>1</v>
      </c>
      <c r="D73" s="110">
        <v>1</v>
      </c>
      <c r="E73" s="110">
        <v>78</v>
      </c>
      <c r="F73" s="110">
        <v>2022</v>
      </c>
      <c r="G73" s="110" t="s">
        <v>161</v>
      </c>
      <c r="H73" s="110" t="s">
        <v>1119</v>
      </c>
      <c r="I73" s="110" t="s">
        <v>182</v>
      </c>
      <c r="J73" s="110" t="s">
        <v>182</v>
      </c>
      <c r="K73" s="110" t="s">
        <v>999</v>
      </c>
      <c r="L73" s="110" t="s">
        <v>999</v>
      </c>
      <c r="R73" s="110" t="s">
        <v>152</v>
      </c>
      <c r="S73" s="110" t="s">
        <v>443</v>
      </c>
      <c r="T73" s="110" t="s">
        <v>154</v>
      </c>
      <c r="U73" s="110" t="s">
        <v>255</v>
      </c>
      <c r="V73" s="110">
        <v>41.1</v>
      </c>
      <c r="W73" s="110">
        <v>41.1</v>
      </c>
      <c r="X73" s="110">
        <v>-8.6999999999999993</v>
      </c>
      <c r="Y73" s="110" t="s">
        <v>1121</v>
      </c>
      <c r="Z73" s="110" t="s">
        <v>155</v>
      </c>
      <c r="AA73" s="110" t="s">
        <v>1788</v>
      </c>
      <c r="AB73" s="110" t="s">
        <v>333</v>
      </c>
      <c r="AC73" s="110" t="s">
        <v>246</v>
      </c>
      <c r="AD73" s="110" t="s">
        <v>333</v>
      </c>
      <c r="AE73" s="110" t="s">
        <v>1123</v>
      </c>
      <c r="AF73" s="110" t="s">
        <v>1745</v>
      </c>
      <c r="AG73" s="110">
        <v>10</v>
      </c>
      <c r="AI73" s="110" t="s">
        <v>246</v>
      </c>
      <c r="AJ73" s="110" t="s">
        <v>246</v>
      </c>
      <c r="AK73" s="110" t="s">
        <v>171</v>
      </c>
      <c r="AL73" s="110" t="s">
        <v>190</v>
      </c>
      <c r="AM73" s="110" t="s">
        <v>174</v>
      </c>
      <c r="AO73" s="110">
        <v>10</v>
      </c>
      <c r="AP73" s="110" t="s">
        <v>190</v>
      </c>
      <c r="AQ73" s="110" t="s">
        <v>176</v>
      </c>
      <c r="AR73" s="110">
        <v>2018</v>
      </c>
      <c r="AS73" s="110" t="s">
        <v>236</v>
      </c>
      <c r="AT73" s="110" t="s">
        <v>420</v>
      </c>
      <c r="AU73" s="110">
        <v>20</v>
      </c>
      <c r="AW73" s="110">
        <v>20.690323100000001</v>
      </c>
      <c r="AX73" s="110" t="s">
        <v>174</v>
      </c>
      <c r="AY73" s="110">
        <v>31.34</v>
      </c>
      <c r="AZ73" s="110">
        <v>29</v>
      </c>
      <c r="BA73" s="110">
        <v>14.5</v>
      </c>
      <c r="BB73" s="110">
        <v>14.5</v>
      </c>
      <c r="BC73" s="110">
        <v>14.5</v>
      </c>
      <c r="BD73" s="110">
        <v>0</v>
      </c>
      <c r="BE73" s="110" t="s">
        <v>182</v>
      </c>
      <c r="BF73" s="110" t="s">
        <v>412</v>
      </c>
      <c r="BG73" s="110">
        <v>307.10000000000002</v>
      </c>
      <c r="BH73" s="110" t="s">
        <v>894</v>
      </c>
      <c r="BI73" s="110" t="s">
        <v>182</v>
      </c>
      <c r="BJ73" s="110" t="s">
        <v>412</v>
      </c>
      <c r="BK73" s="110">
        <v>3</v>
      </c>
      <c r="BL73" s="110">
        <v>3</v>
      </c>
      <c r="BM73" s="110" t="s">
        <v>1703</v>
      </c>
      <c r="BO73" s="110">
        <v>1.9</v>
      </c>
      <c r="BP73" s="110">
        <v>26</v>
      </c>
      <c r="BQ73" s="110" t="s">
        <v>174</v>
      </c>
      <c r="BR73" s="110">
        <v>53</v>
      </c>
      <c r="BS73" s="110">
        <v>89</v>
      </c>
      <c r="BT73" s="110" t="s">
        <v>2347</v>
      </c>
      <c r="BU73" s="110" t="s">
        <v>1394</v>
      </c>
      <c r="BV73" s="110" t="s">
        <v>2603</v>
      </c>
      <c r="BW73" s="110">
        <v>0.95</v>
      </c>
      <c r="BZ73" s="110">
        <v>6.1499999999999999E-2</v>
      </c>
      <c r="CB73" s="110">
        <v>11.27068586</v>
      </c>
      <c r="CC73" s="110" t="b">
        <v>0</v>
      </c>
      <c r="CD73" s="110">
        <v>0</v>
      </c>
      <c r="CE73" s="110">
        <v>0</v>
      </c>
      <c r="CF73" s="110" t="s">
        <v>246</v>
      </c>
      <c r="CG73" s="110" t="s">
        <v>174</v>
      </c>
      <c r="CH73" s="110" t="s">
        <v>1122</v>
      </c>
      <c r="CI73" s="110" t="s">
        <v>259</v>
      </c>
      <c r="CJ73" s="110" t="s">
        <v>2273</v>
      </c>
    </row>
    <row r="74" spans="1:88">
      <c r="A74" s="110" t="s">
        <v>1118</v>
      </c>
      <c r="B74" s="110">
        <v>18</v>
      </c>
      <c r="C74" s="110">
        <v>1</v>
      </c>
      <c r="D74" s="110">
        <v>1</v>
      </c>
      <c r="E74" s="110">
        <v>79</v>
      </c>
      <c r="F74" s="110">
        <v>2022</v>
      </c>
      <c r="G74" s="110" t="s">
        <v>161</v>
      </c>
      <c r="H74" s="110" t="s">
        <v>1119</v>
      </c>
      <c r="I74" s="110" t="s">
        <v>182</v>
      </c>
      <c r="J74" s="110" t="s">
        <v>182</v>
      </c>
      <c r="K74" s="110" t="s">
        <v>999</v>
      </c>
      <c r="L74" s="110" t="s">
        <v>999</v>
      </c>
      <c r="R74" s="110" t="s">
        <v>152</v>
      </c>
      <c r="S74" s="110" t="s">
        <v>443</v>
      </c>
      <c r="T74" s="110" t="s">
        <v>156</v>
      </c>
      <c r="U74" s="110" t="s">
        <v>158</v>
      </c>
      <c r="V74" s="110">
        <v>69.599999999999994</v>
      </c>
      <c r="W74" s="110">
        <v>69.599999999999994</v>
      </c>
      <c r="X74" s="110">
        <v>18</v>
      </c>
      <c r="Y74" s="110" t="s">
        <v>291</v>
      </c>
      <c r="Z74" s="110" t="s">
        <v>155</v>
      </c>
      <c r="AA74" s="110" t="s">
        <v>1788</v>
      </c>
      <c r="AB74" s="110" t="s">
        <v>333</v>
      </c>
      <c r="AC74" s="110" t="s">
        <v>246</v>
      </c>
      <c r="AD74" s="110" t="s">
        <v>333</v>
      </c>
      <c r="AE74" s="110" t="s">
        <v>1123</v>
      </c>
      <c r="AF74" s="110" t="s">
        <v>1745</v>
      </c>
      <c r="AG74" s="110">
        <v>10</v>
      </c>
      <c r="AI74" s="110" t="s">
        <v>246</v>
      </c>
      <c r="AJ74" s="110" t="s">
        <v>246</v>
      </c>
      <c r="AK74" s="110" t="s">
        <v>171</v>
      </c>
      <c r="AL74" s="110" t="s">
        <v>190</v>
      </c>
      <c r="AM74" s="110" t="s">
        <v>174</v>
      </c>
      <c r="AO74" s="110">
        <v>10</v>
      </c>
      <c r="AP74" s="110" t="s">
        <v>190</v>
      </c>
      <c r="AQ74" s="110" t="s">
        <v>176</v>
      </c>
      <c r="AR74" s="110">
        <v>2018</v>
      </c>
      <c r="AS74" s="110" t="s">
        <v>234</v>
      </c>
      <c r="AT74" s="110" t="s">
        <v>298</v>
      </c>
      <c r="AU74" s="110">
        <v>20</v>
      </c>
      <c r="AW74" s="110">
        <v>18.949694529999999</v>
      </c>
      <c r="AX74" s="110" t="s">
        <v>174</v>
      </c>
      <c r="AY74" s="110">
        <v>30.88</v>
      </c>
      <c r="AZ74" s="110">
        <v>21.7</v>
      </c>
      <c r="BA74" s="110">
        <v>8.6</v>
      </c>
      <c r="BB74" s="110">
        <v>8.6</v>
      </c>
      <c r="BC74" s="110">
        <v>8.6</v>
      </c>
      <c r="BD74" s="110">
        <v>0</v>
      </c>
      <c r="BE74" s="110" t="s">
        <v>182</v>
      </c>
      <c r="BF74" s="110" t="s">
        <v>412</v>
      </c>
      <c r="BG74" s="110">
        <v>93.9</v>
      </c>
      <c r="BH74" s="110" t="s">
        <v>894</v>
      </c>
      <c r="BI74" s="110" t="s">
        <v>182</v>
      </c>
      <c r="BJ74" s="110" t="s">
        <v>412</v>
      </c>
      <c r="BK74" s="110">
        <v>3</v>
      </c>
      <c r="BL74" s="110">
        <v>2</v>
      </c>
      <c r="BM74" s="110" t="s">
        <v>1703</v>
      </c>
      <c r="BO74" s="110">
        <v>-0.4</v>
      </c>
      <c r="BP74" s="110" t="s">
        <v>174</v>
      </c>
      <c r="BQ74" s="110" t="s">
        <v>174</v>
      </c>
      <c r="BR74" s="110" t="s">
        <v>174</v>
      </c>
      <c r="BS74" s="110">
        <v>120</v>
      </c>
      <c r="BT74" s="110" t="s">
        <v>1387</v>
      </c>
      <c r="BU74" s="110" t="s">
        <v>2606</v>
      </c>
      <c r="BV74" s="110" t="s">
        <v>1387</v>
      </c>
      <c r="CB74" s="110" t="s">
        <v>190</v>
      </c>
      <c r="CC74" s="110" t="b">
        <v>0</v>
      </c>
      <c r="CD74" s="110">
        <v>142.84051120000001</v>
      </c>
      <c r="CE74" s="110" t="s">
        <v>2256</v>
      </c>
      <c r="CF74" s="110" t="s">
        <v>2256</v>
      </c>
      <c r="CG74" s="110" t="s">
        <v>174</v>
      </c>
      <c r="CH74" s="110" t="s">
        <v>1122</v>
      </c>
      <c r="CI74" s="110" t="s">
        <v>2510</v>
      </c>
      <c r="CJ74" s="110" t="s">
        <v>2275</v>
      </c>
    </row>
    <row r="75" spans="1:88">
      <c r="A75" s="110" t="s">
        <v>1118</v>
      </c>
      <c r="B75" s="110">
        <v>18</v>
      </c>
      <c r="C75" s="110">
        <v>1</v>
      </c>
      <c r="D75" s="110">
        <v>1</v>
      </c>
      <c r="E75" s="110">
        <v>80</v>
      </c>
      <c r="F75" s="110">
        <v>2022</v>
      </c>
      <c r="G75" s="110" t="s">
        <v>161</v>
      </c>
      <c r="H75" s="110" t="s">
        <v>1119</v>
      </c>
      <c r="I75" s="110" t="s">
        <v>182</v>
      </c>
      <c r="J75" s="110" t="s">
        <v>182</v>
      </c>
      <c r="K75" s="110" t="s">
        <v>999</v>
      </c>
      <c r="L75" s="110" t="s">
        <v>999</v>
      </c>
      <c r="R75" s="110" t="s">
        <v>152</v>
      </c>
      <c r="S75" s="110" t="s">
        <v>443</v>
      </c>
      <c r="T75" s="110" t="s">
        <v>156</v>
      </c>
      <c r="U75" s="110" t="s">
        <v>158</v>
      </c>
      <c r="V75" s="110">
        <v>58.4</v>
      </c>
      <c r="W75" s="110">
        <v>58.4</v>
      </c>
      <c r="X75" s="110">
        <v>8.6999999999999993</v>
      </c>
      <c r="Y75" s="110" t="s">
        <v>291</v>
      </c>
      <c r="Z75" s="110" t="s">
        <v>155</v>
      </c>
      <c r="AA75" s="110" t="s">
        <v>1788</v>
      </c>
      <c r="AB75" s="110" t="s">
        <v>333</v>
      </c>
      <c r="AC75" s="110" t="s">
        <v>246</v>
      </c>
      <c r="AD75" s="110" t="s">
        <v>333</v>
      </c>
      <c r="AE75" s="110" t="s">
        <v>1123</v>
      </c>
      <c r="AF75" s="110" t="s">
        <v>1745</v>
      </c>
      <c r="AG75" s="110">
        <v>10</v>
      </c>
      <c r="AI75" s="110" t="s">
        <v>246</v>
      </c>
      <c r="AJ75" s="110" t="s">
        <v>246</v>
      </c>
      <c r="AK75" s="110" t="s">
        <v>171</v>
      </c>
      <c r="AL75" s="110" t="s">
        <v>190</v>
      </c>
      <c r="AM75" s="110" t="s">
        <v>174</v>
      </c>
      <c r="AO75" s="110">
        <v>10</v>
      </c>
      <c r="AP75" s="110" t="s">
        <v>190</v>
      </c>
      <c r="AQ75" s="110" t="s">
        <v>176</v>
      </c>
      <c r="AR75" s="110">
        <v>2018</v>
      </c>
      <c r="AS75" s="110" t="s">
        <v>475</v>
      </c>
      <c r="AT75" s="110" t="s">
        <v>420</v>
      </c>
      <c r="AU75" s="110">
        <v>20</v>
      </c>
      <c r="AW75" s="110">
        <v>26.342142290000002</v>
      </c>
      <c r="AX75" s="110" t="s">
        <v>174</v>
      </c>
      <c r="AY75" s="110">
        <v>37.08</v>
      </c>
      <c r="AZ75" s="110">
        <v>36</v>
      </c>
      <c r="BA75" s="110">
        <v>14.2</v>
      </c>
      <c r="BB75" s="110">
        <v>14.2</v>
      </c>
      <c r="BC75" s="110">
        <v>14.2</v>
      </c>
      <c r="BD75" s="110">
        <v>0</v>
      </c>
      <c r="BE75" s="110" t="s">
        <v>182</v>
      </c>
      <c r="BF75" s="110" t="s">
        <v>412</v>
      </c>
      <c r="BG75" s="110">
        <v>378.4</v>
      </c>
      <c r="BH75" s="110" t="s">
        <v>894</v>
      </c>
      <c r="BI75" s="110" t="s">
        <v>182</v>
      </c>
      <c r="BJ75" s="110" t="s">
        <v>412</v>
      </c>
      <c r="BK75" s="110">
        <v>3</v>
      </c>
      <c r="BL75" s="110">
        <v>4</v>
      </c>
      <c r="BM75" s="110" t="s">
        <v>1703</v>
      </c>
      <c r="BO75" s="110">
        <v>0.3</v>
      </c>
      <c r="BP75" s="110">
        <v>167</v>
      </c>
      <c r="BQ75" s="110" t="s">
        <v>174</v>
      </c>
      <c r="BR75" s="110">
        <v>333</v>
      </c>
      <c r="BS75" s="110">
        <v>83</v>
      </c>
      <c r="BT75" s="110" t="s">
        <v>1396</v>
      </c>
      <c r="BU75" s="110" t="s">
        <v>1396</v>
      </c>
      <c r="BV75" s="110" t="s">
        <v>1396</v>
      </c>
      <c r="BW75" s="110">
        <v>0.93200000000000005</v>
      </c>
      <c r="CA75" s="110">
        <v>0.50119999999999998</v>
      </c>
      <c r="CB75" s="110">
        <v>99.76057462</v>
      </c>
      <c r="CC75" s="110" t="b">
        <v>0</v>
      </c>
      <c r="CD75" s="110">
        <v>62.905702890903576</v>
      </c>
      <c r="CE75" s="110">
        <v>0</v>
      </c>
      <c r="CF75" s="110" t="s">
        <v>246</v>
      </c>
      <c r="CG75" s="110" t="s">
        <v>174</v>
      </c>
      <c r="CH75" s="110" t="s">
        <v>1122</v>
      </c>
      <c r="CI75" s="110" t="s">
        <v>259</v>
      </c>
      <c r="CJ75" s="110" t="s">
        <v>2261</v>
      </c>
    </row>
    <row r="76" spans="1:88">
      <c r="A76" s="110" t="s">
        <v>1118</v>
      </c>
      <c r="B76" s="110">
        <v>18</v>
      </c>
      <c r="C76" s="110">
        <v>1</v>
      </c>
      <c r="D76" s="110">
        <v>1</v>
      </c>
      <c r="E76" s="110">
        <v>81</v>
      </c>
      <c r="F76" s="110">
        <v>2022</v>
      </c>
      <c r="G76" s="110" t="s">
        <v>161</v>
      </c>
      <c r="H76" s="110" t="s">
        <v>1119</v>
      </c>
      <c r="I76" s="110" t="s">
        <v>182</v>
      </c>
      <c r="J76" s="110" t="s">
        <v>182</v>
      </c>
      <c r="K76" s="110" t="s">
        <v>999</v>
      </c>
      <c r="L76" s="110" t="s">
        <v>999</v>
      </c>
      <c r="R76" s="110" t="s">
        <v>152</v>
      </c>
      <c r="S76" s="110" t="s">
        <v>443</v>
      </c>
      <c r="T76" s="110" t="s">
        <v>156</v>
      </c>
      <c r="U76" s="110" t="s">
        <v>158</v>
      </c>
      <c r="V76" s="110">
        <v>56.5</v>
      </c>
      <c r="W76" s="110">
        <v>56.5</v>
      </c>
      <c r="X76" s="110">
        <v>-5.5</v>
      </c>
      <c r="Y76" s="110" t="s">
        <v>160</v>
      </c>
      <c r="Z76" s="110" t="s">
        <v>155</v>
      </c>
      <c r="AA76" s="110" t="s">
        <v>1788</v>
      </c>
      <c r="AB76" s="110" t="s">
        <v>333</v>
      </c>
      <c r="AC76" s="110" t="s">
        <v>246</v>
      </c>
      <c r="AD76" s="110" t="s">
        <v>333</v>
      </c>
      <c r="AE76" s="110" t="s">
        <v>1123</v>
      </c>
      <c r="AF76" s="110" t="s">
        <v>1745</v>
      </c>
      <c r="AG76" s="110">
        <v>10</v>
      </c>
      <c r="AI76" s="110" t="s">
        <v>246</v>
      </c>
      <c r="AJ76" s="110" t="s">
        <v>246</v>
      </c>
      <c r="AK76" s="110" t="s">
        <v>171</v>
      </c>
      <c r="AL76" s="110" t="s">
        <v>190</v>
      </c>
      <c r="AM76" s="110" t="s">
        <v>174</v>
      </c>
      <c r="AO76" s="110">
        <v>10</v>
      </c>
      <c r="AP76" s="110" t="s">
        <v>190</v>
      </c>
      <c r="AQ76" s="110" t="s">
        <v>176</v>
      </c>
      <c r="AR76" s="110">
        <v>2018</v>
      </c>
      <c r="AS76" s="110" t="s">
        <v>237</v>
      </c>
      <c r="AT76" s="110" t="s">
        <v>420</v>
      </c>
      <c r="AU76" s="110">
        <v>20</v>
      </c>
      <c r="AW76" s="110">
        <v>28.953466500000001</v>
      </c>
      <c r="AX76" s="110" t="s">
        <v>174</v>
      </c>
      <c r="AY76" s="110">
        <v>36.29</v>
      </c>
      <c r="AZ76" s="110">
        <v>38</v>
      </c>
      <c r="BA76" s="110">
        <v>13.4</v>
      </c>
      <c r="BB76" s="110">
        <v>13.4</v>
      </c>
      <c r="BC76" s="110">
        <v>13.4</v>
      </c>
      <c r="BD76" s="110">
        <v>0</v>
      </c>
      <c r="BE76" s="110" t="s">
        <v>182</v>
      </c>
      <c r="BF76" s="110" t="s">
        <v>412</v>
      </c>
      <c r="BG76" s="110">
        <v>83</v>
      </c>
      <c r="BH76" s="110" t="s">
        <v>894</v>
      </c>
      <c r="BI76" s="110" t="s">
        <v>182</v>
      </c>
      <c r="BJ76" s="110" t="s">
        <v>412</v>
      </c>
      <c r="BK76" s="110">
        <v>3</v>
      </c>
      <c r="BL76" s="110">
        <v>2</v>
      </c>
      <c r="BM76" s="110" t="s">
        <v>1703</v>
      </c>
      <c r="BO76" s="110">
        <v>0.4</v>
      </c>
      <c r="BP76" s="110">
        <v>125</v>
      </c>
      <c r="BQ76" s="110" t="s">
        <v>174</v>
      </c>
      <c r="BR76" s="110">
        <v>250</v>
      </c>
      <c r="BS76" s="110">
        <v>70</v>
      </c>
      <c r="BT76" s="110" t="s">
        <v>1385</v>
      </c>
      <c r="BU76" s="110" t="s">
        <v>3207</v>
      </c>
      <c r="BV76" s="110" t="s">
        <v>2603</v>
      </c>
      <c r="BW76" s="110">
        <v>1</v>
      </c>
      <c r="BZ76" s="110">
        <v>5.2699999999999997E-2</v>
      </c>
      <c r="CB76" s="110" t="s">
        <v>190</v>
      </c>
      <c r="CC76" s="110" t="b">
        <v>0</v>
      </c>
      <c r="CD76" s="110">
        <v>73.45</v>
      </c>
      <c r="CE76" s="110">
        <v>73.45</v>
      </c>
      <c r="CF76" s="110" t="s">
        <v>182</v>
      </c>
      <c r="CG76" s="110" t="s">
        <v>174</v>
      </c>
      <c r="CH76" s="110" t="s">
        <v>1122</v>
      </c>
      <c r="CI76" s="110" t="s">
        <v>259</v>
      </c>
      <c r="CJ76" s="110" t="s">
        <v>2259</v>
      </c>
    </row>
    <row r="77" spans="1:88">
      <c r="A77" s="110" t="s">
        <v>1118</v>
      </c>
      <c r="B77" s="110">
        <v>18</v>
      </c>
      <c r="C77" s="110">
        <v>1</v>
      </c>
      <c r="D77" s="110">
        <v>1</v>
      </c>
      <c r="E77" s="110">
        <v>82</v>
      </c>
      <c r="F77" s="110">
        <v>2022</v>
      </c>
      <c r="G77" s="110" t="s">
        <v>161</v>
      </c>
      <c r="H77" s="110" t="s">
        <v>1119</v>
      </c>
      <c r="I77" s="110" t="s">
        <v>182</v>
      </c>
      <c r="J77" s="110" t="s">
        <v>182</v>
      </c>
      <c r="K77" s="110" t="s">
        <v>999</v>
      </c>
      <c r="L77" s="110" t="s">
        <v>999</v>
      </c>
      <c r="R77" s="110" t="s">
        <v>152</v>
      </c>
      <c r="S77" s="110" t="s">
        <v>443</v>
      </c>
      <c r="T77" s="110" t="s">
        <v>156</v>
      </c>
      <c r="U77" s="110" t="s">
        <v>158</v>
      </c>
      <c r="V77" s="110">
        <v>50.3</v>
      </c>
      <c r="W77" s="110">
        <v>50.3</v>
      </c>
      <c r="X77" s="110">
        <v>-4.0999999999999996</v>
      </c>
      <c r="Y77" s="110" t="s">
        <v>160</v>
      </c>
      <c r="Z77" s="110" t="s">
        <v>155</v>
      </c>
      <c r="AA77" s="110" t="s">
        <v>1788</v>
      </c>
      <c r="AB77" s="110" t="s">
        <v>333</v>
      </c>
      <c r="AC77" s="110" t="s">
        <v>246</v>
      </c>
      <c r="AD77" s="110" t="s">
        <v>333</v>
      </c>
      <c r="AE77" s="110" t="s">
        <v>1123</v>
      </c>
      <c r="AF77" s="110" t="s">
        <v>1745</v>
      </c>
      <c r="AG77" s="110">
        <v>10</v>
      </c>
      <c r="AI77" s="110" t="s">
        <v>246</v>
      </c>
      <c r="AJ77" s="110" t="s">
        <v>246</v>
      </c>
      <c r="AK77" s="110" t="s">
        <v>171</v>
      </c>
      <c r="AL77" s="110" t="s">
        <v>190</v>
      </c>
      <c r="AM77" s="110" t="s">
        <v>174</v>
      </c>
      <c r="AO77" s="110">
        <v>10</v>
      </c>
      <c r="AP77" s="110" t="s">
        <v>190</v>
      </c>
      <c r="AQ77" s="110" t="s">
        <v>176</v>
      </c>
      <c r="AR77" s="110">
        <v>2018</v>
      </c>
      <c r="AS77" s="110" t="s">
        <v>237</v>
      </c>
      <c r="AT77" s="110" t="s">
        <v>420</v>
      </c>
      <c r="AU77" s="110">
        <v>20</v>
      </c>
      <c r="AW77" s="110">
        <v>17.653224649999999</v>
      </c>
      <c r="AX77" s="110" t="s">
        <v>174</v>
      </c>
      <c r="AY77" s="110">
        <v>29.49</v>
      </c>
      <c r="AZ77" s="110">
        <v>32.700000000000003</v>
      </c>
      <c r="BA77" s="110">
        <v>16.899999999999999</v>
      </c>
      <c r="BB77" s="110">
        <v>16.899999999999999</v>
      </c>
      <c r="BC77" s="110">
        <v>16.899999999999999</v>
      </c>
      <c r="BD77" s="110">
        <v>0</v>
      </c>
      <c r="BE77" s="110" t="s">
        <v>182</v>
      </c>
      <c r="BF77" s="110" t="s">
        <v>412</v>
      </c>
      <c r="BG77" s="110">
        <v>209.2</v>
      </c>
      <c r="BH77" s="110" t="s">
        <v>894</v>
      </c>
      <c r="BI77" s="110" t="s">
        <v>182</v>
      </c>
      <c r="BJ77" s="110" t="s">
        <v>412</v>
      </c>
      <c r="BK77" s="110">
        <v>3</v>
      </c>
      <c r="BL77" s="110">
        <v>2</v>
      </c>
      <c r="BM77" s="110" t="s">
        <v>1703</v>
      </c>
      <c r="BO77" s="110">
        <v>0.1</v>
      </c>
      <c r="BP77" s="110">
        <v>500</v>
      </c>
      <c r="BQ77" s="110" t="s">
        <v>174</v>
      </c>
      <c r="BR77" s="110">
        <v>1000</v>
      </c>
      <c r="BS77" s="110">
        <v>61</v>
      </c>
      <c r="BT77" s="110" t="s">
        <v>1387</v>
      </c>
      <c r="BU77" s="110" t="s">
        <v>2606</v>
      </c>
      <c r="BV77" s="110" t="s">
        <v>1387</v>
      </c>
      <c r="CB77" s="110" t="s">
        <v>190</v>
      </c>
      <c r="CC77" s="110" t="b">
        <v>0</v>
      </c>
      <c r="CD77" s="110">
        <v>104.37730000000001</v>
      </c>
      <c r="CE77" s="110" t="s">
        <v>2256</v>
      </c>
      <c r="CF77" s="110" t="s">
        <v>2256</v>
      </c>
      <c r="CG77" s="110" t="s">
        <v>174</v>
      </c>
      <c r="CH77" s="110" t="s">
        <v>1122</v>
      </c>
      <c r="CI77" s="110" t="s">
        <v>259</v>
      </c>
      <c r="CJ77" s="110" t="s">
        <v>2270</v>
      </c>
    </row>
    <row r="78" spans="1:88">
      <c r="A78" s="110" t="s">
        <v>1118</v>
      </c>
      <c r="B78" s="110">
        <v>18</v>
      </c>
      <c r="C78" s="110">
        <v>1</v>
      </c>
      <c r="D78" s="110">
        <v>1</v>
      </c>
      <c r="E78" s="110">
        <v>83</v>
      </c>
      <c r="F78" s="110">
        <v>2022</v>
      </c>
      <c r="G78" s="110" t="s">
        <v>161</v>
      </c>
      <c r="H78" s="110" t="s">
        <v>1119</v>
      </c>
      <c r="I78" s="110" t="s">
        <v>182</v>
      </c>
      <c r="J78" s="110" t="s">
        <v>182</v>
      </c>
      <c r="K78" s="110" t="s">
        <v>999</v>
      </c>
      <c r="L78" s="110" t="s">
        <v>999</v>
      </c>
      <c r="R78" s="110" t="s">
        <v>152</v>
      </c>
      <c r="S78" s="110" t="s">
        <v>443</v>
      </c>
      <c r="T78" s="110" t="s">
        <v>156</v>
      </c>
      <c r="U78" s="110" t="s">
        <v>158</v>
      </c>
      <c r="V78" s="110">
        <v>48.7</v>
      </c>
      <c r="W78" s="110">
        <v>48.7</v>
      </c>
      <c r="X78" s="110">
        <v>-3.9</v>
      </c>
      <c r="Y78" s="110" t="s">
        <v>310</v>
      </c>
      <c r="Z78" s="110" t="s">
        <v>155</v>
      </c>
      <c r="AA78" s="110" t="s">
        <v>1788</v>
      </c>
      <c r="AB78" s="110" t="s">
        <v>333</v>
      </c>
      <c r="AC78" s="110" t="s">
        <v>246</v>
      </c>
      <c r="AD78" s="110" t="s">
        <v>333</v>
      </c>
      <c r="AE78" s="110" t="s">
        <v>1123</v>
      </c>
      <c r="AF78" s="110" t="s">
        <v>1745</v>
      </c>
      <c r="AG78" s="110">
        <v>10</v>
      </c>
      <c r="AI78" s="110" t="s">
        <v>246</v>
      </c>
      <c r="AJ78" s="110" t="s">
        <v>246</v>
      </c>
      <c r="AK78" s="110" t="s">
        <v>171</v>
      </c>
      <c r="AL78" s="110" t="s">
        <v>190</v>
      </c>
      <c r="AM78" s="110" t="s">
        <v>174</v>
      </c>
      <c r="AO78" s="110">
        <v>10</v>
      </c>
      <c r="AP78" s="110" t="s">
        <v>190</v>
      </c>
      <c r="AQ78" s="110" t="s">
        <v>176</v>
      </c>
      <c r="AR78" s="110">
        <v>2018</v>
      </c>
      <c r="AS78" s="110" t="s">
        <v>237</v>
      </c>
      <c r="AT78" s="110" t="s">
        <v>420</v>
      </c>
      <c r="AU78" s="110">
        <v>20</v>
      </c>
      <c r="AW78" s="110">
        <v>28.034257190000002</v>
      </c>
      <c r="AX78" s="110" t="s">
        <v>174</v>
      </c>
      <c r="AY78" s="110">
        <v>37.545000000000002</v>
      </c>
      <c r="AZ78" s="110">
        <v>38.1</v>
      </c>
      <c r="BA78" s="110">
        <v>16.3</v>
      </c>
      <c r="BB78" s="110">
        <v>16.3</v>
      </c>
      <c r="BC78" s="110">
        <v>16.3</v>
      </c>
      <c r="BD78" s="110">
        <v>0</v>
      </c>
      <c r="BE78" s="110" t="s">
        <v>182</v>
      </c>
      <c r="BF78" s="110" t="s">
        <v>412</v>
      </c>
      <c r="BG78" s="110">
        <v>23.2</v>
      </c>
      <c r="BH78" s="110" t="s">
        <v>894</v>
      </c>
      <c r="BI78" s="110" t="s">
        <v>182</v>
      </c>
      <c r="BJ78" s="110" t="s">
        <v>412</v>
      </c>
      <c r="BK78" s="110">
        <v>3</v>
      </c>
      <c r="BL78" s="110">
        <v>2</v>
      </c>
      <c r="BM78" s="110" t="s">
        <v>1703</v>
      </c>
      <c r="BO78" s="110">
        <v>0.1</v>
      </c>
      <c r="BP78" s="110">
        <v>500</v>
      </c>
      <c r="BQ78" s="110" t="s">
        <v>174</v>
      </c>
      <c r="BR78" s="110">
        <v>1000</v>
      </c>
      <c r="BS78" s="110">
        <v>93</v>
      </c>
      <c r="BT78" s="110" t="s">
        <v>1385</v>
      </c>
      <c r="BU78" s="110" t="s">
        <v>3207</v>
      </c>
      <c r="BV78" s="110" t="s">
        <v>2603</v>
      </c>
      <c r="BW78" s="110">
        <v>0.97</v>
      </c>
      <c r="BZ78" s="110">
        <v>0.6633</v>
      </c>
      <c r="CB78" s="110" t="s">
        <v>190</v>
      </c>
      <c r="CC78" s="110" t="b">
        <v>0</v>
      </c>
      <c r="CD78" s="110">
        <v>91.833600000000004</v>
      </c>
      <c r="CE78" s="110">
        <v>91.833600000000004</v>
      </c>
      <c r="CF78" s="110" t="s">
        <v>182</v>
      </c>
      <c r="CH78" s="110" t="s">
        <v>1122</v>
      </c>
      <c r="CI78" s="110" t="s">
        <v>259</v>
      </c>
      <c r="CJ78" s="110" t="s">
        <v>2271</v>
      </c>
    </row>
    <row r="79" spans="1:88">
      <c r="A79" s="110" t="s">
        <v>1118</v>
      </c>
      <c r="B79" s="110">
        <v>18</v>
      </c>
      <c r="C79" s="110">
        <v>1</v>
      </c>
      <c r="D79" s="110">
        <v>1</v>
      </c>
      <c r="E79" s="110">
        <v>84</v>
      </c>
      <c r="F79" s="110">
        <v>2022</v>
      </c>
      <c r="G79" s="110" t="s">
        <v>161</v>
      </c>
      <c r="H79" s="110" t="s">
        <v>1119</v>
      </c>
      <c r="I79" s="110" t="s">
        <v>182</v>
      </c>
      <c r="J79" s="110" t="s">
        <v>182</v>
      </c>
      <c r="K79" s="110" t="s">
        <v>999</v>
      </c>
      <c r="L79" s="110" t="s">
        <v>999</v>
      </c>
      <c r="R79" s="110" t="s">
        <v>152</v>
      </c>
      <c r="S79" s="110" t="s">
        <v>443</v>
      </c>
      <c r="T79" s="110" t="s">
        <v>156</v>
      </c>
      <c r="U79" s="110" t="s">
        <v>158</v>
      </c>
      <c r="V79" s="110">
        <v>41.1</v>
      </c>
      <c r="W79" s="110">
        <v>41.1</v>
      </c>
      <c r="X79" s="110">
        <v>-8.6999999999999993</v>
      </c>
      <c r="Y79" s="110" t="s">
        <v>1121</v>
      </c>
      <c r="Z79" s="110" t="s">
        <v>155</v>
      </c>
      <c r="AA79" s="110" t="s">
        <v>1788</v>
      </c>
      <c r="AB79" s="110" t="s">
        <v>333</v>
      </c>
      <c r="AC79" s="110" t="s">
        <v>246</v>
      </c>
      <c r="AD79" s="110" t="s">
        <v>333</v>
      </c>
      <c r="AE79" s="110" t="s">
        <v>1123</v>
      </c>
      <c r="AF79" s="110" t="s">
        <v>1745</v>
      </c>
      <c r="AG79" s="110">
        <v>10</v>
      </c>
      <c r="AI79" s="110" t="s">
        <v>246</v>
      </c>
      <c r="AJ79" s="110" t="s">
        <v>246</v>
      </c>
      <c r="AK79" s="110" t="s">
        <v>171</v>
      </c>
      <c r="AL79" s="110" t="s">
        <v>190</v>
      </c>
      <c r="AM79" s="110" t="s">
        <v>174</v>
      </c>
      <c r="AO79" s="110">
        <v>10</v>
      </c>
      <c r="AP79" s="110" t="s">
        <v>190</v>
      </c>
      <c r="AQ79" s="110" t="s">
        <v>176</v>
      </c>
      <c r="AR79" s="110">
        <v>2018</v>
      </c>
      <c r="AS79" s="110" t="s">
        <v>236</v>
      </c>
      <c r="AT79" s="110" t="s">
        <v>420</v>
      </c>
      <c r="AU79" s="110">
        <v>20</v>
      </c>
      <c r="AW79" s="110">
        <v>14.81548639</v>
      </c>
      <c r="AX79" s="110" t="s">
        <v>174</v>
      </c>
      <c r="AY79" s="110">
        <v>31</v>
      </c>
      <c r="AZ79" s="110">
        <v>30.9</v>
      </c>
      <c r="BA79" s="110">
        <v>14.5</v>
      </c>
      <c r="BB79" s="110">
        <v>14.5</v>
      </c>
      <c r="BC79" s="110">
        <v>14.5</v>
      </c>
      <c r="BD79" s="110">
        <v>0</v>
      </c>
      <c r="BE79" s="110" t="s">
        <v>182</v>
      </c>
      <c r="BF79" s="110" t="s">
        <v>412</v>
      </c>
      <c r="BG79" s="110">
        <v>307.10000000000002</v>
      </c>
      <c r="BH79" s="110" t="s">
        <v>894</v>
      </c>
      <c r="BI79" s="110" t="s">
        <v>182</v>
      </c>
      <c r="BJ79" s="110" t="s">
        <v>412</v>
      </c>
      <c r="BK79" s="110">
        <v>3</v>
      </c>
      <c r="BL79" s="110">
        <v>2</v>
      </c>
      <c r="BM79" s="110" t="s">
        <v>1703</v>
      </c>
      <c r="BO79" s="110">
        <v>3</v>
      </c>
      <c r="BP79" s="110">
        <v>17</v>
      </c>
      <c r="BQ79" s="110" t="s">
        <v>174</v>
      </c>
      <c r="BR79" s="110">
        <v>33</v>
      </c>
      <c r="BS79" s="110">
        <v>89</v>
      </c>
      <c r="BT79" s="110" t="s">
        <v>1396</v>
      </c>
      <c r="BU79" s="110" t="s">
        <v>1396</v>
      </c>
      <c r="BV79" s="110" t="s">
        <v>1396</v>
      </c>
      <c r="BW79" s="110">
        <v>0.99</v>
      </c>
      <c r="CA79" s="110">
        <v>3.0747</v>
      </c>
      <c r="CB79" s="110">
        <v>16.26174911</v>
      </c>
      <c r="CC79" s="110" t="b">
        <v>0</v>
      </c>
      <c r="CD79" s="110">
        <v>0</v>
      </c>
      <c r="CE79" s="110">
        <v>0</v>
      </c>
      <c r="CF79" s="110" t="s">
        <v>246</v>
      </c>
      <c r="CG79" s="110" t="s">
        <v>174</v>
      </c>
      <c r="CH79" s="110" t="s">
        <v>1122</v>
      </c>
      <c r="CI79" s="110" t="s">
        <v>259</v>
      </c>
      <c r="CJ79" s="110" t="s">
        <v>2269</v>
      </c>
    </row>
    <row r="80" spans="1:88">
      <c r="A80" s="110" t="s">
        <v>1118</v>
      </c>
      <c r="B80" s="110">
        <v>18</v>
      </c>
      <c r="C80" s="110">
        <v>1</v>
      </c>
      <c r="D80" s="110">
        <v>1</v>
      </c>
      <c r="E80" s="110">
        <v>68</v>
      </c>
      <c r="F80" s="110">
        <v>2022</v>
      </c>
      <c r="G80" s="110" t="s">
        <v>161</v>
      </c>
      <c r="H80" s="110" t="s">
        <v>1119</v>
      </c>
      <c r="I80" s="110" t="s">
        <v>182</v>
      </c>
      <c r="J80" s="110" t="s">
        <v>182</v>
      </c>
      <c r="K80" s="110" t="s">
        <v>999</v>
      </c>
      <c r="L80" s="110" t="s">
        <v>999</v>
      </c>
      <c r="R80" s="110" t="s">
        <v>152</v>
      </c>
      <c r="S80" s="110" t="s">
        <v>443</v>
      </c>
      <c r="T80" s="110" t="s">
        <v>154</v>
      </c>
      <c r="U80" s="110" t="s">
        <v>255</v>
      </c>
      <c r="V80" s="110">
        <v>59.5</v>
      </c>
      <c r="W80" s="110">
        <v>59.5</v>
      </c>
      <c r="X80" s="110">
        <v>-151.5</v>
      </c>
      <c r="Y80" s="110" t="s">
        <v>276</v>
      </c>
      <c r="Z80" s="110" t="s">
        <v>275</v>
      </c>
      <c r="AA80" s="110" t="s">
        <v>1788</v>
      </c>
      <c r="AB80" s="110" t="s">
        <v>333</v>
      </c>
      <c r="AC80" s="110" t="s">
        <v>246</v>
      </c>
      <c r="AD80" s="110" t="s">
        <v>333</v>
      </c>
      <c r="AE80" s="110" t="s">
        <v>1123</v>
      </c>
      <c r="AF80" s="110" t="s">
        <v>1745</v>
      </c>
      <c r="AG80" s="110">
        <v>10</v>
      </c>
      <c r="AI80" s="110" t="s">
        <v>246</v>
      </c>
      <c r="AJ80" s="110" t="s">
        <v>246</v>
      </c>
      <c r="AK80" s="110" t="s">
        <v>171</v>
      </c>
      <c r="AL80" s="110" t="s">
        <v>190</v>
      </c>
      <c r="AM80" s="110" t="s">
        <v>174</v>
      </c>
      <c r="AO80" s="110">
        <v>10</v>
      </c>
      <c r="AP80" s="110" t="s">
        <v>190</v>
      </c>
      <c r="AQ80" s="110" t="s">
        <v>176</v>
      </c>
      <c r="AR80" s="110">
        <v>2018</v>
      </c>
      <c r="AS80" s="110" t="s">
        <v>234</v>
      </c>
      <c r="AT80" s="110" t="s">
        <v>298</v>
      </c>
      <c r="AU80" s="110">
        <v>20</v>
      </c>
      <c r="AW80" s="110">
        <v>15.41956102</v>
      </c>
      <c r="AX80" s="110" t="s">
        <v>174</v>
      </c>
      <c r="AY80" s="110">
        <v>29.48</v>
      </c>
      <c r="AZ80" s="110">
        <v>26.4</v>
      </c>
      <c r="BA80" s="110">
        <v>9.4</v>
      </c>
      <c r="BB80" s="110">
        <v>9.4</v>
      </c>
      <c r="BC80" s="110">
        <v>9.4</v>
      </c>
      <c r="BD80" s="110">
        <v>0</v>
      </c>
      <c r="BE80" s="110" t="s">
        <v>182</v>
      </c>
      <c r="BF80" s="110" t="s">
        <v>412</v>
      </c>
      <c r="BG80" s="110">
        <v>66.400000000000006</v>
      </c>
      <c r="BH80" s="110" t="s">
        <v>894</v>
      </c>
      <c r="BI80" s="110" t="s">
        <v>182</v>
      </c>
      <c r="BJ80" s="110" t="s">
        <v>412</v>
      </c>
      <c r="BK80" s="110">
        <v>3</v>
      </c>
      <c r="BL80" s="110">
        <v>2</v>
      </c>
      <c r="BM80" s="110" t="s">
        <v>1703</v>
      </c>
      <c r="BO80" s="110">
        <v>-0.1</v>
      </c>
      <c r="BP80" s="110" t="s">
        <v>174</v>
      </c>
      <c r="BQ80" s="110" t="s">
        <v>174</v>
      </c>
      <c r="BR80" s="110" t="s">
        <v>174</v>
      </c>
      <c r="BS80" s="110">
        <v>97</v>
      </c>
      <c r="BT80" s="110" t="s">
        <v>1387</v>
      </c>
      <c r="BU80" s="110" t="s">
        <v>2606</v>
      </c>
      <c r="BV80" s="110" t="s">
        <v>1387</v>
      </c>
      <c r="CB80" s="110" t="s">
        <v>190</v>
      </c>
      <c r="CC80" s="110" t="b">
        <v>0</v>
      </c>
      <c r="CD80" s="110">
        <v>46.824768509999998</v>
      </c>
      <c r="CE80" s="110" t="s">
        <v>2256</v>
      </c>
      <c r="CF80" s="110" t="s">
        <v>2256</v>
      </c>
      <c r="CG80" s="110" t="s">
        <v>174</v>
      </c>
      <c r="CH80" s="110" t="s">
        <v>1122</v>
      </c>
      <c r="CI80" s="110" t="s">
        <v>259</v>
      </c>
      <c r="CJ80" s="110" t="s">
        <v>2257</v>
      </c>
    </row>
    <row r="81" spans="1:88">
      <c r="A81" s="110" t="s">
        <v>1118</v>
      </c>
      <c r="B81" s="110">
        <v>18</v>
      </c>
      <c r="C81" s="110">
        <v>1</v>
      </c>
      <c r="D81" s="110">
        <v>1</v>
      </c>
      <c r="E81" s="110">
        <v>73</v>
      </c>
      <c r="F81" s="110">
        <v>2022</v>
      </c>
      <c r="G81" s="110" t="s">
        <v>161</v>
      </c>
      <c r="H81" s="110" t="s">
        <v>1119</v>
      </c>
      <c r="I81" s="110" t="s">
        <v>182</v>
      </c>
      <c r="J81" s="110" t="s">
        <v>182</v>
      </c>
      <c r="K81" s="110" t="s">
        <v>999</v>
      </c>
      <c r="L81" s="110" t="s">
        <v>999</v>
      </c>
      <c r="R81" s="110" t="s">
        <v>152</v>
      </c>
      <c r="S81" s="110" t="s">
        <v>443</v>
      </c>
      <c r="T81" s="110" t="s">
        <v>154</v>
      </c>
      <c r="U81" s="110" t="s">
        <v>255</v>
      </c>
      <c r="V81" s="110">
        <v>48.7</v>
      </c>
      <c r="W81" s="110">
        <v>48.7</v>
      </c>
      <c r="X81" s="110">
        <v>-123.4</v>
      </c>
      <c r="Y81" s="110" t="s">
        <v>585</v>
      </c>
      <c r="Z81" s="110" t="s">
        <v>275</v>
      </c>
      <c r="AA81" s="110" t="s">
        <v>1788</v>
      </c>
      <c r="AB81" s="110" t="s">
        <v>333</v>
      </c>
      <c r="AC81" s="110" t="s">
        <v>246</v>
      </c>
      <c r="AD81" s="110" t="s">
        <v>333</v>
      </c>
      <c r="AE81" s="110" t="s">
        <v>1123</v>
      </c>
      <c r="AF81" s="110" t="s">
        <v>1745</v>
      </c>
      <c r="AG81" s="110">
        <v>10</v>
      </c>
      <c r="AI81" s="110" t="s">
        <v>246</v>
      </c>
      <c r="AJ81" s="110" t="s">
        <v>246</v>
      </c>
      <c r="AK81" s="110" t="s">
        <v>171</v>
      </c>
      <c r="AL81" s="110" t="s">
        <v>190</v>
      </c>
      <c r="AM81" s="110" t="s">
        <v>174</v>
      </c>
      <c r="AO81" s="110">
        <v>10</v>
      </c>
      <c r="AP81" s="110" t="s">
        <v>190</v>
      </c>
      <c r="AQ81" s="110" t="s">
        <v>176</v>
      </c>
      <c r="AR81" s="110">
        <v>2018</v>
      </c>
      <c r="AS81" s="110" t="s">
        <v>237</v>
      </c>
      <c r="AT81" s="110" t="s">
        <v>420</v>
      </c>
      <c r="AU81" s="110">
        <v>20</v>
      </c>
      <c r="AW81" s="110">
        <v>14.17569836</v>
      </c>
      <c r="AX81" s="110" t="s">
        <v>174</v>
      </c>
      <c r="AY81" s="110">
        <v>36.26</v>
      </c>
      <c r="AZ81" s="110">
        <v>33.4</v>
      </c>
      <c r="BA81" s="110">
        <v>13</v>
      </c>
      <c r="BB81" s="110">
        <v>13</v>
      </c>
      <c r="BC81" s="110">
        <v>13</v>
      </c>
      <c r="BD81" s="110">
        <v>0</v>
      </c>
      <c r="BE81" s="110" t="s">
        <v>182</v>
      </c>
      <c r="BF81" s="110" t="s">
        <v>412</v>
      </c>
      <c r="BG81" s="110">
        <v>66</v>
      </c>
      <c r="BH81" s="110" t="s">
        <v>894</v>
      </c>
      <c r="BI81" s="110" t="s">
        <v>182</v>
      </c>
      <c r="BJ81" s="110" t="s">
        <v>412</v>
      </c>
      <c r="BK81" s="110">
        <v>3</v>
      </c>
      <c r="BL81" s="110">
        <v>2</v>
      </c>
      <c r="BM81" s="110" t="s">
        <v>1703</v>
      </c>
      <c r="BO81" s="110">
        <v>0.2</v>
      </c>
      <c r="BP81" s="110">
        <v>250</v>
      </c>
      <c r="BQ81" s="110" t="s">
        <v>174</v>
      </c>
      <c r="BR81" s="110">
        <v>500</v>
      </c>
      <c r="BS81" s="110">
        <v>60</v>
      </c>
      <c r="BT81" s="110" t="s">
        <v>1396</v>
      </c>
      <c r="BU81" s="110" t="s">
        <v>1396</v>
      </c>
      <c r="BV81" s="110" t="s">
        <v>1396</v>
      </c>
      <c r="BW81" s="110">
        <v>0.92500000000000004</v>
      </c>
      <c r="CA81" s="110">
        <v>0.496</v>
      </c>
      <c r="CB81" s="110">
        <v>100.8064516</v>
      </c>
      <c r="CC81" s="110" t="b">
        <v>0</v>
      </c>
      <c r="CD81" s="110">
        <v>69.951496547346537</v>
      </c>
      <c r="CE81" s="110">
        <v>0</v>
      </c>
      <c r="CF81" s="110" t="s">
        <v>246</v>
      </c>
      <c r="CG81" s="110" t="s">
        <v>174</v>
      </c>
      <c r="CH81" s="110" t="s">
        <v>1122</v>
      </c>
      <c r="CI81" s="110" t="s">
        <v>259</v>
      </c>
      <c r="CJ81" s="110" t="s">
        <v>2258</v>
      </c>
    </row>
    <row r="82" spans="1:88">
      <c r="A82" s="110" t="s">
        <v>1118</v>
      </c>
      <c r="B82" s="110">
        <v>18</v>
      </c>
      <c r="C82" s="110">
        <v>1</v>
      </c>
      <c r="D82" s="110">
        <v>1</v>
      </c>
      <c r="E82" s="110">
        <v>74</v>
      </c>
      <c r="F82" s="110">
        <v>2022</v>
      </c>
      <c r="G82" s="110" t="s">
        <v>161</v>
      </c>
      <c r="H82" s="110" t="s">
        <v>1119</v>
      </c>
      <c r="I82" s="110" t="s">
        <v>182</v>
      </c>
      <c r="J82" s="110" t="s">
        <v>182</v>
      </c>
      <c r="K82" s="110" t="s">
        <v>999</v>
      </c>
      <c r="L82" s="110" t="s">
        <v>999</v>
      </c>
      <c r="R82" s="110" t="s">
        <v>152</v>
      </c>
      <c r="S82" s="110" t="s">
        <v>443</v>
      </c>
      <c r="T82" s="110" t="s">
        <v>154</v>
      </c>
      <c r="U82" s="110" t="s">
        <v>255</v>
      </c>
      <c r="V82" s="110">
        <v>47.7</v>
      </c>
      <c r="W82" s="110">
        <v>47.7</v>
      </c>
      <c r="X82" s="110">
        <v>-70.400000000000006</v>
      </c>
      <c r="Y82" s="110" t="s">
        <v>585</v>
      </c>
      <c r="Z82" s="110" t="s">
        <v>586</v>
      </c>
      <c r="AA82" s="110" t="s">
        <v>1788</v>
      </c>
      <c r="AB82" s="110" t="s">
        <v>333</v>
      </c>
      <c r="AC82" s="110" t="s">
        <v>246</v>
      </c>
      <c r="AD82" s="110" t="s">
        <v>333</v>
      </c>
      <c r="AE82" s="110" t="s">
        <v>1123</v>
      </c>
      <c r="AF82" s="110" t="s">
        <v>1745</v>
      </c>
      <c r="AG82" s="110">
        <v>10</v>
      </c>
      <c r="AI82" s="110" t="s">
        <v>246</v>
      </c>
      <c r="AJ82" s="110" t="s">
        <v>246</v>
      </c>
      <c r="AK82" s="110" t="s">
        <v>171</v>
      </c>
      <c r="AL82" s="110" t="s">
        <v>190</v>
      </c>
      <c r="AM82" s="110" t="s">
        <v>174</v>
      </c>
      <c r="AO82" s="110">
        <v>10</v>
      </c>
      <c r="AP82" s="110" t="s">
        <v>190</v>
      </c>
      <c r="AQ82" s="110" t="s">
        <v>176</v>
      </c>
      <c r="AR82" s="110">
        <v>2018</v>
      </c>
      <c r="AS82" s="110" t="s">
        <v>237</v>
      </c>
      <c r="AT82" s="110" t="s">
        <v>420</v>
      </c>
      <c r="AU82" s="110">
        <v>20</v>
      </c>
      <c r="AW82" s="110">
        <v>24.775164329999999</v>
      </c>
      <c r="AX82" s="110" t="s">
        <v>174</v>
      </c>
      <c r="AY82" s="110">
        <v>36.08</v>
      </c>
      <c r="AZ82" s="110">
        <v>36.5</v>
      </c>
      <c r="BA82" s="110">
        <v>6.7</v>
      </c>
      <c r="BB82" s="110">
        <v>6.7</v>
      </c>
      <c r="BC82" s="110">
        <v>6.7</v>
      </c>
      <c r="BD82" s="110">
        <v>0</v>
      </c>
      <c r="BE82" s="110" t="s">
        <v>182</v>
      </c>
      <c r="BF82" s="110" t="s">
        <v>412</v>
      </c>
      <c r="BG82" s="110">
        <v>37.9</v>
      </c>
      <c r="BH82" s="110" t="s">
        <v>894</v>
      </c>
      <c r="BI82" s="110" t="s">
        <v>182</v>
      </c>
      <c r="BJ82" s="110" t="s">
        <v>412</v>
      </c>
      <c r="BK82" s="110">
        <v>3</v>
      </c>
      <c r="BL82" s="110">
        <v>2</v>
      </c>
      <c r="BM82" s="110" t="s">
        <v>1703</v>
      </c>
      <c r="BO82" s="110">
        <v>1.1000000000000001</v>
      </c>
      <c r="BP82" s="110">
        <v>45</v>
      </c>
      <c r="BQ82" s="110" t="s">
        <v>174</v>
      </c>
      <c r="BR82" s="110">
        <v>91</v>
      </c>
      <c r="BS82" s="110">
        <v>64</v>
      </c>
      <c r="BT82" s="110" t="s">
        <v>1385</v>
      </c>
      <c r="BU82" s="110" t="s">
        <v>3207</v>
      </c>
      <c r="BV82" s="110" t="s">
        <v>2603</v>
      </c>
      <c r="BW82" s="110">
        <v>1</v>
      </c>
      <c r="BZ82" s="110">
        <v>2.81E-2</v>
      </c>
      <c r="CB82" s="110">
        <v>32.51</v>
      </c>
      <c r="CC82" s="110" t="b">
        <v>0</v>
      </c>
      <c r="CD82" s="110">
        <v>16.510000000000002</v>
      </c>
      <c r="CE82" s="110">
        <v>16.510000000000002</v>
      </c>
      <c r="CF82" s="110" t="s">
        <v>182</v>
      </c>
      <c r="CG82" s="110" t="s">
        <v>174</v>
      </c>
      <c r="CH82" s="110" t="s">
        <v>1122</v>
      </c>
      <c r="CI82" s="110" t="s">
        <v>259</v>
      </c>
      <c r="CJ82" s="110" t="s">
        <v>2260</v>
      </c>
    </row>
    <row r="83" spans="1:88">
      <c r="A83" s="110" t="s">
        <v>1118</v>
      </c>
      <c r="B83" s="110">
        <v>18</v>
      </c>
      <c r="C83" s="110">
        <v>1</v>
      </c>
      <c r="D83" s="110">
        <v>1</v>
      </c>
      <c r="E83" s="110">
        <v>75</v>
      </c>
      <c r="F83" s="110">
        <v>2022</v>
      </c>
      <c r="G83" s="110" t="s">
        <v>161</v>
      </c>
      <c r="H83" s="110" t="s">
        <v>1119</v>
      </c>
      <c r="I83" s="110" t="s">
        <v>182</v>
      </c>
      <c r="J83" s="110" t="s">
        <v>182</v>
      </c>
      <c r="K83" s="110" t="s">
        <v>999</v>
      </c>
      <c r="L83" s="110" t="s">
        <v>999</v>
      </c>
      <c r="R83" s="110" t="s">
        <v>152</v>
      </c>
      <c r="S83" s="110" t="s">
        <v>443</v>
      </c>
      <c r="T83" s="110" t="s">
        <v>154</v>
      </c>
      <c r="U83" s="110" t="s">
        <v>255</v>
      </c>
      <c r="V83" s="110">
        <v>44.5</v>
      </c>
      <c r="W83" s="110">
        <v>44.5</v>
      </c>
      <c r="X83" s="110">
        <v>-63.9</v>
      </c>
      <c r="Y83" s="110" t="s">
        <v>585</v>
      </c>
      <c r="Z83" s="110" t="s">
        <v>586</v>
      </c>
      <c r="AA83" s="110" t="s">
        <v>1788</v>
      </c>
      <c r="AB83" s="110" t="s">
        <v>333</v>
      </c>
      <c r="AC83" s="110" t="s">
        <v>246</v>
      </c>
      <c r="AD83" s="110" t="s">
        <v>333</v>
      </c>
      <c r="AE83" s="110" t="s">
        <v>1123</v>
      </c>
      <c r="AF83" s="110" t="s">
        <v>1745</v>
      </c>
      <c r="AG83" s="110">
        <v>10</v>
      </c>
      <c r="AI83" s="110" t="s">
        <v>246</v>
      </c>
      <c r="AJ83" s="110" t="s">
        <v>246</v>
      </c>
      <c r="AK83" s="110" t="s">
        <v>171</v>
      </c>
      <c r="AL83" s="110" t="s">
        <v>190</v>
      </c>
      <c r="AM83" s="110" t="s">
        <v>174</v>
      </c>
      <c r="AO83" s="110">
        <v>10</v>
      </c>
      <c r="AP83" s="110" t="s">
        <v>190</v>
      </c>
      <c r="AQ83" s="110" t="s">
        <v>176</v>
      </c>
      <c r="AR83" s="110">
        <v>2018</v>
      </c>
      <c r="AS83" s="110" t="s">
        <v>237</v>
      </c>
      <c r="AT83" s="110" t="s">
        <v>420</v>
      </c>
      <c r="AU83" s="110">
        <v>20</v>
      </c>
      <c r="AW83" s="110">
        <v>88.677935480000002</v>
      </c>
      <c r="AX83" s="110" t="s">
        <v>174</v>
      </c>
      <c r="AY83" s="110">
        <v>34.869999999999997</v>
      </c>
      <c r="AZ83" s="110">
        <v>37.9</v>
      </c>
      <c r="BA83" s="110">
        <v>14.7</v>
      </c>
      <c r="BB83" s="110">
        <v>14.7</v>
      </c>
      <c r="BC83" s="110">
        <v>14.7</v>
      </c>
      <c r="BD83" s="110">
        <v>0</v>
      </c>
      <c r="BE83" s="110" t="s">
        <v>182</v>
      </c>
      <c r="BF83" s="110" t="s">
        <v>412</v>
      </c>
      <c r="BG83" s="110">
        <v>614.29999999999995</v>
      </c>
      <c r="BH83" s="110" t="s">
        <v>894</v>
      </c>
      <c r="BI83" s="110" t="s">
        <v>182</v>
      </c>
      <c r="BJ83" s="110" t="s">
        <v>412</v>
      </c>
      <c r="BK83" s="110">
        <v>3</v>
      </c>
      <c r="BL83" s="110">
        <v>4</v>
      </c>
      <c r="BM83" s="110" t="s">
        <v>1703</v>
      </c>
      <c r="BO83" s="110">
        <v>0.1</v>
      </c>
      <c r="BP83" s="110">
        <v>500</v>
      </c>
      <c r="BQ83" s="110" t="s">
        <v>174</v>
      </c>
      <c r="BR83" s="110">
        <v>1000</v>
      </c>
      <c r="BS83" s="110">
        <v>86</v>
      </c>
      <c r="BT83" s="110" t="s">
        <v>1396</v>
      </c>
      <c r="BU83" s="110" t="s">
        <v>1396</v>
      </c>
      <c r="BV83" s="110" t="s">
        <v>1396</v>
      </c>
      <c r="BW83" s="110">
        <v>0.81</v>
      </c>
      <c r="CA83" s="110">
        <v>0.34899999999999998</v>
      </c>
      <c r="CB83" s="110">
        <v>143.26647560000001</v>
      </c>
      <c r="CC83" s="110" t="b">
        <v>0</v>
      </c>
      <c r="CD83" s="110">
        <v>68.010533556280706</v>
      </c>
      <c r="CE83" s="110">
        <v>0</v>
      </c>
      <c r="CF83" s="110" t="s">
        <v>246</v>
      </c>
      <c r="CG83" s="110" t="s">
        <v>174</v>
      </c>
      <c r="CH83" s="110" t="s">
        <v>1122</v>
      </c>
      <c r="CI83" s="110" t="s">
        <v>259</v>
      </c>
      <c r="CJ83" s="110" t="s">
        <v>2267</v>
      </c>
    </row>
    <row r="84" spans="1:88">
      <c r="A84" s="110" t="s">
        <v>1118</v>
      </c>
      <c r="B84" s="110">
        <v>18</v>
      </c>
      <c r="C84" s="110">
        <v>1</v>
      </c>
      <c r="D84" s="110">
        <v>1</v>
      </c>
      <c r="E84" s="110">
        <v>76</v>
      </c>
      <c r="F84" s="110">
        <v>2022</v>
      </c>
      <c r="G84" s="110" t="s">
        <v>161</v>
      </c>
      <c r="H84" s="110" t="s">
        <v>1119</v>
      </c>
      <c r="I84" s="110" t="s">
        <v>182</v>
      </c>
      <c r="J84" s="110" t="s">
        <v>182</v>
      </c>
      <c r="K84" s="110" t="s">
        <v>999</v>
      </c>
      <c r="L84" s="110" t="s">
        <v>999</v>
      </c>
      <c r="R84" s="110" t="s">
        <v>152</v>
      </c>
      <c r="S84" s="110" t="s">
        <v>443</v>
      </c>
      <c r="T84" s="110" t="s">
        <v>154</v>
      </c>
      <c r="U84" s="110" t="s">
        <v>255</v>
      </c>
      <c r="V84" s="110">
        <v>42.5</v>
      </c>
      <c r="W84" s="110">
        <v>42.5</v>
      </c>
      <c r="X84" s="110">
        <v>-70.790000000000006</v>
      </c>
      <c r="Y84" s="110" t="s">
        <v>276</v>
      </c>
      <c r="Z84" s="110" t="s">
        <v>586</v>
      </c>
      <c r="AA84" s="110" t="s">
        <v>1788</v>
      </c>
      <c r="AB84" s="110" t="s">
        <v>333</v>
      </c>
      <c r="AC84" s="110" t="s">
        <v>246</v>
      </c>
      <c r="AD84" s="110" t="s">
        <v>333</v>
      </c>
      <c r="AE84" s="110" t="s">
        <v>1123</v>
      </c>
      <c r="AF84" s="110" t="s">
        <v>1745</v>
      </c>
      <c r="AG84" s="110">
        <v>10</v>
      </c>
      <c r="AI84" s="110" t="s">
        <v>246</v>
      </c>
      <c r="AJ84" s="110" t="s">
        <v>246</v>
      </c>
      <c r="AK84" s="110" t="s">
        <v>171</v>
      </c>
      <c r="AL84" s="110" t="s">
        <v>190</v>
      </c>
      <c r="AM84" s="110" t="s">
        <v>174</v>
      </c>
      <c r="AO84" s="110">
        <v>10</v>
      </c>
      <c r="AP84" s="110" t="s">
        <v>190</v>
      </c>
      <c r="AQ84" s="110" t="s">
        <v>176</v>
      </c>
      <c r="AR84" s="110">
        <v>2018</v>
      </c>
      <c r="AS84" s="110" t="s">
        <v>237</v>
      </c>
      <c r="AT84" s="110" t="s">
        <v>420</v>
      </c>
      <c r="AU84" s="110">
        <v>20</v>
      </c>
      <c r="AW84" s="110">
        <v>30.210737609999999</v>
      </c>
      <c r="AX84" s="110" t="s">
        <v>174</v>
      </c>
      <c r="AY84" s="110">
        <v>38.450000000000003</v>
      </c>
      <c r="AZ84" s="110">
        <v>32.5</v>
      </c>
      <c r="BA84" s="110">
        <v>21.04</v>
      </c>
      <c r="BB84" s="110">
        <v>21.04</v>
      </c>
      <c r="BC84" s="110">
        <v>21.04</v>
      </c>
      <c r="BD84" s="110">
        <v>0</v>
      </c>
      <c r="BE84" s="110" t="s">
        <v>182</v>
      </c>
      <c r="BF84" s="110" t="s">
        <v>412</v>
      </c>
      <c r="BG84" s="110" t="s">
        <v>1766</v>
      </c>
      <c r="BH84" s="110" t="s">
        <v>894</v>
      </c>
      <c r="BI84" s="110" t="s">
        <v>182</v>
      </c>
      <c r="BJ84" s="110" t="s">
        <v>412</v>
      </c>
      <c r="BK84" s="110">
        <v>3</v>
      </c>
      <c r="BL84" s="110">
        <v>2</v>
      </c>
      <c r="BM84" s="110" t="s">
        <v>1703</v>
      </c>
      <c r="BO84" s="110">
        <v>1.8</v>
      </c>
      <c r="BP84" s="110">
        <v>27</v>
      </c>
      <c r="BQ84" s="110" t="s">
        <v>174</v>
      </c>
      <c r="BR84" s="110">
        <v>56</v>
      </c>
      <c r="BS84" s="110">
        <v>53</v>
      </c>
      <c r="BT84" s="110" t="s">
        <v>2256</v>
      </c>
      <c r="BU84" s="110" t="s">
        <v>2606</v>
      </c>
      <c r="BV84" s="110" t="s">
        <v>2256</v>
      </c>
      <c r="CA84" s="110">
        <v>1.8</v>
      </c>
      <c r="CB84" s="110">
        <v>27</v>
      </c>
      <c r="CC84" s="110" t="b">
        <v>0</v>
      </c>
      <c r="CD84" s="110">
        <v>55.207682666055462</v>
      </c>
      <c r="CE84" s="110" t="s">
        <v>2256</v>
      </c>
      <c r="CF84" s="110" t="s">
        <v>2256</v>
      </c>
      <c r="CG84" s="110" t="s">
        <v>174</v>
      </c>
      <c r="CH84" s="110" t="s">
        <v>1122</v>
      </c>
      <c r="CI84" s="110" t="s">
        <v>259</v>
      </c>
      <c r="CJ84" s="110" t="s">
        <v>2263</v>
      </c>
    </row>
    <row r="85" spans="1:88">
      <c r="A85" s="110" t="s">
        <v>1118</v>
      </c>
      <c r="B85" s="110">
        <v>18</v>
      </c>
      <c r="C85" s="110">
        <v>1</v>
      </c>
      <c r="D85" s="110">
        <v>1</v>
      </c>
      <c r="E85" s="110">
        <v>77</v>
      </c>
      <c r="F85" s="110">
        <v>2022</v>
      </c>
      <c r="G85" s="110" t="s">
        <v>161</v>
      </c>
      <c r="H85" s="110" t="s">
        <v>1119</v>
      </c>
      <c r="I85" s="110" t="s">
        <v>182</v>
      </c>
      <c r="J85" s="110" t="s">
        <v>182</v>
      </c>
      <c r="K85" s="110" t="s">
        <v>999</v>
      </c>
      <c r="L85" s="110" t="s">
        <v>999</v>
      </c>
      <c r="R85" s="110" t="s">
        <v>152</v>
      </c>
      <c r="S85" s="110" t="s">
        <v>443</v>
      </c>
      <c r="T85" s="110" t="s">
        <v>154</v>
      </c>
      <c r="U85" s="110" t="s">
        <v>255</v>
      </c>
      <c r="V85" s="110">
        <v>41.4</v>
      </c>
      <c r="W85" s="110">
        <v>41.4</v>
      </c>
      <c r="X85" s="110">
        <v>-71.3</v>
      </c>
      <c r="Y85" s="110" t="s">
        <v>276</v>
      </c>
      <c r="Z85" s="110" t="s">
        <v>586</v>
      </c>
      <c r="AA85" s="110" t="s">
        <v>1788</v>
      </c>
      <c r="AB85" s="110" t="s">
        <v>333</v>
      </c>
      <c r="AC85" s="110" t="s">
        <v>246</v>
      </c>
      <c r="AD85" s="110" t="s">
        <v>333</v>
      </c>
      <c r="AE85" s="110" t="s">
        <v>1123</v>
      </c>
      <c r="AF85" s="110" t="s">
        <v>1745</v>
      </c>
      <c r="AG85" s="110">
        <v>10</v>
      </c>
      <c r="AI85" s="110" t="s">
        <v>246</v>
      </c>
      <c r="AJ85" s="110" t="s">
        <v>246</v>
      </c>
      <c r="AK85" s="110" t="s">
        <v>171</v>
      </c>
      <c r="AL85" s="110" t="s">
        <v>190</v>
      </c>
      <c r="AM85" s="110" t="s">
        <v>174</v>
      </c>
      <c r="AO85" s="110">
        <v>10</v>
      </c>
      <c r="AP85" s="110" t="s">
        <v>190</v>
      </c>
      <c r="AQ85" s="110" t="s">
        <v>176</v>
      </c>
      <c r="AR85" s="110">
        <v>2018</v>
      </c>
      <c r="AS85" s="110" t="s">
        <v>253</v>
      </c>
      <c r="AT85" s="110" t="s">
        <v>254</v>
      </c>
      <c r="AU85" s="110">
        <v>20</v>
      </c>
      <c r="AW85" s="110">
        <v>20.238397089999999</v>
      </c>
      <c r="AX85" s="110" t="s">
        <v>174</v>
      </c>
      <c r="AY85" s="110">
        <v>38.35</v>
      </c>
      <c r="AZ85" s="110">
        <v>37.799999999999997</v>
      </c>
      <c r="BA85" s="110">
        <v>19</v>
      </c>
      <c r="BB85" s="110">
        <v>19</v>
      </c>
      <c r="BC85" s="110">
        <v>19</v>
      </c>
      <c r="BD85" s="110">
        <v>0</v>
      </c>
      <c r="BE85" s="110" t="s">
        <v>182</v>
      </c>
      <c r="BF85" s="110" t="s">
        <v>412</v>
      </c>
      <c r="BG85" s="110">
        <v>2.2000000000000002</v>
      </c>
      <c r="BH85" s="110" t="s">
        <v>894</v>
      </c>
      <c r="BI85" s="110" t="s">
        <v>182</v>
      </c>
      <c r="BJ85" s="110" t="s">
        <v>412</v>
      </c>
      <c r="BK85" s="110">
        <v>2</v>
      </c>
      <c r="BL85" s="110">
        <v>3</v>
      </c>
      <c r="BM85" s="110" t="s">
        <v>1703</v>
      </c>
      <c r="BO85" s="110">
        <v>2</v>
      </c>
      <c r="BP85" s="110">
        <v>25</v>
      </c>
      <c r="BQ85" s="110" t="s">
        <v>174</v>
      </c>
      <c r="BR85" s="110">
        <v>50</v>
      </c>
      <c r="BS85" s="110">
        <v>97</v>
      </c>
      <c r="BT85" s="110" t="s">
        <v>2347</v>
      </c>
      <c r="BU85" s="110" t="s">
        <v>1394</v>
      </c>
      <c r="BV85" s="110" t="s">
        <v>2603</v>
      </c>
      <c r="BW85" s="110">
        <v>0.997</v>
      </c>
      <c r="BZ85" s="110">
        <v>7.0900000000000005E-2</v>
      </c>
      <c r="CB85" s="110">
        <v>9.7764059319999994</v>
      </c>
      <c r="CC85" s="110" t="b">
        <v>0</v>
      </c>
      <c r="CD85" s="110">
        <v>0</v>
      </c>
      <c r="CE85" s="110">
        <v>0</v>
      </c>
      <c r="CF85" s="110" t="s">
        <v>246</v>
      </c>
      <c r="CG85" s="110" t="s">
        <v>174</v>
      </c>
      <c r="CH85" s="110" t="s">
        <v>1122</v>
      </c>
      <c r="CI85" s="110" t="s">
        <v>259</v>
      </c>
      <c r="CJ85" s="110" t="s">
        <v>2264</v>
      </c>
    </row>
    <row r="86" spans="1:88">
      <c r="A86" s="110" t="s">
        <v>216</v>
      </c>
      <c r="B86" s="110">
        <v>19</v>
      </c>
      <c r="C86" s="110">
        <v>1</v>
      </c>
      <c r="D86" s="110">
        <v>1</v>
      </c>
      <c r="E86" s="110">
        <v>85</v>
      </c>
      <c r="F86" s="110">
        <v>2022</v>
      </c>
      <c r="G86" s="110" t="s">
        <v>161</v>
      </c>
      <c r="H86" s="110" t="s">
        <v>2436</v>
      </c>
      <c r="I86" s="110" t="s">
        <v>182</v>
      </c>
      <c r="J86" s="110" t="s">
        <v>182</v>
      </c>
      <c r="K86" s="110" t="s">
        <v>999</v>
      </c>
      <c r="L86" s="110" t="s">
        <v>999</v>
      </c>
      <c r="R86" s="110" t="s">
        <v>152</v>
      </c>
      <c r="S86" s="110" t="s">
        <v>443</v>
      </c>
      <c r="T86" s="110" t="s">
        <v>156</v>
      </c>
      <c r="U86" s="110" t="s">
        <v>158</v>
      </c>
      <c r="V86" s="110">
        <v>50.363069439999997</v>
      </c>
      <c r="W86" s="110">
        <v>50.363069439999997</v>
      </c>
      <c r="X86" s="110">
        <v>-4.15206389</v>
      </c>
      <c r="Y86" s="110" t="s">
        <v>160</v>
      </c>
      <c r="Z86" s="110" t="s">
        <v>155</v>
      </c>
      <c r="AA86" s="110" t="s">
        <v>1788</v>
      </c>
      <c r="AB86" s="110" t="s">
        <v>333</v>
      </c>
      <c r="AC86" s="110" t="s">
        <v>246</v>
      </c>
      <c r="AD86" s="110" t="s">
        <v>333</v>
      </c>
      <c r="AE86" s="110" t="s">
        <v>218</v>
      </c>
      <c r="AF86" s="110" t="s">
        <v>190</v>
      </c>
      <c r="AG86" s="110">
        <v>0.5</v>
      </c>
      <c r="AI86" s="110" t="s">
        <v>246</v>
      </c>
      <c r="AJ86" s="110" t="s">
        <v>246</v>
      </c>
      <c r="AK86" s="110" t="s">
        <v>1749</v>
      </c>
      <c r="AL86" s="110" t="s">
        <v>190</v>
      </c>
      <c r="AM86" s="110" t="s">
        <v>174</v>
      </c>
      <c r="AO86" s="110">
        <v>20</v>
      </c>
      <c r="AP86" s="110" t="s">
        <v>190</v>
      </c>
      <c r="AQ86" s="110" t="s">
        <v>176</v>
      </c>
      <c r="AR86" s="110">
        <v>2019</v>
      </c>
      <c r="AS86" s="110" t="s">
        <v>220</v>
      </c>
      <c r="AT86" s="110" t="s">
        <v>420</v>
      </c>
      <c r="BA86" s="110">
        <v>17.350000000000001</v>
      </c>
      <c r="BB86" s="110">
        <v>17.350000000000001</v>
      </c>
      <c r="BC86" s="110">
        <v>17.350000000000001</v>
      </c>
      <c r="BD86" s="110">
        <v>0</v>
      </c>
      <c r="BE86" s="110" t="s">
        <v>182</v>
      </c>
      <c r="BF86" s="110" t="s">
        <v>412</v>
      </c>
      <c r="BG86" s="110">
        <v>105.55</v>
      </c>
      <c r="BH86" s="110" t="s">
        <v>224</v>
      </c>
      <c r="BI86" s="110" t="s">
        <v>182</v>
      </c>
      <c r="BJ86" s="110" t="s">
        <v>190</v>
      </c>
      <c r="BK86" s="110">
        <v>6</v>
      </c>
      <c r="BL86" s="110">
        <v>6</v>
      </c>
      <c r="BM86" s="110" t="s">
        <v>174</v>
      </c>
      <c r="BN86" s="110" t="s">
        <v>174</v>
      </c>
      <c r="BO86" s="110" t="s">
        <v>174</v>
      </c>
      <c r="BP86" s="110" t="s">
        <v>174</v>
      </c>
      <c r="BQ86" s="110" t="s">
        <v>174</v>
      </c>
      <c r="BR86" s="110" t="s">
        <v>174</v>
      </c>
      <c r="BS86" s="110">
        <v>40</v>
      </c>
      <c r="BT86" s="110" t="s">
        <v>1387</v>
      </c>
      <c r="BU86" s="110" t="s">
        <v>2606</v>
      </c>
      <c r="BV86" s="110" t="s">
        <v>1387</v>
      </c>
      <c r="CB86" s="110" t="s">
        <v>190</v>
      </c>
      <c r="CC86" s="110" t="b">
        <v>0</v>
      </c>
      <c r="CD86" s="110">
        <v>90.4</v>
      </c>
      <c r="CE86" s="110" t="s">
        <v>2256</v>
      </c>
      <c r="CF86" s="110" t="s">
        <v>2256</v>
      </c>
      <c r="CG86" s="110" t="s">
        <v>174</v>
      </c>
      <c r="CH86" s="110" t="s">
        <v>308</v>
      </c>
      <c r="CI86" s="110" t="s">
        <v>221</v>
      </c>
      <c r="CJ86" s="110" t="s">
        <v>219</v>
      </c>
    </row>
    <row r="87" spans="1:88">
      <c r="A87" s="110" t="s">
        <v>216</v>
      </c>
      <c r="B87" s="110">
        <v>19</v>
      </c>
      <c r="C87" s="110">
        <v>1</v>
      </c>
      <c r="D87" s="110">
        <v>1</v>
      </c>
      <c r="E87" s="110">
        <v>86</v>
      </c>
      <c r="F87" s="110">
        <v>2022</v>
      </c>
      <c r="G87" s="110" t="s">
        <v>161</v>
      </c>
      <c r="H87" s="110" t="s">
        <v>2436</v>
      </c>
      <c r="I87" s="110" t="s">
        <v>182</v>
      </c>
      <c r="J87" s="110" t="s">
        <v>182</v>
      </c>
      <c r="K87" s="110" t="s">
        <v>999</v>
      </c>
      <c r="L87" s="110" t="s">
        <v>999</v>
      </c>
      <c r="R87" s="110" t="s">
        <v>152</v>
      </c>
      <c r="S87" s="110" t="s">
        <v>443</v>
      </c>
      <c r="T87" s="110" t="s">
        <v>156</v>
      </c>
      <c r="U87" s="110" t="s">
        <v>159</v>
      </c>
      <c r="V87" s="110">
        <v>50.363069439999997</v>
      </c>
      <c r="W87" s="110">
        <v>50.363069439999997</v>
      </c>
      <c r="X87" s="110">
        <v>-4.15206389</v>
      </c>
      <c r="Y87" s="110" t="s">
        <v>160</v>
      </c>
      <c r="Z87" s="110" t="s">
        <v>155</v>
      </c>
      <c r="AA87" s="110" t="s">
        <v>1788</v>
      </c>
      <c r="AB87" s="110" t="s">
        <v>333</v>
      </c>
      <c r="AC87" s="110" t="s">
        <v>246</v>
      </c>
      <c r="AD87" s="110" t="s">
        <v>333</v>
      </c>
      <c r="AE87" s="110" t="s">
        <v>218</v>
      </c>
      <c r="AF87" s="110" t="s">
        <v>190</v>
      </c>
      <c r="AG87" s="110">
        <v>0.5</v>
      </c>
      <c r="AI87" s="110" t="s">
        <v>246</v>
      </c>
      <c r="AJ87" s="110" t="s">
        <v>246</v>
      </c>
      <c r="AK87" s="110" t="s">
        <v>1749</v>
      </c>
      <c r="AL87" s="110" t="s">
        <v>190</v>
      </c>
      <c r="AM87" s="110" t="s">
        <v>174</v>
      </c>
      <c r="AO87" s="110">
        <v>20</v>
      </c>
      <c r="AP87" s="110" t="s">
        <v>190</v>
      </c>
      <c r="AQ87" s="110" t="s">
        <v>176</v>
      </c>
      <c r="AR87" s="110">
        <v>2019</v>
      </c>
      <c r="AS87" s="110" t="s">
        <v>220</v>
      </c>
      <c r="AT87" s="110" t="s">
        <v>420</v>
      </c>
      <c r="BA87" s="110">
        <v>17.350000000000001</v>
      </c>
      <c r="BB87" s="110">
        <v>17.350000000000001</v>
      </c>
      <c r="BC87" s="110">
        <v>17.350000000000001</v>
      </c>
      <c r="BD87" s="110">
        <v>0</v>
      </c>
      <c r="BE87" s="110" t="s">
        <v>182</v>
      </c>
      <c r="BF87" s="110" t="s">
        <v>412</v>
      </c>
      <c r="BG87" s="110">
        <v>105.55</v>
      </c>
      <c r="BH87" s="110" t="s">
        <v>224</v>
      </c>
      <c r="BI87" s="110" t="s">
        <v>182</v>
      </c>
      <c r="BJ87" s="110" t="s">
        <v>190</v>
      </c>
      <c r="BK87" s="110">
        <v>6</v>
      </c>
      <c r="BL87" s="110">
        <v>6</v>
      </c>
      <c r="BM87" s="110" t="s">
        <v>174</v>
      </c>
      <c r="BN87" s="110" t="s">
        <v>174</v>
      </c>
      <c r="BO87" s="110" t="s">
        <v>174</v>
      </c>
      <c r="BP87" s="110" t="s">
        <v>174</v>
      </c>
      <c r="BQ87" s="110" t="s">
        <v>174</v>
      </c>
      <c r="BR87" s="110" t="s">
        <v>174</v>
      </c>
      <c r="BS87" s="110">
        <v>40</v>
      </c>
      <c r="BT87" s="110" t="s">
        <v>1387</v>
      </c>
      <c r="BU87" s="110" t="s">
        <v>2606</v>
      </c>
      <c r="BV87" s="110" t="s">
        <v>1387</v>
      </c>
      <c r="CB87" s="110" t="s">
        <v>190</v>
      </c>
      <c r="CC87" s="110" t="b">
        <v>0</v>
      </c>
      <c r="CD87" s="110">
        <v>90.4</v>
      </c>
      <c r="CE87" s="110" t="s">
        <v>2256</v>
      </c>
      <c r="CF87" s="110" t="s">
        <v>2256</v>
      </c>
      <c r="CG87" s="110" t="s">
        <v>174</v>
      </c>
      <c r="CH87" s="110" t="s">
        <v>308</v>
      </c>
      <c r="CI87" s="110" t="s">
        <v>221</v>
      </c>
      <c r="CJ87" s="110" t="s">
        <v>232</v>
      </c>
    </row>
    <row r="88" spans="1:88">
      <c r="A88" s="110" t="s">
        <v>216</v>
      </c>
      <c r="B88" s="110">
        <v>19</v>
      </c>
      <c r="C88" s="110">
        <v>1</v>
      </c>
      <c r="D88" s="110">
        <v>1</v>
      </c>
      <c r="E88" s="110">
        <v>87</v>
      </c>
      <c r="F88" s="110">
        <v>2022</v>
      </c>
      <c r="G88" s="110" t="s">
        <v>161</v>
      </c>
      <c r="H88" s="110" t="s">
        <v>2436</v>
      </c>
      <c r="I88" s="110" t="s">
        <v>182</v>
      </c>
      <c r="J88" s="110" t="s">
        <v>182</v>
      </c>
      <c r="K88" s="110" t="s">
        <v>999</v>
      </c>
      <c r="L88" s="110" t="s">
        <v>999</v>
      </c>
      <c r="R88" s="110" t="s">
        <v>152</v>
      </c>
      <c r="S88" s="110" t="s">
        <v>443</v>
      </c>
      <c r="T88" s="110" t="s">
        <v>156</v>
      </c>
      <c r="U88" s="110" t="s">
        <v>158</v>
      </c>
      <c r="V88" s="110">
        <v>50.363069439999997</v>
      </c>
      <c r="W88" s="110">
        <v>50.363069439999997</v>
      </c>
      <c r="X88" s="110">
        <v>-4.15206389</v>
      </c>
      <c r="Y88" s="110" t="s">
        <v>160</v>
      </c>
      <c r="Z88" s="110" t="s">
        <v>155</v>
      </c>
      <c r="AA88" s="110" t="s">
        <v>1788</v>
      </c>
      <c r="AB88" s="110" t="s">
        <v>333</v>
      </c>
      <c r="AC88" s="110" t="s">
        <v>246</v>
      </c>
      <c r="AD88" s="110" t="s">
        <v>333</v>
      </c>
      <c r="AE88" s="110" t="s">
        <v>218</v>
      </c>
      <c r="AF88" s="110" t="s">
        <v>190</v>
      </c>
      <c r="AG88" s="110">
        <v>1.5</v>
      </c>
      <c r="AI88" s="110" t="s">
        <v>246</v>
      </c>
      <c r="AJ88" s="110" t="s">
        <v>246</v>
      </c>
      <c r="AK88" s="110" t="s">
        <v>1749</v>
      </c>
      <c r="AL88" s="110" t="s">
        <v>190</v>
      </c>
      <c r="AM88" s="110" t="s">
        <v>174</v>
      </c>
      <c r="AO88" s="110">
        <v>20</v>
      </c>
      <c r="AP88" s="110" t="s">
        <v>190</v>
      </c>
      <c r="AQ88" s="110" t="s">
        <v>176</v>
      </c>
      <c r="AR88" s="110">
        <v>2019</v>
      </c>
      <c r="AS88" s="110" t="s">
        <v>220</v>
      </c>
      <c r="AT88" s="110" t="s">
        <v>420</v>
      </c>
      <c r="BA88" s="110">
        <v>17.09</v>
      </c>
      <c r="BB88" s="110">
        <v>17.09</v>
      </c>
      <c r="BC88" s="110">
        <v>17.09</v>
      </c>
      <c r="BD88" s="110">
        <v>0</v>
      </c>
      <c r="BE88" s="110" t="s">
        <v>182</v>
      </c>
      <c r="BF88" s="110" t="s">
        <v>412</v>
      </c>
      <c r="BG88" s="110">
        <v>46.93</v>
      </c>
      <c r="BH88" s="110" t="s">
        <v>224</v>
      </c>
      <c r="BI88" s="110" t="s">
        <v>182</v>
      </c>
      <c r="BJ88" s="110" t="s">
        <v>190</v>
      </c>
      <c r="BK88" s="110">
        <v>6</v>
      </c>
      <c r="BL88" s="110">
        <v>6</v>
      </c>
      <c r="BM88" s="110" t="s">
        <v>174</v>
      </c>
      <c r="BN88" s="110" t="s">
        <v>174</v>
      </c>
      <c r="BO88" s="110" t="s">
        <v>174</v>
      </c>
      <c r="BP88" s="110" t="s">
        <v>174</v>
      </c>
      <c r="BQ88" s="110" t="s">
        <v>174</v>
      </c>
      <c r="BR88" s="110" t="s">
        <v>174</v>
      </c>
      <c r="BS88" s="110">
        <v>40</v>
      </c>
      <c r="BT88" s="110" t="s">
        <v>1387</v>
      </c>
      <c r="BU88" s="110" t="s">
        <v>2606</v>
      </c>
      <c r="BV88" s="110" t="s">
        <v>1387</v>
      </c>
      <c r="CB88" s="110" t="s">
        <v>190</v>
      </c>
      <c r="CC88" s="110" t="b">
        <v>0</v>
      </c>
      <c r="CD88" s="110">
        <v>107.4</v>
      </c>
      <c r="CE88" s="110" t="s">
        <v>2256</v>
      </c>
      <c r="CF88" s="110" t="s">
        <v>2256</v>
      </c>
      <c r="CG88" s="110" t="s">
        <v>174</v>
      </c>
      <c r="CH88" s="110" t="s">
        <v>308</v>
      </c>
      <c r="CI88" s="110" t="s">
        <v>221</v>
      </c>
    </row>
    <row r="89" spans="1:88">
      <c r="A89" s="110" t="s">
        <v>216</v>
      </c>
      <c r="B89" s="110">
        <v>19</v>
      </c>
      <c r="C89" s="110">
        <v>1</v>
      </c>
      <c r="D89" s="110">
        <v>1</v>
      </c>
      <c r="E89" s="110">
        <v>88</v>
      </c>
      <c r="F89" s="110">
        <v>2022</v>
      </c>
      <c r="G89" s="110" t="s">
        <v>161</v>
      </c>
      <c r="H89" s="110" t="s">
        <v>2436</v>
      </c>
      <c r="I89" s="110" t="s">
        <v>182</v>
      </c>
      <c r="J89" s="110" t="s">
        <v>182</v>
      </c>
      <c r="K89" s="110" t="s">
        <v>999</v>
      </c>
      <c r="L89" s="110" t="s">
        <v>999</v>
      </c>
      <c r="R89" s="110" t="s">
        <v>152</v>
      </c>
      <c r="S89" s="110" t="s">
        <v>443</v>
      </c>
      <c r="T89" s="110" t="s">
        <v>156</v>
      </c>
      <c r="U89" s="110" t="s">
        <v>159</v>
      </c>
      <c r="V89" s="110">
        <v>50.363069439999997</v>
      </c>
      <c r="W89" s="110">
        <v>50.363069439999997</v>
      </c>
      <c r="X89" s="110">
        <v>-4.15206389</v>
      </c>
      <c r="Y89" s="110" t="s">
        <v>160</v>
      </c>
      <c r="Z89" s="110" t="s">
        <v>155</v>
      </c>
      <c r="AA89" s="110" t="s">
        <v>1788</v>
      </c>
      <c r="AB89" s="110" t="s">
        <v>333</v>
      </c>
      <c r="AC89" s="110" t="s">
        <v>246</v>
      </c>
      <c r="AD89" s="110" t="s">
        <v>333</v>
      </c>
      <c r="AE89" s="110" t="s">
        <v>218</v>
      </c>
      <c r="AF89" s="110" t="s">
        <v>190</v>
      </c>
      <c r="AG89" s="110">
        <v>1.5</v>
      </c>
      <c r="AI89" s="110" t="s">
        <v>246</v>
      </c>
      <c r="AJ89" s="110" t="s">
        <v>246</v>
      </c>
      <c r="AK89" s="110" t="s">
        <v>1749</v>
      </c>
      <c r="AL89" s="110" t="s">
        <v>190</v>
      </c>
      <c r="AM89" s="110" t="s">
        <v>174</v>
      </c>
      <c r="AO89" s="110">
        <v>20</v>
      </c>
      <c r="AP89" s="110" t="s">
        <v>190</v>
      </c>
      <c r="AQ89" s="110" t="s">
        <v>176</v>
      </c>
      <c r="AR89" s="110">
        <v>2019</v>
      </c>
      <c r="AS89" s="110" t="s">
        <v>220</v>
      </c>
      <c r="AT89" s="110" t="s">
        <v>420</v>
      </c>
      <c r="BA89" s="110">
        <v>17.09</v>
      </c>
      <c r="BB89" s="110">
        <v>17.09</v>
      </c>
      <c r="BC89" s="110">
        <v>17.09</v>
      </c>
      <c r="BD89" s="110">
        <v>0</v>
      </c>
      <c r="BE89" s="110" t="s">
        <v>182</v>
      </c>
      <c r="BF89" s="110" t="s">
        <v>412</v>
      </c>
      <c r="BG89" s="110">
        <v>46.93</v>
      </c>
      <c r="BH89" s="110" t="s">
        <v>224</v>
      </c>
      <c r="BI89" s="110" t="s">
        <v>182</v>
      </c>
      <c r="BJ89" s="110" t="s">
        <v>190</v>
      </c>
      <c r="BK89" s="110">
        <v>6</v>
      </c>
      <c r="BL89" s="110">
        <v>6</v>
      </c>
      <c r="BM89" s="110" t="s">
        <v>174</v>
      </c>
      <c r="BN89" s="110" t="s">
        <v>174</v>
      </c>
      <c r="BO89" s="110" t="s">
        <v>174</v>
      </c>
      <c r="BP89" s="110" t="s">
        <v>174</v>
      </c>
      <c r="BQ89" s="110" t="s">
        <v>174</v>
      </c>
      <c r="BR89" s="110" t="s">
        <v>174</v>
      </c>
      <c r="BS89" s="110">
        <v>40</v>
      </c>
      <c r="BT89" s="110" t="s">
        <v>2378</v>
      </c>
      <c r="BU89" s="110" t="s">
        <v>1398</v>
      </c>
      <c r="BV89" s="110" t="s">
        <v>2603</v>
      </c>
      <c r="BW89" s="110">
        <v>0.91690000000000005</v>
      </c>
      <c r="BX89" s="110" t="s">
        <v>1396</v>
      </c>
      <c r="BY89" s="110">
        <v>0.54</v>
      </c>
      <c r="CA89" s="110">
        <v>1.0627</v>
      </c>
      <c r="CB89" s="110">
        <v>42.58</v>
      </c>
      <c r="CC89" s="110" t="b">
        <v>0</v>
      </c>
      <c r="CD89" s="110">
        <v>56.8</v>
      </c>
      <c r="CE89" s="110">
        <v>0</v>
      </c>
      <c r="CF89" s="110" t="s">
        <v>246</v>
      </c>
      <c r="CH89" s="110" t="s">
        <v>308</v>
      </c>
      <c r="CI89" s="110" t="s">
        <v>221</v>
      </c>
    </row>
    <row r="90" spans="1:88">
      <c r="A90" s="110" t="s">
        <v>216</v>
      </c>
      <c r="B90" s="110">
        <v>19</v>
      </c>
      <c r="C90" s="110">
        <v>1</v>
      </c>
      <c r="D90" s="110">
        <v>1</v>
      </c>
      <c r="E90" s="110">
        <v>89</v>
      </c>
      <c r="F90" s="110">
        <v>2022</v>
      </c>
      <c r="G90" s="110" t="s">
        <v>161</v>
      </c>
      <c r="H90" s="110" t="s">
        <v>2436</v>
      </c>
      <c r="I90" s="110" t="s">
        <v>182</v>
      </c>
      <c r="J90" s="110" t="s">
        <v>182</v>
      </c>
      <c r="K90" s="110" t="s">
        <v>999</v>
      </c>
      <c r="L90" s="110" t="s">
        <v>999</v>
      </c>
      <c r="R90" s="110" t="s">
        <v>152</v>
      </c>
      <c r="S90" s="110" t="s">
        <v>443</v>
      </c>
      <c r="T90" s="110" t="s">
        <v>156</v>
      </c>
      <c r="U90" s="110" t="s">
        <v>158</v>
      </c>
      <c r="V90" s="110">
        <v>50.363069439999997</v>
      </c>
      <c r="W90" s="110">
        <v>50.363069439999997</v>
      </c>
      <c r="X90" s="110">
        <v>-4.15206389</v>
      </c>
      <c r="Y90" s="110" t="s">
        <v>160</v>
      </c>
      <c r="Z90" s="110" t="s">
        <v>155</v>
      </c>
      <c r="AA90" s="110" t="s">
        <v>1788</v>
      </c>
      <c r="AB90" s="110" t="s">
        <v>333</v>
      </c>
      <c r="AC90" s="110" t="s">
        <v>246</v>
      </c>
      <c r="AD90" s="110" t="s">
        <v>333</v>
      </c>
      <c r="AE90" s="110" t="s">
        <v>218</v>
      </c>
      <c r="AF90" s="110" t="s">
        <v>190</v>
      </c>
      <c r="AG90" s="110">
        <v>3</v>
      </c>
      <c r="AI90" s="110" t="s">
        <v>246</v>
      </c>
      <c r="AJ90" s="110" t="s">
        <v>246</v>
      </c>
      <c r="AK90" s="110" t="s">
        <v>1749</v>
      </c>
      <c r="AL90" s="110" t="s">
        <v>190</v>
      </c>
      <c r="AM90" s="110" t="s">
        <v>174</v>
      </c>
      <c r="AO90" s="110">
        <v>20</v>
      </c>
      <c r="AP90" s="110" t="s">
        <v>190</v>
      </c>
      <c r="AQ90" s="110" t="s">
        <v>176</v>
      </c>
      <c r="AR90" s="110">
        <v>2019</v>
      </c>
      <c r="AS90" s="110" t="s">
        <v>220</v>
      </c>
      <c r="AT90" s="110" t="s">
        <v>420</v>
      </c>
      <c r="BA90" s="110">
        <v>16.850000000000001</v>
      </c>
      <c r="BB90" s="110">
        <v>16.850000000000001</v>
      </c>
      <c r="BC90" s="110">
        <v>16.850000000000001</v>
      </c>
      <c r="BD90" s="110">
        <v>0</v>
      </c>
      <c r="BE90" s="110" t="s">
        <v>182</v>
      </c>
      <c r="BF90" s="110" t="s">
        <v>412</v>
      </c>
      <c r="BG90" s="110">
        <v>24.96</v>
      </c>
      <c r="BH90" s="110" t="s">
        <v>224</v>
      </c>
      <c r="BI90" s="110" t="s">
        <v>182</v>
      </c>
      <c r="BJ90" s="110" t="s">
        <v>190</v>
      </c>
      <c r="BK90" s="110">
        <v>6</v>
      </c>
      <c r="BL90" s="110">
        <v>6</v>
      </c>
      <c r="BM90" s="110" t="s">
        <v>174</v>
      </c>
      <c r="BN90" s="110" t="s">
        <v>174</v>
      </c>
      <c r="BO90" s="110" t="s">
        <v>174</v>
      </c>
      <c r="BP90" s="110" t="s">
        <v>174</v>
      </c>
      <c r="BQ90" s="110" t="s">
        <v>174</v>
      </c>
      <c r="BR90" s="110" t="s">
        <v>174</v>
      </c>
      <c r="BS90" s="110">
        <v>40</v>
      </c>
      <c r="BT90" s="110" t="s">
        <v>1387</v>
      </c>
      <c r="BU90" s="110" t="s">
        <v>2606</v>
      </c>
      <c r="BV90" s="110" t="s">
        <v>1387</v>
      </c>
      <c r="CB90" s="110" t="s">
        <v>190</v>
      </c>
      <c r="CC90" s="110" t="b">
        <v>0</v>
      </c>
      <c r="CD90" s="110">
        <v>95.8</v>
      </c>
      <c r="CE90" s="110" t="s">
        <v>2256</v>
      </c>
      <c r="CF90" s="110" t="s">
        <v>2256</v>
      </c>
      <c r="CG90" s="110" t="s">
        <v>174</v>
      </c>
      <c r="CH90" s="110" t="s">
        <v>308</v>
      </c>
      <c r="CI90" s="110" t="s">
        <v>221</v>
      </c>
    </row>
    <row r="91" spans="1:88">
      <c r="A91" s="110" t="s">
        <v>216</v>
      </c>
      <c r="B91" s="110">
        <v>19</v>
      </c>
      <c r="C91" s="110">
        <v>1</v>
      </c>
      <c r="D91" s="110">
        <v>1</v>
      </c>
      <c r="E91" s="110">
        <v>90</v>
      </c>
      <c r="F91" s="110">
        <v>2022</v>
      </c>
      <c r="G91" s="110" t="s">
        <v>161</v>
      </c>
      <c r="H91" s="110" t="s">
        <v>2436</v>
      </c>
      <c r="I91" s="110" t="s">
        <v>182</v>
      </c>
      <c r="J91" s="110" t="s">
        <v>182</v>
      </c>
      <c r="K91" s="110" t="s">
        <v>999</v>
      </c>
      <c r="L91" s="110" t="s">
        <v>999</v>
      </c>
      <c r="R91" s="110" t="s">
        <v>152</v>
      </c>
      <c r="S91" s="110" t="s">
        <v>443</v>
      </c>
      <c r="T91" s="110" t="s">
        <v>156</v>
      </c>
      <c r="U91" s="110" t="s">
        <v>159</v>
      </c>
      <c r="V91" s="110">
        <v>50.363069439999997</v>
      </c>
      <c r="W91" s="110">
        <v>50.363069439999997</v>
      </c>
      <c r="X91" s="110">
        <v>-4.15206389</v>
      </c>
      <c r="Y91" s="110" t="s">
        <v>160</v>
      </c>
      <c r="Z91" s="110" t="s">
        <v>155</v>
      </c>
      <c r="AA91" s="110" t="s">
        <v>1788</v>
      </c>
      <c r="AB91" s="110" t="s">
        <v>333</v>
      </c>
      <c r="AC91" s="110" t="s">
        <v>246</v>
      </c>
      <c r="AD91" s="110" t="s">
        <v>333</v>
      </c>
      <c r="AE91" s="110" t="s">
        <v>218</v>
      </c>
      <c r="AF91" s="110" t="s">
        <v>190</v>
      </c>
      <c r="AG91" s="110">
        <v>3</v>
      </c>
      <c r="AI91" s="110" t="s">
        <v>246</v>
      </c>
      <c r="AJ91" s="110" t="s">
        <v>246</v>
      </c>
      <c r="AK91" s="110" t="s">
        <v>1749</v>
      </c>
      <c r="AL91" s="110" t="s">
        <v>190</v>
      </c>
      <c r="AM91" s="110" t="s">
        <v>174</v>
      </c>
      <c r="AO91" s="110">
        <v>20</v>
      </c>
      <c r="AP91" s="110" t="s">
        <v>190</v>
      </c>
      <c r="AQ91" s="110" t="s">
        <v>176</v>
      </c>
      <c r="AR91" s="110">
        <v>2019</v>
      </c>
      <c r="AS91" s="110" t="s">
        <v>220</v>
      </c>
      <c r="AT91" s="110" t="s">
        <v>420</v>
      </c>
      <c r="BA91" s="110">
        <v>16.850000000000001</v>
      </c>
      <c r="BB91" s="110">
        <v>16.850000000000001</v>
      </c>
      <c r="BC91" s="110">
        <v>16.850000000000001</v>
      </c>
      <c r="BD91" s="110">
        <v>0</v>
      </c>
      <c r="BE91" s="110" t="s">
        <v>182</v>
      </c>
      <c r="BF91" s="110" t="s">
        <v>412</v>
      </c>
      <c r="BG91" s="110">
        <v>24.96</v>
      </c>
      <c r="BH91" s="110" t="s">
        <v>224</v>
      </c>
      <c r="BI91" s="110" t="s">
        <v>182</v>
      </c>
      <c r="BJ91" s="110" t="s">
        <v>190</v>
      </c>
      <c r="BK91" s="110">
        <v>6</v>
      </c>
      <c r="BL91" s="110">
        <v>6</v>
      </c>
      <c r="BM91" s="110" t="s">
        <v>174</v>
      </c>
      <c r="BN91" s="110" t="s">
        <v>174</v>
      </c>
      <c r="BO91" s="110" t="s">
        <v>174</v>
      </c>
      <c r="BP91" s="110" t="s">
        <v>174</v>
      </c>
      <c r="BQ91" s="110" t="s">
        <v>174</v>
      </c>
      <c r="BR91" s="110" t="s">
        <v>174</v>
      </c>
      <c r="BS91" s="110">
        <v>40</v>
      </c>
      <c r="BT91" s="110" t="s">
        <v>2378</v>
      </c>
      <c r="BU91" s="110" t="s">
        <v>1398</v>
      </c>
      <c r="BV91" s="110" t="s">
        <v>2603</v>
      </c>
      <c r="BW91" s="110">
        <v>0.90149999999999997</v>
      </c>
      <c r="BX91" s="110" t="s">
        <v>1396</v>
      </c>
      <c r="BY91" s="110">
        <v>0.77500000000000002</v>
      </c>
      <c r="CA91" s="110">
        <v>1.3685</v>
      </c>
      <c r="CB91" s="110">
        <v>42.174700000000001</v>
      </c>
      <c r="CC91" s="110" t="b">
        <v>0</v>
      </c>
      <c r="CD91" s="110">
        <v>49.8</v>
      </c>
      <c r="CE91" s="110">
        <v>0</v>
      </c>
      <c r="CF91" s="110" t="s">
        <v>246</v>
      </c>
      <c r="CG91" s="110">
        <v>73.072707339999994</v>
      </c>
      <c r="CH91" s="110" t="s">
        <v>308</v>
      </c>
      <c r="CI91" s="110" t="s">
        <v>221</v>
      </c>
    </row>
    <row r="92" spans="1:88">
      <c r="A92" s="110" t="s">
        <v>216</v>
      </c>
      <c r="B92" s="110">
        <v>19</v>
      </c>
      <c r="C92" s="110">
        <v>1</v>
      </c>
      <c r="D92" s="110">
        <v>2</v>
      </c>
      <c r="E92" s="110">
        <v>91</v>
      </c>
      <c r="F92" s="110">
        <v>2022</v>
      </c>
      <c r="G92" s="110" t="s">
        <v>187</v>
      </c>
      <c r="H92" s="110" t="s">
        <v>2436</v>
      </c>
      <c r="I92" s="110" t="s">
        <v>182</v>
      </c>
      <c r="J92" s="110" t="s">
        <v>182</v>
      </c>
      <c r="K92" s="110" t="s">
        <v>999</v>
      </c>
      <c r="L92" s="110" t="s">
        <v>999</v>
      </c>
      <c r="R92" s="110" t="s">
        <v>152</v>
      </c>
      <c r="S92" s="110" t="s">
        <v>443</v>
      </c>
      <c r="T92" s="110" t="s">
        <v>156</v>
      </c>
      <c r="U92" s="110" t="s">
        <v>158</v>
      </c>
      <c r="V92" s="110">
        <v>50.363069439999997</v>
      </c>
      <c r="W92" s="110">
        <v>50.363069439999997</v>
      </c>
      <c r="X92" s="110">
        <v>-4.15206389</v>
      </c>
      <c r="Y92" s="110" t="s">
        <v>160</v>
      </c>
      <c r="Z92" s="110" t="s">
        <v>155</v>
      </c>
      <c r="AA92" s="110" t="s">
        <v>1788</v>
      </c>
      <c r="AB92" s="110" t="s">
        <v>333</v>
      </c>
      <c r="AC92" s="110" t="s">
        <v>246</v>
      </c>
      <c r="AD92" s="110" t="s">
        <v>333</v>
      </c>
      <c r="AE92" s="110" t="s">
        <v>187</v>
      </c>
      <c r="AF92" s="110" t="s">
        <v>190</v>
      </c>
      <c r="AG92" s="110" t="s">
        <v>190</v>
      </c>
      <c r="AI92" s="110" t="s">
        <v>246</v>
      </c>
      <c r="AJ92" s="110" t="s">
        <v>246</v>
      </c>
      <c r="AK92" s="110" t="s">
        <v>902</v>
      </c>
      <c r="AL92" s="110" t="s">
        <v>1167</v>
      </c>
      <c r="AM92" s="110" t="s">
        <v>174</v>
      </c>
      <c r="AN92" s="110" t="s">
        <v>412</v>
      </c>
      <c r="AO92" s="110">
        <v>0.5</v>
      </c>
      <c r="AP92" s="110" t="s">
        <v>190</v>
      </c>
      <c r="AQ92" s="110" t="s">
        <v>176</v>
      </c>
      <c r="AR92" s="110">
        <v>2016</v>
      </c>
      <c r="AS92" s="110" t="s">
        <v>234</v>
      </c>
      <c r="AT92" s="110" t="s">
        <v>298</v>
      </c>
      <c r="BA92" s="110">
        <v>11.5</v>
      </c>
      <c r="BB92" s="110">
        <v>11.5</v>
      </c>
      <c r="BC92" s="110">
        <v>11.5</v>
      </c>
      <c r="BD92" s="110">
        <v>0</v>
      </c>
      <c r="BE92" s="110" t="s">
        <v>182</v>
      </c>
      <c r="BF92" s="110" t="s">
        <v>1903</v>
      </c>
      <c r="BH92" s="110" t="s">
        <v>190</v>
      </c>
      <c r="BI92" s="110" t="s">
        <v>182</v>
      </c>
      <c r="BJ92" s="110" t="s">
        <v>174</v>
      </c>
      <c r="BK92" s="110">
        <v>10</v>
      </c>
      <c r="BL92" s="110">
        <v>1</v>
      </c>
      <c r="BM92" s="110" t="s">
        <v>174</v>
      </c>
      <c r="BN92" s="110" t="s">
        <v>174</v>
      </c>
      <c r="BO92" s="110" t="s">
        <v>174</v>
      </c>
      <c r="BP92" s="110" t="s">
        <v>174</v>
      </c>
      <c r="BQ92" s="110" t="s">
        <v>174</v>
      </c>
      <c r="BR92" s="110" t="s">
        <v>174</v>
      </c>
      <c r="BS92" s="110">
        <v>14</v>
      </c>
      <c r="BT92" s="110" t="s">
        <v>2256</v>
      </c>
      <c r="BU92" s="110" t="s">
        <v>2606</v>
      </c>
      <c r="BV92" s="110" t="s">
        <v>2256</v>
      </c>
      <c r="CA92" s="110">
        <v>0</v>
      </c>
      <c r="CB92" s="110" t="s">
        <v>190</v>
      </c>
      <c r="CC92" s="110" t="b">
        <v>0</v>
      </c>
      <c r="CD92" s="110">
        <v>100</v>
      </c>
      <c r="CE92" s="110" t="s">
        <v>2256</v>
      </c>
      <c r="CF92" s="110" t="s">
        <v>2256</v>
      </c>
      <c r="CG92" s="110" t="s">
        <v>174</v>
      </c>
      <c r="CH92" s="110" t="s">
        <v>2470</v>
      </c>
    </row>
    <row r="93" spans="1:88">
      <c r="A93" s="110" t="s">
        <v>216</v>
      </c>
      <c r="B93" s="110">
        <v>19</v>
      </c>
      <c r="C93" s="110">
        <v>1</v>
      </c>
      <c r="D93" s="110">
        <v>2</v>
      </c>
      <c r="E93" s="110">
        <v>92</v>
      </c>
      <c r="F93" s="110">
        <v>2022</v>
      </c>
      <c r="G93" s="110" t="s">
        <v>187</v>
      </c>
      <c r="H93" s="110" t="s">
        <v>2436</v>
      </c>
      <c r="I93" s="110" t="s">
        <v>182</v>
      </c>
      <c r="J93" s="110" t="s">
        <v>182</v>
      </c>
      <c r="K93" s="110" t="s">
        <v>999</v>
      </c>
      <c r="L93" s="110" t="s">
        <v>999</v>
      </c>
      <c r="R93" s="110" t="s">
        <v>152</v>
      </c>
      <c r="S93" s="110" t="s">
        <v>443</v>
      </c>
      <c r="T93" s="110" t="s">
        <v>156</v>
      </c>
      <c r="U93" s="110" t="s">
        <v>159</v>
      </c>
      <c r="V93" s="110">
        <v>50.363069439999997</v>
      </c>
      <c r="W93" s="110">
        <v>50.363069439999997</v>
      </c>
      <c r="X93" s="110">
        <v>-4.15206389</v>
      </c>
      <c r="Y93" s="110" t="s">
        <v>160</v>
      </c>
      <c r="Z93" s="110" t="s">
        <v>155</v>
      </c>
      <c r="AA93" s="110" t="s">
        <v>1788</v>
      </c>
      <c r="AB93" s="110" t="s">
        <v>333</v>
      </c>
      <c r="AC93" s="110" t="s">
        <v>246</v>
      </c>
      <c r="AD93" s="110" t="s">
        <v>333</v>
      </c>
      <c r="AE93" s="110" t="s">
        <v>187</v>
      </c>
      <c r="AF93" s="110" t="s">
        <v>190</v>
      </c>
      <c r="AG93" s="110" t="s">
        <v>190</v>
      </c>
      <c r="AI93" s="110" t="s">
        <v>246</v>
      </c>
      <c r="AJ93" s="110" t="s">
        <v>246</v>
      </c>
      <c r="AK93" s="110" t="s">
        <v>902</v>
      </c>
      <c r="AL93" s="110" t="s">
        <v>1167</v>
      </c>
      <c r="AM93" s="110" t="s">
        <v>174</v>
      </c>
      <c r="AN93" s="110" t="s">
        <v>412</v>
      </c>
      <c r="AO93" s="110">
        <v>0.5</v>
      </c>
      <c r="AP93" s="110" t="s">
        <v>190</v>
      </c>
      <c r="AQ93" s="110" t="s">
        <v>176</v>
      </c>
      <c r="AR93" s="110">
        <v>2016</v>
      </c>
      <c r="AS93" s="110" t="s">
        <v>234</v>
      </c>
      <c r="AT93" s="110" t="s">
        <v>298</v>
      </c>
      <c r="BA93" s="110">
        <v>11.5</v>
      </c>
      <c r="BB93" s="110">
        <v>11.5</v>
      </c>
      <c r="BC93" s="110">
        <v>11.5</v>
      </c>
      <c r="BD93" s="110">
        <v>0</v>
      </c>
      <c r="BE93" s="110" t="s">
        <v>182</v>
      </c>
      <c r="BF93" s="110" t="s">
        <v>1903</v>
      </c>
      <c r="BH93" s="110" t="s">
        <v>190</v>
      </c>
      <c r="BI93" s="110" t="s">
        <v>182</v>
      </c>
      <c r="BJ93" s="110" t="s">
        <v>174</v>
      </c>
      <c r="BK93" s="110">
        <v>10</v>
      </c>
      <c r="BL93" s="110">
        <v>1</v>
      </c>
      <c r="BM93" s="110" t="s">
        <v>174</v>
      </c>
      <c r="BN93" s="110" t="s">
        <v>174</v>
      </c>
      <c r="BO93" s="110" t="s">
        <v>174</v>
      </c>
      <c r="BP93" s="110" t="s">
        <v>174</v>
      </c>
      <c r="BQ93" s="110" t="s">
        <v>174</v>
      </c>
      <c r="BR93" s="110" t="s">
        <v>174</v>
      </c>
      <c r="BS93" s="110">
        <v>14</v>
      </c>
      <c r="BT93" s="110" t="s">
        <v>2256</v>
      </c>
      <c r="BU93" s="110" t="s">
        <v>2606</v>
      </c>
      <c r="BV93" s="110" t="s">
        <v>2256</v>
      </c>
      <c r="CA93" s="110">
        <v>0.35714285699999998</v>
      </c>
      <c r="CB93" s="110">
        <v>140</v>
      </c>
      <c r="CC93" s="110" t="b">
        <v>0</v>
      </c>
      <c r="CD93" s="110">
        <v>100</v>
      </c>
      <c r="CE93" s="110" t="s">
        <v>2256</v>
      </c>
      <c r="CF93" s="110" t="s">
        <v>2256</v>
      </c>
      <c r="CG93" s="110">
        <v>280</v>
      </c>
      <c r="CH93" s="110" t="s">
        <v>2470</v>
      </c>
    </row>
    <row r="94" spans="1:88">
      <c r="A94" s="110" t="s">
        <v>216</v>
      </c>
      <c r="B94" s="110">
        <v>19</v>
      </c>
      <c r="C94" s="110">
        <v>1</v>
      </c>
      <c r="D94" s="110">
        <v>2</v>
      </c>
      <c r="E94" s="110">
        <v>93</v>
      </c>
      <c r="F94" s="110">
        <v>2022</v>
      </c>
      <c r="G94" s="110" t="s">
        <v>187</v>
      </c>
      <c r="H94" s="110" t="s">
        <v>2436</v>
      </c>
      <c r="I94" s="110" t="s">
        <v>182</v>
      </c>
      <c r="J94" s="110" t="s">
        <v>182</v>
      </c>
      <c r="K94" s="110" t="s">
        <v>999</v>
      </c>
      <c r="L94" s="110" t="s">
        <v>999</v>
      </c>
      <c r="R94" s="110" t="s">
        <v>152</v>
      </c>
      <c r="S94" s="110" t="s">
        <v>443</v>
      </c>
      <c r="T94" s="110" t="s">
        <v>156</v>
      </c>
      <c r="U94" s="110" t="s">
        <v>158</v>
      </c>
      <c r="V94" s="110">
        <v>50.363069439999997</v>
      </c>
      <c r="W94" s="110">
        <v>50.363069439999997</v>
      </c>
      <c r="X94" s="110">
        <v>-4.15206389</v>
      </c>
      <c r="Y94" s="110" t="s">
        <v>160</v>
      </c>
      <c r="Z94" s="110" t="s">
        <v>155</v>
      </c>
      <c r="AA94" s="110" t="s">
        <v>1788</v>
      </c>
      <c r="AB94" s="110" t="s">
        <v>333</v>
      </c>
      <c r="AC94" s="110" t="s">
        <v>246</v>
      </c>
      <c r="AD94" s="110" t="s">
        <v>333</v>
      </c>
      <c r="AE94" s="110" t="s">
        <v>187</v>
      </c>
      <c r="AF94" s="110" t="s">
        <v>190</v>
      </c>
      <c r="AG94" s="110" t="s">
        <v>190</v>
      </c>
      <c r="AI94" s="110" t="s">
        <v>246</v>
      </c>
      <c r="AJ94" s="110" t="s">
        <v>246</v>
      </c>
      <c r="AK94" s="110" t="s">
        <v>902</v>
      </c>
      <c r="AL94" s="110" t="s">
        <v>1167</v>
      </c>
      <c r="AM94" s="110" t="s">
        <v>174</v>
      </c>
      <c r="AN94" s="110" t="s">
        <v>412</v>
      </c>
      <c r="AO94" s="110">
        <v>0.5</v>
      </c>
      <c r="AP94" s="110" t="s">
        <v>190</v>
      </c>
      <c r="AQ94" s="110" t="s">
        <v>176</v>
      </c>
      <c r="AR94" s="110">
        <v>2016</v>
      </c>
      <c r="AS94" s="110" t="s">
        <v>235</v>
      </c>
      <c r="AT94" s="110" t="s">
        <v>298</v>
      </c>
      <c r="BA94" s="110">
        <v>14.5</v>
      </c>
      <c r="BB94" s="110">
        <v>14.5</v>
      </c>
      <c r="BC94" s="110">
        <v>14.5</v>
      </c>
      <c r="BD94" s="110">
        <v>0</v>
      </c>
      <c r="BE94" s="110" t="s">
        <v>182</v>
      </c>
      <c r="BF94" s="110" t="s">
        <v>1903</v>
      </c>
      <c r="BH94" s="110" t="s">
        <v>190</v>
      </c>
      <c r="BI94" s="110" t="s">
        <v>182</v>
      </c>
      <c r="BJ94" s="110" t="s">
        <v>174</v>
      </c>
      <c r="BK94" s="110">
        <v>10</v>
      </c>
      <c r="BL94" s="110">
        <v>1</v>
      </c>
      <c r="BM94" s="110" t="s">
        <v>174</v>
      </c>
      <c r="BN94" s="110" t="s">
        <v>174</v>
      </c>
      <c r="BO94" s="110" t="s">
        <v>174</v>
      </c>
      <c r="BP94" s="110" t="s">
        <v>174</v>
      </c>
      <c r="BQ94" s="110" t="s">
        <v>174</v>
      </c>
      <c r="BR94" s="110" t="s">
        <v>174</v>
      </c>
      <c r="BS94" s="110">
        <v>14</v>
      </c>
      <c r="BT94" s="110" t="s">
        <v>2256</v>
      </c>
      <c r="BU94" s="110" t="s">
        <v>2606</v>
      </c>
      <c r="BV94" s="110" t="s">
        <v>2256</v>
      </c>
      <c r="CA94" s="110">
        <v>2.7857142860000002</v>
      </c>
      <c r="CB94" s="110">
        <v>17.948717949999999</v>
      </c>
      <c r="CC94" s="110" t="b">
        <v>0</v>
      </c>
      <c r="CD94" s="110">
        <v>94.694381904811706</v>
      </c>
      <c r="CE94" s="110" t="s">
        <v>2256</v>
      </c>
      <c r="CF94" s="110" t="s">
        <v>2256</v>
      </c>
      <c r="CG94" s="110">
        <v>35.897435899999998</v>
      </c>
      <c r="CH94" s="110" t="s">
        <v>2470</v>
      </c>
    </row>
    <row r="95" spans="1:88">
      <c r="A95" s="110" t="s">
        <v>216</v>
      </c>
      <c r="B95" s="110">
        <v>19</v>
      </c>
      <c r="C95" s="110">
        <v>1</v>
      </c>
      <c r="D95" s="110">
        <v>2</v>
      </c>
      <c r="E95" s="110">
        <v>94</v>
      </c>
      <c r="F95" s="110">
        <v>2022</v>
      </c>
      <c r="G95" s="110" t="s">
        <v>187</v>
      </c>
      <c r="H95" s="110" t="s">
        <v>2436</v>
      </c>
      <c r="I95" s="110" t="s">
        <v>182</v>
      </c>
      <c r="J95" s="110" t="s">
        <v>182</v>
      </c>
      <c r="K95" s="110" t="s">
        <v>999</v>
      </c>
      <c r="L95" s="110" t="s">
        <v>999</v>
      </c>
      <c r="R95" s="110" t="s">
        <v>152</v>
      </c>
      <c r="S95" s="110" t="s">
        <v>443</v>
      </c>
      <c r="T95" s="110" t="s">
        <v>156</v>
      </c>
      <c r="U95" s="110" t="s">
        <v>159</v>
      </c>
      <c r="V95" s="110">
        <v>50.363069439999997</v>
      </c>
      <c r="W95" s="110">
        <v>50.363069439999997</v>
      </c>
      <c r="X95" s="110">
        <v>-4.15206389</v>
      </c>
      <c r="Y95" s="110" t="s">
        <v>160</v>
      </c>
      <c r="Z95" s="110" t="s">
        <v>155</v>
      </c>
      <c r="AA95" s="110" t="s">
        <v>1788</v>
      </c>
      <c r="AB95" s="110" t="s">
        <v>333</v>
      </c>
      <c r="AC95" s="110" t="s">
        <v>246</v>
      </c>
      <c r="AD95" s="110" t="s">
        <v>333</v>
      </c>
      <c r="AE95" s="110" t="s">
        <v>187</v>
      </c>
      <c r="AF95" s="110" t="s">
        <v>190</v>
      </c>
      <c r="AG95" s="110" t="s">
        <v>190</v>
      </c>
      <c r="AI95" s="110" t="s">
        <v>246</v>
      </c>
      <c r="AJ95" s="110" t="s">
        <v>246</v>
      </c>
      <c r="AK95" s="110" t="s">
        <v>902</v>
      </c>
      <c r="AL95" s="110" t="s">
        <v>1167</v>
      </c>
      <c r="AM95" s="110" t="s">
        <v>174</v>
      </c>
      <c r="AN95" s="110" t="s">
        <v>412</v>
      </c>
      <c r="AO95" s="110">
        <v>0.5</v>
      </c>
      <c r="AP95" s="110" t="s">
        <v>190</v>
      </c>
      <c r="AQ95" s="110" t="s">
        <v>176</v>
      </c>
      <c r="AR95" s="110">
        <v>2016</v>
      </c>
      <c r="AS95" s="110" t="s">
        <v>234</v>
      </c>
      <c r="AT95" s="110" t="s">
        <v>298</v>
      </c>
      <c r="AX95" s="110">
        <v>0</v>
      </c>
      <c r="BA95" s="110">
        <v>14.5</v>
      </c>
      <c r="BB95" s="110">
        <v>14.5</v>
      </c>
      <c r="BC95" s="110">
        <v>14.5</v>
      </c>
      <c r="BD95" s="110">
        <v>0</v>
      </c>
      <c r="BE95" s="110" t="s">
        <v>182</v>
      </c>
      <c r="BF95" s="110" t="s">
        <v>1903</v>
      </c>
      <c r="BH95" s="110" t="s">
        <v>190</v>
      </c>
      <c r="BI95" s="110" t="s">
        <v>182</v>
      </c>
      <c r="BJ95" s="110" t="s">
        <v>174</v>
      </c>
      <c r="BK95" s="110">
        <v>10</v>
      </c>
      <c r="BL95" s="110">
        <v>1</v>
      </c>
      <c r="BM95" s="110" t="s">
        <v>174</v>
      </c>
      <c r="BN95" s="110" t="s">
        <v>174</v>
      </c>
      <c r="BO95" s="110" t="s">
        <v>174</v>
      </c>
      <c r="BP95" s="110" t="s">
        <v>174</v>
      </c>
      <c r="BQ95" s="110" t="s">
        <v>174</v>
      </c>
      <c r="BR95" s="110" t="s">
        <v>174</v>
      </c>
      <c r="BS95" s="110">
        <v>14</v>
      </c>
      <c r="BT95" s="110" t="s">
        <v>2256</v>
      </c>
      <c r="BU95" s="110" t="s">
        <v>2606</v>
      </c>
      <c r="BV95" s="110" t="s">
        <v>2256</v>
      </c>
      <c r="CA95" s="110">
        <v>0.35714285699999998</v>
      </c>
      <c r="CB95" s="110">
        <v>140</v>
      </c>
      <c r="CC95" s="110" t="b">
        <v>0</v>
      </c>
      <c r="CD95" s="110">
        <v>100.173202785486</v>
      </c>
      <c r="CE95" s="110" t="s">
        <v>2256</v>
      </c>
      <c r="CF95" s="110" t="s">
        <v>2256</v>
      </c>
      <c r="CG95" s="110">
        <v>280</v>
      </c>
      <c r="CH95" s="110" t="s">
        <v>2470</v>
      </c>
    </row>
    <row r="96" spans="1:88">
      <c r="A96" s="110" t="s">
        <v>216</v>
      </c>
      <c r="B96" s="110">
        <v>19</v>
      </c>
      <c r="C96" s="110">
        <v>1</v>
      </c>
      <c r="D96" s="110">
        <v>2</v>
      </c>
      <c r="E96" s="110">
        <v>95</v>
      </c>
      <c r="F96" s="110">
        <v>2022</v>
      </c>
      <c r="G96" s="110" t="s">
        <v>187</v>
      </c>
      <c r="H96" s="110" t="s">
        <v>2436</v>
      </c>
      <c r="I96" s="110" t="s">
        <v>182</v>
      </c>
      <c r="J96" s="110" t="s">
        <v>182</v>
      </c>
      <c r="K96" s="110" t="s">
        <v>999</v>
      </c>
      <c r="L96" s="110" t="s">
        <v>999</v>
      </c>
      <c r="R96" s="110" t="s">
        <v>152</v>
      </c>
      <c r="S96" s="110" t="s">
        <v>443</v>
      </c>
      <c r="T96" s="110" t="s">
        <v>156</v>
      </c>
      <c r="U96" s="110" t="s">
        <v>158</v>
      </c>
      <c r="V96" s="110">
        <v>50.363069439999997</v>
      </c>
      <c r="W96" s="110">
        <v>50.363069439999997</v>
      </c>
      <c r="X96" s="110">
        <v>-4.15206389</v>
      </c>
      <c r="Y96" s="110" t="s">
        <v>160</v>
      </c>
      <c r="Z96" s="110" t="s">
        <v>155</v>
      </c>
      <c r="AA96" s="110" t="s">
        <v>1788</v>
      </c>
      <c r="AB96" s="110" t="s">
        <v>333</v>
      </c>
      <c r="AC96" s="110" t="s">
        <v>246</v>
      </c>
      <c r="AD96" s="110" t="s">
        <v>333</v>
      </c>
      <c r="AE96" s="110" t="s">
        <v>187</v>
      </c>
      <c r="AF96" s="110" t="s">
        <v>190</v>
      </c>
      <c r="AG96" s="110" t="s">
        <v>190</v>
      </c>
      <c r="AI96" s="110" t="s">
        <v>246</v>
      </c>
      <c r="AJ96" s="110" t="s">
        <v>246</v>
      </c>
      <c r="AK96" s="110" t="s">
        <v>902</v>
      </c>
      <c r="AL96" s="110" t="s">
        <v>1167</v>
      </c>
      <c r="AM96" s="110" t="s">
        <v>174</v>
      </c>
      <c r="AN96" s="110" t="s">
        <v>412</v>
      </c>
      <c r="AO96" s="110">
        <v>0.5</v>
      </c>
      <c r="AP96" s="110" t="s">
        <v>190</v>
      </c>
      <c r="AQ96" s="110" t="s">
        <v>176</v>
      </c>
      <c r="AR96" s="110">
        <v>2016</v>
      </c>
      <c r="AS96" s="110" t="s">
        <v>234</v>
      </c>
      <c r="AT96" s="110" t="s">
        <v>298</v>
      </c>
      <c r="AX96" s="110">
        <v>0</v>
      </c>
      <c r="BA96" s="110">
        <v>17.5</v>
      </c>
      <c r="BB96" s="110">
        <v>17.5</v>
      </c>
      <c r="BC96" s="110">
        <v>17.5</v>
      </c>
      <c r="BD96" s="110">
        <v>0</v>
      </c>
      <c r="BE96" s="110" t="s">
        <v>182</v>
      </c>
      <c r="BF96" s="110" t="s">
        <v>1903</v>
      </c>
      <c r="BH96" s="110" t="s">
        <v>190</v>
      </c>
      <c r="BI96" s="110" t="s">
        <v>182</v>
      </c>
      <c r="BJ96" s="110" t="s">
        <v>174</v>
      </c>
      <c r="BK96" s="110">
        <v>10</v>
      </c>
      <c r="BL96" s="110">
        <v>1</v>
      </c>
      <c r="BM96" s="110" t="s">
        <v>174</v>
      </c>
      <c r="BN96" s="110" t="s">
        <v>174</v>
      </c>
      <c r="BO96" s="110" t="s">
        <v>174</v>
      </c>
      <c r="BP96" s="110" t="s">
        <v>174</v>
      </c>
      <c r="BQ96" s="110" t="s">
        <v>174</v>
      </c>
      <c r="BR96" s="110" t="s">
        <v>174</v>
      </c>
      <c r="BS96" s="110">
        <v>14</v>
      </c>
      <c r="BT96" s="110" t="s">
        <v>2256</v>
      </c>
      <c r="BU96" s="110" t="s">
        <v>2606</v>
      </c>
      <c r="BV96" s="110" t="s">
        <v>2256</v>
      </c>
      <c r="CA96" s="110">
        <v>0.14285714299999999</v>
      </c>
      <c r="CB96" s="110">
        <v>350</v>
      </c>
      <c r="CC96" s="110" t="b">
        <v>1</v>
      </c>
      <c r="CD96" s="110">
        <v>65.213047803549898</v>
      </c>
      <c r="CE96" s="110" t="s">
        <v>2256</v>
      </c>
      <c r="CF96" s="110" t="s">
        <v>2256</v>
      </c>
      <c r="CG96" s="110">
        <v>700</v>
      </c>
      <c r="CH96" s="110" t="s">
        <v>2470</v>
      </c>
    </row>
    <row r="97" spans="1:88">
      <c r="A97" s="110" t="s">
        <v>216</v>
      </c>
      <c r="B97" s="110">
        <v>19</v>
      </c>
      <c r="C97" s="110">
        <v>1</v>
      </c>
      <c r="D97" s="110">
        <v>2</v>
      </c>
      <c r="E97" s="110">
        <v>96</v>
      </c>
      <c r="F97" s="110">
        <v>2022</v>
      </c>
      <c r="G97" s="110" t="s">
        <v>187</v>
      </c>
      <c r="H97" s="110" t="s">
        <v>2436</v>
      </c>
      <c r="I97" s="110" t="s">
        <v>182</v>
      </c>
      <c r="J97" s="110" t="s">
        <v>182</v>
      </c>
      <c r="K97" s="110" t="s">
        <v>999</v>
      </c>
      <c r="L97" s="110" t="s">
        <v>999</v>
      </c>
      <c r="R97" s="110" t="s">
        <v>152</v>
      </c>
      <c r="S97" s="110" t="s">
        <v>443</v>
      </c>
      <c r="T97" s="110" t="s">
        <v>156</v>
      </c>
      <c r="U97" s="110" t="s">
        <v>159</v>
      </c>
      <c r="V97" s="110">
        <v>50.363069439999997</v>
      </c>
      <c r="W97" s="110">
        <v>50.363069439999997</v>
      </c>
      <c r="X97" s="110">
        <v>-4.15206389</v>
      </c>
      <c r="Y97" s="110" t="s">
        <v>160</v>
      </c>
      <c r="Z97" s="110" t="s">
        <v>155</v>
      </c>
      <c r="AA97" s="110" t="s">
        <v>1788</v>
      </c>
      <c r="AB97" s="110" t="s">
        <v>333</v>
      </c>
      <c r="AC97" s="110" t="s">
        <v>246</v>
      </c>
      <c r="AD97" s="110" t="s">
        <v>333</v>
      </c>
      <c r="AE97" s="110" t="s">
        <v>187</v>
      </c>
      <c r="AF97" s="110" t="s">
        <v>190</v>
      </c>
      <c r="AG97" s="110" t="s">
        <v>190</v>
      </c>
      <c r="AI97" s="110" t="s">
        <v>246</v>
      </c>
      <c r="AJ97" s="110" t="s">
        <v>246</v>
      </c>
      <c r="AK97" s="110" t="s">
        <v>902</v>
      </c>
      <c r="AL97" s="110" t="s">
        <v>1167</v>
      </c>
      <c r="AM97" s="110" t="s">
        <v>174</v>
      </c>
      <c r="AN97" s="110" t="s">
        <v>412</v>
      </c>
      <c r="AO97" s="110">
        <v>0.5</v>
      </c>
      <c r="AP97" s="110" t="s">
        <v>190</v>
      </c>
      <c r="AQ97" s="110" t="s">
        <v>176</v>
      </c>
      <c r="AR97" s="110">
        <v>2016</v>
      </c>
      <c r="AS97" s="110" t="s">
        <v>234</v>
      </c>
      <c r="AT97" s="110" t="s">
        <v>298</v>
      </c>
      <c r="AX97" s="110">
        <v>0</v>
      </c>
      <c r="BA97" s="110">
        <v>17.5</v>
      </c>
      <c r="BB97" s="110">
        <v>17.5</v>
      </c>
      <c r="BC97" s="110">
        <v>17.5</v>
      </c>
      <c r="BD97" s="110">
        <v>0</v>
      </c>
      <c r="BE97" s="110" t="s">
        <v>182</v>
      </c>
      <c r="BF97" s="110" t="s">
        <v>1903</v>
      </c>
      <c r="BH97" s="110" t="s">
        <v>190</v>
      </c>
      <c r="BI97" s="110" t="s">
        <v>182</v>
      </c>
      <c r="BJ97" s="110" t="s">
        <v>174</v>
      </c>
      <c r="BK97" s="110">
        <v>10</v>
      </c>
      <c r="BL97" s="110">
        <v>1</v>
      </c>
      <c r="BM97" s="110" t="s">
        <v>174</v>
      </c>
      <c r="BN97" s="110" t="s">
        <v>174</v>
      </c>
      <c r="BO97" s="110" t="s">
        <v>174</v>
      </c>
      <c r="BP97" s="110" t="s">
        <v>174</v>
      </c>
      <c r="BQ97" s="110" t="s">
        <v>174</v>
      </c>
      <c r="BR97" s="110" t="s">
        <v>174</v>
      </c>
      <c r="BS97" s="110">
        <v>14</v>
      </c>
      <c r="BT97" s="110" t="s">
        <v>2256</v>
      </c>
      <c r="BU97" s="110" t="s">
        <v>2606</v>
      </c>
      <c r="BV97" s="110" t="s">
        <v>2256</v>
      </c>
      <c r="CA97" s="110">
        <v>2.9285714289999998</v>
      </c>
      <c r="CB97" s="110">
        <v>17.073170730000001</v>
      </c>
      <c r="CC97" s="110" t="b">
        <v>0</v>
      </c>
      <c r="CD97" s="110">
        <v>55.190324100738202</v>
      </c>
      <c r="CE97" s="110" t="s">
        <v>2256</v>
      </c>
      <c r="CF97" s="110" t="s">
        <v>2256</v>
      </c>
      <c r="CG97" s="110">
        <v>34.146341460000002</v>
      </c>
      <c r="CH97" s="110" t="s">
        <v>2470</v>
      </c>
    </row>
    <row r="98" spans="1:88">
      <c r="A98" s="110" t="s">
        <v>216</v>
      </c>
      <c r="B98" s="110">
        <v>19</v>
      </c>
      <c r="C98" s="110">
        <v>1</v>
      </c>
      <c r="D98" s="110">
        <v>3</v>
      </c>
      <c r="E98" s="110">
        <v>97</v>
      </c>
      <c r="F98" s="110">
        <v>2022</v>
      </c>
      <c r="G98" s="110" t="s">
        <v>187</v>
      </c>
      <c r="H98" s="110" t="s">
        <v>2436</v>
      </c>
      <c r="I98" s="110" t="s">
        <v>182</v>
      </c>
      <c r="J98" s="110" t="s">
        <v>182</v>
      </c>
      <c r="K98" s="110" t="s">
        <v>999</v>
      </c>
      <c r="L98" s="110" t="s">
        <v>999</v>
      </c>
      <c r="R98" s="110" t="s">
        <v>152</v>
      </c>
      <c r="S98" s="110" t="s">
        <v>443</v>
      </c>
      <c r="T98" s="110" t="s">
        <v>156</v>
      </c>
      <c r="U98" s="110" t="s">
        <v>158</v>
      </c>
      <c r="V98" s="110">
        <v>50.363069439999997</v>
      </c>
      <c r="W98" s="110">
        <v>50.363069439999997</v>
      </c>
      <c r="X98" s="110">
        <v>-4.15206389</v>
      </c>
      <c r="Y98" s="110" t="s">
        <v>160</v>
      </c>
      <c r="Z98" s="110" t="s">
        <v>155</v>
      </c>
      <c r="AA98" s="110" t="s">
        <v>1788</v>
      </c>
      <c r="AB98" s="110" t="s">
        <v>333</v>
      </c>
      <c r="AC98" s="110" t="s">
        <v>246</v>
      </c>
      <c r="AD98" s="110" t="s">
        <v>333</v>
      </c>
      <c r="AE98" s="110" t="s">
        <v>187</v>
      </c>
      <c r="AF98" s="110" t="s">
        <v>190</v>
      </c>
      <c r="AG98" s="110" t="s">
        <v>190</v>
      </c>
      <c r="AI98" s="110" t="s">
        <v>246</v>
      </c>
      <c r="AJ98" s="110" t="s">
        <v>246</v>
      </c>
      <c r="AK98" s="110" t="s">
        <v>902</v>
      </c>
      <c r="AL98" s="110" t="s">
        <v>1167</v>
      </c>
      <c r="AM98" s="110" t="s">
        <v>174</v>
      </c>
      <c r="AN98" s="110" t="s">
        <v>412</v>
      </c>
      <c r="AO98" s="110">
        <v>0.5</v>
      </c>
      <c r="AP98" s="110" t="s">
        <v>190</v>
      </c>
      <c r="AQ98" s="110" t="s">
        <v>176</v>
      </c>
      <c r="AR98" s="110">
        <v>2016</v>
      </c>
      <c r="AS98" s="110" t="s">
        <v>236</v>
      </c>
      <c r="AT98" s="110" t="s">
        <v>420</v>
      </c>
      <c r="AX98" s="110">
        <v>0</v>
      </c>
      <c r="BA98" s="110">
        <v>13.5</v>
      </c>
      <c r="BB98" s="110">
        <v>13.5</v>
      </c>
      <c r="BC98" s="110">
        <v>13.5</v>
      </c>
      <c r="BD98" s="110">
        <v>0</v>
      </c>
      <c r="BE98" s="110" t="s">
        <v>182</v>
      </c>
      <c r="BF98" s="110" t="s">
        <v>1903</v>
      </c>
      <c r="BH98" s="110" t="s">
        <v>190</v>
      </c>
      <c r="BI98" s="110" t="s">
        <v>182</v>
      </c>
      <c r="BJ98" s="110" t="s">
        <v>174</v>
      </c>
      <c r="BK98" s="110">
        <v>10</v>
      </c>
      <c r="BL98" s="110">
        <v>1</v>
      </c>
      <c r="BM98" s="110" t="s">
        <v>174</v>
      </c>
      <c r="BN98" s="110" t="s">
        <v>174</v>
      </c>
      <c r="BO98" s="110" t="s">
        <v>174</v>
      </c>
      <c r="BP98" s="110" t="s">
        <v>174</v>
      </c>
      <c r="BQ98" s="110" t="s">
        <v>174</v>
      </c>
      <c r="BR98" s="110" t="s">
        <v>174</v>
      </c>
      <c r="BS98" s="110">
        <v>14</v>
      </c>
      <c r="BT98" s="110" t="s">
        <v>2256</v>
      </c>
      <c r="BU98" s="110" t="s">
        <v>2606</v>
      </c>
      <c r="BV98" s="110" t="s">
        <v>2256</v>
      </c>
      <c r="CA98" s="110">
        <v>7.1428570999999996E-2</v>
      </c>
      <c r="CB98" s="110">
        <v>700</v>
      </c>
      <c r="CC98" s="110" t="b">
        <v>1</v>
      </c>
      <c r="CD98" s="110">
        <v>98.853761977066796</v>
      </c>
      <c r="CE98" s="110" t="s">
        <v>2256</v>
      </c>
      <c r="CF98" s="110" t="s">
        <v>2256</v>
      </c>
      <c r="CG98" s="110">
        <v>1400</v>
      </c>
      <c r="CH98" s="110" t="s">
        <v>2470</v>
      </c>
    </row>
    <row r="99" spans="1:88">
      <c r="A99" s="110" t="s">
        <v>216</v>
      </c>
      <c r="B99" s="110">
        <v>19</v>
      </c>
      <c r="C99" s="110">
        <v>1</v>
      </c>
      <c r="D99" s="110">
        <v>3</v>
      </c>
      <c r="E99" s="110">
        <v>98</v>
      </c>
      <c r="F99" s="110">
        <v>2022</v>
      </c>
      <c r="G99" s="110" t="s">
        <v>187</v>
      </c>
      <c r="H99" s="110" t="s">
        <v>2436</v>
      </c>
      <c r="I99" s="110" t="s">
        <v>182</v>
      </c>
      <c r="J99" s="110" t="s">
        <v>182</v>
      </c>
      <c r="K99" s="110" t="s">
        <v>999</v>
      </c>
      <c r="L99" s="110" t="s">
        <v>999</v>
      </c>
      <c r="R99" s="110" t="s">
        <v>152</v>
      </c>
      <c r="S99" s="110" t="s">
        <v>443</v>
      </c>
      <c r="T99" s="110" t="s">
        <v>156</v>
      </c>
      <c r="U99" s="110" t="s">
        <v>159</v>
      </c>
      <c r="V99" s="110">
        <v>50.363069439999997</v>
      </c>
      <c r="W99" s="110">
        <v>50.363069439999997</v>
      </c>
      <c r="X99" s="110">
        <v>-4.15206389</v>
      </c>
      <c r="Y99" s="110" t="s">
        <v>160</v>
      </c>
      <c r="Z99" s="110" t="s">
        <v>155</v>
      </c>
      <c r="AA99" s="110" t="s">
        <v>1788</v>
      </c>
      <c r="AB99" s="110" t="s">
        <v>333</v>
      </c>
      <c r="AC99" s="110" t="s">
        <v>246</v>
      </c>
      <c r="AD99" s="110" t="s">
        <v>333</v>
      </c>
      <c r="AE99" s="110" t="s">
        <v>187</v>
      </c>
      <c r="AF99" s="110" t="s">
        <v>190</v>
      </c>
      <c r="AG99" s="110" t="s">
        <v>190</v>
      </c>
      <c r="AI99" s="110" t="s">
        <v>246</v>
      </c>
      <c r="AJ99" s="110" t="s">
        <v>246</v>
      </c>
      <c r="AK99" s="110" t="s">
        <v>902</v>
      </c>
      <c r="AL99" s="110" t="s">
        <v>1167</v>
      </c>
      <c r="AM99" s="110" t="s">
        <v>174</v>
      </c>
      <c r="AN99" s="110" t="s">
        <v>412</v>
      </c>
      <c r="AO99" s="110">
        <v>0.5</v>
      </c>
      <c r="AP99" s="110" t="s">
        <v>190</v>
      </c>
      <c r="AQ99" s="110" t="s">
        <v>176</v>
      </c>
      <c r="AR99" s="110">
        <v>2016</v>
      </c>
      <c r="AS99" s="110" t="s">
        <v>220</v>
      </c>
      <c r="AT99" s="110" t="s">
        <v>420</v>
      </c>
      <c r="BA99" s="110">
        <v>13.5</v>
      </c>
      <c r="BB99" s="110">
        <v>13.5</v>
      </c>
      <c r="BC99" s="110">
        <v>13.5</v>
      </c>
      <c r="BD99" s="110">
        <v>0</v>
      </c>
      <c r="BE99" s="110" t="s">
        <v>182</v>
      </c>
      <c r="BF99" s="110" t="s">
        <v>1903</v>
      </c>
      <c r="BH99" s="110" t="s">
        <v>190</v>
      </c>
      <c r="BI99" s="110" t="s">
        <v>182</v>
      </c>
      <c r="BJ99" s="110" t="s">
        <v>174</v>
      </c>
      <c r="BK99" s="110">
        <v>10</v>
      </c>
      <c r="BL99" s="110">
        <v>1</v>
      </c>
      <c r="BM99" s="110" t="s">
        <v>174</v>
      </c>
      <c r="BN99" s="110" t="s">
        <v>174</v>
      </c>
      <c r="BO99" s="110" t="s">
        <v>174</v>
      </c>
      <c r="BP99" s="110" t="s">
        <v>174</v>
      </c>
      <c r="BQ99" s="110" t="s">
        <v>174</v>
      </c>
      <c r="BR99" s="110" t="s">
        <v>174</v>
      </c>
      <c r="BS99" s="110">
        <v>14</v>
      </c>
      <c r="BT99" s="110" t="s">
        <v>1387</v>
      </c>
      <c r="BU99" s="110" t="s">
        <v>2606</v>
      </c>
      <c r="BV99" s="110" t="s">
        <v>1387</v>
      </c>
      <c r="CB99" s="110" t="s">
        <v>190</v>
      </c>
      <c r="CC99" s="110" t="b">
        <v>0</v>
      </c>
      <c r="CD99" s="110">
        <v>100</v>
      </c>
      <c r="CE99" s="110" t="s">
        <v>2256</v>
      </c>
      <c r="CF99" s="110" t="s">
        <v>2256</v>
      </c>
      <c r="CH99" s="110" t="s">
        <v>2470</v>
      </c>
    </row>
    <row r="100" spans="1:88">
      <c r="A100" s="110" t="s">
        <v>216</v>
      </c>
      <c r="B100" s="110">
        <v>19</v>
      </c>
      <c r="C100" s="110">
        <v>1</v>
      </c>
      <c r="D100" s="110">
        <v>3</v>
      </c>
      <c r="E100" s="110">
        <v>99</v>
      </c>
      <c r="F100" s="110">
        <v>2022</v>
      </c>
      <c r="G100" s="110" t="s">
        <v>187</v>
      </c>
      <c r="H100" s="110" t="s">
        <v>2436</v>
      </c>
      <c r="I100" s="110" t="s">
        <v>182</v>
      </c>
      <c r="J100" s="110" t="s">
        <v>182</v>
      </c>
      <c r="K100" s="110" t="s">
        <v>999</v>
      </c>
      <c r="L100" s="110" t="s">
        <v>999</v>
      </c>
      <c r="R100" s="110" t="s">
        <v>152</v>
      </c>
      <c r="S100" s="110" t="s">
        <v>443</v>
      </c>
      <c r="T100" s="110" t="s">
        <v>156</v>
      </c>
      <c r="U100" s="110" t="s">
        <v>158</v>
      </c>
      <c r="V100" s="110">
        <v>50.363069439999997</v>
      </c>
      <c r="W100" s="110">
        <v>50.363069439999997</v>
      </c>
      <c r="X100" s="110">
        <v>-4.15206389</v>
      </c>
      <c r="Y100" s="110" t="s">
        <v>160</v>
      </c>
      <c r="Z100" s="110" t="s">
        <v>155</v>
      </c>
      <c r="AA100" s="110" t="s">
        <v>1788</v>
      </c>
      <c r="AB100" s="110" t="s">
        <v>333</v>
      </c>
      <c r="AC100" s="110" t="s">
        <v>246</v>
      </c>
      <c r="AD100" s="110" t="s">
        <v>333</v>
      </c>
      <c r="AE100" s="110" t="s">
        <v>187</v>
      </c>
      <c r="AF100" s="110" t="s">
        <v>190</v>
      </c>
      <c r="AG100" s="110" t="s">
        <v>190</v>
      </c>
      <c r="AI100" s="110" t="s">
        <v>246</v>
      </c>
      <c r="AJ100" s="110" t="s">
        <v>246</v>
      </c>
      <c r="AK100" s="110" t="s">
        <v>902</v>
      </c>
      <c r="AL100" s="110" t="s">
        <v>1167</v>
      </c>
      <c r="AM100" s="110" t="s">
        <v>174</v>
      </c>
      <c r="AN100" s="110" t="s">
        <v>412</v>
      </c>
      <c r="AO100" s="110">
        <v>0.5</v>
      </c>
      <c r="AP100" s="110" t="s">
        <v>190</v>
      </c>
      <c r="AQ100" s="110" t="s">
        <v>176</v>
      </c>
      <c r="AR100" s="110">
        <v>2016</v>
      </c>
      <c r="AS100" s="110" t="s">
        <v>220</v>
      </c>
      <c r="AT100" s="110" t="s">
        <v>420</v>
      </c>
      <c r="AX100" s="110">
        <v>0</v>
      </c>
      <c r="BA100" s="110">
        <v>16.5</v>
      </c>
      <c r="BB100" s="110">
        <v>16.5</v>
      </c>
      <c r="BC100" s="110">
        <v>16.5</v>
      </c>
      <c r="BD100" s="110">
        <v>0</v>
      </c>
      <c r="BE100" s="110" t="s">
        <v>182</v>
      </c>
      <c r="BF100" s="110" t="s">
        <v>1903</v>
      </c>
      <c r="BH100" s="110" t="s">
        <v>190</v>
      </c>
      <c r="BI100" s="110" t="s">
        <v>182</v>
      </c>
      <c r="BJ100" s="110" t="s">
        <v>174</v>
      </c>
      <c r="BK100" s="110">
        <v>10</v>
      </c>
      <c r="BL100" s="110">
        <v>1</v>
      </c>
      <c r="BM100" s="110" t="s">
        <v>174</v>
      </c>
      <c r="BN100" s="110" t="s">
        <v>174</v>
      </c>
      <c r="BO100" s="110" t="s">
        <v>174</v>
      </c>
      <c r="BP100" s="110" t="s">
        <v>174</v>
      </c>
      <c r="BQ100" s="110" t="s">
        <v>174</v>
      </c>
      <c r="BR100" s="110" t="s">
        <v>174</v>
      </c>
      <c r="BS100" s="110">
        <v>14</v>
      </c>
      <c r="BT100" s="110" t="s">
        <v>2256</v>
      </c>
      <c r="BU100" s="110" t="s">
        <v>2606</v>
      </c>
      <c r="BV100" s="110" t="s">
        <v>2256</v>
      </c>
      <c r="CA100" s="110">
        <v>0.928571429</v>
      </c>
      <c r="CB100" s="110">
        <v>53.84615385</v>
      </c>
      <c r="CC100" s="110" t="b">
        <v>0</v>
      </c>
      <c r="CD100" s="110">
        <v>99.841457667940702</v>
      </c>
      <c r="CE100" s="110" t="s">
        <v>2256</v>
      </c>
      <c r="CF100" s="110" t="s">
        <v>2256</v>
      </c>
      <c r="CG100" s="110">
        <v>107.6923077</v>
      </c>
      <c r="CH100" s="110" t="s">
        <v>2470</v>
      </c>
    </row>
    <row r="101" spans="1:88">
      <c r="A101" s="110" t="s">
        <v>216</v>
      </c>
      <c r="B101" s="110">
        <v>19</v>
      </c>
      <c r="C101" s="110">
        <v>1</v>
      </c>
      <c r="D101" s="110">
        <v>3</v>
      </c>
      <c r="E101" s="110">
        <v>100</v>
      </c>
      <c r="F101" s="110">
        <v>2022</v>
      </c>
      <c r="G101" s="110" t="s">
        <v>187</v>
      </c>
      <c r="H101" s="110" t="s">
        <v>2436</v>
      </c>
      <c r="I101" s="110" t="s">
        <v>182</v>
      </c>
      <c r="J101" s="110" t="s">
        <v>182</v>
      </c>
      <c r="K101" s="110" t="s">
        <v>999</v>
      </c>
      <c r="L101" s="110" t="s">
        <v>999</v>
      </c>
      <c r="R101" s="110" t="s">
        <v>152</v>
      </c>
      <c r="S101" s="110" t="s">
        <v>443</v>
      </c>
      <c r="T101" s="110" t="s">
        <v>156</v>
      </c>
      <c r="U101" s="110" t="s">
        <v>159</v>
      </c>
      <c r="V101" s="110">
        <v>50.363069439999997</v>
      </c>
      <c r="W101" s="110">
        <v>50.363069439999997</v>
      </c>
      <c r="X101" s="110">
        <v>-4.15206389</v>
      </c>
      <c r="Y101" s="110" t="s">
        <v>160</v>
      </c>
      <c r="Z101" s="110" t="s">
        <v>155</v>
      </c>
      <c r="AA101" s="110" t="s">
        <v>1788</v>
      </c>
      <c r="AB101" s="110" t="s">
        <v>333</v>
      </c>
      <c r="AC101" s="110" t="s">
        <v>246</v>
      </c>
      <c r="AD101" s="110" t="s">
        <v>333</v>
      </c>
      <c r="AE101" s="110" t="s">
        <v>187</v>
      </c>
      <c r="AF101" s="110" t="s">
        <v>190</v>
      </c>
      <c r="AG101" s="110" t="s">
        <v>190</v>
      </c>
      <c r="AI101" s="110" t="s">
        <v>246</v>
      </c>
      <c r="AJ101" s="110" t="s">
        <v>246</v>
      </c>
      <c r="AK101" s="110" t="s">
        <v>902</v>
      </c>
      <c r="AL101" s="110" t="s">
        <v>1167</v>
      </c>
      <c r="AM101" s="110" t="s">
        <v>174</v>
      </c>
      <c r="AN101" s="110" t="s">
        <v>412</v>
      </c>
      <c r="AO101" s="110">
        <v>0.5</v>
      </c>
      <c r="AP101" s="110" t="s">
        <v>190</v>
      </c>
      <c r="AQ101" s="110" t="s">
        <v>176</v>
      </c>
      <c r="AR101" s="110">
        <v>2016</v>
      </c>
      <c r="AS101" s="110" t="s">
        <v>220</v>
      </c>
      <c r="AT101" s="110" t="s">
        <v>420</v>
      </c>
      <c r="AX101" s="110">
        <v>0</v>
      </c>
      <c r="BA101" s="110">
        <v>16.5</v>
      </c>
      <c r="BB101" s="110">
        <v>16.5</v>
      </c>
      <c r="BC101" s="110">
        <v>16.5</v>
      </c>
      <c r="BD101" s="110">
        <v>0</v>
      </c>
      <c r="BE101" s="110" t="s">
        <v>182</v>
      </c>
      <c r="BF101" s="110" t="s">
        <v>1903</v>
      </c>
      <c r="BH101" s="110" t="s">
        <v>190</v>
      </c>
      <c r="BI101" s="110" t="s">
        <v>182</v>
      </c>
      <c r="BJ101" s="110" t="s">
        <v>174</v>
      </c>
      <c r="BK101" s="110">
        <v>10</v>
      </c>
      <c r="BL101" s="110">
        <v>1</v>
      </c>
      <c r="BM101" s="110" t="s">
        <v>174</v>
      </c>
      <c r="BN101" s="110" t="s">
        <v>174</v>
      </c>
      <c r="BO101" s="110" t="s">
        <v>174</v>
      </c>
      <c r="BP101" s="110" t="s">
        <v>174</v>
      </c>
      <c r="BQ101" s="110" t="s">
        <v>174</v>
      </c>
      <c r="BR101" s="110" t="s">
        <v>174</v>
      </c>
      <c r="BS101" s="110">
        <v>14</v>
      </c>
      <c r="BT101" s="110" t="s">
        <v>2256</v>
      </c>
      <c r="BU101" s="110" t="s">
        <v>2606</v>
      </c>
      <c r="BV101" s="110" t="s">
        <v>2256</v>
      </c>
      <c r="CA101" s="110">
        <v>0</v>
      </c>
      <c r="CB101" s="110" t="s">
        <v>190</v>
      </c>
      <c r="CC101" s="110" t="b">
        <v>0</v>
      </c>
      <c r="CD101" s="110">
        <v>103.666579402062</v>
      </c>
      <c r="CE101" s="110" t="s">
        <v>2256</v>
      </c>
      <c r="CF101" s="110" t="s">
        <v>2256</v>
      </c>
      <c r="CH101" s="110" t="s">
        <v>2470</v>
      </c>
    </row>
    <row r="102" spans="1:88">
      <c r="A102" s="110" t="s">
        <v>216</v>
      </c>
      <c r="B102" s="110">
        <v>19</v>
      </c>
      <c r="C102" s="110">
        <v>1</v>
      </c>
      <c r="D102" s="110">
        <v>3</v>
      </c>
      <c r="E102" s="110">
        <v>101</v>
      </c>
      <c r="F102" s="110">
        <v>2022</v>
      </c>
      <c r="G102" s="110" t="s">
        <v>187</v>
      </c>
      <c r="H102" s="110" t="s">
        <v>2436</v>
      </c>
      <c r="I102" s="110" t="s">
        <v>182</v>
      </c>
      <c r="J102" s="110" t="s">
        <v>182</v>
      </c>
      <c r="K102" s="110" t="s">
        <v>999</v>
      </c>
      <c r="L102" s="110" t="s">
        <v>999</v>
      </c>
      <c r="R102" s="110" t="s">
        <v>152</v>
      </c>
      <c r="S102" s="110" t="s">
        <v>443</v>
      </c>
      <c r="T102" s="110" t="s">
        <v>156</v>
      </c>
      <c r="U102" s="110" t="s">
        <v>158</v>
      </c>
      <c r="V102" s="110">
        <v>50.363069439999997</v>
      </c>
      <c r="W102" s="110">
        <v>50.363069439999997</v>
      </c>
      <c r="X102" s="110">
        <v>-4.15206389</v>
      </c>
      <c r="Y102" s="110" t="s">
        <v>160</v>
      </c>
      <c r="Z102" s="110" t="s">
        <v>155</v>
      </c>
      <c r="AA102" s="110" t="s">
        <v>1788</v>
      </c>
      <c r="AB102" s="110" t="s">
        <v>333</v>
      </c>
      <c r="AC102" s="110" t="s">
        <v>246</v>
      </c>
      <c r="AD102" s="110" t="s">
        <v>333</v>
      </c>
      <c r="AE102" s="110" t="s">
        <v>187</v>
      </c>
      <c r="AF102" s="110" t="s">
        <v>190</v>
      </c>
      <c r="AG102" s="110" t="s">
        <v>190</v>
      </c>
      <c r="AI102" s="110" t="s">
        <v>246</v>
      </c>
      <c r="AJ102" s="110" t="s">
        <v>246</v>
      </c>
      <c r="AK102" s="110" t="s">
        <v>902</v>
      </c>
      <c r="AL102" s="110" t="s">
        <v>1167</v>
      </c>
      <c r="AM102" s="110" t="s">
        <v>174</v>
      </c>
      <c r="AN102" s="110" t="s">
        <v>412</v>
      </c>
      <c r="AO102" s="110">
        <v>0.5</v>
      </c>
      <c r="AP102" s="110" t="s">
        <v>190</v>
      </c>
      <c r="AQ102" s="110" t="s">
        <v>176</v>
      </c>
      <c r="AR102" s="110">
        <v>2016</v>
      </c>
      <c r="AS102" s="110" t="s">
        <v>220</v>
      </c>
      <c r="AT102" s="110" t="s">
        <v>420</v>
      </c>
      <c r="BA102" s="110">
        <v>19.5</v>
      </c>
      <c r="BB102" s="110">
        <v>19.5</v>
      </c>
      <c r="BC102" s="110">
        <v>19.5</v>
      </c>
      <c r="BD102" s="110">
        <v>0</v>
      </c>
      <c r="BE102" s="110" t="s">
        <v>182</v>
      </c>
      <c r="BF102" s="110" t="s">
        <v>1903</v>
      </c>
      <c r="BH102" s="110" t="s">
        <v>190</v>
      </c>
      <c r="BI102" s="110" t="s">
        <v>182</v>
      </c>
      <c r="BJ102" s="110" t="s">
        <v>174</v>
      </c>
      <c r="BK102" s="110">
        <v>10</v>
      </c>
      <c r="BL102" s="110">
        <v>1</v>
      </c>
      <c r="BM102" s="110" t="s">
        <v>174</v>
      </c>
      <c r="BN102" s="110" t="s">
        <v>174</v>
      </c>
      <c r="BO102" s="110" t="s">
        <v>174</v>
      </c>
      <c r="BP102" s="110" t="s">
        <v>174</v>
      </c>
      <c r="BQ102" s="110" t="s">
        <v>174</v>
      </c>
      <c r="BR102" s="110" t="s">
        <v>174</v>
      </c>
      <c r="BS102" s="110">
        <v>14</v>
      </c>
      <c r="BT102" s="110" t="s">
        <v>1387</v>
      </c>
      <c r="BU102" s="110" t="s">
        <v>2606</v>
      </c>
      <c r="BV102" s="110" t="s">
        <v>1387</v>
      </c>
      <c r="CB102" s="110" t="s">
        <v>190</v>
      </c>
      <c r="CC102" s="110" t="b">
        <v>0</v>
      </c>
      <c r="CD102" s="110">
        <v>100</v>
      </c>
      <c r="CE102" s="110" t="s">
        <v>2256</v>
      </c>
      <c r="CF102" s="110" t="s">
        <v>2256</v>
      </c>
      <c r="CH102" s="110" t="s">
        <v>2470</v>
      </c>
    </row>
    <row r="103" spans="1:88">
      <c r="A103" s="110" t="s">
        <v>216</v>
      </c>
      <c r="B103" s="110">
        <v>19</v>
      </c>
      <c r="C103" s="110">
        <v>1</v>
      </c>
      <c r="D103" s="110">
        <v>3</v>
      </c>
      <c r="E103" s="110">
        <v>102</v>
      </c>
      <c r="F103" s="110">
        <v>2022</v>
      </c>
      <c r="G103" s="110" t="s">
        <v>187</v>
      </c>
      <c r="H103" s="110" t="s">
        <v>2436</v>
      </c>
      <c r="I103" s="110" t="s">
        <v>182</v>
      </c>
      <c r="J103" s="110" t="s">
        <v>182</v>
      </c>
      <c r="K103" s="110" t="s">
        <v>999</v>
      </c>
      <c r="L103" s="110" t="s">
        <v>999</v>
      </c>
      <c r="R103" s="110" t="s">
        <v>152</v>
      </c>
      <c r="S103" s="110" t="s">
        <v>443</v>
      </c>
      <c r="T103" s="110" t="s">
        <v>156</v>
      </c>
      <c r="U103" s="110" t="s">
        <v>159</v>
      </c>
      <c r="V103" s="110">
        <v>50.363069439999997</v>
      </c>
      <c r="W103" s="110">
        <v>50.363069439999997</v>
      </c>
      <c r="X103" s="110">
        <v>-4.15206389</v>
      </c>
      <c r="Y103" s="110" t="s">
        <v>160</v>
      </c>
      <c r="Z103" s="110" t="s">
        <v>155</v>
      </c>
      <c r="AA103" s="110" t="s">
        <v>1788</v>
      </c>
      <c r="AB103" s="110" t="s">
        <v>333</v>
      </c>
      <c r="AC103" s="110" t="s">
        <v>246</v>
      </c>
      <c r="AD103" s="110" t="s">
        <v>333</v>
      </c>
      <c r="AE103" s="110" t="s">
        <v>187</v>
      </c>
      <c r="AF103" s="110" t="s">
        <v>190</v>
      </c>
      <c r="AG103" s="110" t="s">
        <v>190</v>
      </c>
      <c r="AI103" s="110" t="s">
        <v>246</v>
      </c>
      <c r="AJ103" s="110" t="s">
        <v>246</v>
      </c>
      <c r="AK103" s="110" t="s">
        <v>902</v>
      </c>
      <c r="AL103" s="110" t="s">
        <v>1167</v>
      </c>
      <c r="AM103" s="110" t="s">
        <v>174</v>
      </c>
      <c r="AN103" s="110" t="s">
        <v>412</v>
      </c>
      <c r="AO103" s="110">
        <v>0.5</v>
      </c>
      <c r="AP103" s="110" t="s">
        <v>190</v>
      </c>
      <c r="AQ103" s="110" t="s">
        <v>176</v>
      </c>
      <c r="AR103" s="110">
        <v>2016</v>
      </c>
      <c r="AS103" s="110" t="s">
        <v>220</v>
      </c>
      <c r="AT103" s="110" t="s">
        <v>420</v>
      </c>
      <c r="AX103" s="110">
        <v>0</v>
      </c>
      <c r="BA103" s="110">
        <v>19.5</v>
      </c>
      <c r="BB103" s="110">
        <v>19.5</v>
      </c>
      <c r="BC103" s="110">
        <v>19.5</v>
      </c>
      <c r="BD103" s="110">
        <v>0</v>
      </c>
      <c r="BE103" s="110" t="s">
        <v>182</v>
      </c>
      <c r="BF103" s="110" t="s">
        <v>1903</v>
      </c>
      <c r="BH103" s="110" t="s">
        <v>190</v>
      </c>
      <c r="BI103" s="110" t="s">
        <v>182</v>
      </c>
      <c r="BJ103" s="110" t="s">
        <v>174</v>
      </c>
      <c r="BK103" s="110">
        <v>10</v>
      </c>
      <c r="BL103" s="110">
        <v>1</v>
      </c>
      <c r="BM103" s="110" t="s">
        <v>174</v>
      </c>
      <c r="BN103" s="110" t="s">
        <v>174</v>
      </c>
      <c r="BO103" s="110" t="s">
        <v>174</v>
      </c>
      <c r="BP103" s="110" t="s">
        <v>174</v>
      </c>
      <c r="BQ103" s="110" t="s">
        <v>174</v>
      </c>
      <c r="BR103" s="110" t="s">
        <v>174</v>
      </c>
      <c r="BS103" s="110">
        <v>14</v>
      </c>
      <c r="BT103" s="110" t="s">
        <v>2256</v>
      </c>
      <c r="BU103" s="110" t="s">
        <v>2606</v>
      </c>
      <c r="BV103" s="110" t="s">
        <v>2256</v>
      </c>
      <c r="CA103" s="110">
        <v>0.71428571399999996</v>
      </c>
      <c r="CB103" s="110">
        <v>70</v>
      </c>
      <c r="CC103" s="110" t="b">
        <v>0</v>
      </c>
      <c r="CD103" s="110">
        <v>101.953819571705</v>
      </c>
      <c r="CE103" s="110" t="s">
        <v>2256</v>
      </c>
      <c r="CF103" s="110" t="s">
        <v>2256</v>
      </c>
      <c r="CG103" s="110">
        <v>140</v>
      </c>
      <c r="CH103" s="110" t="s">
        <v>2470</v>
      </c>
    </row>
    <row r="104" spans="1:88">
      <c r="A104" s="110" t="s">
        <v>216</v>
      </c>
      <c r="B104" s="110">
        <v>19</v>
      </c>
      <c r="C104" s="110">
        <v>1</v>
      </c>
      <c r="D104" s="110">
        <v>4</v>
      </c>
      <c r="E104" s="110">
        <v>103</v>
      </c>
      <c r="F104" s="110">
        <v>2022</v>
      </c>
      <c r="G104" s="110" t="s">
        <v>187</v>
      </c>
      <c r="H104" s="110" t="s">
        <v>2436</v>
      </c>
      <c r="I104" s="110" t="s">
        <v>182</v>
      </c>
      <c r="J104" s="110" t="s">
        <v>182</v>
      </c>
      <c r="K104" s="110" t="s">
        <v>999</v>
      </c>
      <c r="L104" s="110" t="s">
        <v>999</v>
      </c>
      <c r="R104" s="110" t="s">
        <v>152</v>
      </c>
      <c r="S104" s="110" t="s">
        <v>443</v>
      </c>
      <c r="T104" s="110" t="s">
        <v>156</v>
      </c>
      <c r="U104" s="110" t="s">
        <v>158</v>
      </c>
      <c r="V104" s="110">
        <v>50.363069439999997</v>
      </c>
      <c r="W104" s="110">
        <v>50.363069439999997</v>
      </c>
      <c r="X104" s="110">
        <v>-4.15206389</v>
      </c>
      <c r="Y104" s="110" t="s">
        <v>160</v>
      </c>
      <c r="Z104" s="110" t="s">
        <v>155</v>
      </c>
      <c r="AA104" s="110" t="s">
        <v>1788</v>
      </c>
      <c r="AB104" s="110" t="s">
        <v>333</v>
      </c>
      <c r="AC104" s="110" t="s">
        <v>246</v>
      </c>
      <c r="AD104" s="110" t="s">
        <v>333</v>
      </c>
      <c r="AE104" s="110" t="s">
        <v>187</v>
      </c>
      <c r="AF104" s="110" t="s">
        <v>190</v>
      </c>
      <c r="AG104" s="110" t="s">
        <v>190</v>
      </c>
      <c r="AI104" s="110" t="s">
        <v>246</v>
      </c>
      <c r="AJ104" s="110" t="s">
        <v>246</v>
      </c>
      <c r="AK104" s="110" t="s">
        <v>902</v>
      </c>
      <c r="AL104" s="110" t="s">
        <v>1167</v>
      </c>
      <c r="AM104" s="110" t="s">
        <v>174</v>
      </c>
      <c r="AN104" s="110" t="s">
        <v>412</v>
      </c>
      <c r="AO104" s="110">
        <v>0.5</v>
      </c>
      <c r="AP104" s="110" t="s">
        <v>190</v>
      </c>
      <c r="AQ104" s="110" t="s">
        <v>176</v>
      </c>
      <c r="AR104" s="110">
        <v>2016</v>
      </c>
      <c r="AS104" s="110" t="s">
        <v>237</v>
      </c>
      <c r="AT104" s="110" t="s">
        <v>420</v>
      </c>
      <c r="AX104" s="110">
        <v>0</v>
      </c>
      <c r="BA104" s="110">
        <v>15.5</v>
      </c>
      <c r="BB104" s="110">
        <v>15.5</v>
      </c>
      <c r="BC104" s="110">
        <v>15.5</v>
      </c>
      <c r="BD104" s="110">
        <v>0</v>
      </c>
      <c r="BE104" s="110" t="s">
        <v>182</v>
      </c>
      <c r="BF104" s="110" t="s">
        <v>1903</v>
      </c>
      <c r="BH104" s="110" t="s">
        <v>190</v>
      </c>
      <c r="BI104" s="110" t="s">
        <v>182</v>
      </c>
      <c r="BJ104" s="110" t="s">
        <v>174</v>
      </c>
      <c r="BK104" s="110">
        <v>10</v>
      </c>
      <c r="BL104" s="110">
        <v>1</v>
      </c>
      <c r="BM104" s="110" t="s">
        <v>174</v>
      </c>
      <c r="BN104" s="110" t="s">
        <v>174</v>
      </c>
      <c r="BO104" s="110" t="s">
        <v>174</v>
      </c>
      <c r="BP104" s="110" t="s">
        <v>174</v>
      </c>
      <c r="BQ104" s="110" t="s">
        <v>174</v>
      </c>
      <c r="BR104" s="110" t="s">
        <v>174</v>
      </c>
      <c r="BS104" s="110">
        <v>14</v>
      </c>
      <c r="BT104" s="110" t="s">
        <v>2256</v>
      </c>
      <c r="BU104" s="110" t="s">
        <v>2606</v>
      </c>
      <c r="BV104" s="110" t="s">
        <v>2256</v>
      </c>
      <c r="CA104" s="110">
        <v>0.14285714299999999</v>
      </c>
      <c r="CB104" s="110">
        <v>350</v>
      </c>
      <c r="CC104" s="110" t="b">
        <v>1</v>
      </c>
      <c r="CD104" s="110">
        <v>88.549557568458994</v>
      </c>
      <c r="CE104" s="110" t="s">
        <v>2256</v>
      </c>
      <c r="CF104" s="110" t="s">
        <v>2256</v>
      </c>
      <c r="CG104" s="110">
        <v>700</v>
      </c>
      <c r="CH104" s="110" t="s">
        <v>2470</v>
      </c>
    </row>
    <row r="105" spans="1:88">
      <c r="A105" s="110" t="s">
        <v>216</v>
      </c>
      <c r="B105" s="110">
        <v>19</v>
      </c>
      <c r="C105" s="110">
        <v>1</v>
      </c>
      <c r="D105" s="110">
        <v>4</v>
      </c>
      <c r="E105" s="110">
        <v>104</v>
      </c>
      <c r="F105" s="110">
        <v>2022</v>
      </c>
      <c r="G105" s="110" t="s">
        <v>187</v>
      </c>
      <c r="H105" s="110" t="s">
        <v>2436</v>
      </c>
      <c r="I105" s="110" t="s">
        <v>182</v>
      </c>
      <c r="J105" s="110" t="s">
        <v>182</v>
      </c>
      <c r="K105" s="110" t="s">
        <v>999</v>
      </c>
      <c r="L105" s="110" t="s">
        <v>999</v>
      </c>
      <c r="R105" s="110" t="s">
        <v>152</v>
      </c>
      <c r="S105" s="110" t="s">
        <v>443</v>
      </c>
      <c r="T105" s="110" t="s">
        <v>156</v>
      </c>
      <c r="U105" s="110" t="s">
        <v>159</v>
      </c>
      <c r="V105" s="110">
        <v>50.363069439999997</v>
      </c>
      <c r="W105" s="110">
        <v>50.363069439999997</v>
      </c>
      <c r="X105" s="110">
        <v>-4.15206389</v>
      </c>
      <c r="Y105" s="110" t="s">
        <v>160</v>
      </c>
      <c r="Z105" s="110" t="s">
        <v>155</v>
      </c>
      <c r="AA105" s="110" t="s">
        <v>1788</v>
      </c>
      <c r="AB105" s="110" t="s">
        <v>333</v>
      </c>
      <c r="AC105" s="110" t="s">
        <v>246</v>
      </c>
      <c r="AD105" s="110" t="s">
        <v>333</v>
      </c>
      <c r="AE105" s="110" t="s">
        <v>187</v>
      </c>
      <c r="AF105" s="110" t="s">
        <v>190</v>
      </c>
      <c r="AG105" s="110" t="s">
        <v>190</v>
      </c>
      <c r="AI105" s="110" t="s">
        <v>246</v>
      </c>
      <c r="AJ105" s="110" t="s">
        <v>246</v>
      </c>
      <c r="AK105" s="110" t="s">
        <v>902</v>
      </c>
      <c r="AL105" s="110" t="s">
        <v>1167</v>
      </c>
      <c r="AM105" s="110" t="s">
        <v>174</v>
      </c>
      <c r="AN105" s="110" t="s">
        <v>412</v>
      </c>
      <c r="AO105" s="110">
        <v>0.5</v>
      </c>
      <c r="AP105" s="110" t="s">
        <v>190</v>
      </c>
      <c r="AQ105" s="110" t="s">
        <v>176</v>
      </c>
      <c r="AR105" s="110">
        <v>2016</v>
      </c>
      <c r="AS105" s="110" t="s">
        <v>237</v>
      </c>
      <c r="AT105" s="110" t="s">
        <v>420</v>
      </c>
      <c r="AX105" s="110">
        <v>0</v>
      </c>
      <c r="BA105" s="110">
        <v>15.5</v>
      </c>
      <c r="BB105" s="110">
        <v>15.5</v>
      </c>
      <c r="BC105" s="110">
        <v>15.5</v>
      </c>
      <c r="BD105" s="110">
        <v>0</v>
      </c>
      <c r="BE105" s="110" t="s">
        <v>182</v>
      </c>
      <c r="BF105" s="110" t="s">
        <v>1903</v>
      </c>
      <c r="BH105" s="110" t="s">
        <v>190</v>
      </c>
      <c r="BI105" s="110" t="s">
        <v>182</v>
      </c>
      <c r="BJ105" s="110" t="s">
        <v>174</v>
      </c>
      <c r="BK105" s="110">
        <v>10</v>
      </c>
      <c r="BL105" s="110">
        <v>1</v>
      </c>
      <c r="BM105" s="110" t="s">
        <v>174</v>
      </c>
      <c r="BN105" s="110" t="s">
        <v>174</v>
      </c>
      <c r="BO105" s="110" t="s">
        <v>174</v>
      </c>
      <c r="BP105" s="110" t="s">
        <v>174</v>
      </c>
      <c r="BQ105" s="110" t="s">
        <v>174</v>
      </c>
      <c r="BR105" s="110" t="s">
        <v>174</v>
      </c>
      <c r="BS105" s="110">
        <v>14</v>
      </c>
      <c r="BT105" s="110" t="s">
        <v>2256</v>
      </c>
      <c r="BU105" s="110" t="s">
        <v>2606</v>
      </c>
      <c r="BV105" s="110" t="s">
        <v>2256</v>
      </c>
      <c r="CA105" s="110">
        <v>7.1428570999999996E-2</v>
      </c>
      <c r="CB105" s="110">
        <v>700</v>
      </c>
      <c r="CC105" s="110" t="b">
        <v>1</v>
      </c>
      <c r="CD105" s="110">
        <v>93.998219802083796</v>
      </c>
      <c r="CE105" s="110" t="s">
        <v>2256</v>
      </c>
      <c r="CF105" s="110" t="s">
        <v>2256</v>
      </c>
      <c r="CG105" s="110">
        <v>1400</v>
      </c>
      <c r="CH105" s="110" t="s">
        <v>2470</v>
      </c>
    </row>
    <row r="106" spans="1:88">
      <c r="A106" s="110" t="s">
        <v>216</v>
      </c>
      <c r="B106" s="110">
        <v>19</v>
      </c>
      <c r="C106" s="110">
        <v>1</v>
      </c>
      <c r="D106" s="110">
        <v>4</v>
      </c>
      <c r="E106" s="110">
        <v>105</v>
      </c>
      <c r="F106" s="110">
        <v>2022</v>
      </c>
      <c r="G106" s="110" t="s">
        <v>187</v>
      </c>
      <c r="H106" s="110" t="s">
        <v>2436</v>
      </c>
      <c r="I106" s="110" t="s">
        <v>182</v>
      </c>
      <c r="J106" s="110" t="s">
        <v>182</v>
      </c>
      <c r="K106" s="110" t="s">
        <v>999</v>
      </c>
      <c r="L106" s="110" t="s">
        <v>999</v>
      </c>
      <c r="R106" s="110" t="s">
        <v>152</v>
      </c>
      <c r="S106" s="110" t="s">
        <v>443</v>
      </c>
      <c r="T106" s="110" t="s">
        <v>156</v>
      </c>
      <c r="U106" s="110" t="s">
        <v>158</v>
      </c>
      <c r="V106" s="110">
        <v>50.363069439999997</v>
      </c>
      <c r="W106" s="110">
        <v>50.363069439999997</v>
      </c>
      <c r="X106" s="110">
        <v>-4.15206389</v>
      </c>
      <c r="Y106" s="110" t="s">
        <v>160</v>
      </c>
      <c r="Z106" s="110" t="s">
        <v>155</v>
      </c>
      <c r="AA106" s="110" t="s">
        <v>1788</v>
      </c>
      <c r="AB106" s="110" t="s">
        <v>333</v>
      </c>
      <c r="AC106" s="110" t="s">
        <v>246</v>
      </c>
      <c r="AD106" s="110" t="s">
        <v>333</v>
      </c>
      <c r="AE106" s="110" t="s">
        <v>187</v>
      </c>
      <c r="AF106" s="110" t="s">
        <v>190</v>
      </c>
      <c r="AG106" s="110" t="s">
        <v>190</v>
      </c>
      <c r="AI106" s="110" t="s">
        <v>246</v>
      </c>
      <c r="AJ106" s="110" t="s">
        <v>246</v>
      </c>
      <c r="AK106" s="110" t="s">
        <v>902</v>
      </c>
      <c r="AL106" s="110" t="s">
        <v>1167</v>
      </c>
      <c r="AM106" s="110" t="s">
        <v>174</v>
      </c>
      <c r="AN106" s="110" t="s">
        <v>412</v>
      </c>
      <c r="AO106" s="110">
        <v>0.5</v>
      </c>
      <c r="AP106" s="110" t="s">
        <v>190</v>
      </c>
      <c r="AQ106" s="110" t="s">
        <v>176</v>
      </c>
      <c r="AR106" s="110">
        <v>2016</v>
      </c>
      <c r="AS106" s="110" t="s">
        <v>237</v>
      </c>
      <c r="AT106" s="110" t="s">
        <v>420</v>
      </c>
      <c r="AX106" s="110">
        <v>0</v>
      </c>
      <c r="BA106" s="110">
        <v>18.5</v>
      </c>
      <c r="BB106" s="110">
        <v>18.5</v>
      </c>
      <c r="BC106" s="110">
        <v>18.5</v>
      </c>
      <c r="BD106" s="110">
        <v>0</v>
      </c>
      <c r="BE106" s="110" t="s">
        <v>182</v>
      </c>
      <c r="BF106" s="110" t="s">
        <v>1903</v>
      </c>
      <c r="BH106" s="110" t="s">
        <v>190</v>
      </c>
      <c r="BI106" s="110" t="s">
        <v>182</v>
      </c>
      <c r="BJ106" s="110" t="s">
        <v>174</v>
      </c>
      <c r="BK106" s="110">
        <v>10</v>
      </c>
      <c r="BL106" s="110">
        <v>1</v>
      </c>
      <c r="BM106" s="110" t="s">
        <v>174</v>
      </c>
      <c r="BN106" s="110" t="s">
        <v>174</v>
      </c>
      <c r="BO106" s="110" t="s">
        <v>174</v>
      </c>
      <c r="BP106" s="110" t="s">
        <v>174</v>
      </c>
      <c r="BQ106" s="110" t="s">
        <v>174</v>
      </c>
      <c r="BR106" s="110" t="s">
        <v>174</v>
      </c>
      <c r="BS106" s="110">
        <v>14</v>
      </c>
      <c r="BT106" s="110" t="s">
        <v>2256</v>
      </c>
      <c r="BU106" s="110" t="s">
        <v>2606</v>
      </c>
      <c r="BV106" s="110" t="s">
        <v>2256</v>
      </c>
      <c r="CA106" s="110">
        <v>1.071428571</v>
      </c>
      <c r="CB106" s="110">
        <v>46.666666669999998</v>
      </c>
      <c r="CC106" s="110" t="b">
        <v>0</v>
      </c>
      <c r="CD106" s="110">
        <v>97.771820514162997</v>
      </c>
      <c r="CE106" s="110" t="s">
        <v>2256</v>
      </c>
      <c r="CF106" s="110" t="s">
        <v>2256</v>
      </c>
      <c r="CG106" s="110">
        <v>93.333333330000002</v>
      </c>
      <c r="CH106" s="110" t="s">
        <v>2470</v>
      </c>
    </row>
    <row r="107" spans="1:88">
      <c r="A107" s="110" t="s">
        <v>216</v>
      </c>
      <c r="B107" s="110">
        <v>19</v>
      </c>
      <c r="C107" s="110">
        <v>1</v>
      </c>
      <c r="D107" s="110">
        <v>4</v>
      </c>
      <c r="E107" s="110">
        <v>106</v>
      </c>
      <c r="F107" s="110">
        <v>2022</v>
      </c>
      <c r="G107" s="110" t="s">
        <v>187</v>
      </c>
      <c r="H107" s="110" t="s">
        <v>2436</v>
      </c>
      <c r="I107" s="110" t="s">
        <v>182</v>
      </c>
      <c r="J107" s="110" t="s">
        <v>182</v>
      </c>
      <c r="K107" s="110" t="s">
        <v>999</v>
      </c>
      <c r="L107" s="110" t="s">
        <v>999</v>
      </c>
      <c r="R107" s="110" t="s">
        <v>152</v>
      </c>
      <c r="S107" s="110" t="s">
        <v>443</v>
      </c>
      <c r="T107" s="110" t="s">
        <v>156</v>
      </c>
      <c r="U107" s="110" t="s">
        <v>159</v>
      </c>
      <c r="V107" s="110">
        <v>50.363069439999997</v>
      </c>
      <c r="W107" s="110">
        <v>50.363069439999997</v>
      </c>
      <c r="X107" s="110">
        <v>-4.15206389</v>
      </c>
      <c r="Y107" s="110" t="s">
        <v>160</v>
      </c>
      <c r="Z107" s="110" t="s">
        <v>155</v>
      </c>
      <c r="AA107" s="110" t="s">
        <v>1788</v>
      </c>
      <c r="AB107" s="110" t="s">
        <v>333</v>
      </c>
      <c r="AC107" s="110" t="s">
        <v>246</v>
      </c>
      <c r="AD107" s="110" t="s">
        <v>333</v>
      </c>
      <c r="AE107" s="110" t="s">
        <v>187</v>
      </c>
      <c r="AF107" s="110" t="s">
        <v>190</v>
      </c>
      <c r="AG107" s="110" t="s">
        <v>190</v>
      </c>
      <c r="AI107" s="110" t="s">
        <v>246</v>
      </c>
      <c r="AJ107" s="110" t="s">
        <v>246</v>
      </c>
      <c r="AK107" s="110" t="s">
        <v>902</v>
      </c>
      <c r="AL107" s="110" t="s">
        <v>1167</v>
      </c>
      <c r="AM107" s="110" t="s">
        <v>174</v>
      </c>
      <c r="AN107" s="110" t="s">
        <v>412</v>
      </c>
      <c r="AO107" s="110">
        <v>0.5</v>
      </c>
      <c r="AP107" s="110" t="s">
        <v>190</v>
      </c>
      <c r="AQ107" s="110" t="s">
        <v>176</v>
      </c>
      <c r="AR107" s="110">
        <v>2016</v>
      </c>
      <c r="AS107" s="110" t="s">
        <v>237</v>
      </c>
      <c r="AT107" s="110" t="s">
        <v>420</v>
      </c>
      <c r="AX107" s="110">
        <v>0</v>
      </c>
      <c r="BA107" s="110">
        <v>18.5</v>
      </c>
      <c r="BB107" s="110">
        <v>18.5</v>
      </c>
      <c r="BC107" s="110">
        <v>18.5</v>
      </c>
      <c r="BD107" s="110">
        <v>0</v>
      </c>
      <c r="BE107" s="110" t="s">
        <v>182</v>
      </c>
      <c r="BF107" s="110" t="s">
        <v>1903</v>
      </c>
      <c r="BH107" s="110" t="s">
        <v>190</v>
      </c>
      <c r="BI107" s="110" t="s">
        <v>182</v>
      </c>
      <c r="BJ107" s="110" t="s">
        <v>174</v>
      </c>
      <c r="BK107" s="110">
        <v>10</v>
      </c>
      <c r="BL107" s="110">
        <v>1</v>
      </c>
      <c r="BM107" s="110" t="s">
        <v>174</v>
      </c>
      <c r="BN107" s="110" t="s">
        <v>174</v>
      </c>
      <c r="BO107" s="110" t="s">
        <v>174</v>
      </c>
      <c r="BP107" s="110" t="s">
        <v>174</v>
      </c>
      <c r="BQ107" s="110" t="s">
        <v>174</v>
      </c>
      <c r="BR107" s="110" t="s">
        <v>174</v>
      </c>
      <c r="BS107" s="110">
        <v>14</v>
      </c>
      <c r="BT107" s="110" t="s">
        <v>2256</v>
      </c>
      <c r="BU107" s="110" t="s">
        <v>2606</v>
      </c>
      <c r="BV107" s="110" t="s">
        <v>2256</v>
      </c>
      <c r="CA107" s="110">
        <v>1.3571428569999999</v>
      </c>
      <c r="CB107" s="110">
        <v>36.842105259999997</v>
      </c>
      <c r="CC107" s="110" t="b">
        <v>0</v>
      </c>
      <c r="CD107" s="110">
        <v>82.204932195402804</v>
      </c>
      <c r="CE107" s="110" t="s">
        <v>2256</v>
      </c>
      <c r="CF107" s="110" t="s">
        <v>2256</v>
      </c>
      <c r="CG107" s="110">
        <v>73.684210530000001</v>
      </c>
      <c r="CH107" s="110" t="s">
        <v>2470</v>
      </c>
    </row>
    <row r="108" spans="1:88">
      <c r="A108" s="110" t="s">
        <v>216</v>
      </c>
      <c r="B108" s="110">
        <v>19</v>
      </c>
      <c r="C108" s="110">
        <v>1</v>
      </c>
      <c r="D108" s="110">
        <v>4</v>
      </c>
      <c r="E108" s="110">
        <v>107</v>
      </c>
      <c r="F108" s="110">
        <v>2022</v>
      </c>
      <c r="G108" s="110" t="s">
        <v>187</v>
      </c>
      <c r="H108" s="110" t="s">
        <v>2436</v>
      </c>
      <c r="I108" s="110" t="s">
        <v>182</v>
      </c>
      <c r="J108" s="110" t="s">
        <v>182</v>
      </c>
      <c r="K108" s="110" t="s">
        <v>999</v>
      </c>
      <c r="L108" s="110" t="s">
        <v>999</v>
      </c>
      <c r="R108" s="110" t="s">
        <v>152</v>
      </c>
      <c r="S108" s="110" t="s">
        <v>443</v>
      </c>
      <c r="T108" s="110" t="s">
        <v>156</v>
      </c>
      <c r="U108" s="110" t="s">
        <v>158</v>
      </c>
      <c r="V108" s="110">
        <v>50.363069439999997</v>
      </c>
      <c r="W108" s="110">
        <v>50.363069439999997</v>
      </c>
      <c r="X108" s="110">
        <v>-4.15206389</v>
      </c>
      <c r="Y108" s="110" t="s">
        <v>160</v>
      </c>
      <c r="Z108" s="110" t="s">
        <v>155</v>
      </c>
      <c r="AA108" s="110" t="s">
        <v>1788</v>
      </c>
      <c r="AB108" s="110" t="s">
        <v>333</v>
      </c>
      <c r="AC108" s="110" t="s">
        <v>246</v>
      </c>
      <c r="AD108" s="110" t="s">
        <v>333</v>
      </c>
      <c r="AE108" s="110" t="s">
        <v>187</v>
      </c>
      <c r="AF108" s="110" t="s">
        <v>190</v>
      </c>
      <c r="AG108" s="110" t="s">
        <v>190</v>
      </c>
      <c r="AI108" s="110" t="s">
        <v>246</v>
      </c>
      <c r="AJ108" s="110" t="s">
        <v>246</v>
      </c>
      <c r="AK108" s="110" t="s">
        <v>902</v>
      </c>
      <c r="AL108" s="110" t="s">
        <v>1167</v>
      </c>
      <c r="AM108" s="110" t="s">
        <v>174</v>
      </c>
      <c r="AN108" s="110" t="s">
        <v>412</v>
      </c>
      <c r="AO108" s="110">
        <v>0.5</v>
      </c>
      <c r="AP108" s="110" t="s">
        <v>190</v>
      </c>
      <c r="AQ108" s="110" t="s">
        <v>176</v>
      </c>
      <c r="AR108" s="110">
        <v>2016</v>
      </c>
      <c r="AS108" s="110" t="s">
        <v>237</v>
      </c>
      <c r="AT108" s="110" t="s">
        <v>420</v>
      </c>
      <c r="AX108" s="110">
        <v>0</v>
      </c>
      <c r="BA108" s="110">
        <v>21.5</v>
      </c>
      <c r="BB108" s="110">
        <v>21.5</v>
      </c>
      <c r="BC108" s="110">
        <v>21.5</v>
      </c>
      <c r="BD108" s="110">
        <v>0</v>
      </c>
      <c r="BE108" s="110" t="s">
        <v>182</v>
      </c>
      <c r="BF108" s="110" t="s">
        <v>1903</v>
      </c>
      <c r="BH108" s="110" t="s">
        <v>190</v>
      </c>
      <c r="BI108" s="110" t="s">
        <v>182</v>
      </c>
      <c r="BJ108" s="110" t="s">
        <v>174</v>
      </c>
      <c r="BK108" s="110">
        <v>10</v>
      </c>
      <c r="BL108" s="110">
        <v>1</v>
      </c>
      <c r="BM108" s="110" t="s">
        <v>174</v>
      </c>
      <c r="BN108" s="110" t="s">
        <v>174</v>
      </c>
      <c r="BO108" s="110" t="s">
        <v>174</v>
      </c>
      <c r="BP108" s="110" t="s">
        <v>174</v>
      </c>
      <c r="BQ108" s="110" t="s">
        <v>174</v>
      </c>
      <c r="BR108" s="110" t="s">
        <v>174</v>
      </c>
      <c r="BS108" s="110">
        <v>14</v>
      </c>
      <c r="BT108" s="110" t="s">
        <v>2256</v>
      </c>
      <c r="BU108" s="110" t="s">
        <v>2606</v>
      </c>
      <c r="BV108" s="110" t="s">
        <v>2256</v>
      </c>
      <c r="CA108" s="110">
        <v>1.428571429</v>
      </c>
      <c r="CB108" s="110">
        <v>35</v>
      </c>
      <c r="CC108" s="110" t="b">
        <v>0</v>
      </c>
      <c r="CD108" s="110">
        <v>100.269961778103</v>
      </c>
      <c r="CE108" s="110" t="s">
        <v>2256</v>
      </c>
      <c r="CF108" s="110" t="s">
        <v>2256</v>
      </c>
      <c r="CG108" s="110">
        <v>70</v>
      </c>
      <c r="CH108" s="110" t="s">
        <v>2470</v>
      </c>
    </row>
    <row r="109" spans="1:88">
      <c r="A109" s="110" t="s">
        <v>216</v>
      </c>
      <c r="B109" s="110">
        <v>19</v>
      </c>
      <c r="C109" s="110">
        <v>1</v>
      </c>
      <c r="D109" s="110">
        <v>4</v>
      </c>
      <c r="E109" s="110">
        <v>108</v>
      </c>
      <c r="F109" s="110">
        <v>2022</v>
      </c>
      <c r="G109" s="110" t="s">
        <v>187</v>
      </c>
      <c r="H109" s="110" t="s">
        <v>2436</v>
      </c>
      <c r="I109" s="110" t="s">
        <v>182</v>
      </c>
      <c r="J109" s="110" t="s">
        <v>182</v>
      </c>
      <c r="K109" s="110" t="s">
        <v>999</v>
      </c>
      <c r="L109" s="110" t="s">
        <v>999</v>
      </c>
      <c r="R109" s="110" t="s">
        <v>152</v>
      </c>
      <c r="S109" s="110" t="s">
        <v>443</v>
      </c>
      <c r="T109" s="110" t="s">
        <v>156</v>
      </c>
      <c r="U109" s="110" t="s">
        <v>159</v>
      </c>
      <c r="V109" s="110">
        <v>50.363069439999997</v>
      </c>
      <c r="W109" s="110">
        <v>50.363069439999997</v>
      </c>
      <c r="X109" s="110">
        <v>-4.15206389</v>
      </c>
      <c r="Y109" s="110" t="s">
        <v>160</v>
      </c>
      <c r="Z109" s="110" t="s">
        <v>155</v>
      </c>
      <c r="AA109" s="110" t="s">
        <v>1788</v>
      </c>
      <c r="AB109" s="110" t="s">
        <v>333</v>
      </c>
      <c r="AC109" s="110" t="s">
        <v>246</v>
      </c>
      <c r="AD109" s="110" t="s">
        <v>333</v>
      </c>
      <c r="AE109" s="110" t="s">
        <v>187</v>
      </c>
      <c r="AF109" s="110" t="s">
        <v>190</v>
      </c>
      <c r="AG109" s="110" t="s">
        <v>190</v>
      </c>
      <c r="AI109" s="110" t="s">
        <v>246</v>
      </c>
      <c r="AJ109" s="110" t="s">
        <v>246</v>
      </c>
      <c r="AK109" s="110" t="s">
        <v>902</v>
      </c>
      <c r="AL109" s="110" t="s">
        <v>1167</v>
      </c>
      <c r="AM109" s="110" t="s">
        <v>174</v>
      </c>
      <c r="AN109" s="110" t="s">
        <v>412</v>
      </c>
      <c r="AO109" s="110">
        <v>0.5</v>
      </c>
      <c r="AP109" s="110" t="s">
        <v>190</v>
      </c>
      <c r="AQ109" s="110" t="s">
        <v>176</v>
      </c>
      <c r="AR109" s="110">
        <v>2016</v>
      </c>
      <c r="AS109" s="110" t="s">
        <v>237</v>
      </c>
      <c r="AT109" s="110" t="s">
        <v>420</v>
      </c>
      <c r="AX109" s="110">
        <v>0</v>
      </c>
      <c r="BA109" s="110">
        <v>21.5</v>
      </c>
      <c r="BB109" s="110">
        <v>21.5</v>
      </c>
      <c r="BC109" s="110">
        <v>21.5</v>
      </c>
      <c r="BD109" s="110">
        <v>0</v>
      </c>
      <c r="BE109" s="110" t="s">
        <v>182</v>
      </c>
      <c r="BF109" s="110" t="s">
        <v>1903</v>
      </c>
      <c r="BH109" s="110" t="s">
        <v>190</v>
      </c>
      <c r="BI109" s="110" t="s">
        <v>182</v>
      </c>
      <c r="BJ109" s="110" t="s">
        <v>174</v>
      </c>
      <c r="BK109" s="110">
        <v>10</v>
      </c>
      <c r="BL109" s="110">
        <v>1</v>
      </c>
      <c r="BM109" s="110" t="s">
        <v>174</v>
      </c>
      <c r="BN109" s="110" t="s">
        <v>174</v>
      </c>
      <c r="BO109" s="110" t="s">
        <v>174</v>
      </c>
      <c r="BP109" s="110" t="s">
        <v>174</v>
      </c>
      <c r="BQ109" s="110" t="s">
        <v>174</v>
      </c>
      <c r="BR109" s="110" t="s">
        <v>174</v>
      </c>
      <c r="BS109" s="110">
        <v>14</v>
      </c>
      <c r="BT109" s="110" t="s">
        <v>2256</v>
      </c>
      <c r="BU109" s="110" t="s">
        <v>2606</v>
      </c>
      <c r="BV109" s="110" t="s">
        <v>2256</v>
      </c>
      <c r="CA109" s="110">
        <v>2.5</v>
      </c>
      <c r="CB109" s="110">
        <v>20</v>
      </c>
      <c r="CC109" s="110" t="b">
        <v>0</v>
      </c>
      <c r="CD109" s="110">
        <v>84.485679878527606</v>
      </c>
      <c r="CE109" s="110" t="s">
        <v>2256</v>
      </c>
      <c r="CF109" s="110" t="s">
        <v>2256</v>
      </c>
      <c r="CG109" s="110">
        <v>40</v>
      </c>
      <c r="CH109" s="110" t="s">
        <v>2470</v>
      </c>
    </row>
    <row r="110" spans="1:88">
      <c r="A110" s="110" t="s">
        <v>2095</v>
      </c>
      <c r="B110" s="110">
        <v>20</v>
      </c>
      <c r="C110" s="110">
        <v>3</v>
      </c>
      <c r="D110" s="110">
        <v>1</v>
      </c>
      <c r="E110" s="110">
        <v>109</v>
      </c>
      <c r="F110" s="110">
        <v>1981</v>
      </c>
      <c r="G110" s="110" t="s">
        <v>187</v>
      </c>
      <c r="H110" s="110" t="s">
        <v>2441</v>
      </c>
      <c r="I110" s="110" t="s">
        <v>246</v>
      </c>
      <c r="J110" s="110" t="s">
        <v>246</v>
      </c>
      <c r="K110" s="110" t="s">
        <v>184</v>
      </c>
      <c r="L110" s="110" t="s">
        <v>184</v>
      </c>
      <c r="M110" s="110" t="s">
        <v>3175</v>
      </c>
      <c r="P110" s="110" t="s">
        <v>3185</v>
      </c>
      <c r="R110" s="110" t="s">
        <v>152</v>
      </c>
      <c r="S110" s="110" t="s">
        <v>443</v>
      </c>
      <c r="T110" s="110" t="s">
        <v>156</v>
      </c>
      <c r="U110" s="110" t="s">
        <v>778</v>
      </c>
      <c r="V110" s="110">
        <v>33.986716520000002</v>
      </c>
      <c r="W110" s="110">
        <v>-33.986716520000002</v>
      </c>
      <c r="X110" s="110">
        <v>18.349413460000001</v>
      </c>
      <c r="Y110" s="110" t="s">
        <v>770</v>
      </c>
      <c r="Z110" s="110" t="s">
        <v>1721</v>
      </c>
      <c r="AA110" s="110" t="s">
        <v>1788</v>
      </c>
      <c r="AB110" s="110" t="s">
        <v>2107</v>
      </c>
      <c r="AC110" s="110" t="s">
        <v>182</v>
      </c>
      <c r="AD110" s="110" t="s">
        <v>182</v>
      </c>
      <c r="AE110" s="110" t="s">
        <v>187</v>
      </c>
      <c r="AF110" s="110" t="s">
        <v>190</v>
      </c>
      <c r="AI110" s="110" t="s">
        <v>246</v>
      </c>
      <c r="AJ110" s="110" t="s">
        <v>246</v>
      </c>
      <c r="AK110" s="110" t="s">
        <v>2108</v>
      </c>
      <c r="AL110" s="110" t="s">
        <v>724</v>
      </c>
      <c r="AN110" s="110" t="s">
        <v>2514</v>
      </c>
      <c r="AQ110" s="110" t="s">
        <v>176</v>
      </c>
      <c r="AU110" s="110">
        <v>0.5</v>
      </c>
      <c r="BA110" s="110">
        <v>10</v>
      </c>
      <c r="BB110" s="110">
        <v>10</v>
      </c>
      <c r="BC110" s="110">
        <v>10</v>
      </c>
      <c r="BD110" s="110">
        <v>0</v>
      </c>
      <c r="BE110" s="110" t="s">
        <v>182</v>
      </c>
      <c r="BF110" s="110" t="s">
        <v>1903</v>
      </c>
      <c r="BG110" s="110" t="s">
        <v>2036</v>
      </c>
      <c r="BI110" s="110" t="s">
        <v>246</v>
      </c>
      <c r="BK110" s="110">
        <v>1</v>
      </c>
      <c r="BL110" s="110">
        <v>9</v>
      </c>
      <c r="BS110" s="110">
        <v>30</v>
      </c>
      <c r="BT110" s="110" t="s">
        <v>1396</v>
      </c>
      <c r="BU110" s="110" t="s">
        <v>1396</v>
      </c>
      <c r="BV110" s="110" t="s">
        <v>1396</v>
      </c>
      <c r="BW110" s="110">
        <v>0.67600000000000005</v>
      </c>
      <c r="CA110" s="110">
        <v>1.016</v>
      </c>
      <c r="CB110" s="110">
        <v>49.21259843</v>
      </c>
      <c r="CC110" s="110" t="b">
        <v>0</v>
      </c>
      <c r="CD110" s="110">
        <v>70.935724553357517</v>
      </c>
      <c r="CE110" s="110" t="s">
        <v>2256</v>
      </c>
      <c r="CF110" s="110" t="s">
        <v>2256</v>
      </c>
      <c r="CG110" s="110">
        <v>98.425196850000006</v>
      </c>
      <c r="CH110" s="110" t="s">
        <v>561</v>
      </c>
      <c r="CI110" s="110" t="s">
        <v>2113</v>
      </c>
    </row>
    <row r="111" spans="1:88">
      <c r="A111" s="110" t="s">
        <v>2095</v>
      </c>
      <c r="B111" s="110">
        <v>20</v>
      </c>
      <c r="C111" s="110">
        <v>3</v>
      </c>
      <c r="D111" s="110">
        <v>1</v>
      </c>
      <c r="E111" s="110">
        <v>110</v>
      </c>
      <c r="F111" s="110">
        <v>1981</v>
      </c>
      <c r="G111" s="110" t="s">
        <v>187</v>
      </c>
      <c r="H111" s="110" t="s">
        <v>2441</v>
      </c>
      <c r="I111" s="110" t="s">
        <v>246</v>
      </c>
      <c r="J111" s="110" t="s">
        <v>246</v>
      </c>
      <c r="K111" s="110" t="s">
        <v>184</v>
      </c>
      <c r="L111" s="110" t="s">
        <v>184</v>
      </c>
      <c r="M111" s="110" t="s">
        <v>3175</v>
      </c>
      <c r="P111" s="110" t="s">
        <v>3185</v>
      </c>
      <c r="R111" s="110" t="s">
        <v>152</v>
      </c>
      <c r="S111" s="110" t="s">
        <v>443</v>
      </c>
      <c r="T111" s="110" t="s">
        <v>156</v>
      </c>
      <c r="U111" s="110" t="s">
        <v>778</v>
      </c>
      <c r="V111" s="110">
        <v>33.986716520000002</v>
      </c>
      <c r="W111" s="110">
        <v>-33.986716520000002</v>
      </c>
      <c r="X111" s="110">
        <v>18.349413460000001</v>
      </c>
      <c r="Y111" s="110" t="s">
        <v>770</v>
      </c>
      <c r="Z111" s="110" t="s">
        <v>1721</v>
      </c>
      <c r="AA111" s="110" t="s">
        <v>1788</v>
      </c>
      <c r="AB111" s="110" t="s">
        <v>2107</v>
      </c>
      <c r="AC111" s="110" t="s">
        <v>182</v>
      </c>
      <c r="AD111" s="110" t="s">
        <v>182</v>
      </c>
      <c r="AE111" s="110" t="s">
        <v>187</v>
      </c>
      <c r="AF111" s="110" t="s">
        <v>190</v>
      </c>
      <c r="AI111" s="110" t="s">
        <v>246</v>
      </c>
      <c r="AJ111" s="110" t="s">
        <v>246</v>
      </c>
      <c r="AK111" s="110" t="s">
        <v>2108</v>
      </c>
      <c r="AL111" s="110" t="s">
        <v>2109</v>
      </c>
      <c r="AN111" s="110" t="s">
        <v>412</v>
      </c>
      <c r="AQ111" s="110" t="s">
        <v>176</v>
      </c>
      <c r="AU111" s="110">
        <v>0.5</v>
      </c>
      <c r="BA111" s="110">
        <v>10</v>
      </c>
      <c r="BB111" s="110">
        <v>10</v>
      </c>
      <c r="BC111" s="110">
        <v>10</v>
      </c>
      <c r="BD111" s="110">
        <v>0</v>
      </c>
      <c r="BE111" s="110" t="s">
        <v>182</v>
      </c>
      <c r="BF111" s="110" t="s">
        <v>1903</v>
      </c>
      <c r="BG111" s="110" t="s">
        <v>2036</v>
      </c>
      <c r="BI111" s="110" t="s">
        <v>246</v>
      </c>
      <c r="BK111" s="110">
        <v>1</v>
      </c>
      <c r="BL111" s="110">
        <v>9</v>
      </c>
      <c r="BS111" s="110">
        <v>30</v>
      </c>
      <c r="BT111" s="110" t="s">
        <v>2347</v>
      </c>
      <c r="BU111" s="110" t="s">
        <v>1394</v>
      </c>
      <c r="BV111" s="110" t="s">
        <v>2603</v>
      </c>
      <c r="BW111" s="110">
        <v>0.97</v>
      </c>
      <c r="BZ111" s="110">
        <v>8.6900000000000005E-2</v>
      </c>
      <c r="CB111" s="110">
        <v>7.976377222</v>
      </c>
      <c r="CC111" s="110" t="b">
        <v>0</v>
      </c>
      <c r="CD111" s="110">
        <v>0</v>
      </c>
      <c r="CE111" s="110" t="s">
        <v>2256</v>
      </c>
      <c r="CF111" s="110" t="s">
        <v>2256</v>
      </c>
      <c r="CH111" s="110" t="s">
        <v>561</v>
      </c>
      <c r="CI111" s="110" t="s">
        <v>2113</v>
      </c>
    </row>
    <row r="112" spans="1:88">
      <c r="A112" s="110" t="s">
        <v>683</v>
      </c>
      <c r="B112" s="110">
        <v>21</v>
      </c>
      <c r="C112" s="110">
        <v>3</v>
      </c>
      <c r="D112" s="110">
        <v>1</v>
      </c>
      <c r="E112" s="110">
        <v>111</v>
      </c>
      <c r="F112" s="110">
        <v>1983</v>
      </c>
      <c r="G112" s="110" t="s">
        <v>187</v>
      </c>
      <c r="H112" s="110" t="s">
        <v>1219</v>
      </c>
      <c r="I112" s="110" t="s">
        <v>182</v>
      </c>
      <c r="J112" s="110" t="s">
        <v>246</v>
      </c>
      <c r="K112" s="110" t="s">
        <v>999</v>
      </c>
      <c r="L112" s="110" t="s">
        <v>999</v>
      </c>
      <c r="R112" s="110" t="s">
        <v>1976</v>
      </c>
      <c r="S112" s="110" t="s">
        <v>444</v>
      </c>
      <c r="T112" s="110" t="s">
        <v>448</v>
      </c>
      <c r="U112" s="110" t="s">
        <v>799</v>
      </c>
      <c r="V112" s="110">
        <v>32.583581770000002</v>
      </c>
      <c r="W112" s="110">
        <v>-32.583581770000002</v>
      </c>
      <c r="X112" s="110">
        <v>115.66754400000001</v>
      </c>
      <c r="Y112" s="110" t="s">
        <v>349</v>
      </c>
      <c r="Z112" s="110" t="s">
        <v>802</v>
      </c>
      <c r="AA112" s="110" t="s">
        <v>1788</v>
      </c>
      <c r="AB112" s="110" t="s">
        <v>333</v>
      </c>
      <c r="AC112" s="110" t="s">
        <v>246</v>
      </c>
      <c r="AD112" s="110" t="s">
        <v>1256</v>
      </c>
      <c r="AE112" s="110" t="s">
        <v>187</v>
      </c>
      <c r="AF112" s="110" t="s">
        <v>190</v>
      </c>
      <c r="AG112" s="110" t="s">
        <v>190</v>
      </c>
      <c r="AI112" s="110" t="s">
        <v>246</v>
      </c>
      <c r="AJ112" s="110" t="s">
        <v>246</v>
      </c>
      <c r="AK112" s="110" t="s">
        <v>882</v>
      </c>
      <c r="AL112" s="110" t="s">
        <v>1242</v>
      </c>
      <c r="AM112" s="110">
        <v>150</v>
      </c>
      <c r="AN112" s="110" t="s">
        <v>412</v>
      </c>
      <c r="AO112" s="110">
        <v>5.3E-3</v>
      </c>
      <c r="AP112" s="110" t="s">
        <v>190</v>
      </c>
      <c r="AQ112" s="110" t="s">
        <v>175</v>
      </c>
      <c r="AR112" s="110">
        <v>1979</v>
      </c>
      <c r="AS112" s="110" t="s">
        <v>880</v>
      </c>
      <c r="AT112" s="110" t="s">
        <v>298</v>
      </c>
      <c r="AU112" s="110">
        <v>10</v>
      </c>
      <c r="AW112" s="110">
        <v>11.1</v>
      </c>
      <c r="AX112" s="110" t="s">
        <v>174</v>
      </c>
      <c r="AY112" s="110" t="s">
        <v>174</v>
      </c>
      <c r="AZ112" s="110" t="s">
        <v>174</v>
      </c>
      <c r="BA112" s="110">
        <v>25</v>
      </c>
      <c r="BB112" s="110">
        <v>25</v>
      </c>
      <c r="BC112" s="110">
        <v>25</v>
      </c>
      <c r="BD112" s="110">
        <v>0</v>
      </c>
      <c r="BE112" s="110" t="s">
        <v>246</v>
      </c>
      <c r="BF112" s="110" t="s">
        <v>188</v>
      </c>
      <c r="BG112" s="110">
        <v>0</v>
      </c>
      <c r="BH112" s="110" t="s">
        <v>174</v>
      </c>
      <c r="BI112" s="110" t="s">
        <v>246</v>
      </c>
      <c r="BJ112" s="110" t="s">
        <v>881</v>
      </c>
      <c r="BK112" s="110">
        <v>5</v>
      </c>
      <c r="BL112" s="110">
        <v>14</v>
      </c>
      <c r="BM112" s="110" t="s">
        <v>1704</v>
      </c>
      <c r="BN112" s="110" t="s">
        <v>174</v>
      </c>
      <c r="BO112" s="110">
        <v>0.3095</v>
      </c>
      <c r="BP112" s="110" t="s">
        <v>174</v>
      </c>
      <c r="BQ112" s="110" t="s">
        <v>174</v>
      </c>
      <c r="BR112" s="110" t="s">
        <v>174</v>
      </c>
      <c r="BS112" s="110">
        <v>357</v>
      </c>
      <c r="BT112" s="110" t="s">
        <v>1385</v>
      </c>
      <c r="BU112" s="110" t="s">
        <v>3207</v>
      </c>
      <c r="BV112" s="110" t="s">
        <v>2603</v>
      </c>
      <c r="BW112" s="110">
        <v>0.98</v>
      </c>
      <c r="BZ112" s="110">
        <v>1.18E-2</v>
      </c>
      <c r="CB112" s="110">
        <v>82.44</v>
      </c>
      <c r="CC112" s="110" t="b">
        <v>0</v>
      </c>
      <c r="CD112" s="110">
        <v>18.600000000000001</v>
      </c>
      <c r="CE112" s="110">
        <v>18.600000000000001</v>
      </c>
      <c r="CF112" s="110" t="s">
        <v>182</v>
      </c>
      <c r="CG112" s="110" t="s">
        <v>174</v>
      </c>
      <c r="CH112" s="110" t="s">
        <v>10</v>
      </c>
      <c r="CI112" s="110" t="s">
        <v>883</v>
      </c>
      <c r="CJ112" s="110" t="s">
        <v>885</v>
      </c>
    </row>
    <row r="113" spans="1:88">
      <c r="A113" s="110" t="s">
        <v>683</v>
      </c>
      <c r="B113" s="110">
        <v>21</v>
      </c>
      <c r="C113" s="110">
        <v>3</v>
      </c>
      <c r="D113" s="110">
        <v>2</v>
      </c>
      <c r="E113" s="110">
        <v>112</v>
      </c>
      <c r="F113" s="110">
        <v>1983</v>
      </c>
      <c r="G113" s="110" t="s">
        <v>187</v>
      </c>
      <c r="H113" s="110" t="s">
        <v>1219</v>
      </c>
      <c r="I113" s="110" t="s">
        <v>182</v>
      </c>
      <c r="J113" s="110" t="s">
        <v>246</v>
      </c>
      <c r="K113" s="110" t="s">
        <v>999</v>
      </c>
      <c r="L113" s="110" t="s">
        <v>999</v>
      </c>
      <c r="R113" s="110" t="s">
        <v>1976</v>
      </c>
      <c r="S113" s="110" t="s">
        <v>444</v>
      </c>
      <c r="T113" s="110" t="s">
        <v>448</v>
      </c>
      <c r="U113" s="110" t="s">
        <v>799</v>
      </c>
      <c r="V113" s="110">
        <v>32.583581770000002</v>
      </c>
      <c r="W113" s="110">
        <v>-32.583581770000002</v>
      </c>
      <c r="X113" s="110">
        <v>115.66754400000001</v>
      </c>
      <c r="Y113" s="110" t="s">
        <v>349</v>
      </c>
      <c r="Z113" s="110" t="s">
        <v>802</v>
      </c>
      <c r="AA113" s="110" t="s">
        <v>1788</v>
      </c>
      <c r="AB113" s="110" t="s">
        <v>333</v>
      </c>
      <c r="AC113" s="110" t="s">
        <v>246</v>
      </c>
      <c r="AD113" s="110" t="s">
        <v>1256</v>
      </c>
      <c r="AE113" s="110" t="s">
        <v>187</v>
      </c>
      <c r="AF113" s="110" t="s">
        <v>190</v>
      </c>
      <c r="AG113" s="110" t="s">
        <v>190</v>
      </c>
      <c r="AI113" s="110" t="s">
        <v>246</v>
      </c>
      <c r="AJ113" s="110" t="s">
        <v>246</v>
      </c>
      <c r="AK113" s="110" t="s">
        <v>882</v>
      </c>
      <c r="AL113" s="110" t="s">
        <v>1242</v>
      </c>
      <c r="AM113" s="110">
        <v>150</v>
      </c>
      <c r="AN113" s="110" t="s">
        <v>412</v>
      </c>
      <c r="AO113" s="110">
        <v>5.3E-3</v>
      </c>
      <c r="AP113" s="110" t="s">
        <v>190</v>
      </c>
      <c r="AQ113" s="110" t="s">
        <v>175</v>
      </c>
      <c r="AR113" s="110">
        <v>1979</v>
      </c>
      <c r="AS113" s="110" t="s">
        <v>670</v>
      </c>
      <c r="AT113" s="110" t="s">
        <v>420</v>
      </c>
      <c r="AU113" s="110">
        <v>10</v>
      </c>
      <c r="AW113" s="110">
        <v>13.5</v>
      </c>
      <c r="AX113" s="110" t="s">
        <v>174</v>
      </c>
      <c r="AY113" s="110" t="s">
        <v>174</v>
      </c>
      <c r="AZ113" s="110" t="s">
        <v>174</v>
      </c>
      <c r="BA113" s="110">
        <v>25</v>
      </c>
      <c r="BB113" s="110">
        <v>25</v>
      </c>
      <c r="BC113" s="110">
        <v>25</v>
      </c>
      <c r="BD113" s="110">
        <v>0</v>
      </c>
      <c r="BE113" s="110" t="s">
        <v>246</v>
      </c>
      <c r="BF113" s="110" t="s">
        <v>188</v>
      </c>
      <c r="BG113" s="110">
        <v>0</v>
      </c>
      <c r="BH113" s="110" t="s">
        <v>174</v>
      </c>
      <c r="BI113" s="110" t="s">
        <v>246</v>
      </c>
      <c r="BJ113" s="110" t="s">
        <v>881</v>
      </c>
      <c r="BK113" s="110">
        <v>5</v>
      </c>
      <c r="BL113" s="110">
        <v>4</v>
      </c>
      <c r="BM113" s="110" t="s">
        <v>1396</v>
      </c>
      <c r="BN113" s="110" t="s">
        <v>174</v>
      </c>
      <c r="BO113" s="110">
        <v>0.56899999999999995</v>
      </c>
      <c r="BP113" s="110" t="s">
        <v>174</v>
      </c>
      <c r="BQ113" s="110" t="s">
        <v>174</v>
      </c>
      <c r="BR113" s="110" t="s">
        <v>174</v>
      </c>
      <c r="BS113" s="110">
        <v>78</v>
      </c>
      <c r="BT113" s="110" t="s">
        <v>1396</v>
      </c>
      <c r="BU113" s="110" t="s">
        <v>1396</v>
      </c>
      <c r="BV113" s="110" t="s">
        <v>1396</v>
      </c>
      <c r="BW113" s="110">
        <v>0.97</v>
      </c>
      <c r="CA113" s="110">
        <v>0.57330000000000003</v>
      </c>
      <c r="CB113" s="110">
        <v>87.214372929999996</v>
      </c>
      <c r="CC113" s="110" t="b">
        <v>0</v>
      </c>
      <c r="CD113" s="110">
        <v>56.1</v>
      </c>
      <c r="CE113" s="110">
        <v>0</v>
      </c>
      <c r="CF113" s="110" t="s">
        <v>246</v>
      </c>
      <c r="CG113" s="110">
        <v>174.4287459</v>
      </c>
      <c r="CH113" s="110" t="s">
        <v>10</v>
      </c>
      <c r="CI113" s="110" t="s">
        <v>883</v>
      </c>
      <c r="CJ113" s="110" t="s">
        <v>885</v>
      </c>
    </row>
    <row r="114" spans="1:88">
      <c r="A114" s="110" t="s">
        <v>683</v>
      </c>
      <c r="B114" s="110">
        <v>21</v>
      </c>
      <c r="C114" s="110">
        <v>3</v>
      </c>
      <c r="D114" s="110">
        <v>3</v>
      </c>
      <c r="E114" s="110">
        <v>113</v>
      </c>
      <c r="F114" s="110">
        <v>1983</v>
      </c>
      <c r="G114" s="110" t="s">
        <v>187</v>
      </c>
      <c r="H114" s="110" t="s">
        <v>1219</v>
      </c>
      <c r="I114" s="110" t="s">
        <v>182</v>
      </c>
      <c r="J114" s="110" t="s">
        <v>246</v>
      </c>
      <c r="K114" s="110" t="s">
        <v>999</v>
      </c>
      <c r="L114" s="110" t="s">
        <v>999</v>
      </c>
      <c r="R114" s="110" t="s">
        <v>1976</v>
      </c>
      <c r="S114" s="110" t="s">
        <v>444</v>
      </c>
      <c r="T114" s="110" t="s">
        <v>448</v>
      </c>
      <c r="U114" s="110" t="s">
        <v>799</v>
      </c>
      <c r="V114" s="110">
        <v>32.583581770000002</v>
      </c>
      <c r="W114" s="110">
        <v>-32.583581770000002</v>
      </c>
      <c r="X114" s="110">
        <v>115.66754400000001</v>
      </c>
      <c r="Y114" s="110" t="s">
        <v>349</v>
      </c>
      <c r="Z114" s="110" t="s">
        <v>802</v>
      </c>
      <c r="AA114" s="110" t="s">
        <v>1788</v>
      </c>
      <c r="AB114" s="110" t="s">
        <v>333</v>
      </c>
      <c r="AC114" s="110" t="s">
        <v>246</v>
      </c>
      <c r="AD114" s="110" t="s">
        <v>1256</v>
      </c>
      <c r="AE114" s="110" t="s">
        <v>187</v>
      </c>
      <c r="AF114" s="110" t="s">
        <v>190</v>
      </c>
      <c r="AG114" s="110" t="s">
        <v>190</v>
      </c>
      <c r="AI114" s="110" t="s">
        <v>246</v>
      </c>
      <c r="AJ114" s="110" t="s">
        <v>246</v>
      </c>
      <c r="AK114" s="110" t="s">
        <v>882</v>
      </c>
      <c r="AL114" s="110" t="s">
        <v>1242</v>
      </c>
      <c r="AM114" s="110">
        <v>150</v>
      </c>
      <c r="AN114" s="110" t="s">
        <v>412</v>
      </c>
      <c r="AO114" s="110">
        <v>5.3E-3</v>
      </c>
      <c r="AP114" s="110" t="s">
        <v>190</v>
      </c>
      <c r="AQ114" s="110" t="s">
        <v>175</v>
      </c>
      <c r="AR114" s="110">
        <v>1980</v>
      </c>
      <c r="AS114" s="110" t="s">
        <v>327</v>
      </c>
      <c r="AT114" s="110" t="s">
        <v>420</v>
      </c>
      <c r="AU114" s="110">
        <v>10</v>
      </c>
      <c r="AW114" s="110">
        <v>11.8</v>
      </c>
      <c r="AX114" s="110" t="s">
        <v>174</v>
      </c>
      <c r="AY114" s="110" t="s">
        <v>174</v>
      </c>
      <c r="AZ114" s="110" t="s">
        <v>174</v>
      </c>
      <c r="BA114" s="110">
        <v>25</v>
      </c>
      <c r="BB114" s="110">
        <v>25</v>
      </c>
      <c r="BC114" s="110">
        <v>25</v>
      </c>
      <c r="BD114" s="110">
        <v>0</v>
      </c>
      <c r="BE114" s="110" t="s">
        <v>246</v>
      </c>
      <c r="BF114" s="110" t="s">
        <v>188</v>
      </c>
      <c r="BG114" s="110">
        <v>0</v>
      </c>
      <c r="BH114" s="110" t="s">
        <v>174</v>
      </c>
      <c r="BI114" s="110" t="s">
        <v>246</v>
      </c>
      <c r="BJ114" s="110" t="s">
        <v>881</v>
      </c>
      <c r="BK114" s="110">
        <v>5</v>
      </c>
      <c r="BL114" s="110">
        <v>3</v>
      </c>
      <c r="BM114" s="110" t="s">
        <v>1396</v>
      </c>
      <c r="BN114" s="110" t="s">
        <v>174</v>
      </c>
      <c r="BO114" s="110">
        <v>0.36699999999999999</v>
      </c>
      <c r="BP114" s="110" t="s">
        <v>174</v>
      </c>
      <c r="BQ114" s="110" t="s">
        <v>174</v>
      </c>
      <c r="BR114" s="110" t="s">
        <v>174</v>
      </c>
      <c r="BS114" s="110">
        <v>57</v>
      </c>
      <c r="BT114" s="110" t="s">
        <v>1396</v>
      </c>
      <c r="BU114" s="110" t="s">
        <v>1396</v>
      </c>
      <c r="BV114" s="110" t="s">
        <v>1396</v>
      </c>
      <c r="BW114" s="110">
        <v>0.95</v>
      </c>
      <c r="CA114" s="110">
        <v>0.3644</v>
      </c>
      <c r="CB114" s="110">
        <v>137.21185510000001</v>
      </c>
      <c r="CC114" s="110" t="b">
        <v>0</v>
      </c>
      <c r="CD114" s="110">
        <v>80.400000000000006</v>
      </c>
      <c r="CE114" s="110">
        <v>0</v>
      </c>
      <c r="CF114" s="110" t="s">
        <v>246</v>
      </c>
      <c r="CG114" s="110">
        <v>274.42371020000002</v>
      </c>
      <c r="CH114" s="110" t="s">
        <v>10</v>
      </c>
      <c r="CI114" s="110" t="s">
        <v>883</v>
      </c>
      <c r="CJ114" s="110" t="s">
        <v>885</v>
      </c>
    </row>
    <row r="115" spans="1:88">
      <c r="A115" s="110" t="s">
        <v>683</v>
      </c>
      <c r="B115" s="110">
        <v>21</v>
      </c>
      <c r="C115" s="110">
        <v>3</v>
      </c>
      <c r="D115" s="110">
        <v>4</v>
      </c>
      <c r="E115" s="110">
        <v>114</v>
      </c>
      <c r="F115" s="110">
        <v>1983</v>
      </c>
      <c r="G115" s="110" t="s">
        <v>187</v>
      </c>
      <c r="H115" s="110" t="s">
        <v>1219</v>
      </c>
      <c r="I115" s="110" t="s">
        <v>182</v>
      </c>
      <c r="J115" s="110" t="s">
        <v>246</v>
      </c>
      <c r="K115" s="110" t="s">
        <v>999</v>
      </c>
      <c r="L115" s="110" t="s">
        <v>999</v>
      </c>
      <c r="R115" s="110" t="s">
        <v>1976</v>
      </c>
      <c r="S115" s="110" t="s">
        <v>444</v>
      </c>
      <c r="T115" s="110" t="s">
        <v>448</v>
      </c>
      <c r="U115" s="110" t="s">
        <v>799</v>
      </c>
      <c r="V115" s="110">
        <v>32.583581770000002</v>
      </c>
      <c r="W115" s="110">
        <v>-32.583581770000002</v>
      </c>
      <c r="X115" s="110">
        <v>115.66754400000001</v>
      </c>
      <c r="Y115" s="110" t="s">
        <v>349</v>
      </c>
      <c r="Z115" s="110" t="s">
        <v>802</v>
      </c>
      <c r="AA115" s="110" t="s">
        <v>1788</v>
      </c>
      <c r="AB115" s="110" t="s">
        <v>333</v>
      </c>
      <c r="AC115" s="110" t="s">
        <v>246</v>
      </c>
      <c r="AD115" s="110" t="s">
        <v>1256</v>
      </c>
      <c r="AE115" s="110" t="s">
        <v>187</v>
      </c>
      <c r="AF115" s="110" t="s">
        <v>190</v>
      </c>
      <c r="AG115" s="110" t="s">
        <v>190</v>
      </c>
      <c r="AI115" s="110" t="s">
        <v>246</v>
      </c>
      <c r="AJ115" s="110" t="s">
        <v>246</v>
      </c>
      <c r="AK115" s="110" t="s">
        <v>882</v>
      </c>
      <c r="AL115" s="110" t="s">
        <v>1242</v>
      </c>
      <c r="AM115" s="110">
        <v>150</v>
      </c>
      <c r="AN115" s="110" t="s">
        <v>412</v>
      </c>
      <c r="AO115" s="110">
        <v>5.3E-3</v>
      </c>
      <c r="AP115" s="110" t="s">
        <v>190</v>
      </c>
      <c r="AQ115" s="110" t="s">
        <v>175</v>
      </c>
      <c r="AR115" s="110">
        <v>1980</v>
      </c>
      <c r="AS115" s="110" t="s">
        <v>384</v>
      </c>
      <c r="AT115" s="110" t="s">
        <v>420</v>
      </c>
      <c r="AU115" s="110">
        <v>10</v>
      </c>
      <c r="AW115" s="110">
        <v>14.7</v>
      </c>
      <c r="AX115" s="110" t="s">
        <v>174</v>
      </c>
      <c r="AY115" s="110" t="s">
        <v>174</v>
      </c>
      <c r="AZ115" s="110" t="s">
        <v>174</v>
      </c>
      <c r="BA115" s="110">
        <v>25</v>
      </c>
      <c r="BB115" s="110">
        <v>25</v>
      </c>
      <c r="BC115" s="110">
        <v>25</v>
      </c>
      <c r="BD115" s="110">
        <v>0</v>
      </c>
      <c r="BE115" s="110" t="s">
        <v>246</v>
      </c>
      <c r="BF115" s="110" t="s">
        <v>188</v>
      </c>
      <c r="BG115" s="110">
        <v>0</v>
      </c>
      <c r="BH115" s="110" t="s">
        <v>174</v>
      </c>
      <c r="BI115" s="110" t="s">
        <v>246</v>
      </c>
      <c r="BJ115" s="110" t="s">
        <v>881</v>
      </c>
      <c r="BK115" s="110">
        <v>5</v>
      </c>
      <c r="BL115" s="110">
        <v>1</v>
      </c>
      <c r="BM115" s="110" t="s">
        <v>1396</v>
      </c>
      <c r="BN115" s="110" t="s">
        <v>174</v>
      </c>
      <c r="BO115" s="110">
        <v>0.314</v>
      </c>
      <c r="BP115" s="110" t="s">
        <v>174</v>
      </c>
      <c r="BQ115" s="110" t="s">
        <v>174</v>
      </c>
      <c r="BR115" s="110" t="s">
        <v>174</v>
      </c>
      <c r="BS115" s="110">
        <v>27</v>
      </c>
      <c r="BT115" s="110" t="s">
        <v>2256</v>
      </c>
      <c r="BU115" s="110" t="s">
        <v>2606</v>
      </c>
      <c r="BV115" s="110" t="s">
        <v>2256</v>
      </c>
      <c r="CA115" s="110">
        <v>0.3296</v>
      </c>
      <c r="CB115" s="110">
        <v>151.69902909999999</v>
      </c>
      <c r="CC115" s="110" t="b">
        <v>0</v>
      </c>
      <c r="CD115" s="110">
        <v>91.1</v>
      </c>
      <c r="CE115" s="110" t="s">
        <v>2256</v>
      </c>
      <c r="CF115" s="110" t="s">
        <v>2256</v>
      </c>
      <c r="CG115" s="110">
        <v>303.3980583</v>
      </c>
      <c r="CH115" s="110" t="s">
        <v>10</v>
      </c>
      <c r="CI115" s="110" t="s">
        <v>883</v>
      </c>
      <c r="CJ115" s="110" t="s">
        <v>885</v>
      </c>
    </row>
    <row r="116" spans="1:88">
      <c r="A116" s="110" t="s">
        <v>325</v>
      </c>
      <c r="B116" s="110">
        <v>22</v>
      </c>
      <c r="C116" s="110">
        <v>1</v>
      </c>
      <c r="D116" s="110">
        <v>1</v>
      </c>
      <c r="E116" s="110">
        <v>115</v>
      </c>
      <c r="F116" s="110">
        <v>2021</v>
      </c>
      <c r="G116" s="110" t="s">
        <v>187</v>
      </c>
      <c r="H116" s="110" t="s">
        <v>1119</v>
      </c>
      <c r="I116" s="110" t="s">
        <v>182</v>
      </c>
      <c r="J116" s="110" t="s">
        <v>182</v>
      </c>
      <c r="K116" s="110" t="s">
        <v>186</v>
      </c>
      <c r="L116" s="110" t="s">
        <v>186</v>
      </c>
      <c r="M116" s="110" t="s">
        <v>3173</v>
      </c>
      <c r="N116" s="110" t="s">
        <v>3156</v>
      </c>
      <c r="O116" s="110">
        <v>1</v>
      </c>
      <c r="Q116" s="110">
        <v>0.7</v>
      </c>
      <c r="R116" s="110" t="s">
        <v>152</v>
      </c>
      <c r="S116" s="110" t="s">
        <v>443</v>
      </c>
      <c r="T116" s="110" t="s">
        <v>154</v>
      </c>
      <c r="U116" s="110" t="s">
        <v>326</v>
      </c>
      <c r="V116" s="110">
        <v>37.043401850000002</v>
      </c>
      <c r="W116" s="110">
        <v>37.043401850000002</v>
      </c>
      <c r="X116" s="110">
        <v>122.56745979999999</v>
      </c>
      <c r="Y116" s="110" t="s">
        <v>185</v>
      </c>
      <c r="Z116" s="110" t="s">
        <v>380</v>
      </c>
      <c r="AA116" s="110" t="s">
        <v>1788</v>
      </c>
      <c r="AB116" s="110" t="s">
        <v>1216</v>
      </c>
      <c r="AC116" s="110" t="s">
        <v>182</v>
      </c>
      <c r="AD116" s="110" t="s">
        <v>333</v>
      </c>
      <c r="AE116" s="110" t="s">
        <v>187</v>
      </c>
      <c r="AF116" s="110" t="s">
        <v>190</v>
      </c>
      <c r="AG116" s="110" t="s">
        <v>190</v>
      </c>
      <c r="AI116" s="110" t="s">
        <v>246</v>
      </c>
      <c r="AJ116" s="110" t="s">
        <v>246</v>
      </c>
      <c r="AK116" s="110" t="s">
        <v>329</v>
      </c>
      <c r="AL116" s="110" t="s">
        <v>723</v>
      </c>
      <c r="AM116" s="110">
        <v>1500</v>
      </c>
      <c r="AN116" s="110" t="s">
        <v>1216</v>
      </c>
      <c r="AP116" s="110">
        <v>7</v>
      </c>
      <c r="AQ116" s="110" t="s">
        <v>175</v>
      </c>
      <c r="AR116" s="110" t="s">
        <v>174</v>
      </c>
      <c r="AS116" s="110" t="s">
        <v>327</v>
      </c>
      <c r="AT116" s="110" t="s">
        <v>385</v>
      </c>
      <c r="AU116" s="110" t="s">
        <v>190</v>
      </c>
      <c r="AW116" s="110" t="s">
        <v>174</v>
      </c>
      <c r="AX116" s="110" t="s">
        <v>174</v>
      </c>
      <c r="AY116" s="110" t="s">
        <v>174</v>
      </c>
      <c r="AZ116" s="110" t="s">
        <v>174</v>
      </c>
      <c r="BA116" s="110">
        <v>4</v>
      </c>
      <c r="BB116" s="110">
        <v>4</v>
      </c>
      <c r="BC116" s="110">
        <v>4</v>
      </c>
      <c r="BD116" s="110">
        <v>0</v>
      </c>
      <c r="BE116" s="110" t="s">
        <v>246</v>
      </c>
      <c r="BF116" s="110" t="s">
        <v>188</v>
      </c>
      <c r="BG116" s="110">
        <v>0</v>
      </c>
      <c r="BI116" s="110" t="s">
        <v>246</v>
      </c>
      <c r="BJ116" s="110" t="s">
        <v>330</v>
      </c>
      <c r="BK116" s="110">
        <v>6</v>
      </c>
      <c r="BL116" s="110">
        <v>7</v>
      </c>
      <c r="BM116" s="110" t="s">
        <v>1385</v>
      </c>
      <c r="BN116" s="110">
        <v>0.04</v>
      </c>
      <c r="BO116" s="110" t="s">
        <v>174</v>
      </c>
      <c r="BP116" s="110">
        <v>15.8</v>
      </c>
      <c r="BQ116" s="110">
        <v>37.299999999999997</v>
      </c>
      <c r="BR116" s="110" t="s">
        <v>174</v>
      </c>
      <c r="BS116" s="110">
        <v>150</v>
      </c>
      <c r="BT116" s="110" t="s">
        <v>1385</v>
      </c>
      <c r="BU116" s="110" t="s">
        <v>3207</v>
      </c>
      <c r="BV116" s="110" t="s">
        <v>2603</v>
      </c>
      <c r="BW116" s="110">
        <v>0.95</v>
      </c>
      <c r="BZ116" s="110">
        <v>3.3099999999999997E-2</v>
      </c>
      <c r="CB116" s="110">
        <v>49.61</v>
      </c>
      <c r="CC116" s="110" t="b">
        <v>0</v>
      </c>
      <c r="CD116" s="110">
        <v>37.1</v>
      </c>
      <c r="CE116" s="110">
        <v>37.1</v>
      </c>
      <c r="CF116" s="110" t="s">
        <v>182</v>
      </c>
      <c r="CG116" s="110" t="s">
        <v>174</v>
      </c>
      <c r="CH116" s="110" t="s">
        <v>243</v>
      </c>
      <c r="CI116" s="110" t="s">
        <v>287</v>
      </c>
      <c r="CJ116" s="110" t="s">
        <v>331</v>
      </c>
    </row>
    <row r="117" spans="1:88">
      <c r="A117" s="110" t="s">
        <v>325</v>
      </c>
      <c r="B117" s="110">
        <v>22</v>
      </c>
      <c r="C117" s="110">
        <v>1</v>
      </c>
      <c r="D117" s="110">
        <v>1</v>
      </c>
      <c r="E117" s="110">
        <v>116</v>
      </c>
      <c r="F117" s="110">
        <v>2021</v>
      </c>
      <c r="G117" s="110" t="s">
        <v>187</v>
      </c>
      <c r="H117" s="110" t="s">
        <v>1119</v>
      </c>
      <c r="I117" s="110" t="s">
        <v>182</v>
      </c>
      <c r="J117" s="110" t="s">
        <v>182</v>
      </c>
      <c r="K117" s="110" t="s">
        <v>186</v>
      </c>
      <c r="L117" s="110" t="s">
        <v>186</v>
      </c>
      <c r="M117" s="110" t="s">
        <v>3173</v>
      </c>
      <c r="N117" s="110" t="s">
        <v>3156</v>
      </c>
      <c r="O117" s="110">
        <v>1</v>
      </c>
      <c r="Q117" s="110">
        <v>0.7</v>
      </c>
      <c r="R117" s="110" t="s">
        <v>152</v>
      </c>
      <c r="S117" s="110" t="s">
        <v>443</v>
      </c>
      <c r="T117" s="110" t="s">
        <v>154</v>
      </c>
      <c r="U117" s="110" t="s">
        <v>326</v>
      </c>
      <c r="V117" s="110">
        <v>37.043401850000002</v>
      </c>
      <c r="W117" s="110">
        <v>37.043401850000002</v>
      </c>
      <c r="X117" s="110">
        <v>122.56745979999999</v>
      </c>
      <c r="Y117" s="110" t="s">
        <v>185</v>
      </c>
      <c r="Z117" s="110" t="s">
        <v>380</v>
      </c>
      <c r="AA117" s="110" t="s">
        <v>1788</v>
      </c>
      <c r="AB117" s="110" t="s">
        <v>1216</v>
      </c>
      <c r="AC117" s="110" t="s">
        <v>182</v>
      </c>
      <c r="AD117" s="110" t="s">
        <v>333</v>
      </c>
      <c r="AE117" s="110" t="s">
        <v>187</v>
      </c>
      <c r="AF117" s="110" t="s">
        <v>190</v>
      </c>
      <c r="AG117" s="110" t="s">
        <v>190</v>
      </c>
      <c r="AI117" s="110" t="s">
        <v>246</v>
      </c>
      <c r="AJ117" s="110" t="s">
        <v>246</v>
      </c>
      <c r="AK117" s="110" t="s">
        <v>329</v>
      </c>
      <c r="AL117" s="110" t="s">
        <v>723</v>
      </c>
      <c r="AM117" s="110">
        <v>1500</v>
      </c>
      <c r="AN117" s="110" t="s">
        <v>1216</v>
      </c>
      <c r="AP117" s="110">
        <v>6.2</v>
      </c>
      <c r="AQ117" s="110" t="s">
        <v>175</v>
      </c>
      <c r="AR117" s="110" t="s">
        <v>174</v>
      </c>
      <c r="AS117" s="110" t="s">
        <v>319</v>
      </c>
      <c r="AT117" s="110" t="s">
        <v>298</v>
      </c>
      <c r="AU117" s="110" t="s">
        <v>190</v>
      </c>
      <c r="AW117" s="110" t="s">
        <v>174</v>
      </c>
      <c r="AX117" s="110" t="s">
        <v>174</v>
      </c>
      <c r="AY117" s="110" t="s">
        <v>174</v>
      </c>
      <c r="AZ117" s="110" t="s">
        <v>174</v>
      </c>
      <c r="BA117" s="110">
        <v>14</v>
      </c>
      <c r="BB117" s="110">
        <v>14</v>
      </c>
      <c r="BC117" s="110">
        <v>14</v>
      </c>
      <c r="BD117" s="110">
        <v>0</v>
      </c>
      <c r="BE117" s="110" t="s">
        <v>246</v>
      </c>
      <c r="BF117" s="110" t="s">
        <v>188</v>
      </c>
      <c r="BG117" s="110">
        <v>0</v>
      </c>
      <c r="BI117" s="110" t="s">
        <v>246</v>
      </c>
      <c r="BJ117" s="110" t="s">
        <v>330</v>
      </c>
      <c r="BK117" s="110">
        <v>6</v>
      </c>
      <c r="BL117" s="110">
        <v>7</v>
      </c>
      <c r="BM117" s="110" t="s">
        <v>1385</v>
      </c>
      <c r="BN117" s="110">
        <v>0.09</v>
      </c>
      <c r="BO117" s="110" t="s">
        <v>174</v>
      </c>
      <c r="BP117" s="110">
        <v>5.3</v>
      </c>
      <c r="BQ117" s="110">
        <v>38.200000000000003</v>
      </c>
      <c r="BR117" s="110" t="s">
        <v>174</v>
      </c>
      <c r="BS117" s="110">
        <v>150</v>
      </c>
      <c r="BT117" s="110" t="s">
        <v>1385</v>
      </c>
      <c r="BU117" s="110" t="s">
        <v>3207</v>
      </c>
      <c r="BV117" s="110" t="s">
        <v>2603</v>
      </c>
      <c r="BW117" s="110">
        <v>0.97</v>
      </c>
      <c r="BZ117" s="110">
        <v>9.9199999999999997E-2</v>
      </c>
      <c r="CB117" s="110">
        <v>17.88</v>
      </c>
      <c r="CC117" s="110" t="b">
        <v>0</v>
      </c>
      <c r="CD117" s="110">
        <v>40.299999999999997</v>
      </c>
      <c r="CE117" s="110">
        <v>40.299999999999997</v>
      </c>
      <c r="CF117" s="110" t="s">
        <v>182</v>
      </c>
      <c r="CG117" s="110" t="s">
        <v>174</v>
      </c>
      <c r="CH117" s="110" t="s">
        <v>243</v>
      </c>
      <c r="CI117" s="110" t="s">
        <v>287</v>
      </c>
      <c r="CJ117" s="110" t="s">
        <v>332</v>
      </c>
    </row>
    <row r="118" spans="1:88">
      <c r="A118" s="110" t="s">
        <v>252</v>
      </c>
      <c r="B118" s="110">
        <v>23</v>
      </c>
      <c r="C118" s="110">
        <v>1</v>
      </c>
      <c r="D118" s="110">
        <v>1</v>
      </c>
      <c r="E118" s="110">
        <v>117</v>
      </c>
      <c r="F118" s="110">
        <v>2021</v>
      </c>
      <c r="G118" s="110" t="s">
        <v>161</v>
      </c>
      <c r="H118" s="110" t="s">
        <v>2437</v>
      </c>
      <c r="I118" s="110" t="s">
        <v>182</v>
      </c>
      <c r="J118" s="110" t="s">
        <v>182</v>
      </c>
      <c r="K118" s="110" t="s">
        <v>999</v>
      </c>
      <c r="L118" s="110" t="s">
        <v>999</v>
      </c>
      <c r="R118" s="110" t="s">
        <v>152</v>
      </c>
      <c r="S118" s="110" t="s">
        <v>443</v>
      </c>
      <c r="T118" s="110" t="s">
        <v>156</v>
      </c>
      <c r="U118" s="110" t="s">
        <v>158</v>
      </c>
      <c r="V118" s="110">
        <v>55.264000000000003</v>
      </c>
      <c r="W118" s="110">
        <v>55.264000000000003</v>
      </c>
      <c r="X118" s="110">
        <v>-7.6749999999999998</v>
      </c>
      <c r="Y118" s="110" t="s">
        <v>160</v>
      </c>
      <c r="Z118" s="110" t="s">
        <v>155</v>
      </c>
      <c r="AA118" s="110" t="s">
        <v>424</v>
      </c>
      <c r="AB118" s="110" t="s">
        <v>333</v>
      </c>
      <c r="AC118" s="110" t="s">
        <v>246</v>
      </c>
      <c r="AD118" s="110" t="s">
        <v>333</v>
      </c>
      <c r="AE118" s="110" t="s">
        <v>1306</v>
      </c>
      <c r="AF118" s="110" t="s">
        <v>173</v>
      </c>
      <c r="AH118" s="110" t="s">
        <v>1775</v>
      </c>
      <c r="AI118" s="110" t="s">
        <v>246</v>
      </c>
      <c r="AJ118" s="110" t="s">
        <v>246</v>
      </c>
      <c r="AK118" s="110" t="s">
        <v>171</v>
      </c>
      <c r="AL118" s="110" t="s">
        <v>190</v>
      </c>
      <c r="AM118" s="110" t="s">
        <v>174</v>
      </c>
      <c r="AO118" s="110">
        <v>0.2</v>
      </c>
      <c r="AP118" s="110" t="s">
        <v>190</v>
      </c>
      <c r="AQ118" s="110" t="s">
        <v>176</v>
      </c>
      <c r="AR118" s="110">
        <v>2017</v>
      </c>
      <c r="AS118" s="110" t="s">
        <v>253</v>
      </c>
      <c r="AT118" s="110" t="s">
        <v>254</v>
      </c>
      <c r="AU118" s="110">
        <v>600</v>
      </c>
      <c r="AW118" s="110">
        <v>37.200000000000003</v>
      </c>
      <c r="AY118" s="110" t="s">
        <v>174</v>
      </c>
      <c r="AZ118" s="110" t="s">
        <v>174</v>
      </c>
      <c r="BA118" s="110" t="s">
        <v>1766</v>
      </c>
      <c r="BB118" s="110" t="s">
        <v>1766</v>
      </c>
      <c r="BC118" s="110">
        <v>14</v>
      </c>
      <c r="BE118" s="110" t="s">
        <v>182</v>
      </c>
      <c r="BF118" s="110" t="s">
        <v>412</v>
      </c>
      <c r="BH118" s="110" t="s">
        <v>174</v>
      </c>
      <c r="BI118" s="110" t="s">
        <v>182</v>
      </c>
      <c r="BJ118" s="110" t="s">
        <v>412</v>
      </c>
      <c r="BK118" s="110">
        <v>10</v>
      </c>
      <c r="BL118" s="110">
        <v>1</v>
      </c>
      <c r="BM118" s="110" t="s">
        <v>174</v>
      </c>
      <c r="BN118" s="110" t="s">
        <v>174</v>
      </c>
      <c r="BO118" s="110" t="s">
        <v>174</v>
      </c>
      <c r="BP118" s="110" t="s">
        <v>174</v>
      </c>
      <c r="BQ118" s="110" t="s">
        <v>174</v>
      </c>
      <c r="BR118" s="110" t="s">
        <v>174</v>
      </c>
      <c r="BS118" s="110">
        <v>28</v>
      </c>
      <c r="BT118" s="110" t="s">
        <v>2256</v>
      </c>
      <c r="BU118" s="110" t="s">
        <v>2606</v>
      </c>
      <c r="BV118" s="110" t="s">
        <v>2256</v>
      </c>
      <c r="CA118" s="110">
        <v>0.33400000000000002</v>
      </c>
      <c r="CB118" s="110">
        <v>149.70059879999999</v>
      </c>
      <c r="CC118" s="110" t="b">
        <v>0</v>
      </c>
      <c r="CD118" s="110" t="s">
        <v>2256</v>
      </c>
      <c r="CE118" s="110" t="s">
        <v>2256</v>
      </c>
      <c r="CF118" s="110" t="s">
        <v>2256</v>
      </c>
      <c r="CG118" s="110">
        <v>299.40119759999999</v>
      </c>
      <c r="CH118" s="110" t="s">
        <v>3040</v>
      </c>
      <c r="CI118" s="110" t="s">
        <v>264</v>
      </c>
    </row>
    <row r="119" spans="1:88">
      <c r="A119" s="110" t="s">
        <v>252</v>
      </c>
      <c r="B119" s="110">
        <v>23</v>
      </c>
      <c r="C119" s="110">
        <v>1</v>
      </c>
      <c r="D119" s="110">
        <v>1</v>
      </c>
      <c r="E119" s="110">
        <v>118</v>
      </c>
      <c r="F119" s="110">
        <v>2021</v>
      </c>
      <c r="G119" s="110" t="s">
        <v>161</v>
      </c>
      <c r="H119" s="110" t="s">
        <v>2437</v>
      </c>
      <c r="I119" s="110" t="s">
        <v>182</v>
      </c>
      <c r="J119" s="110" t="s">
        <v>182</v>
      </c>
      <c r="K119" s="110" t="s">
        <v>999</v>
      </c>
      <c r="L119" s="110" t="s">
        <v>999</v>
      </c>
      <c r="R119" s="110" t="s">
        <v>152</v>
      </c>
      <c r="S119" s="110" t="s">
        <v>443</v>
      </c>
      <c r="T119" s="110" t="s">
        <v>156</v>
      </c>
      <c r="U119" s="110" t="s">
        <v>158</v>
      </c>
      <c r="V119" s="110">
        <v>55.264000000000003</v>
      </c>
      <c r="W119" s="110">
        <v>55.264000000000003</v>
      </c>
      <c r="X119" s="110">
        <v>-7.6749999999999998</v>
      </c>
      <c r="Y119" s="110" t="s">
        <v>160</v>
      </c>
      <c r="Z119" s="110" t="s">
        <v>155</v>
      </c>
      <c r="AA119" s="110" t="s">
        <v>424</v>
      </c>
      <c r="AB119" s="110" t="s">
        <v>333</v>
      </c>
      <c r="AC119" s="110" t="s">
        <v>246</v>
      </c>
      <c r="AD119" s="110" t="s">
        <v>333</v>
      </c>
      <c r="AE119" s="110" t="s">
        <v>1306</v>
      </c>
      <c r="AF119" s="110" t="s">
        <v>173</v>
      </c>
      <c r="AH119" s="110" t="s">
        <v>1775</v>
      </c>
      <c r="AI119" s="110" t="s">
        <v>246</v>
      </c>
      <c r="AJ119" s="110" t="s">
        <v>246</v>
      </c>
      <c r="AK119" s="110" t="s">
        <v>171</v>
      </c>
      <c r="AL119" s="110" t="s">
        <v>190</v>
      </c>
      <c r="AM119" s="110" t="s">
        <v>174</v>
      </c>
      <c r="AO119" s="110">
        <v>0.2</v>
      </c>
      <c r="AP119" s="110" t="s">
        <v>190</v>
      </c>
      <c r="AQ119" s="110" t="s">
        <v>176</v>
      </c>
      <c r="AR119" s="110">
        <v>2017</v>
      </c>
      <c r="AS119" s="110" t="s">
        <v>253</v>
      </c>
      <c r="AT119" s="110" t="s">
        <v>254</v>
      </c>
      <c r="AU119" s="110">
        <v>600</v>
      </c>
      <c r="AW119" s="110">
        <v>42.8</v>
      </c>
      <c r="AY119" s="110" t="s">
        <v>174</v>
      </c>
      <c r="AZ119" s="110" t="s">
        <v>174</v>
      </c>
      <c r="BA119" s="110" t="s">
        <v>1766</v>
      </c>
      <c r="BB119" s="110" t="s">
        <v>1766</v>
      </c>
      <c r="BC119" s="110">
        <v>14</v>
      </c>
      <c r="BE119" s="110" t="s">
        <v>182</v>
      </c>
      <c r="BF119" s="110" t="s">
        <v>412</v>
      </c>
      <c r="BH119" s="110" t="s">
        <v>174</v>
      </c>
      <c r="BI119" s="110" t="s">
        <v>182</v>
      </c>
      <c r="BJ119" s="110" t="s">
        <v>412</v>
      </c>
      <c r="BK119" s="110">
        <v>10</v>
      </c>
      <c r="BL119" s="110">
        <v>1</v>
      </c>
      <c r="BM119" s="110" t="s">
        <v>174</v>
      </c>
      <c r="BN119" s="110" t="s">
        <v>174</v>
      </c>
      <c r="BO119" s="110" t="s">
        <v>174</v>
      </c>
      <c r="BP119" s="110" t="s">
        <v>174</v>
      </c>
      <c r="BQ119" s="110" t="s">
        <v>174</v>
      </c>
      <c r="BR119" s="110" t="s">
        <v>174</v>
      </c>
      <c r="BS119" s="110">
        <v>28</v>
      </c>
      <c r="BT119" s="110" t="s">
        <v>2256</v>
      </c>
      <c r="BU119" s="110" t="s">
        <v>2606</v>
      </c>
      <c r="BV119" s="110" t="s">
        <v>2256</v>
      </c>
      <c r="CA119" s="110">
        <v>0.301666667</v>
      </c>
      <c r="CB119" s="110">
        <v>165.74585640000001</v>
      </c>
      <c r="CC119" s="110" t="b">
        <v>0</v>
      </c>
      <c r="CD119" s="110" t="s">
        <v>2256</v>
      </c>
      <c r="CE119" s="110" t="s">
        <v>2256</v>
      </c>
      <c r="CF119" s="110" t="s">
        <v>2256</v>
      </c>
      <c r="CG119" s="110">
        <v>331.49171269999999</v>
      </c>
      <c r="CH119" s="110" t="s">
        <v>263</v>
      </c>
      <c r="CI119" s="110" t="s">
        <v>264</v>
      </c>
    </row>
    <row r="120" spans="1:88">
      <c r="A120" s="110" t="s">
        <v>252</v>
      </c>
      <c r="B120" s="110">
        <v>23</v>
      </c>
      <c r="C120" s="110">
        <v>1</v>
      </c>
      <c r="D120" s="110">
        <v>1</v>
      </c>
      <c r="E120" s="110">
        <v>119</v>
      </c>
      <c r="F120" s="110">
        <v>2021</v>
      </c>
      <c r="G120" s="110" t="s">
        <v>161</v>
      </c>
      <c r="H120" s="110" t="s">
        <v>2437</v>
      </c>
      <c r="I120" s="110" t="s">
        <v>182</v>
      </c>
      <c r="J120" s="110" t="s">
        <v>182</v>
      </c>
      <c r="K120" s="110" t="s">
        <v>999</v>
      </c>
      <c r="L120" s="110" t="s">
        <v>999</v>
      </c>
      <c r="R120" s="110" t="s">
        <v>152</v>
      </c>
      <c r="S120" s="110" t="s">
        <v>443</v>
      </c>
      <c r="T120" s="110" t="s">
        <v>156</v>
      </c>
      <c r="U120" s="110" t="s">
        <v>157</v>
      </c>
      <c r="V120" s="110">
        <v>55.264000000000003</v>
      </c>
      <c r="W120" s="110">
        <v>55.264000000000003</v>
      </c>
      <c r="X120" s="110">
        <v>-7.6749999999999998</v>
      </c>
      <c r="Y120" s="110" t="s">
        <v>160</v>
      </c>
      <c r="Z120" s="110" t="s">
        <v>155</v>
      </c>
      <c r="AA120" s="110" t="s">
        <v>424</v>
      </c>
      <c r="AB120" s="110" t="s">
        <v>333</v>
      </c>
      <c r="AC120" s="110" t="s">
        <v>246</v>
      </c>
      <c r="AD120" s="110" t="s">
        <v>333</v>
      </c>
      <c r="AE120" s="110" t="s">
        <v>1306</v>
      </c>
      <c r="AF120" s="110" t="s">
        <v>173</v>
      </c>
      <c r="AH120" s="110" t="s">
        <v>1775</v>
      </c>
      <c r="AI120" s="110" t="s">
        <v>246</v>
      </c>
      <c r="AJ120" s="110" t="s">
        <v>246</v>
      </c>
      <c r="AK120" s="110" t="s">
        <v>171</v>
      </c>
      <c r="AL120" s="110" t="s">
        <v>190</v>
      </c>
      <c r="AM120" s="110" t="s">
        <v>174</v>
      </c>
      <c r="AO120" s="110">
        <v>0.2</v>
      </c>
      <c r="AP120" s="110" t="s">
        <v>190</v>
      </c>
      <c r="AQ120" s="110" t="s">
        <v>176</v>
      </c>
      <c r="AR120" s="110">
        <v>2017</v>
      </c>
      <c r="AS120" s="110" t="s">
        <v>253</v>
      </c>
      <c r="AT120" s="110" t="s">
        <v>254</v>
      </c>
      <c r="AU120" s="110">
        <v>600</v>
      </c>
      <c r="AW120" s="110">
        <v>20.5</v>
      </c>
      <c r="AY120" s="110" t="s">
        <v>174</v>
      </c>
      <c r="AZ120" s="110" t="s">
        <v>174</v>
      </c>
      <c r="BA120" s="110" t="s">
        <v>1766</v>
      </c>
      <c r="BB120" s="110" t="s">
        <v>1766</v>
      </c>
      <c r="BC120" s="110">
        <v>14</v>
      </c>
      <c r="BE120" s="110" t="s">
        <v>182</v>
      </c>
      <c r="BF120" s="110" t="s">
        <v>412</v>
      </c>
      <c r="BH120" s="110" t="s">
        <v>174</v>
      </c>
      <c r="BI120" s="110" t="s">
        <v>182</v>
      </c>
      <c r="BJ120" s="110" t="s">
        <v>412</v>
      </c>
      <c r="BK120" s="110">
        <v>10</v>
      </c>
      <c r="BL120" s="110">
        <v>1</v>
      </c>
      <c r="BM120" s="110" t="s">
        <v>174</v>
      </c>
      <c r="BN120" s="110" t="s">
        <v>174</v>
      </c>
      <c r="BO120" s="110" t="s">
        <v>174</v>
      </c>
      <c r="BP120" s="110" t="s">
        <v>174</v>
      </c>
      <c r="BQ120" s="110" t="s">
        <v>174</v>
      </c>
      <c r="BR120" s="110" t="s">
        <v>174</v>
      </c>
      <c r="BS120" s="110">
        <v>28</v>
      </c>
      <c r="BT120" s="110" t="s">
        <v>2256</v>
      </c>
      <c r="BU120" s="110" t="s">
        <v>2606</v>
      </c>
      <c r="BV120" s="110" t="s">
        <v>2256</v>
      </c>
      <c r="CA120" s="110">
        <v>0.71499999999999997</v>
      </c>
      <c r="CB120" s="110">
        <v>69.930069930000002</v>
      </c>
      <c r="CC120" s="110" t="b">
        <v>0</v>
      </c>
      <c r="CD120" s="110" t="s">
        <v>2256</v>
      </c>
      <c r="CE120" s="110" t="s">
        <v>2256</v>
      </c>
      <c r="CF120" s="110" t="s">
        <v>2256</v>
      </c>
      <c r="CG120" s="110">
        <v>139.86013990000001</v>
      </c>
      <c r="CH120" s="110" t="s">
        <v>3040</v>
      </c>
      <c r="CI120" s="110" t="s">
        <v>264</v>
      </c>
    </row>
    <row r="121" spans="1:88">
      <c r="A121" s="110" t="s">
        <v>252</v>
      </c>
      <c r="B121" s="110">
        <v>23</v>
      </c>
      <c r="C121" s="110">
        <v>1</v>
      </c>
      <c r="D121" s="110">
        <v>1</v>
      </c>
      <c r="E121" s="110">
        <v>120</v>
      </c>
      <c r="F121" s="110">
        <v>2021</v>
      </c>
      <c r="G121" s="110" t="s">
        <v>161</v>
      </c>
      <c r="H121" s="110" t="s">
        <v>2437</v>
      </c>
      <c r="I121" s="110" t="s">
        <v>182</v>
      </c>
      <c r="J121" s="110" t="s">
        <v>182</v>
      </c>
      <c r="K121" s="110" t="s">
        <v>999</v>
      </c>
      <c r="L121" s="110" t="s">
        <v>999</v>
      </c>
      <c r="R121" s="110" t="s">
        <v>152</v>
      </c>
      <c r="S121" s="110" t="s">
        <v>443</v>
      </c>
      <c r="T121" s="110" t="s">
        <v>156</v>
      </c>
      <c r="U121" s="110" t="s">
        <v>157</v>
      </c>
      <c r="V121" s="110">
        <v>55.264000000000003</v>
      </c>
      <c r="W121" s="110">
        <v>55.264000000000003</v>
      </c>
      <c r="X121" s="110">
        <v>-7.6749999999999998</v>
      </c>
      <c r="Y121" s="110" t="s">
        <v>160</v>
      </c>
      <c r="Z121" s="110" t="s">
        <v>155</v>
      </c>
      <c r="AA121" s="110" t="s">
        <v>424</v>
      </c>
      <c r="AB121" s="110" t="s">
        <v>333</v>
      </c>
      <c r="AC121" s="110" t="s">
        <v>246</v>
      </c>
      <c r="AD121" s="110" t="s">
        <v>333</v>
      </c>
      <c r="AE121" s="110" t="s">
        <v>1306</v>
      </c>
      <c r="AF121" s="110" t="s">
        <v>173</v>
      </c>
      <c r="AH121" s="110" t="s">
        <v>1775</v>
      </c>
      <c r="AI121" s="110" t="s">
        <v>246</v>
      </c>
      <c r="AJ121" s="110" t="s">
        <v>246</v>
      </c>
      <c r="AK121" s="110" t="s">
        <v>171</v>
      </c>
      <c r="AL121" s="110" t="s">
        <v>190</v>
      </c>
      <c r="AM121" s="110" t="s">
        <v>174</v>
      </c>
      <c r="AO121" s="110">
        <v>0.2</v>
      </c>
      <c r="AP121" s="110" t="s">
        <v>190</v>
      </c>
      <c r="AQ121" s="110" t="s">
        <v>176</v>
      </c>
      <c r="AR121" s="110">
        <v>2017</v>
      </c>
      <c r="AS121" s="110" t="s">
        <v>253</v>
      </c>
      <c r="AT121" s="110" t="s">
        <v>254</v>
      </c>
      <c r="AU121" s="110">
        <v>600</v>
      </c>
      <c r="AW121" s="110">
        <v>21.5</v>
      </c>
      <c r="AY121" s="110" t="s">
        <v>174</v>
      </c>
      <c r="AZ121" s="110" t="s">
        <v>174</v>
      </c>
      <c r="BA121" s="110" t="s">
        <v>1766</v>
      </c>
      <c r="BB121" s="110" t="s">
        <v>1766</v>
      </c>
      <c r="BC121" s="110">
        <v>14</v>
      </c>
      <c r="BE121" s="110" t="s">
        <v>182</v>
      </c>
      <c r="BF121" s="110" t="s">
        <v>412</v>
      </c>
      <c r="BH121" s="110" t="s">
        <v>174</v>
      </c>
      <c r="BI121" s="110" t="s">
        <v>182</v>
      </c>
      <c r="BJ121" s="110" t="s">
        <v>412</v>
      </c>
      <c r="BK121" s="110">
        <v>10</v>
      </c>
      <c r="BL121" s="110">
        <v>1</v>
      </c>
      <c r="BM121" s="110" t="s">
        <v>174</v>
      </c>
      <c r="BN121" s="110" t="s">
        <v>174</v>
      </c>
      <c r="BO121" s="110" t="s">
        <v>174</v>
      </c>
      <c r="BP121" s="110" t="s">
        <v>174</v>
      </c>
      <c r="BQ121" s="110" t="s">
        <v>174</v>
      </c>
      <c r="BR121" s="110" t="s">
        <v>174</v>
      </c>
      <c r="BS121" s="110">
        <v>28</v>
      </c>
      <c r="BT121" s="110" t="s">
        <v>2256</v>
      </c>
      <c r="BU121" s="110" t="s">
        <v>2606</v>
      </c>
      <c r="BV121" s="110" t="s">
        <v>2256</v>
      </c>
      <c r="CA121" s="110">
        <v>0.703333333</v>
      </c>
      <c r="CB121" s="110">
        <v>71.090047389999995</v>
      </c>
      <c r="CC121" s="110" t="b">
        <v>0</v>
      </c>
      <c r="CD121" s="110" t="s">
        <v>2256</v>
      </c>
      <c r="CE121" s="110" t="s">
        <v>2256</v>
      </c>
      <c r="CF121" s="110" t="s">
        <v>2256</v>
      </c>
      <c r="CG121" s="110">
        <v>142.18009480000001</v>
      </c>
      <c r="CH121" s="110" t="s">
        <v>263</v>
      </c>
      <c r="CI121" s="110" t="s">
        <v>264</v>
      </c>
    </row>
    <row r="122" spans="1:88">
      <c r="A122" s="110" t="s">
        <v>252</v>
      </c>
      <c r="B122" s="110">
        <v>23</v>
      </c>
      <c r="C122" s="110">
        <v>1</v>
      </c>
      <c r="D122" s="110">
        <v>1</v>
      </c>
      <c r="E122" s="110">
        <v>121</v>
      </c>
      <c r="F122" s="110">
        <v>2021</v>
      </c>
      <c r="G122" s="110" t="s">
        <v>161</v>
      </c>
      <c r="H122" s="110" t="s">
        <v>2437</v>
      </c>
      <c r="I122" s="110" t="s">
        <v>182</v>
      </c>
      <c r="J122" s="110" t="s">
        <v>182</v>
      </c>
      <c r="K122" s="110" t="s">
        <v>999</v>
      </c>
      <c r="L122" s="110" t="s">
        <v>999</v>
      </c>
      <c r="R122" s="110" t="s">
        <v>152</v>
      </c>
      <c r="S122" s="110" t="s">
        <v>443</v>
      </c>
      <c r="T122" s="110" t="s">
        <v>154</v>
      </c>
      <c r="U122" s="110" t="s">
        <v>255</v>
      </c>
      <c r="V122" s="110">
        <v>55.264000000000003</v>
      </c>
      <c r="W122" s="110">
        <v>55.264000000000003</v>
      </c>
      <c r="X122" s="110">
        <v>-7.6749999999999998</v>
      </c>
      <c r="Y122" s="110" t="s">
        <v>160</v>
      </c>
      <c r="Z122" s="110" t="s">
        <v>155</v>
      </c>
      <c r="AA122" s="110" t="s">
        <v>424</v>
      </c>
      <c r="AB122" s="110" t="s">
        <v>333</v>
      </c>
      <c r="AC122" s="110" t="s">
        <v>246</v>
      </c>
      <c r="AD122" s="110" t="s">
        <v>333</v>
      </c>
      <c r="AE122" s="110" t="s">
        <v>1306</v>
      </c>
      <c r="AF122" s="110" t="s">
        <v>173</v>
      </c>
      <c r="AH122" s="110" t="s">
        <v>1775</v>
      </c>
      <c r="AI122" s="110" t="s">
        <v>246</v>
      </c>
      <c r="AJ122" s="110" t="s">
        <v>246</v>
      </c>
      <c r="AK122" s="110" t="s">
        <v>171</v>
      </c>
      <c r="AL122" s="110" t="s">
        <v>190</v>
      </c>
      <c r="AM122" s="110" t="s">
        <v>174</v>
      </c>
      <c r="AO122" s="110">
        <v>0.2</v>
      </c>
      <c r="AP122" s="110" t="s">
        <v>190</v>
      </c>
      <c r="AQ122" s="110" t="s">
        <v>176</v>
      </c>
      <c r="AR122" s="110">
        <v>2017</v>
      </c>
      <c r="AS122" s="110" t="s">
        <v>253</v>
      </c>
      <c r="AT122" s="110" t="s">
        <v>254</v>
      </c>
      <c r="AU122" s="110">
        <v>600</v>
      </c>
      <c r="AW122" s="110">
        <v>26</v>
      </c>
      <c r="AY122" s="110" t="s">
        <v>174</v>
      </c>
      <c r="AZ122" s="110" t="s">
        <v>174</v>
      </c>
      <c r="BA122" s="110" t="s">
        <v>1766</v>
      </c>
      <c r="BB122" s="110" t="s">
        <v>1766</v>
      </c>
      <c r="BC122" s="110">
        <v>14</v>
      </c>
      <c r="BE122" s="110" t="s">
        <v>182</v>
      </c>
      <c r="BF122" s="110" t="s">
        <v>412</v>
      </c>
      <c r="BH122" s="110" t="s">
        <v>174</v>
      </c>
      <c r="BI122" s="110" t="s">
        <v>182</v>
      </c>
      <c r="BJ122" s="110" t="s">
        <v>412</v>
      </c>
      <c r="BK122" s="110">
        <v>10</v>
      </c>
      <c r="BL122" s="110">
        <v>1</v>
      </c>
      <c r="BM122" s="110" t="s">
        <v>174</v>
      </c>
      <c r="BN122" s="110" t="s">
        <v>174</v>
      </c>
      <c r="BO122" s="110" t="s">
        <v>174</v>
      </c>
      <c r="BP122" s="110" t="s">
        <v>174</v>
      </c>
      <c r="BQ122" s="110" t="s">
        <v>174</v>
      </c>
      <c r="BR122" s="110" t="s">
        <v>174</v>
      </c>
      <c r="BS122" s="110">
        <v>28</v>
      </c>
      <c r="BT122" s="110" t="s">
        <v>2256</v>
      </c>
      <c r="BU122" s="110" t="s">
        <v>2606</v>
      </c>
      <c r="BV122" s="110" t="s">
        <v>2256</v>
      </c>
      <c r="CA122" s="110">
        <v>0.42333333299999998</v>
      </c>
      <c r="CB122" s="110">
        <v>118.1102362</v>
      </c>
      <c r="CC122" s="110" t="b">
        <v>0</v>
      </c>
      <c r="CD122" s="110" t="s">
        <v>2256</v>
      </c>
      <c r="CE122" s="110" t="s">
        <v>2256</v>
      </c>
      <c r="CF122" s="110" t="s">
        <v>2256</v>
      </c>
      <c r="CG122" s="110">
        <v>236.22047240000001</v>
      </c>
      <c r="CH122" s="110" t="s">
        <v>3040</v>
      </c>
      <c r="CI122" s="110" t="s">
        <v>264</v>
      </c>
    </row>
    <row r="123" spans="1:88">
      <c r="A123" s="110" t="s">
        <v>252</v>
      </c>
      <c r="B123" s="110">
        <v>23</v>
      </c>
      <c r="C123" s="110">
        <v>1</v>
      </c>
      <c r="D123" s="110">
        <v>1</v>
      </c>
      <c r="E123" s="110">
        <v>122</v>
      </c>
      <c r="F123" s="110">
        <v>2021</v>
      </c>
      <c r="G123" s="110" t="s">
        <v>161</v>
      </c>
      <c r="H123" s="110" t="s">
        <v>2437</v>
      </c>
      <c r="I123" s="110" t="s">
        <v>182</v>
      </c>
      <c r="J123" s="110" t="s">
        <v>182</v>
      </c>
      <c r="K123" s="110" t="s">
        <v>999</v>
      </c>
      <c r="L123" s="110" t="s">
        <v>999</v>
      </c>
      <c r="R123" s="110" t="s">
        <v>152</v>
      </c>
      <c r="S123" s="110" t="s">
        <v>443</v>
      </c>
      <c r="T123" s="110" t="s">
        <v>154</v>
      </c>
      <c r="U123" s="110" t="s">
        <v>255</v>
      </c>
      <c r="V123" s="110">
        <v>55.264000000000003</v>
      </c>
      <c r="W123" s="110">
        <v>55.264000000000003</v>
      </c>
      <c r="X123" s="110">
        <v>-7.6749999999999998</v>
      </c>
      <c r="Y123" s="110" t="s">
        <v>160</v>
      </c>
      <c r="Z123" s="110" t="s">
        <v>155</v>
      </c>
      <c r="AA123" s="110" t="s">
        <v>424</v>
      </c>
      <c r="AB123" s="110" t="s">
        <v>333</v>
      </c>
      <c r="AC123" s="110" t="s">
        <v>246</v>
      </c>
      <c r="AD123" s="110" t="s">
        <v>333</v>
      </c>
      <c r="AE123" s="110" t="s">
        <v>1306</v>
      </c>
      <c r="AF123" s="110" t="s">
        <v>173</v>
      </c>
      <c r="AH123" s="110" t="s">
        <v>1775</v>
      </c>
      <c r="AI123" s="110" t="s">
        <v>246</v>
      </c>
      <c r="AJ123" s="110" t="s">
        <v>246</v>
      </c>
      <c r="AK123" s="110" t="s">
        <v>171</v>
      </c>
      <c r="AL123" s="110" t="s">
        <v>190</v>
      </c>
      <c r="AM123" s="110" t="s">
        <v>174</v>
      </c>
      <c r="AO123" s="110">
        <v>0.2</v>
      </c>
      <c r="AP123" s="110" t="s">
        <v>190</v>
      </c>
      <c r="AQ123" s="110" t="s">
        <v>176</v>
      </c>
      <c r="AR123" s="110">
        <v>2017</v>
      </c>
      <c r="AS123" s="110" t="s">
        <v>253</v>
      </c>
      <c r="AT123" s="110" t="s">
        <v>254</v>
      </c>
      <c r="AU123" s="110">
        <v>600</v>
      </c>
      <c r="AW123" s="110">
        <v>32.9</v>
      </c>
      <c r="AY123" s="110" t="s">
        <v>174</v>
      </c>
      <c r="AZ123" s="110" t="s">
        <v>174</v>
      </c>
      <c r="BA123" s="110" t="s">
        <v>1766</v>
      </c>
      <c r="BB123" s="110" t="s">
        <v>1766</v>
      </c>
      <c r="BC123" s="110">
        <v>14</v>
      </c>
      <c r="BE123" s="110" t="s">
        <v>182</v>
      </c>
      <c r="BF123" s="110" t="s">
        <v>412</v>
      </c>
      <c r="BH123" s="110" t="s">
        <v>174</v>
      </c>
      <c r="BI123" s="110" t="s">
        <v>182</v>
      </c>
      <c r="BJ123" s="110" t="s">
        <v>412</v>
      </c>
      <c r="BK123" s="110">
        <v>10</v>
      </c>
      <c r="BL123" s="110">
        <v>1</v>
      </c>
      <c r="BM123" s="110" t="s">
        <v>174</v>
      </c>
      <c r="BN123" s="110" t="s">
        <v>174</v>
      </c>
      <c r="BO123" s="110" t="s">
        <v>174</v>
      </c>
      <c r="BP123" s="110" t="s">
        <v>174</v>
      </c>
      <c r="BQ123" s="110" t="s">
        <v>174</v>
      </c>
      <c r="BR123" s="110" t="s">
        <v>174</v>
      </c>
      <c r="BS123" s="110">
        <v>28</v>
      </c>
      <c r="BT123" s="110" t="s">
        <v>2256</v>
      </c>
      <c r="BU123" s="110" t="s">
        <v>2606</v>
      </c>
      <c r="BV123" s="110" t="s">
        <v>2256</v>
      </c>
      <c r="CA123" s="110">
        <v>0.43</v>
      </c>
      <c r="CB123" s="110">
        <v>116.2790698</v>
      </c>
      <c r="CC123" s="110" t="b">
        <v>0</v>
      </c>
      <c r="CD123" s="110" t="s">
        <v>2256</v>
      </c>
      <c r="CE123" s="110" t="s">
        <v>2256</v>
      </c>
      <c r="CF123" s="110" t="s">
        <v>2256</v>
      </c>
      <c r="CG123" s="110">
        <v>232.55813950000001</v>
      </c>
      <c r="CH123" s="110" t="s">
        <v>263</v>
      </c>
      <c r="CI123" s="110" t="s">
        <v>264</v>
      </c>
    </row>
    <row r="124" spans="1:88">
      <c r="A124" s="110" t="s">
        <v>252</v>
      </c>
      <c r="B124" s="110">
        <v>23</v>
      </c>
      <c r="C124" s="110">
        <v>1</v>
      </c>
      <c r="D124" s="110">
        <v>1</v>
      </c>
      <c r="E124" s="110">
        <v>123</v>
      </c>
      <c r="F124" s="110">
        <v>2021</v>
      </c>
      <c r="G124" s="110" t="s">
        <v>161</v>
      </c>
      <c r="H124" s="110" t="s">
        <v>2437</v>
      </c>
      <c r="I124" s="110" t="s">
        <v>182</v>
      </c>
      <c r="J124" s="110" t="s">
        <v>182</v>
      </c>
      <c r="K124" s="110" t="s">
        <v>999</v>
      </c>
      <c r="L124" s="110" t="s">
        <v>999</v>
      </c>
      <c r="R124" s="110" t="s">
        <v>272</v>
      </c>
      <c r="S124" s="110" t="s">
        <v>443</v>
      </c>
      <c r="T124" s="110" t="s">
        <v>256</v>
      </c>
      <c r="U124" s="110" t="s">
        <v>257</v>
      </c>
      <c r="V124" s="110">
        <v>55.264000000000003</v>
      </c>
      <c r="W124" s="110">
        <v>55.264000000000003</v>
      </c>
      <c r="X124" s="110">
        <v>-7.6749999999999998</v>
      </c>
      <c r="Y124" s="110" t="s">
        <v>160</v>
      </c>
      <c r="Z124" s="110" t="s">
        <v>155</v>
      </c>
      <c r="AA124" s="110" t="s">
        <v>424</v>
      </c>
      <c r="AB124" s="110" t="s">
        <v>333</v>
      </c>
      <c r="AC124" s="110" t="s">
        <v>246</v>
      </c>
      <c r="AD124" s="110" t="s">
        <v>333</v>
      </c>
      <c r="AE124" s="110" t="s">
        <v>1306</v>
      </c>
      <c r="AF124" s="110" t="s">
        <v>173</v>
      </c>
      <c r="AH124" s="110" t="s">
        <v>1775</v>
      </c>
      <c r="AI124" s="110" t="s">
        <v>246</v>
      </c>
      <c r="AJ124" s="110" t="s">
        <v>246</v>
      </c>
      <c r="AK124" s="110" t="s">
        <v>171</v>
      </c>
      <c r="AL124" s="110" t="s">
        <v>190</v>
      </c>
      <c r="AM124" s="110" t="s">
        <v>174</v>
      </c>
      <c r="AO124" s="110">
        <v>0.2</v>
      </c>
      <c r="AP124" s="110" t="s">
        <v>190</v>
      </c>
      <c r="AQ124" s="110" t="s">
        <v>176</v>
      </c>
      <c r="AR124" s="110">
        <v>2017</v>
      </c>
      <c r="AS124" s="110" t="s">
        <v>253</v>
      </c>
      <c r="AT124" s="110" t="s">
        <v>254</v>
      </c>
      <c r="AU124" s="110">
        <v>600</v>
      </c>
      <c r="AW124" s="110">
        <v>26.3</v>
      </c>
      <c r="AY124" s="110" t="s">
        <v>174</v>
      </c>
      <c r="AZ124" s="110" t="s">
        <v>174</v>
      </c>
      <c r="BA124" s="110" t="s">
        <v>1766</v>
      </c>
      <c r="BB124" s="110" t="s">
        <v>1766</v>
      </c>
      <c r="BC124" s="110">
        <v>14</v>
      </c>
      <c r="BE124" s="110" t="s">
        <v>182</v>
      </c>
      <c r="BF124" s="110" t="s">
        <v>412</v>
      </c>
      <c r="BH124" s="110" t="s">
        <v>174</v>
      </c>
      <c r="BI124" s="110" t="s">
        <v>182</v>
      </c>
      <c r="BJ124" s="110" t="s">
        <v>412</v>
      </c>
      <c r="BK124" s="110">
        <v>10</v>
      </c>
      <c r="BL124" s="110">
        <v>1</v>
      </c>
      <c r="BM124" s="110" t="s">
        <v>174</v>
      </c>
      <c r="BN124" s="110" t="s">
        <v>174</v>
      </c>
      <c r="BO124" s="110" t="s">
        <v>174</v>
      </c>
      <c r="BP124" s="110" t="s">
        <v>174</v>
      </c>
      <c r="BQ124" s="110" t="s">
        <v>174</v>
      </c>
      <c r="BR124" s="110" t="s">
        <v>174</v>
      </c>
      <c r="BS124" s="110">
        <v>28</v>
      </c>
      <c r="BT124" s="110" t="s">
        <v>2256</v>
      </c>
      <c r="BU124" s="110" t="s">
        <v>2606</v>
      </c>
      <c r="BV124" s="110" t="s">
        <v>2256</v>
      </c>
      <c r="CA124" s="110">
        <v>0.35666666699999999</v>
      </c>
      <c r="CB124" s="110">
        <v>140.1869159</v>
      </c>
      <c r="CC124" s="110" t="b">
        <v>0</v>
      </c>
      <c r="CD124" s="110" t="s">
        <v>2256</v>
      </c>
      <c r="CE124" s="110" t="s">
        <v>2256</v>
      </c>
      <c r="CF124" s="110" t="s">
        <v>2256</v>
      </c>
      <c r="CG124" s="110">
        <v>280.3738318</v>
      </c>
      <c r="CH124" s="110" t="s">
        <v>3040</v>
      </c>
      <c r="CI124" s="110" t="s">
        <v>264</v>
      </c>
    </row>
    <row r="125" spans="1:88">
      <c r="A125" s="110" t="s">
        <v>252</v>
      </c>
      <c r="B125" s="110">
        <v>23</v>
      </c>
      <c r="C125" s="110">
        <v>1</v>
      </c>
      <c r="D125" s="110">
        <v>1</v>
      </c>
      <c r="E125" s="110">
        <v>124</v>
      </c>
      <c r="F125" s="110">
        <v>2021</v>
      </c>
      <c r="G125" s="110" t="s">
        <v>161</v>
      </c>
      <c r="H125" s="110" t="s">
        <v>2437</v>
      </c>
      <c r="I125" s="110" t="s">
        <v>182</v>
      </c>
      <c r="J125" s="110" t="s">
        <v>182</v>
      </c>
      <c r="K125" s="110" t="s">
        <v>999</v>
      </c>
      <c r="L125" s="110" t="s">
        <v>999</v>
      </c>
      <c r="R125" s="110" t="s">
        <v>272</v>
      </c>
      <c r="S125" s="110" t="s">
        <v>443</v>
      </c>
      <c r="T125" s="110" t="s">
        <v>256</v>
      </c>
      <c r="U125" s="110" t="s">
        <v>257</v>
      </c>
      <c r="V125" s="110">
        <v>55.264000000000003</v>
      </c>
      <c r="W125" s="110">
        <v>55.264000000000003</v>
      </c>
      <c r="X125" s="110">
        <v>-7.6749999999999998</v>
      </c>
      <c r="Y125" s="110" t="s">
        <v>160</v>
      </c>
      <c r="Z125" s="110" t="s">
        <v>155</v>
      </c>
      <c r="AA125" s="110" t="s">
        <v>424</v>
      </c>
      <c r="AB125" s="110" t="s">
        <v>333</v>
      </c>
      <c r="AC125" s="110" t="s">
        <v>246</v>
      </c>
      <c r="AD125" s="110" t="s">
        <v>333</v>
      </c>
      <c r="AE125" s="110" t="s">
        <v>1306</v>
      </c>
      <c r="AF125" s="110" t="s">
        <v>173</v>
      </c>
      <c r="AH125" s="110" t="s">
        <v>1775</v>
      </c>
      <c r="AI125" s="110" t="s">
        <v>246</v>
      </c>
      <c r="AJ125" s="110" t="s">
        <v>246</v>
      </c>
      <c r="AK125" s="110" t="s">
        <v>171</v>
      </c>
      <c r="AL125" s="110" t="s">
        <v>190</v>
      </c>
      <c r="AM125" s="110" t="s">
        <v>174</v>
      </c>
      <c r="AO125" s="110">
        <v>0.2</v>
      </c>
      <c r="AP125" s="110" t="s">
        <v>190</v>
      </c>
      <c r="AQ125" s="110" t="s">
        <v>176</v>
      </c>
      <c r="AR125" s="110">
        <v>2017</v>
      </c>
      <c r="AS125" s="110" t="s">
        <v>253</v>
      </c>
      <c r="AT125" s="110" t="s">
        <v>254</v>
      </c>
      <c r="AU125" s="110">
        <v>600</v>
      </c>
      <c r="AW125" s="110">
        <v>25</v>
      </c>
      <c r="AY125" s="110" t="s">
        <v>174</v>
      </c>
      <c r="AZ125" s="110" t="s">
        <v>174</v>
      </c>
      <c r="BA125" s="110" t="s">
        <v>1766</v>
      </c>
      <c r="BB125" s="110" t="s">
        <v>1766</v>
      </c>
      <c r="BC125" s="110">
        <v>14</v>
      </c>
      <c r="BE125" s="110" t="s">
        <v>182</v>
      </c>
      <c r="BF125" s="110" t="s">
        <v>412</v>
      </c>
      <c r="BH125" s="110" t="s">
        <v>174</v>
      </c>
      <c r="BI125" s="110" t="s">
        <v>182</v>
      </c>
      <c r="BJ125" s="110" t="s">
        <v>412</v>
      </c>
      <c r="BK125" s="110">
        <v>10</v>
      </c>
      <c r="BL125" s="110">
        <v>1</v>
      </c>
      <c r="BM125" s="110" t="s">
        <v>174</v>
      </c>
      <c r="BN125" s="110" t="s">
        <v>174</v>
      </c>
      <c r="BO125" s="110" t="s">
        <v>174</v>
      </c>
      <c r="BP125" s="110" t="s">
        <v>174</v>
      </c>
      <c r="BQ125" s="110" t="s">
        <v>174</v>
      </c>
      <c r="BR125" s="110" t="s">
        <v>174</v>
      </c>
      <c r="BS125" s="110">
        <v>28</v>
      </c>
      <c r="BT125" s="110" t="s">
        <v>2256</v>
      </c>
      <c r="BU125" s="110" t="s">
        <v>2606</v>
      </c>
      <c r="BV125" s="110" t="s">
        <v>2256</v>
      </c>
      <c r="CA125" s="110">
        <v>0.35</v>
      </c>
      <c r="CB125" s="110">
        <v>142.85714290000001</v>
      </c>
      <c r="CC125" s="110" t="b">
        <v>0</v>
      </c>
      <c r="CD125" s="110" t="s">
        <v>2256</v>
      </c>
      <c r="CE125" s="110" t="s">
        <v>2256</v>
      </c>
      <c r="CF125" s="110" t="s">
        <v>2256</v>
      </c>
      <c r="CG125" s="110">
        <v>285.7142857</v>
      </c>
      <c r="CH125" s="110" t="s">
        <v>263</v>
      </c>
      <c r="CI125" s="110" t="s">
        <v>264</v>
      </c>
    </row>
    <row r="126" spans="1:88">
      <c r="A126" s="110" t="s">
        <v>252</v>
      </c>
      <c r="B126" s="110">
        <v>23</v>
      </c>
      <c r="C126" s="110">
        <v>1</v>
      </c>
      <c r="D126" s="110">
        <v>1</v>
      </c>
      <c r="E126" s="110">
        <v>125</v>
      </c>
      <c r="F126" s="110">
        <v>2021</v>
      </c>
      <c r="G126" s="110" t="s">
        <v>161</v>
      </c>
      <c r="H126" s="110" t="s">
        <v>2437</v>
      </c>
      <c r="I126" s="110" t="s">
        <v>182</v>
      </c>
      <c r="J126" s="110" t="s">
        <v>182</v>
      </c>
      <c r="K126" s="110" t="s">
        <v>999</v>
      </c>
      <c r="L126" s="110" t="s">
        <v>999</v>
      </c>
      <c r="R126" s="110" t="s">
        <v>152</v>
      </c>
      <c r="S126" s="110" t="s">
        <v>2606</v>
      </c>
      <c r="T126" s="110" t="s">
        <v>258</v>
      </c>
      <c r="U126" s="110" t="s">
        <v>174</v>
      </c>
      <c r="V126" s="110">
        <v>55.264000000000003</v>
      </c>
      <c r="W126" s="110">
        <v>55.264000000000003</v>
      </c>
      <c r="X126" s="110">
        <v>-7.6749999999999998</v>
      </c>
      <c r="Y126" s="110" t="s">
        <v>160</v>
      </c>
      <c r="Z126" s="110" t="s">
        <v>155</v>
      </c>
      <c r="AA126" s="110" t="s">
        <v>424</v>
      </c>
      <c r="AB126" s="110" t="s">
        <v>333</v>
      </c>
      <c r="AC126" s="110" t="s">
        <v>246</v>
      </c>
      <c r="AD126" s="110" t="s">
        <v>333</v>
      </c>
      <c r="AE126" s="110" t="s">
        <v>1306</v>
      </c>
      <c r="AF126" s="110" t="s">
        <v>173</v>
      </c>
      <c r="AH126" s="110" t="s">
        <v>1775</v>
      </c>
      <c r="AI126" s="110" t="s">
        <v>246</v>
      </c>
      <c r="AJ126" s="110" t="s">
        <v>246</v>
      </c>
      <c r="AK126" s="110" t="s">
        <v>171</v>
      </c>
      <c r="AL126" s="110" t="s">
        <v>190</v>
      </c>
      <c r="AM126" s="110" t="s">
        <v>174</v>
      </c>
      <c r="AO126" s="110">
        <v>0.2</v>
      </c>
      <c r="AP126" s="110" t="s">
        <v>190</v>
      </c>
      <c r="AQ126" s="110" t="s">
        <v>176</v>
      </c>
      <c r="AR126" s="110">
        <v>2017</v>
      </c>
      <c r="AS126" s="110" t="s">
        <v>253</v>
      </c>
      <c r="AT126" s="110" t="s">
        <v>254</v>
      </c>
      <c r="AU126" s="110">
        <v>600</v>
      </c>
      <c r="AW126" s="110" t="s">
        <v>174</v>
      </c>
      <c r="AY126" s="110" t="s">
        <v>174</v>
      </c>
      <c r="AZ126" s="110" t="s">
        <v>174</v>
      </c>
      <c r="BA126" s="110" t="s">
        <v>1766</v>
      </c>
      <c r="BB126" s="110" t="s">
        <v>1766</v>
      </c>
      <c r="BC126" s="110">
        <v>14</v>
      </c>
      <c r="BE126" s="110" t="s">
        <v>182</v>
      </c>
      <c r="BF126" s="110" t="s">
        <v>412</v>
      </c>
      <c r="BH126" s="110" t="s">
        <v>174</v>
      </c>
      <c r="BI126" s="110" t="s">
        <v>182</v>
      </c>
      <c r="BJ126" s="110" t="s">
        <v>412</v>
      </c>
      <c r="BK126" s="110">
        <v>10</v>
      </c>
      <c r="BL126" s="110">
        <v>1</v>
      </c>
      <c r="BM126" s="110" t="s">
        <v>174</v>
      </c>
      <c r="BN126" s="110" t="s">
        <v>174</v>
      </c>
      <c r="BO126" s="110" t="s">
        <v>174</v>
      </c>
      <c r="BP126" s="110" t="s">
        <v>174</v>
      </c>
      <c r="BQ126" s="110" t="s">
        <v>174</v>
      </c>
      <c r="BR126" s="110" t="s">
        <v>174</v>
      </c>
      <c r="BS126" s="110">
        <v>28</v>
      </c>
      <c r="BT126" s="110" t="s">
        <v>2256</v>
      </c>
      <c r="BU126" s="110" t="s">
        <v>2606</v>
      </c>
      <c r="BV126" s="110" t="s">
        <v>2256</v>
      </c>
      <c r="CA126" s="110">
        <v>0.5</v>
      </c>
      <c r="CB126" s="110">
        <v>100</v>
      </c>
      <c r="CC126" s="110" t="b">
        <v>0</v>
      </c>
      <c r="CD126" s="110" t="s">
        <v>2256</v>
      </c>
      <c r="CE126" s="110" t="s">
        <v>2256</v>
      </c>
      <c r="CF126" s="110" t="s">
        <v>2256</v>
      </c>
      <c r="CG126" s="110">
        <v>200</v>
      </c>
      <c r="CH126" s="110" t="s">
        <v>3040</v>
      </c>
      <c r="CI126" s="110" t="s">
        <v>264</v>
      </c>
    </row>
    <row r="127" spans="1:88">
      <c r="A127" s="110" t="s">
        <v>252</v>
      </c>
      <c r="B127" s="110">
        <v>23</v>
      </c>
      <c r="C127" s="110">
        <v>1</v>
      </c>
      <c r="D127" s="110">
        <v>1</v>
      </c>
      <c r="E127" s="110">
        <v>126</v>
      </c>
      <c r="F127" s="110">
        <v>2021</v>
      </c>
      <c r="G127" s="110" t="s">
        <v>161</v>
      </c>
      <c r="H127" s="110" t="s">
        <v>2437</v>
      </c>
      <c r="I127" s="110" t="s">
        <v>182</v>
      </c>
      <c r="J127" s="110" t="s">
        <v>182</v>
      </c>
      <c r="K127" s="110" t="s">
        <v>999</v>
      </c>
      <c r="L127" s="110" t="s">
        <v>999</v>
      </c>
      <c r="R127" s="110" t="s">
        <v>152</v>
      </c>
      <c r="S127" s="110" t="s">
        <v>2606</v>
      </c>
      <c r="T127" s="110" t="s">
        <v>258</v>
      </c>
      <c r="U127" s="110" t="s">
        <v>174</v>
      </c>
      <c r="V127" s="110">
        <v>55.264000000000003</v>
      </c>
      <c r="W127" s="110">
        <v>55.264000000000003</v>
      </c>
      <c r="X127" s="110">
        <v>-7.6749999999999998</v>
      </c>
      <c r="Y127" s="110" t="s">
        <v>160</v>
      </c>
      <c r="Z127" s="110" t="s">
        <v>155</v>
      </c>
      <c r="AA127" s="110" t="s">
        <v>424</v>
      </c>
      <c r="AB127" s="110" t="s">
        <v>333</v>
      </c>
      <c r="AC127" s="110" t="s">
        <v>246</v>
      </c>
      <c r="AD127" s="110" t="s">
        <v>333</v>
      </c>
      <c r="AE127" s="110" t="s">
        <v>1306</v>
      </c>
      <c r="AF127" s="110" t="s">
        <v>173</v>
      </c>
      <c r="AH127" s="110" t="s">
        <v>1775</v>
      </c>
      <c r="AI127" s="110" t="s">
        <v>246</v>
      </c>
      <c r="AJ127" s="110" t="s">
        <v>246</v>
      </c>
      <c r="AK127" s="110" t="s">
        <v>171</v>
      </c>
      <c r="AL127" s="110" t="s">
        <v>190</v>
      </c>
      <c r="AM127" s="110" t="s">
        <v>174</v>
      </c>
      <c r="AO127" s="110">
        <v>0.2</v>
      </c>
      <c r="AP127" s="110" t="s">
        <v>190</v>
      </c>
      <c r="AQ127" s="110" t="s">
        <v>176</v>
      </c>
      <c r="AR127" s="110">
        <v>2017</v>
      </c>
      <c r="AS127" s="110" t="s">
        <v>253</v>
      </c>
      <c r="AT127" s="110" t="s">
        <v>254</v>
      </c>
      <c r="AU127" s="110">
        <v>600</v>
      </c>
      <c r="AW127" s="110" t="s">
        <v>174</v>
      </c>
      <c r="AY127" s="110" t="s">
        <v>174</v>
      </c>
      <c r="AZ127" s="110" t="s">
        <v>174</v>
      </c>
      <c r="BA127" s="110" t="s">
        <v>1766</v>
      </c>
      <c r="BB127" s="110" t="s">
        <v>1766</v>
      </c>
      <c r="BC127" s="110">
        <v>14</v>
      </c>
      <c r="BE127" s="110" t="s">
        <v>182</v>
      </c>
      <c r="BF127" s="110" t="s">
        <v>412</v>
      </c>
      <c r="BH127" s="110" t="s">
        <v>174</v>
      </c>
      <c r="BI127" s="110" t="s">
        <v>182</v>
      </c>
      <c r="BJ127" s="110" t="s">
        <v>412</v>
      </c>
      <c r="BK127" s="110">
        <v>10</v>
      </c>
      <c r="BL127" s="110">
        <v>1</v>
      </c>
      <c r="BM127" s="110" t="s">
        <v>174</v>
      </c>
      <c r="BN127" s="110" t="s">
        <v>174</v>
      </c>
      <c r="BO127" s="110" t="s">
        <v>174</v>
      </c>
      <c r="BP127" s="110" t="s">
        <v>174</v>
      </c>
      <c r="BQ127" s="110" t="s">
        <v>174</v>
      </c>
      <c r="BR127" s="110" t="s">
        <v>174</v>
      </c>
      <c r="BS127" s="110">
        <v>28</v>
      </c>
      <c r="BT127" s="110" t="s">
        <v>2256</v>
      </c>
      <c r="BU127" s="110" t="s">
        <v>2606</v>
      </c>
      <c r="BV127" s="110" t="s">
        <v>2256</v>
      </c>
      <c r="CA127" s="110">
        <v>0.45833333300000001</v>
      </c>
      <c r="CB127" s="110">
        <v>109.0909091</v>
      </c>
      <c r="CC127" s="110" t="b">
        <v>0</v>
      </c>
      <c r="CD127" s="110" t="s">
        <v>2256</v>
      </c>
      <c r="CE127" s="110" t="s">
        <v>2256</v>
      </c>
      <c r="CF127" s="110" t="s">
        <v>2256</v>
      </c>
      <c r="CG127" s="110">
        <v>218.18181820000001</v>
      </c>
      <c r="CH127" s="110" t="s">
        <v>263</v>
      </c>
      <c r="CI127" s="110" t="s">
        <v>264</v>
      </c>
    </row>
    <row r="128" spans="1:88">
      <c r="A128" s="110" t="s">
        <v>535</v>
      </c>
      <c r="B128" s="110">
        <v>24</v>
      </c>
      <c r="C128" s="110">
        <v>1</v>
      </c>
      <c r="D128" s="110">
        <v>1</v>
      </c>
      <c r="E128" s="110">
        <v>127</v>
      </c>
      <c r="F128" s="110">
        <v>2016</v>
      </c>
      <c r="G128" s="110" t="s">
        <v>161</v>
      </c>
      <c r="H128" s="110" t="s">
        <v>1219</v>
      </c>
      <c r="I128" s="110" t="s">
        <v>182</v>
      </c>
      <c r="J128" s="110" t="s">
        <v>246</v>
      </c>
      <c r="K128" s="110" t="s">
        <v>999</v>
      </c>
      <c r="L128" s="110" t="s">
        <v>999</v>
      </c>
      <c r="R128" s="110" t="s">
        <v>152</v>
      </c>
      <c r="S128" s="110" t="s">
        <v>443</v>
      </c>
      <c r="T128" s="110" t="s">
        <v>347</v>
      </c>
      <c r="U128" s="110" t="s">
        <v>348</v>
      </c>
      <c r="V128" s="110">
        <v>36.738694440000003</v>
      </c>
      <c r="W128" s="110">
        <v>-36.738694440000003</v>
      </c>
      <c r="X128" s="110">
        <v>175.65077779999999</v>
      </c>
      <c r="Y128" s="110" t="s">
        <v>483</v>
      </c>
      <c r="Z128" s="110" t="s">
        <v>802</v>
      </c>
      <c r="AA128" s="110" t="s">
        <v>1788</v>
      </c>
      <c r="AB128" s="110" t="s">
        <v>1726</v>
      </c>
      <c r="AC128" s="110" t="s">
        <v>182</v>
      </c>
      <c r="AD128" s="110" t="s">
        <v>333</v>
      </c>
      <c r="AE128" s="110" t="s">
        <v>1123</v>
      </c>
      <c r="AF128" s="110" t="s">
        <v>1790</v>
      </c>
      <c r="AG128" s="110" t="s">
        <v>190</v>
      </c>
      <c r="AH128" s="110" t="s">
        <v>1776</v>
      </c>
      <c r="AI128" s="110" t="s">
        <v>246</v>
      </c>
      <c r="AJ128" s="110" t="s">
        <v>246</v>
      </c>
      <c r="AK128" s="110" t="s">
        <v>171</v>
      </c>
      <c r="AL128" s="110" t="s">
        <v>190</v>
      </c>
      <c r="AO128" s="110">
        <v>2</v>
      </c>
      <c r="AP128" s="110" t="s">
        <v>190</v>
      </c>
      <c r="AQ128" s="110" t="s">
        <v>176</v>
      </c>
      <c r="AR128" s="110">
        <v>2014</v>
      </c>
      <c r="AS128" s="110" t="s">
        <v>384</v>
      </c>
      <c r="AT128" s="110" t="s">
        <v>420</v>
      </c>
      <c r="AW128" s="110">
        <v>18.39</v>
      </c>
      <c r="AX128" s="110" t="s">
        <v>174</v>
      </c>
      <c r="AY128" s="110" t="s">
        <v>174</v>
      </c>
      <c r="AZ128" s="110" t="s">
        <v>174</v>
      </c>
      <c r="BA128" s="110">
        <v>20.100000000000001</v>
      </c>
      <c r="BB128" s="110">
        <v>22.2</v>
      </c>
      <c r="BC128" s="110">
        <v>21.15</v>
      </c>
      <c r="BD128" s="110">
        <v>2.1</v>
      </c>
      <c r="BE128" s="110" t="s">
        <v>182</v>
      </c>
      <c r="BF128" s="110" t="s">
        <v>412</v>
      </c>
      <c r="BG128" s="110" t="s">
        <v>486</v>
      </c>
      <c r="BH128" s="110" t="s">
        <v>224</v>
      </c>
      <c r="BI128" s="110" t="s">
        <v>246</v>
      </c>
      <c r="BJ128" s="110" t="s">
        <v>190</v>
      </c>
      <c r="BK128" s="110">
        <v>4</v>
      </c>
      <c r="BL128" s="110">
        <v>3</v>
      </c>
      <c r="BM128" s="110" t="s">
        <v>174</v>
      </c>
      <c r="BN128" s="110" t="s">
        <v>174</v>
      </c>
      <c r="BO128" s="110" t="s">
        <v>174</v>
      </c>
      <c r="BP128" s="110" t="s">
        <v>174</v>
      </c>
      <c r="BQ128" s="110" t="s">
        <v>174</v>
      </c>
      <c r="BR128" s="110" t="s">
        <v>174</v>
      </c>
      <c r="BS128" s="110">
        <v>46</v>
      </c>
      <c r="BT128" s="110" t="s">
        <v>2347</v>
      </c>
      <c r="BU128" s="110" t="s">
        <v>1394</v>
      </c>
      <c r="BV128" s="110" t="s">
        <v>2603</v>
      </c>
      <c r="BW128" s="110">
        <v>1</v>
      </c>
      <c r="BZ128" s="110">
        <v>0.2661</v>
      </c>
      <c r="CB128" s="110">
        <v>2.6</v>
      </c>
      <c r="CC128" s="110" t="b">
        <v>0</v>
      </c>
      <c r="CD128" s="110">
        <v>0</v>
      </c>
      <c r="CE128" s="110">
        <v>0</v>
      </c>
      <c r="CF128" s="110" t="s">
        <v>246</v>
      </c>
      <c r="CG128" s="110" t="s">
        <v>174</v>
      </c>
      <c r="CH128" s="110" t="s">
        <v>174</v>
      </c>
      <c r="CI128" s="110" t="s">
        <v>487</v>
      </c>
      <c r="CJ128" s="110" t="s">
        <v>484</v>
      </c>
    </row>
    <row r="129" spans="1:88">
      <c r="A129" s="110" t="s">
        <v>418</v>
      </c>
      <c r="B129" s="110">
        <v>25</v>
      </c>
      <c r="C129" s="110">
        <v>1</v>
      </c>
      <c r="D129" s="110">
        <v>1</v>
      </c>
      <c r="E129" s="110">
        <v>128</v>
      </c>
      <c r="F129" s="110">
        <v>2018</v>
      </c>
      <c r="G129" s="110" t="s">
        <v>161</v>
      </c>
      <c r="H129" s="110" t="s">
        <v>2440</v>
      </c>
      <c r="I129" s="110" t="s">
        <v>182</v>
      </c>
      <c r="J129" s="110" t="s">
        <v>246</v>
      </c>
      <c r="K129" s="110" t="s">
        <v>999</v>
      </c>
      <c r="L129" s="110" t="s">
        <v>999</v>
      </c>
      <c r="R129" s="110" t="s">
        <v>152</v>
      </c>
      <c r="S129" s="110" t="s">
        <v>443</v>
      </c>
      <c r="T129" s="110" t="s">
        <v>156</v>
      </c>
      <c r="U129" s="110" t="s">
        <v>552</v>
      </c>
      <c r="V129" s="110">
        <v>42.575833330000002</v>
      </c>
      <c r="W129" s="110">
        <v>42.575833330000002</v>
      </c>
      <c r="X129" s="110">
        <v>-9.0544444399999993</v>
      </c>
      <c r="Y129" s="110" t="s">
        <v>419</v>
      </c>
      <c r="Z129" s="110" t="s">
        <v>155</v>
      </c>
      <c r="AA129" s="110" t="s">
        <v>424</v>
      </c>
      <c r="AB129" s="110" t="s">
        <v>333</v>
      </c>
      <c r="AC129" s="110" t="s">
        <v>246</v>
      </c>
      <c r="AD129" s="110" t="s">
        <v>333</v>
      </c>
      <c r="AE129" s="110" t="s">
        <v>1306</v>
      </c>
      <c r="AF129" s="110" t="s">
        <v>1745</v>
      </c>
      <c r="AH129" s="110" t="s">
        <v>1777</v>
      </c>
      <c r="AI129" s="110" t="s">
        <v>246</v>
      </c>
      <c r="AJ129" s="110" t="s">
        <v>246</v>
      </c>
      <c r="AK129" s="110" t="s">
        <v>2193</v>
      </c>
      <c r="AL129" s="110" t="s">
        <v>190</v>
      </c>
      <c r="AO129" s="110">
        <v>1</v>
      </c>
      <c r="AP129" s="110" t="s">
        <v>190</v>
      </c>
      <c r="AQ129" s="110" t="s">
        <v>176</v>
      </c>
      <c r="AR129" s="110">
        <v>2011</v>
      </c>
      <c r="AS129" s="110" t="s">
        <v>236</v>
      </c>
      <c r="AT129" s="110" t="s">
        <v>420</v>
      </c>
      <c r="AU129" s="110">
        <v>150</v>
      </c>
      <c r="AW129" s="110" t="s">
        <v>174</v>
      </c>
      <c r="AX129" s="110" t="s">
        <v>174</v>
      </c>
      <c r="AY129" s="110" t="s">
        <v>174</v>
      </c>
      <c r="AZ129" s="110" t="s">
        <v>174</v>
      </c>
      <c r="BA129" s="110">
        <v>22.4</v>
      </c>
      <c r="BB129" s="110">
        <v>22.4</v>
      </c>
      <c r="BC129" s="110">
        <v>22.4</v>
      </c>
      <c r="BD129" s="110">
        <v>0</v>
      </c>
      <c r="BE129" s="110" t="s">
        <v>182</v>
      </c>
      <c r="BF129" s="110" t="s">
        <v>412</v>
      </c>
      <c r="BH129" s="110" t="s">
        <v>174</v>
      </c>
      <c r="BI129" s="110" t="s">
        <v>182</v>
      </c>
      <c r="BJ129" s="110" t="s">
        <v>412</v>
      </c>
      <c r="BK129" s="110">
        <v>2</v>
      </c>
      <c r="BL129" s="110">
        <v>6</v>
      </c>
      <c r="BM129" s="110" t="s">
        <v>1394</v>
      </c>
      <c r="BN129" s="110" t="s">
        <v>174</v>
      </c>
      <c r="BO129" s="110" t="s">
        <v>174</v>
      </c>
      <c r="BP129" s="110" t="s">
        <v>174</v>
      </c>
      <c r="BQ129" s="110" t="s">
        <v>174</v>
      </c>
      <c r="BR129" s="110" t="s">
        <v>174</v>
      </c>
      <c r="BS129" s="110">
        <v>43</v>
      </c>
      <c r="BT129" s="110" t="s">
        <v>1385</v>
      </c>
      <c r="BU129" s="110" t="s">
        <v>3207</v>
      </c>
      <c r="BV129" s="110" t="s">
        <v>2603</v>
      </c>
      <c r="BW129" s="110">
        <v>0.93</v>
      </c>
      <c r="BZ129" s="110">
        <v>1.8985000000000001</v>
      </c>
      <c r="CB129" s="110">
        <v>0.78</v>
      </c>
      <c r="CC129" s="110" t="b">
        <v>0</v>
      </c>
      <c r="CD129" s="110">
        <v>35.5</v>
      </c>
      <c r="CE129" s="110">
        <v>35.5</v>
      </c>
      <c r="CF129" s="110" t="s">
        <v>182</v>
      </c>
      <c r="CG129" s="110" t="s">
        <v>174</v>
      </c>
      <c r="CH129" s="110" t="s">
        <v>333</v>
      </c>
      <c r="CI129" s="110" t="s">
        <v>422</v>
      </c>
    </row>
    <row r="130" spans="1:88">
      <c r="A130" s="110" t="s">
        <v>418</v>
      </c>
      <c r="B130" s="110">
        <v>25</v>
      </c>
      <c r="C130" s="110">
        <v>1</v>
      </c>
      <c r="D130" s="110">
        <v>1</v>
      </c>
      <c r="E130" s="110">
        <v>129</v>
      </c>
      <c r="F130" s="110">
        <v>2018</v>
      </c>
      <c r="G130" s="110" t="s">
        <v>161</v>
      </c>
      <c r="H130" s="110" t="s">
        <v>2440</v>
      </c>
      <c r="I130" s="110" t="s">
        <v>182</v>
      </c>
      <c r="J130" s="110" t="s">
        <v>246</v>
      </c>
      <c r="K130" s="110" t="s">
        <v>999</v>
      </c>
      <c r="L130" s="110" t="s">
        <v>999</v>
      </c>
      <c r="R130" s="110" t="s">
        <v>152</v>
      </c>
      <c r="S130" s="110" t="s">
        <v>443</v>
      </c>
      <c r="T130" s="110" t="s">
        <v>156</v>
      </c>
      <c r="U130" s="110" t="s">
        <v>552</v>
      </c>
      <c r="V130" s="110">
        <v>42.575833330000002</v>
      </c>
      <c r="W130" s="110">
        <v>42.575833330000002</v>
      </c>
      <c r="X130" s="110">
        <v>-9.0544444399999993</v>
      </c>
      <c r="Y130" s="110" t="s">
        <v>419</v>
      </c>
      <c r="Z130" s="110" t="s">
        <v>155</v>
      </c>
      <c r="AA130" s="110" t="s">
        <v>424</v>
      </c>
      <c r="AB130" s="110" t="s">
        <v>333</v>
      </c>
      <c r="AC130" s="110" t="s">
        <v>246</v>
      </c>
      <c r="AD130" s="110" t="s">
        <v>333</v>
      </c>
      <c r="AE130" s="110" t="s">
        <v>1306</v>
      </c>
      <c r="AF130" s="110" t="s">
        <v>1745</v>
      </c>
      <c r="AH130" s="110" t="s">
        <v>1777</v>
      </c>
      <c r="AI130" s="110" t="s">
        <v>246</v>
      </c>
      <c r="AJ130" s="110" t="s">
        <v>246</v>
      </c>
      <c r="AK130" s="110" t="s">
        <v>2194</v>
      </c>
      <c r="AL130" s="110" t="s">
        <v>190</v>
      </c>
      <c r="AO130" s="110" t="s">
        <v>190</v>
      </c>
      <c r="AP130" s="110" t="s">
        <v>190</v>
      </c>
      <c r="AQ130" s="110" t="s">
        <v>176</v>
      </c>
      <c r="AR130" s="110">
        <v>2011</v>
      </c>
      <c r="AS130" s="110" t="s">
        <v>236</v>
      </c>
      <c r="AT130" s="110" t="s">
        <v>420</v>
      </c>
      <c r="AU130" s="110">
        <v>150</v>
      </c>
      <c r="AW130" s="110" t="s">
        <v>174</v>
      </c>
      <c r="AX130" s="110" t="s">
        <v>174</v>
      </c>
      <c r="AY130" s="110" t="s">
        <v>174</v>
      </c>
      <c r="AZ130" s="110" t="s">
        <v>174</v>
      </c>
      <c r="BA130" s="110">
        <v>22.4</v>
      </c>
      <c r="BB130" s="110">
        <v>22.4</v>
      </c>
      <c r="BC130" s="110">
        <v>22.4</v>
      </c>
      <c r="BD130" s="110">
        <v>0</v>
      </c>
      <c r="BE130" s="110" t="s">
        <v>182</v>
      </c>
      <c r="BF130" s="110" t="s">
        <v>412</v>
      </c>
      <c r="BH130" s="110" t="s">
        <v>174</v>
      </c>
      <c r="BI130" s="110" t="s">
        <v>182</v>
      </c>
      <c r="BJ130" s="110" t="s">
        <v>412</v>
      </c>
      <c r="BK130" s="110">
        <v>2</v>
      </c>
      <c r="BL130" s="110">
        <v>6</v>
      </c>
      <c r="BM130" s="110" t="s">
        <v>1394</v>
      </c>
      <c r="BN130" s="110" t="s">
        <v>174</v>
      </c>
      <c r="BO130" s="110" t="s">
        <v>174</v>
      </c>
      <c r="BP130" s="110" t="s">
        <v>174</v>
      </c>
      <c r="BQ130" s="110" t="s">
        <v>174</v>
      </c>
      <c r="BR130" s="110" t="s">
        <v>174</v>
      </c>
      <c r="BS130" s="110">
        <v>43</v>
      </c>
      <c r="BT130" s="110" t="s">
        <v>1385</v>
      </c>
      <c r="BU130" s="110" t="s">
        <v>3207</v>
      </c>
      <c r="BV130" s="110" t="s">
        <v>2603</v>
      </c>
      <c r="BW130" s="110">
        <v>0.87</v>
      </c>
      <c r="BZ130" s="110">
        <v>0.78210000000000002</v>
      </c>
      <c r="CB130" s="110">
        <v>1.0900000000000001</v>
      </c>
      <c r="CC130" s="110" t="b">
        <v>0</v>
      </c>
      <c r="CD130" s="110">
        <v>14.9</v>
      </c>
      <c r="CE130" s="110">
        <v>14.9</v>
      </c>
      <c r="CF130" s="110" t="s">
        <v>182</v>
      </c>
      <c r="CG130" s="110" t="s">
        <v>174</v>
      </c>
      <c r="CH130" s="110" t="s">
        <v>333</v>
      </c>
      <c r="CI130" s="110" t="s">
        <v>422</v>
      </c>
    </row>
    <row r="131" spans="1:88">
      <c r="A131" s="110" t="s">
        <v>418</v>
      </c>
      <c r="B131" s="110">
        <v>25</v>
      </c>
      <c r="C131" s="110">
        <v>1</v>
      </c>
      <c r="D131" s="110">
        <v>1</v>
      </c>
      <c r="E131" s="110">
        <v>130</v>
      </c>
      <c r="F131" s="110">
        <v>2018</v>
      </c>
      <c r="G131" s="110" t="s">
        <v>161</v>
      </c>
      <c r="H131" s="110" t="s">
        <v>2440</v>
      </c>
      <c r="I131" s="110" t="s">
        <v>182</v>
      </c>
      <c r="J131" s="110" t="s">
        <v>246</v>
      </c>
      <c r="K131" s="110" t="s">
        <v>999</v>
      </c>
      <c r="L131" s="110" t="s">
        <v>999</v>
      </c>
      <c r="R131" s="110" t="s">
        <v>152</v>
      </c>
      <c r="S131" s="110" t="s">
        <v>443</v>
      </c>
      <c r="T131" s="110" t="s">
        <v>156</v>
      </c>
      <c r="U131" s="110" t="s">
        <v>552</v>
      </c>
      <c r="V131" s="110">
        <v>42.575833330000002</v>
      </c>
      <c r="W131" s="110">
        <v>42.575833330000002</v>
      </c>
      <c r="X131" s="110">
        <v>-9.0544444399999993</v>
      </c>
      <c r="Y131" s="110" t="s">
        <v>419</v>
      </c>
      <c r="Z131" s="110" t="s">
        <v>155</v>
      </c>
      <c r="AA131" s="110" t="s">
        <v>424</v>
      </c>
      <c r="AB131" s="110" t="s">
        <v>333</v>
      </c>
      <c r="AC131" s="110" t="s">
        <v>246</v>
      </c>
      <c r="AD131" s="110" t="s">
        <v>333</v>
      </c>
      <c r="AE131" s="110" t="s">
        <v>1306</v>
      </c>
      <c r="AF131" s="110" t="s">
        <v>1745</v>
      </c>
      <c r="AH131" s="110" t="s">
        <v>1777</v>
      </c>
      <c r="AI131" s="110" t="s">
        <v>246</v>
      </c>
      <c r="AJ131" s="110" t="s">
        <v>246</v>
      </c>
      <c r="AK131" s="110" t="s">
        <v>333</v>
      </c>
      <c r="AL131" s="110" t="s">
        <v>190</v>
      </c>
      <c r="AO131" s="110" t="s">
        <v>190</v>
      </c>
      <c r="AP131" s="110" t="s">
        <v>190</v>
      </c>
      <c r="AQ131" s="110" t="s">
        <v>176</v>
      </c>
      <c r="AR131" s="110">
        <v>2011</v>
      </c>
      <c r="AS131" s="110" t="s">
        <v>236</v>
      </c>
      <c r="AT131" s="110" t="s">
        <v>420</v>
      </c>
      <c r="AU131" s="110">
        <v>150</v>
      </c>
      <c r="AW131" s="110" t="s">
        <v>174</v>
      </c>
      <c r="AX131" s="110" t="s">
        <v>174</v>
      </c>
      <c r="AY131" s="110" t="s">
        <v>174</v>
      </c>
      <c r="AZ131" s="110" t="s">
        <v>174</v>
      </c>
      <c r="BA131" s="110">
        <v>22.4</v>
      </c>
      <c r="BB131" s="110">
        <v>22.4</v>
      </c>
      <c r="BC131" s="110">
        <v>22.4</v>
      </c>
      <c r="BD131" s="110">
        <v>0</v>
      </c>
      <c r="BE131" s="110" t="s">
        <v>182</v>
      </c>
      <c r="BF131" s="110" t="s">
        <v>412</v>
      </c>
      <c r="BH131" s="110" t="s">
        <v>174</v>
      </c>
      <c r="BI131" s="110" t="s">
        <v>182</v>
      </c>
      <c r="BJ131" s="110" t="s">
        <v>412</v>
      </c>
      <c r="BK131" s="110">
        <v>2</v>
      </c>
      <c r="BL131" s="110">
        <v>6</v>
      </c>
      <c r="BM131" s="110" t="s">
        <v>1394</v>
      </c>
      <c r="BN131" s="110" t="s">
        <v>174</v>
      </c>
      <c r="BO131" s="110" t="s">
        <v>174</v>
      </c>
      <c r="BP131" s="110" t="s">
        <v>174</v>
      </c>
      <c r="BQ131" s="110" t="s">
        <v>174</v>
      </c>
      <c r="BR131" s="110" t="s">
        <v>174</v>
      </c>
      <c r="BS131" s="110">
        <v>43</v>
      </c>
      <c r="BT131" s="110" t="s">
        <v>1385</v>
      </c>
      <c r="BU131" s="110" t="s">
        <v>3207</v>
      </c>
      <c r="BV131" s="110" t="s">
        <v>2603</v>
      </c>
      <c r="BW131" s="110">
        <v>0.84</v>
      </c>
      <c r="BZ131" s="110">
        <v>1.1964999999999999</v>
      </c>
      <c r="CB131" s="110">
        <v>0.78500000000000003</v>
      </c>
      <c r="CC131" s="110" t="b">
        <v>0</v>
      </c>
      <c r="CD131" s="110">
        <v>18.399999999999999</v>
      </c>
      <c r="CE131" s="110">
        <v>18.399999999999999</v>
      </c>
      <c r="CF131" s="110" t="s">
        <v>182</v>
      </c>
      <c r="CG131" s="110" t="s">
        <v>174</v>
      </c>
      <c r="CH131" s="110" t="s">
        <v>333</v>
      </c>
      <c r="CI131" s="110" t="s">
        <v>422</v>
      </c>
    </row>
    <row r="132" spans="1:88">
      <c r="A132" s="110" t="s">
        <v>772</v>
      </c>
      <c r="B132" s="110">
        <v>26</v>
      </c>
      <c r="C132" s="110">
        <v>1</v>
      </c>
      <c r="D132" s="110">
        <v>1</v>
      </c>
      <c r="E132" s="110">
        <v>131</v>
      </c>
      <c r="F132" s="110">
        <v>1981</v>
      </c>
      <c r="G132" s="110" t="s">
        <v>161</v>
      </c>
      <c r="H132" s="110" t="s">
        <v>2440</v>
      </c>
      <c r="I132" s="110" t="s">
        <v>182</v>
      </c>
      <c r="J132" s="110" t="s">
        <v>246</v>
      </c>
      <c r="K132" s="110" t="s">
        <v>999</v>
      </c>
      <c r="L132" s="110" t="s">
        <v>999</v>
      </c>
      <c r="R132" s="110" t="s">
        <v>152</v>
      </c>
      <c r="S132" s="110" t="s">
        <v>443</v>
      </c>
      <c r="T132" s="110" t="s">
        <v>347</v>
      </c>
      <c r="U132" s="110" t="s">
        <v>769</v>
      </c>
      <c r="V132" s="110">
        <v>34.08</v>
      </c>
      <c r="W132" s="110">
        <v>-34.08</v>
      </c>
      <c r="X132" s="110">
        <v>18.190000000000001</v>
      </c>
      <c r="Y132" s="110" t="s">
        <v>770</v>
      </c>
      <c r="Z132" s="110" t="s">
        <v>1721</v>
      </c>
      <c r="AA132" s="110" t="s">
        <v>424</v>
      </c>
      <c r="AB132" s="110" t="s">
        <v>333</v>
      </c>
      <c r="AC132" s="110" t="s">
        <v>246</v>
      </c>
      <c r="AD132" s="110" t="s">
        <v>333</v>
      </c>
      <c r="AE132" s="110" t="s">
        <v>1306</v>
      </c>
      <c r="AF132" s="110" t="s">
        <v>1745</v>
      </c>
      <c r="AH132" s="110" t="s">
        <v>1778</v>
      </c>
      <c r="AI132" s="110" t="s">
        <v>246</v>
      </c>
      <c r="AJ132" s="110" t="s">
        <v>246</v>
      </c>
      <c r="AK132" s="110" t="s">
        <v>333</v>
      </c>
      <c r="AL132" s="110" t="s">
        <v>190</v>
      </c>
      <c r="AO132" s="110" t="s">
        <v>190</v>
      </c>
      <c r="AP132" s="110" t="s">
        <v>190</v>
      </c>
      <c r="AQ132" s="110" t="s">
        <v>176</v>
      </c>
      <c r="AR132" s="110">
        <v>1979</v>
      </c>
      <c r="AS132" s="110" t="s">
        <v>384</v>
      </c>
      <c r="AT132" s="110" t="s">
        <v>420</v>
      </c>
      <c r="AU132" s="110">
        <v>1000</v>
      </c>
      <c r="AW132" s="110" t="s">
        <v>174</v>
      </c>
      <c r="AX132" s="110" t="s">
        <v>174</v>
      </c>
      <c r="AY132" s="110" t="s">
        <v>174</v>
      </c>
      <c r="AZ132" s="110" t="s">
        <v>174</v>
      </c>
      <c r="BA132" s="110" t="s">
        <v>1766</v>
      </c>
      <c r="BB132" s="110" t="s">
        <v>1766</v>
      </c>
      <c r="BE132" s="110" t="s">
        <v>182</v>
      </c>
      <c r="BF132" s="110" t="s">
        <v>412</v>
      </c>
      <c r="BH132" s="110" t="s">
        <v>174</v>
      </c>
      <c r="BI132" s="110" t="s">
        <v>182</v>
      </c>
      <c r="BJ132" s="110" t="s">
        <v>412</v>
      </c>
      <c r="BK132" s="110">
        <v>5</v>
      </c>
      <c r="BL132" s="110">
        <v>15</v>
      </c>
      <c r="BM132" s="110" t="s">
        <v>174</v>
      </c>
      <c r="BN132" s="110" t="s">
        <v>174</v>
      </c>
      <c r="BO132" s="110" t="s">
        <v>174</v>
      </c>
      <c r="BP132" s="110" t="s">
        <v>174</v>
      </c>
      <c r="BQ132" s="110" t="s">
        <v>174</v>
      </c>
      <c r="BR132" s="110" t="s">
        <v>174</v>
      </c>
      <c r="BS132" s="110">
        <v>30</v>
      </c>
      <c r="BT132" s="110" t="s">
        <v>1385</v>
      </c>
      <c r="BU132" s="110" t="s">
        <v>3207</v>
      </c>
      <c r="BV132" s="110" t="s">
        <v>2603</v>
      </c>
      <c r="BW132" s="110">
        <v>0.97</v>
      </c>
      <c r="BZ132" s="110">
        <v>0.1462</v>
      </c>
      <c r="CB132" s="110">
        <v>8.68</v>
      </c>
      <c r="CC132" s="110" t="b">
        <v>0</v>
      </c>
      <c r="CD132" s="110">
        <v>27.5</v>
      </c>
      <c r="CE132" s="110">
        <v>27.5</v>
      </c>
      <c r="CF132" s="110" t="s">
        <v>182</v>
      </c>
      <c r="CG132" s="110" t="s">
        <v>174</v>
      </c>
      <c r="CH132" s="110" t="s">
        <v>773</v>
      </c>
      <c r="CI132" s="110" t="s">
        <v>751</v>
      </c>
    </row>
    <row r="133" spans="1:88">
      <c r="A133" s="110" t="s">
        <v>772</v>
      </c>
      <c r="B133" s="110">
        <v>26</v>
      </c>
      <c r="C133" s="110">
        <v>1</v>
      </c>
      <c r="D133" s="110">
        <v>1</v>
      </c>
      <c r="E133" s="110">
        <v>132</v>
      </c>
      <c r="F133" s="110">
        <v>1981</v>
      </c>
      <c r="G133" s="110" t="s">
        <v>161</v>
      </c>
      <c r="H133" s="110" t="s">
        <v>2440</v>
      </c>
      <c r="I133" s="110" t="s">
        <v>182</v>
      </c>
      <c r="J133" s="110" t="s">
        <v>246</v>
      </c>
      <c r="K133" s="110" t="s">
        <v>999</v>
      </c>
      <c r="L133" s="110" t="s">
        <v>999</v>
      </c>
      <c r="R133" s="110" t="s">
        <v>152</v>
      </c>
      <c r="S133" s="110" t="s">
        <v>443</v>
      </c>
      <c r="T133" s="110" t="s">
        <v>347</v>
      </c>
      <c r="U133" s="110" t="s">
        <v>769</v>
      </c>
      <c r="V133" s="110">
        <v>34.08</v>
      </c>
      <c r="W133" s="110">
        <v>-34.08</v>
      </c>
      <c r="X133" s="110">
        <v>18.190000000000001</v>
      </c>
      <c r="Y133" s="110" t="s">
        <v>770</v>
      </c>
      <c r="Z133" s="110" t="s">
        <v>1721</v>
      </c>
      <c r="AA133" s="110" t="s">
        <v>424</v>
      </c>
      <c r="AB133" s="110" t="s">
        <v>333</v>
      </c>
      <c r="AC133" s="110" t="s">
        <v>246</v>
      </c>
      <c r="AD133" s="110" t="s">
        <v>333</v>
      </c>
      <c r="AE133" s="110" t="s">
        <v>1306</v>
      </c>
      <c r="AF133" s="110" t="s">
        <v>1745</v>
      </c>
      <c r="AH133" s="110" t="s">
        <v>1778</v>
      </c>
      <c r="AI133" s="110" t="s">
        <v>182</v>
      </c>
      <c r="AJ133" s="110" t="s">
        <v>1746</v>
      </c>
      <c r="AK133" s="110" t="s">
        <v>333</v>
      </c>
      <c r="AL133" s="110" t="s">
        <v>190</v>
      </c>
      <c r="AO133" s="110" t="s">
        <v>190</v>
      </c>
      <c r="AP133" s="110" t="s">
        <v>190</v>
      </c>
      <c r="AQ133" s="110" t="s">
        <v>176</v>
      </c>
      <c r="AR133" s="110">
        <v>1979</v>
      </c>
      <c r="AS133" s="110" t="s">
        <v>384</v>
      </c>
      <c r="AT133" s="110" t="s">
        <v>420</v>
      </c>
      <c r="AU133" s="110">
        <v>1000</v>
      </c>
      <c r="AW133" s="110" t="s">
        <v>174</v>
      </c>
      <c r="AX133" s="110" t="s">
        <v>174</v>
      </c>
      <c r="AY133" s="110" t="s">
        <v>174</v>
      </c>
      <c r="AZ133" s="110" t="s">
        <v>174</v>
      </c>
      <c r="BA133" s="110" t="s">
        <v>1766</v>
      </c>
      <c r="BB133" s="110" t="s">
        <v>1766</v>
      </c>
      <c r="BE133" s="110" t="s">
        <v>246</v>
      </c>
      <c r="BF133" s="110" t="s">
        <v>188</v>
      </c>
      <c r="BG133" s="110">
        <v>0</v>
      </c>
      <c r="BH133" s="110" t="s">
        <v>174</v>
      </c>
      <c r="BI133" s="110" t="s">
        <v>182</v>
      </c>
      <c r="BJ133" s="110" t="s">
        <v>412</v>
      </c>
      <c r="BK133" s="110">
        <v>5</v>
      </c>
      <c r="BL133" s="110">
        <v>15</v>
      </c>
      <c r="BM133" s="110" t="s">
        <v>174</v>
      </c>
      <c r="BN133" s="110" t="s">
        <v>174</v>
      </c>
      <c r="BO133" s="110" t="s">
        <v>174</v>
      </c>
      <c r="BP133" s="110" t="s">
        <v>174</v>
      </c>
      <c r="BQ133" s="110" t="s">
        <v>174</v>
      </c>
      <c r="BR133" s="110" t="s">
        <v>174</v>
      </c>
      <c r="BS133" s="110">
        <v>30</v>
      </c>
      <c r="BT133" s="110" t="s">
        <v>1385</v>
      </c>
      <c r="BU133" s="110" t="s">
        <v>3207</v>
      </c>
      <c r="BV133" s="110" t="s">
        <v>2603</v>
      </c>
      <c r="BW133" s="110">
        <v>0.98</v>
      </c>
      <c r="BZ133" s="110">
        <v>0.35139999999999999</v>
      </c>
      <c r="CB133" s="110">
        <v>2.54</v>
      </c>
      <c r="CC133" s="110" t="b">
        <v>0</v>
      </c>
      <c r="CD133" s="110">
        <v>16.600000000000001</v>
      </c>
      <c r="CE133" s="110">
        <v>16.600000000000001</v>
      </c>
      <c r="CF133" s="110" t="s">
        <v>182</v>
      </c>
      <c r="CG133" s="110" t="s">
        <v>174</v>
      </c>
      <c r="CH133" s="110" t="s">
        <v>744</v>
      </c>
      <c r="CI133" s="110" t="s">
        <v>751</v>
      </c>
    </row>
    <row r="134" spans="1:88">
      <c r="A134" s="110" t="s">
        <v>268</v>
      </c>
      <c r="B134" s="110">
        <v>27</v>
      </c>
      <c r="C134" s="110">
        <v>1</v>
      </c>
      <c r="D134" s="110">
        <v>1</v>
      </c>
      <c r="E134" s="110">
        <v>133</v>
      </c>
      <c r="F134" s="110">
        <v>2015</v>
      </c>
      <c r="G134" s="110" t="s">
        <v>161</v>
      </c>
      <c r="H134" s="110" t="s">
        <v>1219</v>
      </c>
      <c r="I134" s="110" t="s">
        <v>246</v>
      </c>
      <c r="J134" s="110" t="s">
        <v>246</v>
      </c>
      <c r="K134" s="110" t="s">
        <v>999</v>
      </c>
      <c r="L134" s="110" t="s">
        <v>999</v>
      </c>
      <c r="R134" s="110" t="s">
        <v>152</v>
      </c>
      <c r="S134" s="110" t="s">
        <v>443</v>
      </c>
      <c r="T134" s="110" t="s">
        <v>279</v>
      </c>
      <c r="U134" s="110" t="s">
        <v>280</v>
      </c>
      <c r="V134" s="110">
        <v>33.445</v>
      </c>
      <c r="W134" s="110">
        <v>33.445</v>
      </c>
      <c r="X134" s="110">
        <v>-118.489</v>
      </c>
      <c r="Y134" s="110" t="s">
        <v>276</v>
      </c>
      <c r="Z134" s="110" t="s">
        <v>275</v>
      </c>
      <c r="AA134" s="110" t="s">
        <v>1788</v>
      </c>
      <c r="AB134" s="110" t="s">
        <v>333</v>
      </c>
      <c r="AC134" s="110" t="s">
        <v>246</v>
      </c>
      <c r="AD134" s="110" t="s">
        <v>333</v>
      </c>
      <c r="AE134" s="110" t="s">
        <v>218</v>
      </c>
      <c r="AF134" s="110" t="s">
        <v>190</v>
      </c>
      <c r="AG134" s="110" t="s">
        <v>1766</v>
      </c>
      <c r="AI134" s="110" t="s">
        <v>246</v>
      </c>
      <c r="AJ134" s="110" t="s">
        <v>246</v>
      </c>
      <c r="AK134" s="110" t="s">
        <v>171</v>
      </c>
      <c r="AL134" s="110" t="s">
        <v>190</v>
      </c>
      <c r="AO134" s="110">
        <v>1</v>
      </c>
      <c r="AP134" s="110" t="s">
        <v>190</v>
      </c>
      <c r="AQ134" s="110" t="s">
        <v>176</v>
      </c>
      <c r="AR134" s="110" t="s">
        <v>174</v>
      </c>
      <c r="AS134" s="110" t="s">
        <v>174</v>
      </c>
      <c r="AT134" s="110" t="s">
        <v>174</v>
      </c>
      <c r="AU134" s="110">
        <v>270</v>
      </c>
      <c r="AW134" s="110" t="s">
        <v>174</v>
      </c>
      <c r="AY134" s="110" t="s">
        <v>174</v>
      </c>
      <c r="AZ134" s="110" t="s">
        <v>174</v>
      </c>
      <c r="BA134" s="110" t="s">
        <v>1766</v>
      </c>
      <c r="BB134" s="110" t="s">
        <v>1766</v>
      </c>
      <c r="BE134" s="110" t="s">
        <v>182</v>
      </c>
      <c r="BF134" s="110" t="s">
        <v>412</v>
      </c>
      <c r="BH134" s="110" t="s">
        <v>174</v>
      </c>
      <c r="BI134" s="110" t="s">
        <v>182</v>
      </c>
      <c r="BJ134" s="110" t="s">
        <v>174</v>
      </c>
      <c r="BK134" s="110">
        <v>5</v>
      </c>
      <c r="BL134" s="110">
        <v>6</v>
      </c>
      <c r="BM134" s="110" t="s">
        <v>174</v>
      </c>
      <c r="BN134" s="110" t="s">
        <v>174</v>
      </c>
      <c r="BO134" s="110" t="s">
        <v>174</v>
      </c>
      <c r="BP134" s="110" t="s">
        <v>174</v>
      </c>
      <c r="BQ134" s="110" t="s">
        <v>174</v>
      </c>
      <c r="BR134" s="110" t="s">
        <v>174</v>
      </c>
      <c r="BS134" s="110">
        <v>24</v>
      </c>
      <c r="BT134" s="110" t="s">
        <v>2378</v>
      </c>
      <c r="BU134" s="110" t="s">
        <v>1398</v>
      </c>
      <c r="BV134" s="110" t="s">
        <v>2603</v>
      </c>
      <c r="BW134" s="110">
        <v>0.98</v>
      </c>
      <c r="BX134" s="110" t="s">
        <v>1396</v>
      </c>
      <c r="BY134" s="110">
        <v>0.96</v>
      </c>
      <c r="CA134" s="110">
        <v>4.0003000000000002</v>
      </c>
      <c r="CB134" s="110">
        <v>12.49906257</v>
      </c>
      <c r="CC134" s="110" t="b">
        <v>0</v>
      </c>
      <c r="CD134" s="110">
        <v>14.2</v>
      </c>
      <c r="CE134" s="110" t="s">
        <v>2256</v>
      </c>
      <c r="CF134" s="110" t="s">
        <v>2256</v>
      </c>
      <c r="CG134" s="110">
        <v>24.998125139999999</v>
      </c>
      <c r="CH134" s="110" t="s">
        <v>281</v>
      </c>
      <c r="CI134" s="110" t="s">
        <v>282</v>
      </c>
    </row>
    <row r="135" spans="1:88">
      <c r="A135" s="110" t="s">
        <v>268</v>
      </c>
      <c r="B135" s="110">
        <v>27</v>
      </c>
      <c r="C135" s="110">
        <v>1</v>
      </c>
      <c r="D135" s="110">
        <v>1</v>
      </c>
      <c r="E135" s="110">
        <v>134</v>
      </c>
      <c r="F135" s="110">
        <v>2015</v>
      </c>
      <c r="G135" s="110" t="s">
        <v>161</v>
      </c>
      <c r="H135" s="110" t="s">
        <v>1219</v>
      </c>
      <c r="I135" s="110" t="s">
        <v>246</v>
      </c>
      <c r="J135" s="110" t="s">
        <v>246</v>
      </c>
      <c r="K135" s="110" t="s">
        <v>999</v>
      </c>
      <c r="L135" s="110" t="s">
        <v>999</v>
      </c>
      <c r="R135" s="110" t="s">
        <v>152</v>
      </c>
      <c r="S135" s="110" t="s">
        <v>443</v>
      </c>
      <c r="T135" s="110" t="s">
        <v>279</v>
      </c>
      <c r="U135" s="110" t="s">
        <v>280</v>
      </c>
      <c r="V135" s="110">
        <v>33.445</v>
      </c>
      <c r="W135" s="110">
        <v>33.445</v>
      </c>
      <c r="X135" s="110">
        <v>-118.489</v>
      </c>
      <c r="Y135" s="110" t="s">
        <v>276</v>
      </c>
      <c r="Z135" s="110" t="s">
        <v>275</v>
      </c>
      <c r="AA135" s="110" t="s">
        <v>424</v>
      </c>
      <c r="AB135" s="110" t="s">
        <v>333</v>
      </c>
      <c r="AC135" s="110" t="s">
        <v>246</v>
      </c>
      <c r="AD135" s="110" t="s">
        <v>333</v>
      </c>
      <c r="AE135" s="110" t="s">
        <v>218</v>
      </c>
      <c r="AF135" s="110" t="s">
        <v>190</v>
      </c>
      <c r="AG135" s="110" t="s">
        <v>1766</v>
      </c>
      <c r="AI135" s="110" t="s">
        <v>246</v>
      </c>
      <c r="AJ135" s="110" t="s">
        <v>246</v>
      </c>
      <c r="AK135" s="110" t="s">
        <v>171</v>
      </c>
      <c r="AL135" s="110" t="s">
        <v>190</v>
      </c>
      <c r="AO135" s="110">
        <v>1</v>
      </c>
      <c r="AP135" s="110" t="s">
        <v>190</v>
      </c>
      <c r="AQ135" s="110" t="s">
        <v>176</v>
      </c>
      <c r="AR135" s="110" t="s">
        <v>174</v>
      </c>
      <c r="AS135" s="110" t="s">
        <v>174</v>
      </c>
      <c r="AT135" s="110" t="s">
        <v>174</v>
      </c>
      <c r="AU135" s="110">
        <v>270</v>
      </c>
      <c r="AW135" s="110" t="s">
        <v>174</v>
      </c>
      <c r="AY135" s="110" t="s">
        <v>174</v>
      </c>
      <c r="AZ135" s="110" t="s">
        <v>174</v>
      </c>
      <c r="BA135" s="110" t="s">
        <v>1766</v>
      </c>
      <c r="BB135" s="110" t="s">
        <v>1766</v>
      </c>
      <c r="BE135" s="110" t="s">
        <v>182</v>
      </c>
      <c r="BF135" s="110" t="s">
        <v>412</v>
      </c>
      <c r="BH135" s="110" t="s">
        <v>174</v>
      </c>
      <c r="BI135" s="110" t="s">
        <v>182</v>
      </c>
      <c r="BJ135" s="110" t="s">
        <v>174</v>
      </c>
      <c r="BK135" s="110">
        <v>5</v>
      </c>
      <c r="BL135" s="110">
        <v>6</v>
      </c>
      <c r="BM135" s="110" t="s">
        <v>174</v>
      </c>
      <c r="BN135" s="110" t="s">
        <v>174</v>
      </c>
      <c r="BO135" s="110" t="s">
        <v>174</v>
      </c>
      <c r="BP135" s="110" t="s">
        <v>174</v>
      </c>
      <c r="BQ135" s="110" t="s">
        <v>174</v>
      </c>
      <c r="BR135" s="110" t="s">
        <v>174</v>
      </c>
      <c r="BS135" s="110">
        <v>24</v>
      </c>
      <c r="BT135" s="110" t="s">
        <v>2347</v>
      </c>
      <c r="BU135" s="110" t="s">
        <v>1394</v>
      </c>
      <c r="BV135" s="110" t="s">
        <v>2603</v>
      </c>
      <c r="BW135" s="110">
        <v>0.995</v>
      </c>
      <c r="BZ135" s="110">
        <v>0.1215</v>
      </c>
      <c r="CB135" s="110">
        <f>LN(2)/BZ135</f>
        <v>5.7049150663369987</v>
      </c>
      <c r="CC135" s="110" t="b">
        <v>0</v>
      </c>
      <c r="CD135" s="110">
        <v>7.12</v>
      </c>
      <c r="CE135" s="110" t="s">
        <v>2256</v>
      </c>
      <c r="CF135" s="110" t="s">
        <v>2256</v>
      </c>
      <c r="CG135" s="110" t="s">
        <v>174</v>
      </c>
      <c r="CH135" s="110" t="s">
        <v>281</v>
      </c>
      <c r="CI135" s="110" t="s">
        <v>282</v>
      </c>
    </row>
    <row r="136" spans="1:88">
      <c r="A136" s="110" t="s">
        <v>268</v>
      </c>
      <c r="B136" s="110">
        <v>27</v>
      </c>
      <c r="C136" s="110">
        <v>1</v>
      </c>
      <c r="D136" s="110">
        <v>1</v>
      </c>
      <c r="E136" s="110">
        <v>135</v>
      </c>
      <c r="F136" s="110">
        <v>2015</v>
      </c>
      <c r="G136" s="110" t="s">
        <v>161</v>
      </c>
      <c r="H136" s="110" t="s">
        <v>1219</v>
      </c>
      <c r="I136" s="110" t="s">
        <v>246</v>
      </c>
      <c r="J136" s="110" t="s">
        <v>246</v>
      </c>
      <c r="K136" s="110" t="s">
        <v>999</v>
      </c>
      <c r="L136" s="110" t="s">
        <v>999</v>
      </c>
      <c r="R136" s="110" t="s">
        <v>152</v>
      </c>
      <c r="S136" s="110" t="s">
        <v>443</v>
      </c>
      <c r="T136" s="110" t="s">
        <v>279</v>
      </c>
      <c r="U136" s="110" t="s">
        <v>280</v>
      </c>
      <c r="V136" s="110">
        <v>33.445</v>
      </c>
      <c r="W136" s="110">
        <v>33.445</v>
      </c>
      <c r="X136" s="110">
        <v>-118.489</v>
      </c>
      <c r="Y136" s="110" t="s">
        <v>276</v>
      </c>
      <c r="Z136" s="110" t="s">
        <v>275</v>
      </c>
      <c r="AA136" s="110" t="s">
        <v>424</v>
      </c>
      <c r="AB136" s="110" t="s">
        <v>333</v>
      </c>
      <c r="AC136" s="110" t="s">
        <v>246</v>
      </c>
      <c r="AD136" s="110" t="s">
        <v>333</v>
      </c>
      <c r="AE136" s="110" t="s">
        <v>218</v>
      </c>
      <c r="AF136" s="110" t="s">
        <v>190</v>
      </c>
      <c r="AG136" s="110" t="s">
        <v>1766</v>
      </c>
      <c r="AI136" s="110" t="s">
        <v>246</v>
      </c>
      <c r="AJ136" s="110" t="s">
        <v>246</v>
      </c>
      <c r="AK136" s="110" t="s">
        <v>171</v>
      </c>
      <c r="AL136" s="110" t="s">
        <v>190</v>
      </c>
      <c r="AO136" s="110">
        <v>1</v>
      </c>
      <c r="AP136" s="110" t="s">
        <v>190</v>
      </c>
      <c r="AQ136" s="110" t="s">
        <v>176</v>
      </c>
      <c r="AR136" s="110" t="s">
        <v>174</v>
      </c>
      <c r="AS136" s="110" t="s">
        <v>174</v>
      </c>
      <c r="AT136" s="110" t="s">
        <v>174</v>
      </c>
      <c r="AU136" s="110">
        <v>270</v>
      </c>
      <c r="AW136" s="110" t="s">
        <v>174</v>
      </c>
      <c r="AY136" s="110" t="s">
        <v>174</v>
      </c>
      <c r="AZ136" s="110" t="s">
        <v>174</v>
      </c>
      <c r="BA136" s="110" t="s">
        <v>1766</v>
      </c>
      <c r="BB136" s="110" t="s">
        <v>1766</v>
      </c>
      <c r="BE136" s="110" t="s">
        <v>182</v>
      </c>
      <c r="BF136" s="110" t="s">
        <v>412</v>
      </c>
      <c r="BH136" s="110" t="s">
        <v>174</v>
      </c>
      <c r="BI136" s="110" t="s">
        <v>182</v>
      </c>
      <c r="BJ136" s="110" t="s">
        <v>412</v>
      </c>
      <c r="BK136" s="110">
        <v>5</v>
      </c>
      <c r="BL136" s="110">
        <v>6</v>
      </c>
      <c r="BM136" s="110" t="s">
        <v>174</v>
      </c>
      <c r="BN136" s="110" t="s">
        <v>174</v>
      </c>
      <c r="BO136" s="110" t="s">
        <v>174</v>
      </c>
      <c r="BP136" s="110" t="s">
        <v>174</v>
      </c>
      <c r="BQ136" s="110" t="s">
        <v>174</v>
      </c>
      <c r="BR136" s="110" t="s">
        <v>174</v>
      </c>
      <c r="BS136" s="110">
        <v>24</v>
      </c>
      <c r="BT136" s="110" t="s">
        <v>1385</v>
      </c>
      <c r="BU136" s="110" t="s">
        <v>3207</v>
      </c>
      <c r="BV136" s="110" t="s">
        <v>2603</v>
      </c>
      <c r="BW136" s="110">
        <v>0.996</v>
      </c>
      <c r="BZ136" s="110">
        <v>5.2400000000000002E-2</v>
      </c>
      <c r="CB136" s="110">
        <v>9.6999999999999993</v>
      </c>
      <c r="CC136" s="110" t="b">
        <v>0</v>
      </c>
      <c r="CD136" s="110">
        <v>0</v>
      </c>
      <c r="CE136" s="110">
        <v>0</v>
      </c>
      <c r="CF136" s="110" t="s">
        <v>246</v>
      </c>
      <c r="CG136" s="110" t="s">
        <v>174</v>
      </c>
      <c r="CH136" s="110" t="s">
        <v>281</v>
      </c>
      <c r="CI136" s="110" t="s">
        <v>282</v>
      </c>
    </row>
    <row r="137" spans="1:88">
      <c r="A137" s="110" t="s">
        <v>1250</v>
      </c>
      <c r="B137" s="110">
        <v>28</v>
      </c>
      <c r="C137" s="110">
        <v>3</v>
      </c>
      <c r="D137" s="110">
        <v>2</v>
      </c>
      <c r="E137" s="110">
        <v>136</v>
      </c>
      <c r="F137" s="110">
        <v>1993</v>
      </c>
      <c r="G137" s="110" t="s">
        <v>187</v>
      </c>
      <c r="H137" s="110" t="s">
        <v>1219</v>
      </c>
      <c r="I137" s="110" t="s">
        <v>182</v>
      </c>
      <c r="J137" s="110" t="s">
        <v>246</v>
      </c>
      <c r="K137" s="110" t="s">
        <v>999</v>
      </c>
      <c r="L137" s="110" t="s">
        <v>999</v>
      </c>
      <c r="R137" s="110" t="s">
        <v>1976</v>
      </c>
      <c r="S137" s="110" t="s">
        <v>446</v>
      </c>
      <c r="T137" s="110" t="s">
        <v>707</v>
      </c>
      <c r="U137" s="110" t="s">
        <v>897</v>
      </c>
      <c r="V137" s="110">
        <v>27.83226522</v>
      </c>
      <c r="W137" s="110">
        <v>27.83226522</v>
      </c>
      <c r="X137" s="110">
        <v>-82.522622490000003</v>
      </c>
      <c r="Y137" s="110" t="s">
        <v>276</v>
      </c>
      <c r="Z137" s="110" t="s">
        <v>586</v>
      </c>
      <c r="AA137" s="110" t="s">
        <v>1788</v>
      </c>
      <c r="AB137" s="110" t="s">
        <v>333</v>
      </c>
      <c r="AC137" s="110" t="s">
        <v>246</v>
      </c>
      <c r="AD137" s="110" t="s">
        <v>333</v>
      </c>
      <c r="AE137" s="110" t="s">
        <v>187</v>
      </c>
      <c r="AF137" s="110" t="s">
        <v>190</v>
      </c>
      <c r="AI137" s="110" t="s">
        <v>246</v>
      </c>
      <c r="AJ137" s="110" t="s">
        <v>246</v>
      </c>
      <c r="AK137" s="110" t="s">
        <v>1751</v>
      </c>
      <c r="AL137" s="110" t="s">
        <v>1251</v>
      </c>
      <c r="AN137" s="110" t="s">
        <v>412</v>
      </c>
      <c r="AO137" s="110" t="s">
        <v>190</v>
      </c>
      <c r="AP137" s="110" t="s">
        <v>190</v>
      </c>
      <c r="AQ137" s="110" t="s">
        <v>176</v>
      </c>
      <c r="AR137" s="110" t="s">
        <v>174</v>
      </c>
      <c r="AS137" s="110" t="s">
        <v>174</v>
      </c>
      <c r="AT137" s="110" t="s">
        <v>174</v>
      </c>
      <c r="AU137" s="110">
        <v>10000</v>
      </c>
      <c r="AW137" s="110">
        <v>11.3</v>
      </c>
      <c r="AX137" s="110">
        <v>16.2</v>
      </c>
      <c r="AY137" s="110">
        <v>18.3</v>
      </c>
      <c r="AZ137" s="110">
        <v>22.68</v>
      </c>
      <c r="BA137" s="110">
        <v>16</v>
      </c>
      <c r="BB137" s="110">
        <v>16</v>
      </c>
      <c r="BC137" s="110">
        <v>16</v>
      </c>
      <c r="BD137" s="110">
        <v>0</v>
      </c>
      <c r="BE137" s="110" t="s">
        <v>182</v>
      </c>
      <c r="BF137" s="110" t="s">
        <v>1903</v>
      </c>
      <c r="BG137" s="110" t="s">
        <v>1900</v>
      </c>
      <c r="BH137" s="110" t="s">
        <v>894</v>
      </c>
      <c r="BI137" s="110" t="s">
        <v>182</v>
      </c>
      <c r="BJ137" s="110" t="s">
        <v>2149</v>
      </c>
      <c r="BK137" s="110">
        <v>2</v>
      </c>
      <c r="BL137" s="110">
        <v>4</v>
      </c>
      <c r="BM137" s="110" t="s">
        <v>174</v>
      </c>
      <c r="BN137" s="110" t="s">
        <v>174</v>
      </c>
      <c r="BO137" s="110" t="s">
        <v>174</v>
      </c>
      <c r="BP137" s="110" t="s">
        <v>174</v>
      </c>
      <c r="BQ137" s="110" t="s">
        <v>174</v>
      </c>
      <c r="BR137" s="110" t="s">
        <v>174</v>
      </c>
      <c r="BS137" s="110">
        <v>28</v>
      </c>
      <c r="BT137" s="110" t="s">
        <v>1387</v>
      </c>
      <c r="BU137" s="110" t="s">
        <v>2606</v>
      </c>
      <c r="BV137" s="110" t="s">
        <v>1387</v>
      </c>
      <c r="CB137" s="110" t="s">
        <v>190</v>
      </c>
      <c r="CC137" s="110" t="b">
        <v>0</v>
      </c>
      <c r="CD137" s="110">
        <v>100.47</v>
      </c>
      <c r="CE137" s="110" t="s">
        <v>2256</v>
      </c>
      <c r="CF137" s="110" t="s">
        <v>2256</v>
      </c>
      <c r="CG137" s="110" t="s">
        <v>174</v>
      </c>
      <c r="CH137" s="110" t="s">
        <v>243</v>
      </c>
      <c r="CI137" s="110" t="s">
        <v>901</v>
      </c>
    </row>
    <row r="138" spans="1:88">
      <c r="A138" s="110" t="s">
        <v>1250</v>
      </c>
      <c r="B138" s="110">
        <v>28</v>
      </c>
      <c r="C138" s="110">
        <v>3</v>
      </c>
      <c r="D138" s="110">
        <v>2</v>
      </c>
      <c r="E138" s="110">
        <v>137</v>
      </c>
      <c r="F138" s="110">
        <v>1993</v>
      </c>
      <c r="G138" s="110" t="s">
        <v>187</v>
      </c>
      <c r="H138" s="110" t="s">
        <v>1219</v>
      </c>
      <c r="I138" s="110" t="s">
        <v>182</v>
      </c>
      <c r="J138" s="110" t="s">
        <v>246</v>
      </c>
      <c r="K138" s="110" t="s">
        <v>999</v>
      </c>
      <c r="L138" s="110" t="s">
        <v>999</v>
      </c>
      <c r="R138" s="110" t="s">
        <v>1976</v>
      </c>
      <c r="S138" s="110" t="s">
        <v>446</v>
      </c>
      <c r="T138" s="110" t="s">
        <v>707</v>
      </c>
      <c r="U138" s="110" t="s">
        <v>897</v>
      </c>
      <c r="V138" s="110">
        <v>27.83226522</v>
      </c>
      <c r="W138" s="110">
        <v>27.83226522</v>
      </c>
      <c r="X138" s="110">
        <v>-82.522622490000003</v>
      </c>
      <c r="Y138" s="110" t="s">
        <v>276</v>
      </c>
      <c r="Z138" s="110" t="s">
        <v>586</v>
      </c>
      <c r="AA138" s="110" t="s">
        <v>1788</v>
      </c>
      <c r="AB138" s="110" t="s">
        <v>333</v>
      </c>
      <c r="AC138" s="110" t="s">
        <v>246</v>
      </c>
      <c r="AD138" s="110" t="s">
        <v>333</v>
      </c>
      <c r="AE138" s="110" t="s">
        <v>187</v>
      </c>
      <c r="AF138" s="110" t="s">
        <v>190</v>
      </c>
      <c r="AI138" s="110" t="s">
        <v>246</v>
      </c>
      <c r="AJ138" s="110" t="s">
        <v>246</v>
      </c>
      <c r="AK138" s="110" t="s">
        <v>1751</v>
      </c>
      <c r="AL138" s="110" t="s">
        <v>1251</v>
      </c>
      <c r="AN138" s="110" t="s">
        <v>412</v>
      </c>
      <c r="AO138" s="110" t="s">
        <v>190</v>
      </c>
      <c r="AP138" s="110" t="s">
        <v>190</v>
      </c>
      <c r="AQ138" s="110" t="s">
        <v>176</v>
      </c>
      <c r="AR138" s="110" t="s">
        <v>174</v>
      </c>
      <c r="AS138" s="110" t="s">
        <v>174</v>
      </c>
      <c r="AT138" s="110" t="s">
        <v>174</v>
      </c>
      <c r="AU138" s="110">
        <v>10000</v>
      </c>
      <c r="AW138" s="110">
        <v>11.3</v>
      </c>
      <c r="AX138" s="110">
        <v>15.8</v>
      </c>
      <c r="AY138" s="110">
        <v>18.3</v>
      </c>
      <c r="AZ138" s="110">
        <v>22.22</v>
      </c>
      <c r="BA138" s="110">
        <v>25</v>
      </c>
      <c r="BB138" s="110">
        <v>25</v>
      </c>
      <c r="BC138" s="110">
        <v>25</v>
      </c>
      <c r="BD138" s="110">
        <v>0</v>
      </c>
      <c r="BE138" s="110" t="s">
        <v>182</v>
      </c>
      <c r="BF138" s="110" t="s">
        <v>1903</v>
      </c>
      <c r="BG138" s="110" t="s">
        <v>1901</v>
      </c>
      <c r="BH138" s="110" t="s">
        <v>894</v>
      </c>
      <c r="BI138" s="110" t="s">
        <v>182</v>
      </c>
      <c r="BJ138" s="110" t="s">
        <v>2149</v>
      </c>
      <c r="BK138" s="110">
        <v>2</v>
      </c>
      <c r="BL138" s="110">
        <v>4</v>
      </c>
      <c r="BM138" s="110" t="s">
        <v>174</v>
      </c>
      <c r="BN138" s="110" t="s">
        <v>174</v>
      </c>
      <c r="BO138" s="110" t="s">
        <v>174</v>
      </c>
      <c r="BP138" s="110" t="s">
        <v>174</v>
      </c>
      <c r="BQ138" s="110" t="s">
        <v>174</v>
      </c>
      <c r="BR138" s="110" t="s">
        <v>174</v>
      </c>
      <c r="BS138" s="110">
        <v>28</v>
      </c>
      <c r="BT138" s="110" t="s">
        <v>1396</v>
      </c>
      <c r="BU138" s="110" t="s">
        <v>1396</v>
      </c>
      <c r="BV138" s="110" t="s">
        <v>1396</v>
      </c>
      <c r="BW138" s="110">
        <v>0.98</v>
      </c>
      <c r="CA138" s="110">
        <v>1.0175000000000001</v>
      </c>
      <c r="CB138" s="110">
        <v>41.413953489999997</v>
      </c>
      <c r="CC138" s="110" t="b">
        <v>0</v>
      </c>
      <c r="CD138" s="110">
        <v>70.754716981132077</v>
      </c>
      <c r="CE138" s="110" t="s">
        <v>2256</v>
      </c>
      <c r="CF138" s="110" t="s">
        <v>2256</v>
      </c>
      <c r="CG138" s="110">
        <v>82.827906979999995</v>
      </c>
      <c r="CH138" s="110" t="s">
        <v>243</v>
      </c>
      <c r="CI138" s="110" t="s">
        <v>901</v>
      </c>
    </row>
    <row r="139" spans="1:88">
      <c r="A139" s="110" t="s">
        <v>1250</v>
      </c>
      <c r="B139" s="110">
        <v>28</v>
      </c>
      <c r="C139" s="110">
        <v>3</v>
      </c>
      <c r="D139" s="110">
        <v>2</v>
      </c>
      <c r="E139" s="110">
        <v>138</v>
      </c>
      <c r="F139" s="110">
        <v>1993</v>
      </c>
      <c r="G139" s="110" t="s">
        <v>187</v>
      </c>
      <c r="H139" s="110" t="s">
        <v>1219</v>
      </c>
      <c r="I139" s="110" t="s">
        <v>182</v>
      </c>
      <c r="J139" s="110" t="s">
        <v>246</v>
      </c>
      <c r="K139" s="110" t="s">
        <v>999</v>
      </c>
      <c r="L139" s="110" t="s">
        <v>999</v>
      </c>
      <c r="R139" s="110" t="s">
        <v>1976</v>
      </c>
      <c r="S139" s="110" t="s">
        <v>446</v>
      </c>
      <c r="T139" s="110" t="s">
        <v>707</v>
      </c>
      <c r="U139" s="110" t="s">
        <v>897</v>
      </c>
      <c r="V139" s="110">
        <v>27.83226522</v>
      </c>
      <c r="W139" s="110">
        <v>27.83226522</v>
      </c>
      <c r="X139" s="110">
        <v>-82.522622490000003</v>
      </c>
      <c r="Y139" s="110" t="s">
        <v>276</v>
      </c>
      <c r="Z139" s="110" t="s">
        <v>586</v>
      </c>
      <c r="AA139" s="110" t="s">
        <v>1788</v>
      </c>
      <c r="AB139" s="110" t="s">
        <v>333</v>
      </c>
      <c r="AC139" s="110" t="s">
        <v>246</v>
      </c>
      <c r="AD139" s="110" t="s">
        <v>333</v>
      </c>
      <c r="AE139" s="110" t="s">
        <v>187</v>
      </c>
      <c r="AF139" s="110" t="s">
        <v>190</v>
      </c>
      <c r="AI139" s="110" t="s">
        <v>246</v>
      </c>
      <c r="AJ139" s="110" t="s">
        <v>246</v>
      </c>
      <c r="AK139" s="110" t="s">
        <v>1751</v>
      </c>
      <c r="AL139" s="110" t="s">
        <v>1251</v>
      </c>
      <c r="AN139" s="110" t="s">
        <v>412</v>
      </c>
      <c r="AO139" s="110" t="s">
        <v>190</v>
      </c>
      <c r="AP139" s="110" t="s">
        <v>190</v>
      </c>
      <c r="AQ139" s="110" t="s">
        <v>176</v>
      </c>
      <c r="AR139" s="110" t="s">
        <v>174</v>
      </c>
      <c r="AS139" s="110" t="s">
        <v>174</v>
      </c>
      <c r="AT139" s="110" t="s">
        <v>174</v>
      </c>
      <c r="AU139" s="110">
        <v>10000</v>
      </c>
      <c r="AW139" s="110">
        <v>11.3</v>
      </c>
      <c r="AX139" s="110">
        <v>8.3000000000000007</v>
      </c>
      <c r="AY139" s="110">
        <v>18.3</v>
      </c>
      <c r="AZ139" s="110">
        <v>21.83</v>
      </c>
      <c r="BA139" s="110">
        <v>30</v>
      </c>
      <c r="BB139" s="110">
        <v>30</v>
      </c>
      <c r="BC139" s="110">
        <v>30</v>
      </c>
      <c r="BD139" s="110">
        <v>0</v>
      </c>
      <c r="BE139" s="110" t="s">
        <v>182</v>
      </c>
      <c r="BF139" s="110" t="s">
        <v>1903</v>
      </c>
      <c r="BG139" s="110" t="s">
        <v>1902</v>
      </c>
      <c r="BH139" s="110" t="s">
        <v>894</v>
      </c>
      <c r="BI139" s="110" t="s">
        <v>182</v>
      </c>
      <c r="BJ139" s="110" t="s">
        <v>2149</v>
      </c>
      <c r="BK139" s="110">
        <v>2</v>
      </c>
      <c r="BL139" s="110">
        <v>4</v>
      </c>
      <c r="BM139" s="110" t="s">
        <v>174</v>
      </c>
      <c r="BN139" s="110" t="s">
        <v>174</v>
      </c>
      <c r="BO139" s="110" t="s">
        <v>174</v>
      </c>
      <c r="BP139" s="110" t="s">
        <v>174</v>
      </c>
      <c r="BQ139" s="110" t="s">
        <v>174</v>
      </c>
      <c r="BR139" s="110" t="s">
        <v>174</v>
      </c>
      <c r="BS139" s="110">
        <v>28</v>
      </c>
      <c r="BT139" s="110" t="s">
        <v>2347</v>
      </c>
      <c r="BU139" s="110" t="s">
        <v>1394</v>
      </c>
      <c r="BV139" s="110" t="s">
        <v>2603</v>
      </c>
      <c r="BW139" s="110">
        <v>0.99</v>
      </c>
      <c r="BZ139" s="110">
        <v>4.5100000000000001E-2</v>
      </c>
      <c r="CB139" s="110">
        <v>15.36911709</v>
      </c>
      <c r="CC139" s="110" t="b">
        <v>0</v>
      </c>
      <c r="CD139" s="110">
        <v>25.943396226415093</v>
      </c>
      <c r="CE139" s="110" t="s">
        <v>2256</v>
      </c>
      <c r="CF139" s="110" t="s">
        <v>2256</v>
      </c>
      <c r="CG139" s="110" t="s">
        <v>174</v>
      </c>
      <c r="CH139" s="110" t="s">
        <v>243</v>
      </c>
      <c r="CI139" s="110" t="s">
        <v>901</v>
      </c>
    </row>
    <row r="140" spans="1:88">
      <c r="A140" s="110" t="s">
        <v>1250</v>
      </c>
      <c r="B140" s="110">
        <v>28</v>
      </c>
      <c r="C140" s="110">
        <v>3</v>
      </c>
      <c r="D140" s="110">
        <v>1</v>
      </c>
      <c r="E140" s="110">
        <v>139</v>
      </c>
      <c r="F140" s="110">
        <v>1993</v>
      </c>
      <c r="G140" s="110" t="s">
        <v>187</v>
      </c>
      <c r="H140" s="110" t="s">
        <v>1219</v>
      </c>
      <c r="I140" s="110" t="s">
        <v>182</v>
      </c>
      <c r="J140" s="110" t="s">
        <v>246</v>
      </c>
      <c r="K140" s="110" t="s">
        <v>999</v>
      </c>
      <c r="L140" s="110" t="s">
        <v>999</v>
      </c>
      <c r="R140" s="110" t="s">
        <v>1976</v>
      </c>
      <c r="S140" s="110" t="s">
        <v>446</v>
      </c>
      <c r="T140" s="110" t="s">
        <v>707</v>
      </c>
      <c r="U140" s="110" t="s">
        <v>897</v>
      </c>
      <c r="V140" s="110">
        <v>27.83226522</v>
      </c>
      <c r="W140" s="110">
        <v>27.83226522</v>
      </c>
      <c r="X140" s="110">
        <v>-82.522622490000003</v>
      </c>
      <c r="Y140" s="110" t="s">
        <v>276</v>
      </c>
      <c r="Z140" s="110" t="s">
        <v>586</v>
      </c>
      <c r="AA140" s="110" t="s">
        <v>1788</v>
      </c>
      <c r="AB140" s="110" t="s">
        <v>333</v>
      </c>
      <c r="AC140" s="110" t="s">
        <v>246</v>
      </c>
      <c r="AD140" s="110" t="s">
        <v>333</v>
      </c>
      <c r="AE140" s="110" t="s">
        <v>1087</v>
      </c>
      <c r="AI140" s="110" t="s">
        <v>246</v>
      </c>
      <c r="AJ140" s="110" t="s">
        <v>246</v>
      </c>
      <c r="AK140" s="110" t="s">
        <v>1752</v>
      </c>
      <c r="AL140" s="110" t="s">
        <v>1251</v>
      </c>
      <c r="AN140" s="110" t="s">
        <v>412</v>
      </c>
      <c r="AO140" s="110" t="s">
        <v>190</v>
      </c>
      <c r="AP140" s="110" t="s">
        <v>190</v>
      </c>
      <c r="AQ140" s="110" t="s">
        <v>176</v>
      </c>
      <c r="AR140" s="110" t="s">
        <v>174</v>
      </c>
      <c r="AS140" s="110" t="s">
        <v>174</v>
      </c>
      <c r="AT140" s="110" t="s">
        <v>174</v>
      </c>
      <c r="AU140" s="110">
        <v>10000</v>
      </c>
      <c r="AW140" s="110">
        <v>6.6</v>
      </c>
      <c r="AX140" s="110">
        <v>6.9</v>
      </c>
      <c r="AY140" s="110">
        <v>8.3000000000000007</v>
      </c>
      <c r="AZ140" s="110">
        <v>11.9</v>
      </c>
      <c r="BA140" s="110">
        <v>25</v>
      </c>
      <c r="BB140" s="110">
        <v>30</v>
      </c>
      <c r="BC140" s="110">
        <v>27.5</v>
      </c>
      <c r="BD140" s="110">
        <v>5</v>
      </c>
      <c r="BE140" s="110" t="s">
        <v>182</v>
      </c>
      <c r="BF140" s="110" t="s">
        <v>1903</v>
      </c>
      <c r="BG140" s="110" t="s">
        <v>899</v>
      </c>
      <c r="BH140" s="110" t="s">
        <v>900</v>
      </c>
      <c r="BI140" s="110" t="s">
        <v>182</v>
      </c>
      <c r="BJ140" s="110" t="s">
        <v>898</v>
      </c>
      <c r="BK140" s="110">
        <v>3</v>
      </c>
      <c r="BL140" s="110">
        <v>8</v>
      </c>
      <c r="BM140" s="110" t="s">
        <v>174</v>
      </c>
      <c r="BN140" s="110" t="s">
        <v>174</v>
      </c>
      <c r="BO140" s="110" t="s">
        <v>174</v>
      </c>
      <c r="BP140" s="110" t="s">
        <v>174</v>
      </c>
      <c r="BQ140" s="110" t="s">
        <v>174</v>
      </c>
      <c r="BR140" s="110" t="s">
        <v>174</v>
      </c>
      <c r="BS140" s="110">
        <v>63</v>
      </c>
      <c r="BT140" s="110" t="s">
        <v>2378</v>
      </c>
      <c r="BU140" s="110" t="s">
        <v>1398</v>
      </c>
      <c r="BV140" s="110" t="s">
        <v>2603</v>
      </c>
      <c r="BW140" s="110">
        <v>0.99</v>
      </c>
      <c r="BX140" s="110" t="s">
        <v>2347</v>
      </c>
      <c r="BY140" s="110">
        <v>0.93669999999999998</v>
      </c>
      <c r="BZ140" s="110">
        <v>4.5999999999999999E-2</v>
      </c>
      <c r="CB140" s="110">
        <v>15.068416969999999</v>
      </c>
      <c r="CC140" s="110" t="b">
        <v>0</v>
      </c>
      <c r="CD140" s="110">
        <v>2.8666666666666667</v>
      </c>
      <c r="CE140" s="110">
        <v>0</v>
      </c>
      <c r="CF140" s="110" t="s">
        <v>246</v>
      </c>
      <c r="CG140" s="110" t="s">
        <v>174</v>
      </c>
      <c r="CH140" s="110" t="s">
        <v>174</v>
      </c>
      <c r="CI140" s="110" t="s">
        <v>901</v>
      </c>
    </row>
    <row r="141" spans="1:88">
      <c r="A141" s="110" t="s">
        <v>1250</v>
      </c>
      <c r="B141" s="110">
        <v>28</v>
      </c>
      <c r="C141" s="110">
        <v>3</v>
      </c>
      <c r="D141" s="110">
        <v>1</v>
      </c>
      <c r="E141" s="110">
        <v>140</v>
      </c>
      <c r="F141" s="110">
        <v>1993</v>
      </c>
      <c r="G141" s="110" t="s">
        <v>187</v>
      </c>
      <c r="H141" s="110" t="s">
        <v>1219</v>
      </c>
      <c r="I141" s="110" t="s">
        <v>182</v>
      </c>
      <c r="J141" s="110" t="s">
        <v>246</v>
      </c>
      <c r="K141" s="110" t="s">
        <v>999</v>
      </c>
      <c r="L141" s="110" t="s">
        <v>999</v>
      </c>
      <c r="R141" s="110" t="s">
        <v>1976</v>
      </c>
      <c r="S141" s="110" t="s">
        <v>444</v>
      </c>
      <c r="T141" s="110" t="s">
        <v>445</v>
      </c>
      <c r="U141" s="110" t="s">
        <v>704</v>
      </c>
      <c r="V141" s="110">
        <v>27.83226522</v>
      </c>
      <c r="W141" s="110">
        <v>27.83226522</v>
      </c>
      <c r="X141" s="110">
        <v>-82.522622490000003</v>
      </c>
      <c r="Y141" s="110" t="s">
        <v>276</v>
      </c>
      <c r="Z141" s="110" t="s">
        <v>586</v>
      </c>
      <c r="AA141" s="110" t="s">
        <v>1788</v>
      </c>
      <c r="AB141" s="110" t="s">
        <v>333</v>
      </c>
      <c r="AC141" s="110" t="s">
        <v>246</v>
      </c>
      <c r="AD141" s="110" t="s">
        <v>333</v>
      </c>
      <c r="AE141" s="110" t="s">
        <v>1087</v>
      </c>
      <c r="AI141" s="110" t="s">
        <v>246</v>
      </c>
      <c r="AJ141" s="110" t="s">
        <v>246</v>
      </c>
      <c r="AK141" s="110" t="s">
        <v>1752</v>
      </c>
      <c r="AL141" s="110" t="s">
        <v>1251</v>
      </c>
      <c r="AN141" s="110" t="s">
        <v>412</v>
      </c>
      <c r="AO141" s="110" t="s">
        <v>190</v>
      </c>
      <c r="AP141" s="110" t="s">
        <v>190</v>
      </c>
      <c r="AQ141" s="110" t="s">
        <v>176</v>
      </c>
      <c r="AR141" s="110" t="s">
        <v>174</v>
      </c>
      <c r="AS141" s="110" t="s">
        <v>174</v>
      </c>
      <c r="AT141" s="110" t="s">
        <v>174</v>
      </c>
      <c r="AU141" s="110">
        <v>10000</v>
      </c>
      <c r="AW141" s="110">
        <v>19.3</v>
      </c>
      <c r="AX141" s="110">
        <v>0.8</v>
      </c>
      <c r="AY141" s="110">
        <v>6.4</v>
      </c>
      <c r="AZ141" s="110">
        <v>3.1</v>
      </c>
      <c r="BA141" s="110">
        <v>25</v>
      </c>
      <c r="BB141" s="110">
        <v>30</v>
      </c>
      <c r="BC141" s="110">
        <v>27.5</v>
      </c>
      <c r="BD141" s="110">
        <v>5</v>
      </c>
      <c r="BE141" s="110" t="s">
        <v>182</v>
      </c>
      <c r="BF141" s="110" t="s">
        <v>1903</v>
      </c>
      <c r="BG141" s="110" t="s">
        <v>899</v>
      </c>
      <c r="BH141" s="110" t="s">
        <v>900</v>
      </c>
      <c r="BI141" s="110" t="s">
        <v>182</v>
      </c>
      <c r="BJ141" s="110" t="s">
        <v>898</v>
      </c>
      <c r="BK141" s="110">
        <v>3</v>
      </c>
      <c r="BL141" s="110">
        <v>8</v>
      </c>
      <c r="BM141" s="110" t="s">
        <v>174</v>
      </c>
      <c r="BN141" s="110" t="s">
        <v>174</v>
      </c>
      <c r="BO141" s="110" t="s">
        <v>174</v>
      </c>
      <c r="BP141" s="110" t="s">
        <v>174</v>
      </c>
      <c r="BQ141" s="110" t="s">
        <v>174</v>
      </c>
      <c r="BR141" s="110" t="s">
        <v>174</v>
      </c>
      <c r="BS141" s="110">
        <v>63</v>
      </c>
      <c r="BT141" s="110" t="s">
        <v>2378</v>
      </c>
      <c r="BU141" s="110" t="s">
        <v>1398</v>
      </c>
      <c r="BV141" s="110" t="s">
        <v>2603</v>
      </c>
      <c r="BW141" s="110">
        <v>0.98</v>
      </c>
      <c r="BX141" s="110" t="s">
        <v>1396</v>
      </c>
      <c r="BY141" s="110">
        <v>0.94</v>
      </c>
      <c r="CA141" s="110">
        <v>1.7729999999999999</v>
      </c>
      <c r="CB141" s="110">
        <v>28.200789619999998</v>
      </c>
      <c r="CC141" s="110" t="b">
        <v>0</v>
      </c>
      <c r="CD141" s="110">
        <v>0</v>
      </c>
      <c r="CE141" s="110">
        <v>0</v>
      </c>
      <c r="CF141" s="110" t="s">
        <v>246</v>
      </c>
      <c r="CG141" s="110" t="s">
        <v>174</v>
      </c>
      <c r="CH141" s="110" t="s">
        <v>174</v>
      </c>
      <c r="CI141" s="110" t="s">
        <v>901</v>
      </c>
    </row>
    <row r="142" spans="1:88">
      <c r="A142" s="110" t="s">
        <v>968</v>
      </c>
      <c r="B142" s="110">
        <v>29</v>
      </c>
      <c r="C142" s="110">
        <v>1</v>
      </c>
      <c r="D142" s="110">
        <v>1</v>
      </c>
      <c r="E142" s="110">
        <v>141</v>
      </c>
      <c r="F142" s="110">
        <v>2020</v>
      </c>
      <c r="G142" s="110" t="s">
        <v>161</v>
      </c>
      <c r="H142" s="110" t="s">
        <v>1219</v>
      </c>
      <c r="I142" s="110" t="s">
        <v>182</v>
      </c>
      <c r="J142" s="110" t="s">
        <v>246</v>
      </c>
      <c r="K142" s="110" t="s">
        <v>999</v>
      </c>
      <c r="L142" s="110" t="s">
        <v>999</v>
      </c>
      <c r="R142" s="110" t="s">
        <v>1976</v>
      </c>
      <c r="S142" s="110" t="s">
        <v>446</v>
      </c>
      <c r="T142" s="110" t="s">
        <v>702</v>
      </c>
      <c r="U142" s="110" t="s">
        <v>856</v>
      </c>
      <c r="V142" s="110">
        <v>31.962222220000001</v>
      </c>
      <c r="W142" s="110">
        <v>31.962222220000001</v>
      </c>
      <c r="X142" s="110">
        <v>-81.012777779999993</v>
      </c>
      <c r="Y142" s="110" t="s">
        <v>276</v>
      </c>
      <c r="Z142" s="110" t="s">
        <v>586</v>
      </c>
      <c r="AA142" s="110" t="s">
        <v>424</v>
      </c>
      <c r="AB142" s="110" t="s">
        <v>333</v>
      </c>
      <c r="AC142" s="110" t="s">
        <v>246</v>
      </c>
      <c r="AD142" s="110" t="s">
        <v>1725</v>
      </c>
      <c r="AE142" s="110" t="s">
        <v>1306</v>
      </c>
      <c r="AF142" s="110" t="s">
        <v>1745</v>
      </c>
      <c r="AH142" s="110" t="s">
        <v>1779</v>
      </c>
      <c r="AI142" s="110" t="s">
        <v>246</v>
      </c>
      <c r="AJ142" s="110" t="s">
        <v>246</v>
      </c>
      <c r="AK142" s="110" t="s">
        <v>171</v>
      </c>
      <c r="AL142" s="110" t="s">
        <v>190</v>
      </c>
      <c r="AM142" s="110" t="s">
        <v>174</v>
      </c>
      <c r="AO142" s="110">
        <v>0.5</v>
      </c>
      <c r="AP142" s="110" t="s">
        <v>190</v>
      </c>
      <c r="AQ142" s="110" t="s">
        <v>176</v>
      </c>
      <c r="AR142" s="110">
        <v>2015</v>
      </c>
      <c r="AS142" s="110" t="s">
        <v>236</v>
      </c>
      <c r="AT142" s="110" t="s">
        <v>420</v>
      </c>
      <c r="AU142" s="110">
        <v>25</v>
      </c>
      <c r="AV142" s="110" t="s">
        <v>1256</v>
      </c>
      <c r="BA142" s="110" t="s">
        <v>1766</v>
      </c>
      <c r="BB142" s="110" t="s">
        <v>1766</v>
      </c>
      <c r="BE142" s="110" t="s">
        <v>182</v>
      </c>
      <c r="BF142" s="110" t="s">
        <v>412</v>
      </c>
      <c r="BH142" s="110" t="s">
        <v>174</v>
      </c>
      <c r="BI142" s="110" t="s">
        <v>182</v>
      </c>
      <c r="BJ142" s="110" t="s">
        <v>412</v>
      </c>
      <c r="BK142" s="110">
        <v>6</v>
      </c>
      <c r="BL142" s="110">
        <v>3</v>
      </c>
      <c r="BM142" s="110" t="s">
        <v>1461</v>
      </c>
      <c r="BN142" s="110">
        <v>6.7000000000000004E-2</v>
      </c>
      <c r="BO142" s="110" t="s">
        <v>174</v>
      </c>
      <c r="BP142" s="110" t="s">
        <v>174</v>
      </c>
      <c r="BQ142" s="110" t="s">
        <v>174</v>
      </c>
      <c r="BR142" s="110" t="s">
        <v>174</v>
      </c>
      <c r="BS142" s="110">
        <v>30</v>
      </c>
      <c r="BT142" s="110" t="s">
        <v>1385</v>
      </c>
      <c r="BU142" s="110" t="s">
        <v>3207</v>
      </c>
      <c r="BV142" s="110" t="s">
        <v>2603</v>
      </c>
      <c r="BW142" s="110">
        <v>0.98</v>
      </c>
      <c r="BZ142" s="110">
        <v>7.22E-2</v>
      </c>
      <c r="CB142" s="110">
        <v>10.39</v>
      </c>
      <c r="CC142" s="110" t="b">
        <v>0</v>
      </c>
      <c r="CD142" s="110">
        <v>4.8</v>
      </c>
      <c r="CE142" s="110">
        <v>4.8</v>
      </c>
      <c r="CF142" s="110" t="s">
        <v>182</v>
      </c>
      <c r="CG142" s="110" t="s">
        <v>174</v>
      </c>
      <c r="CH142" s="110" t="s">
        <v>1313</v>
      </c>
      <c r="CJ142" s="110" t="s">
        <v>1307</v>
      </c>
    </row>
    <row r="143" spans="1:88">
      <c r="A143" s="110" t="s">
        <v>968</v>
      </c>
      <c r="B143" s="110">
        <v>29</v>
      </c>
      <c r="C143" s="110">
        <v>1</v>
      </c>
      <c r="D143" s="110">
        <v>1</v>
      </c>
      <c r="E143" s="110">
        <v>142</v>
      </c>
      <c r="F143" s="110">
        <v>2020</v>
      </c>
      <c r="G143" s="110" t="s">
        <v>161</v>
      </c>
      <c r="H143" s="110" t="s">
        <v>1219</v>
      </c>
      <c r="I143" s="110" t="s">
        <v>182</v>
      </c>
      <c r="J143" s="110" t="s">
        <v>246</v>
      </c>
      <c r="K143" s="110" t="s">
        <v>999</v>
      </c>
      <c r="L143" s="110" t="s">
        <v>999</v>
      </c>
      <c r="R143" s="110" t="s">
        <v>1976</v>
      </c>
      <c r="S143" s="110" t="s">
        <v>446</v>
      </c>
      <c r="T143" s="110" t="s">
        <v>702</v>
      </c>
      <c r="U143" s="110" t="s">
        <v>856</v>
      </c>
      <c r="V143" s="110">
        <v>31.962222220000001</v>
      </c>
      <c r="W143" s="110">
        <v>31.962222220000001</v>
      </c>
      <c r="X143" s="110">
        <v>-81.012777779999993</v>
      </c>
      <c r="Y143" s="110" t="s">
        <v>276</v>
      </c>
      <c r="Z143" s="110" t="s">
        <v>586</v>
      </c>
      <c r="AA143" s="110" t="s">
        <v>424</v>
      </c>
      <c r="AB143" s="110" t="s">
        <v>333</v>
      </c>
      <c r="AC143" s="110" t="s">
        <v>246</v>
      </c>
      <c r="AD143" s="110" t="s">
        <v>1725</v>
      </c>
      <c r="AE143" s="110" t="s">
        <v>1306</v>
      </c>
      <c r="AF143" s="110" t="s">
        <v>1745</v>
      </c>
      <c r="AH143" s="110" t="s">
        <v>1779</v>
      </c>
      <c r="AI143" s="110" t="s">
        <v>246</v>
      </c>
      <c r="AJ143" s="110" t="s">
        <v>246</v>
      </c>
      <c r="AK143" s="110" t="s">
        <v>171</v>
      </c>
      <c r="AL143" s="110" t="s">
        <v>190</v>
      </c>
      <c r="AM143" s="110" t="s">
        <v>174</v>
      </c>
      <c r="AO143" s="110">
        <v>0.5</v>
      </c>
      <c r="AP143" s="110" t="s">
        <v>190</v>
      </c>
      <c r="AQ143" s="110" t="s">
        <v>176</v>
      </c>
      <c r="AR143" s="110">
        <v>2015</v>
      </c>
      <c r="AS143" s="110" t="s">
        <v>236</v>
      </c>
      <c r="AT143" s="110" t="s">
        <v>420</v>
      </c>
      <c r="AU143" s="110">
        <v>25</v>
      </c>
      <c r="AV143" s="110" t="s">
        <v>1256</v>
      </c>
      <c r="BA143" s="110" t="s">
        <v>1766</v>
      </c>
      <c r="BB143" s="110" t="s">
        <v>1766</v>
      </c>
      <c r="BE143" s="110" t="s">
        <v>182</v>
      </c>
      <c r="BF143" s="110" t="s">
        <v>412</v>
      </c>
      <c r="BH143" s="110" t="s">
        <v>174</v>
      </c>
      <c r="BI143" s="110" t="s">
        <v>182</v>
      </c>
      <c r="BJ143" s="110" t="s">
        <v>412</v>
      </c>
      <c r="BK143" s="110">
        <v>6</v>
      </c>
      <c r="BL143" s="110">
        <v>3</v>
      </c>
      <c r="BM143" s="110" t="s">
        <v>1461</v>
      </c>
      <c r="BN143" s="110">
        <v>0.105</v>
      </c>
      <c r="BO143" s="110" t="s">
        <v>174</v>
      </c>
      <c r="BP143" s="110" t="s">
        <v>174</v>
      </c>
      <c r="BQ143" s="110" t="s">
        <v>174</v>
      </c>
      <c r="BR143" s="110" t="s">
        <v>174</v>
      </c>
      <c r="BS143" s="110">
        <v>30</v>
      </c>
      <c r="BT143" s="110" t="s">
        <v>1385</v>
      </c>
      <c r="BU143" s="110" t="s">
        <v>3207</v>
      </c>
      <c r="BV143" s="110" t="s">
        <v>2603</v>
      </c>
      <c r="BW143" s="110">
        <v>0.998</v>
      </c>
      <c r="BZ143" s="110">
        <v>0.20030000000000001</v>
      </c>
      <c r="CB143" s="110">
        <v>3.91</v>
      </c>
      <c r="CC143" s="110" t="b">
        <v>0</v>
      </c>
      <c r="CD143" s="110">
        <v>7.9</v>
      </c>
      <c r="CE143" s="110">
        <v>7.9</v>
      </c>
      <c r="CF143" s="110" t="s">
        <v>182</v>
      </c>
      <c r="CG143" s="110" t="s">
        <v>174</v>
      </c>
      <c r="CH143" s="110" t="s">
        <v>1314</v>
      </c>
    </row>
    <row r="144" spans="1:88">
      <c r="A144" s="110" t="s">
        <v>680</v>
      </c>
      <c r="B144" s="110">
        <v>30</v>
      </c>
      <c r="C144" s="110">
        <v>3</v>
      </c>
      <c r="D144" s="110">
        <v>1</v>
      </c>
      <c r="E144" s="110">
        <v>143</v>
      </c>
      <c r="F144" s="110">
        <v>1976</v>
      </c>
      <c r="G144" s="110" t="s">
        <v>161</v>
      </c>
      <c r="H144" s="110" t="s">
        <v>2437</v>
      </c>
      <c r="I144" s="110" t="s">
        <v>182</v>
      </c>
      <c r="J144" s="110" t="s">
        <v>246</v>
      </c>
      <c r="K144" s="110" t="s">
        <v>999</v>
      </c>
      <c r="L144" s="110" t="s">
        <v>999</v>
      </c>
      <c r="R144" s="110" t="s">
        <v>272</v>
      </c>
      <c r="S144" s="110" t="s">
        <v>443</v>
      </c>
      <c r="T144" s="110" t="s">
        <v>611</v>
      </c>
      <c r="U144" s="110" t="s">
        <v>612</v>
      </c>
      <c r="V144" s="110">
        <v>41.525787680000001</v>
      </c>
      <c r="W144" s="110">
        <v>41.525787680000001</v>
      </c>
      <c r="X144" s="110">
        <v>-70.672420900000006</v>
      </c>
      <c r="Y144" s="110" t="s">
        <v>276</v>
      </c>
      <c r="Z144" s="110" t="s">
        <v>586</v>
      </c>
      <c r="AA144" s="110" t="s">
        <v>1788</v>
      </c>
      <c r="AB144" s="110" t="s">
        <v>333</v>
      </c>
      <c r="AC144" s="110" t="s">
        <v>246</v>
      </c>
      <c r="AD144" s="110" t="s">
        <v>333</v>
      </c>
      <c r="AE144" s="110" t="s">
        <v>1123</v>
      </c>
      <c r="AF144" s="110" t="s">
        <v>1745</v>
      </c>
      <c r="AG144" s="110" t="s">
        <v>1766</v>
      </c>
      <c r="AI144" s="110" t="s">
        <v>182</v>
      </c>
      <c r="AJ144" s="110" t="s">
        <v>1754</v>
      </c>
      <c r="AK144" s="110" t="s">
        <v>171</v>
      </c>
      <c r="AL144" s="110" t="s">
        <v>190</v>
      </c>
      <c r="AO144" s="110">
        <v>1</v>
      </c>
      <c r="AP144" s="110" t="s">
        <v>190</v>
      </c>
      <c r="AQ144" s="110" t="s">
        <v>176</v>
      </c>
      <c r="AR144" s="110">
        <v>1974</v>
      </c>
      <c r="AS144" s="110" t="s">
        <v>236</v>
      </c>
      <c r="AT144" s="110" t="s">
        <v>420</v>
      </c>
      <c r="AU144" s="110" t="s">
        <v>949</v>
      </c>
      <c r="AW144" s="110">
        <v>26</v>
      </c>
      <c r="AX144" s="110">
        <v>11</v>
      </c>
      <c r="BA144" s="110">
        <v>25.6</v>
      </c>
      <c r="BB144" s="110">
        <v>25.6</v>
      </c>
      <c r="BC144" s="110">
        <v>25.6</v>
      </c>
      <c r="BD144" s="110">
        <v>0</v>
      </c>
      <c r="BE144" s="110" t="s">
        <v>246</v>
      </c>
      <c r="BF144" s="110" t="s">
        <v>188</v>
      </c>
      <c r="BG144" s="110">
        <v>0</v>
      </c>
      <c r="BH144" s="110" t="s">
        <v>190</v>
      </c>
      <c r="BI144" s="110" t="s">
        <v>182</v>
      </c>
      <c r="BJ144" s="110" t="s">
        <v>412</v>
      </c>
      <c r="BK144" s="110" t="s">
        <v>1766</v>
      </c>
      <c r="BL144" s="110">
        <v>9</v>
      </c>
      <c r="BM144" s="110" t="s">
        <v>174</v>
      </c>
      <c r="BN144" s="110" t="s">
        <v>174</v>
      </c>
      <c r="BO144" s="110" t="s">
        <v>174</v>
      </c>
      <c r="BP144" s="110" t="s">
        <v>174</v>
      </c>
      <c r="BQ144" s="110" t="s">
        <v>174</v>
      </c>
      <c r="BR144" s="110" t="s">
        <v>174</v>
      </c>
      <c r="BS144" s="110">
        <v>63</v>
      </c>
      <c r="BT144" s="110" t="s">
        <v>1385</v>
      </c>
      <c r="BU144" s="110" t="s">
        <v>3207</v>
      </c>
      <c r="BV144" s="110" t="s">
        <v>2603</v>
      </c>
      <c r="BW144" s="110">
        <v>0.9</v>
      </c>
      <c r="BZ144" s="110">
        <v>0.2069</v>
      </c>
      <c r="CB144" s="110">
        <v>9.4979999999999993</v>
      </c>
      <c r="CC144" s="110" t="b">
        <v>0</v>
      </c>
      <c r="CD144" s="110">
        <v>42.22</v>
      </c>
      <c r="CE144" s="110">
        <v>42.22</v>
      </c>
      <c r="CF144" s="110" t="s">
        <v>182</v>
      </c>
      <c r="CG144" s="110" t="s">
        <v>174</v>
      </c>
      <c r="CH144" s="110" t="s">
        <v>2497</v>
      </c>
      <c r="CI144" s="110" t="s">
        <v>923</v>
      </c>
      <c r="CJ144" s="110" t="s">
        <v>944</v>
      </c>
    </row>
    <row r="145" spans="1:88">
      <c r="A145" s="110" t="s">
        <v>680</v>
      </c>
      <c r="B145" s="110">
        <v>30</v>
      </c>
      <c r="C145" s="110">
        <v>3</v>
      </c>
      <c r="D145" s="110">
        <v>1</v>
      </c>
      <c r="E145" s="110">
        <v>144</v>
      </c>
      <c r="F145" s="110">
        <v>1976</v>
      </c>
      <c r="G145" s="110" t="s">
        <v>161</v>
      </c>
      <c r="H145" s="110" t="s">
        <v>2437</v>
      </c>
      <c r="I145" s="110" t="s">
        <v>182</v>
      </c>
      <c r="J145" s="110" t="s">
        <v>246</v>
      </c>
      <c r="K145" s="110" t="s">
        <v>999</v>
      </c>
      <c r="L145" s="110" t="s">
        <v>999</v>
      </c>
      <c r="R145" s="110" t="s">
        <v>272</v>
      </c>
      <c r="S145" s="110" t="s">
        <v>443</v>
      </c>
      <c r="T145" s="110" t="s">
        <v>611</v>
      </c>
      <c r="U145" s="110" t="s">
        <v>612</v>
      </c>
      <c r="V145" s="110">
        <v>41.525787680000001</v>
      </c>
      <c r="W145" s="110">
        <v>41.525787680000001</v>
      </c>
      <c r="X145" s="110">
        <v>-70.672420900000006</v>
      </c>
      <c r="Y145" s="110" t="s">
        <v>276</v>
      </c>
      <c r="Z145" s="110" t="s">
        <v>586</v>
      </c>
      <c r="AA145" s="110" t="s">
        <v>1788</v>
      </c>
      <c r="AB145" s="110" t="s">
        <v>333</v>
      </c>
      <c r="AC145" s="110" t="s">
        <v>246</v>
      </c>
      <c r="AD145" s="110" t="s">
        <v>333</v>
      </c>
      <c r="AE145" s="110" t="s">
        <v>1123</v>
      </c>
      <c r="AF145" s="110" t="s">
        <v>173</v>
      </c>
      <c r="AG145" s="110">
        <v>0.8</v>
      </c>
      <c r="AI145" s="110" t="s">
        <v>246</v>
      </c>
      <c r="AJ145" s="110" t="s">
        <v>246</v>
      </c>
      <c r="AK145" s="110" t="s">
        <v>171</v>
      </c>
      <c r="AL145" s="110" t="s">
        <v>190</v>
      </c>
      <c r="AO145" s="110">
        <v>1</v>
      </c>
      <c r="AP145" s="110" t="s">
        <v>190</v>
      </c>
      <c r="AQ145" s="110" t="s">
        <v>176</v>
      </c>
      <c r="AR145" s="110">
        <v>1974</v>
      </c>
      <c r="AS145" s="110" t="s">
        <v>236</v>
      </c>
      <c r="AT145" s="110" t="s">
        <v>420</v>
      </c>
      <c r="AU145" s="110" t="s">
        <v>949</v>
      </c>
      <c r="AW145" s="110">
        <v>26</v>
      </c>
      <c r="AX145" s="110">
        <v>13</v>
      </c>
      <c r="BA145" s="110">
        <v>21.6</v>
      </c>
      <c r="BB145" s="110">
        <v>21.6</v>
      </c>
      <c r="BC145" s="110">
        <v>21.6</v>
      </c>
      <c r="BD145" s="110">
        <v>0</v>
      </c>
      <c r="BE145" s="110" t="s">
        <v>182</v>
      </c>
      <c r="BF145" s="110" t="s">
        <v>412</v>
      </c>
      <c r="BH145" s="110" t="s">
        <v>190</v>
      </c>
      <c r="BI145" s="110" t="s">
        <v>182</v>
      </c>
      <c r="BJ145" s="110" t="s">
        <v>412</v>
      </c>
      <c r="BK145" s="110" t="s">
        <v>1766</v>
      </c>
      <c r="BL145" s="110">
        <v>9</v>
      </c>
      <c r="BM145" s="110" t="s">
        <v>174</v>
      </c>
      <c r="BN145" s="110" t="s">
        <v>174</v>
      </c>
      <c r="BO145" s="110" t="s">
        <v>174</v>
      </c>
      <c r="BP145" s="110" t="s">
        <v>174</v>
      </c>
      <c r="BQ145" s="110" t="s">
        <v>174</v>
      </c>
      <c r="BR145" s="110" t="s">
        <v>174</v>
      </c>
      <c r="BS145" s="110">
        <v>63</v>
      </c>
      <c r="BT145" s="110" t="s">
        <v>2347</v>
      </c>
      <c r="BU145" s="110" t="s">
        <v>1394</v>
      </c>
      <c r="BV145" s="110" t="s">
        <v>2603</v>
      </c>
      <c r="BW145" s="110">
        <v>0.94</v>
      </c>
      <c r="BZ145" s="110">
        <v>3.9100000000000003E-2</v>
      </c>
      <c r="CB145" s="110">
        <v>17.727549369999998</v>
      </c>
      <c r="CC145" s="110" t="b">
        <v>0</v>
      </c>
      <c r="CD145" s="110">
        <v>32.96</v>
      </c>
      <c r="CE145" s="110">
        <v>0</v>
      </c>
      <c r="CF145" s="110" t="s">
        <v>246</v>
      </c>
      <c r="CG145" s="110" t="s">
        <v>174</v>
      </c>
      <c r="CH145" s="110" t="s">
        <v>2498</v>
      </c>
      <c r="CI145" s="110" t="s">
        <v>923</v>
      </c>
      <c r="CJ145" s="110" t="s">
        <v>944</v>
      </c>
    </row>
    <row r="146" spans="1:88">
      <c r="A146" s="110" t="s">
        <v>547</v>
      </c>
      <c r="B146" s="110">
        <v>31</v>
      </c>
      <c r="C146" s="110">
        <v>1</v>
      </c>
      <c r="D146" s="110">
        <v>1</v>
      </c>
      <c r="E146" s="110">
        <v>145</v>
      </c>
      <c r="F146" s="110">
        <v>1989</v>
      </c>
      <c r="G146" s="110" t="s">
        <v>161</v>
      </c>
      <c r="H146" s="110" t="s">
        <v>2440</v>
      </c>
      <c r="I146" s="110" t="s">
        <v>182</v>
      </c>
      <c r="J146" s="110" t="s">
        <v>246</v>
      </c>
      <c r="K146" s="110" t="s">
        <v>999</v>
      </c>
      <c r="L146" s="110" t="s">
        <v>999</v>
      </c>
      <c r="R146" s="110" t="s">
        <v>152</v>
      </c>
      <c r="S146" s="110" t="s">
        <v>443</v>
      </c>
      <c r="T146" s="110" t="s">
        <v>279</v>
      </c>
      <c r="U146" s="110" t="s">
        <v>280</v>
      </c>
      <c r="V146" s="110">
        <v>43.555592910000001</v>
      </c>
      <c r="W146" s="110">
        <v>-43.555592910000001</v>
      </c>
      <c r="X146" s="110">
        <v>172.75173860000001</v>
      </c>
      <c r="Y146" s="110" t="s">
        <v>483</v>
      </c>
      <c r="Z146" s="110" t="s">
        <v>802</v>
      </c>
      <c r="AA146" s="110" t="s">
        <v>424</v>
      </c>
      <c r="AB146" s="110" t="s">
        <v>333</v>
      </c>
      <c r="AC146" s="110" t="s">
        <v>246</v>
      </c>
      <c r="AD146" s="110" t="s">
        <v>333</v>
      </c>
      <c r="AE146" s="110" t="s">
        <v>1306</v>
      </c>
      <c r="AF146" s="110" t="s">
        <v>1745</v>
      </c>
      <c r="AH146" s="110" t="s">
        <v>1775</v>
      </c>
      <c r="AI146" s="110" t="s">
        <v>246</v>
      </c>
      <c r="AJ146" s="110" t="s">
        <v>246</v>
      </c>
      <c r="AK146" s="110" t="s">
        <v>171</v>
      </c>
      <c r="AL146" s="110" t="s">
        <v>190</v>
      </c>
      <c r="AO146" s="110">
        <v>8</v>
      </c>
      <c r="AP146" s="110" t="s">
        <v>190</v>
      </c>
      <c r="AQ146" s="110" t="s">
        <v>176</v>
      </c>
      <c r="AR146" s="110">
        <v>1986</v>
      </c>
      <c r="AS146" s="110" t="s">
        <v>163</v>
      </c>
      <c r="AT146" s="110" t="s">
        <v>254</v>
      </c>
      <c r="AU146" s="110">
        <v>50</v>
      </c>
      <c r="AW146" s="110" t="s">
        <v>174</v>
      </c>
      <c r="AX146" s="110" t="s">
        <v>174</v>
      </c>
      <c r="AY146" s="110" t="s">
        <v>174</v>
      </c>
      <c r="AZ146" s="110" t="s">
        <v>174</v>
      </c>
      <c r="BA146" s="110">
        <v>27</v>
      </c>
      <c r="BB146" s="110">
        <v>27</v>
      </c>
      <c r="BC146" s="110">
        <v>27</v>
      </c>
      <c r="BD146" s="110">
        <v>0</v>
      </c>
      <c r="BE146" s="110" t="s">
        <v>182</v>
      </c>
      <c r="BF146" s="110" t="s">
        <v>412</v>
      </c>
      <c r="BH146" s="110" t="s">
        <v>190</v>
      </c>
      <c r="BI146" s="110" t="s">
        <v>182</v>
      </c>
      <c r="BJ146" s="110" t="s">
        <v>412</v>
      </c>
      <c r="BK146" s="110">
        <v>5</v>
      </c>
      <c r="BL146" s="110">
        <v>4</v>
      </c>
      <c r="BM146" s="110" t="s">
        <v>174</v>
      </c>
      <c r="BN146" s="110" t="s">
        <v>174</v>
      </c>
      <c r="BO146" s="110" t="s">
        <v>174</v>
      </c>
      <c r="BP146" s="110" t="s">
        <v>174</v>
      </c>
      <c r="BQ146" s="110" t="s">
        <v>174</v>
      </c>
      <c r="BR146" s="110" t="s">
        <v>174</v>
      </c>
      <c r="BS146" s="110">
        <v>18</v>
      </c>
      <c r="BT146" s="110" t="s">
        <v>2347</v>
      </c>
      <c r="BU146" s="110" t="s">
        <v>1394</v>
      </c>
      <c r="BV146" s="110" t="s">
        <v>2603</v>
      </c>
      <c r="BW146" s="110">
        <v>0.99</v>
      </c>
      <c r="BZ146" s="110">
        <v>5.4800000000000001E-2</v>
      </c>
      <c r="CB146" s="110">
        <v>12.648671179999999</v>
      </c>
      <c r="CC146" s="110" t="b">
        <v>0</v>
      </c>
      <c r="CD146" s="110">
        <v>35.4</v>
      </c>
      <c r="CE146" s="110" t="s">
        <v>2256</v>
      </c>
      <c r="CF146" s="110" t="s">
        <v>2256</v>
      </c>
      <c r="CG146" s="110" t="s">
        <v>174</v>
      </c>
      <c r="CH146" s="110" t="s">
        <v>3041</v>
      </c>
      <c r="CI146" s="110" t="s">
        <v>920</v>
      </c>
    </row>
    <row r="147" spans="1:88">
      <c r="A147" s="110" t="s">
        <v>547</v>
      </c>
      <c r="B147" s="110">
        <v>31</v>
      </c>
      <c r="C147" s="110">
        <v>1</v>
      </c>
      <c r="D147" s="110">
        <v>1</v>
      </c>
      <c r="E147" s="110">
        <v>146</v>
      </c>
      <c r="F147" s="110">
        <v>1989</v>
      </c>
      <c r="G147" s="110" t="s">
        <v>161</v>
      </c>
      <c r="H147" s="110" t="s">
        <v>2440</v>
      </c>
      <c r="I147" s="110" t="s">
        <v>182</v>
      </c>
      <c r="J147" s="110" t="s">
        <v>246</v>
      </c>
      <c r="K147" s="110" t="s">
        <v>999</v>
      </c>
      <c r="L147" s="110" t="s">
        <v>999</v>
      </c>
      <c r="R147" s="110" t="s">
        <v>152</v>
      </c>
      <c r="S147" s="110" t="s">
        <v>443</v>
      </c>
      <c r="T147" s="110" t="s">
        <v>279</v>
      </c>
      <c r="U147" s="110" t="s">
        <v>280</v>
      </c>
      <c r="V147" s="110">
        <v>43.555592910000001</v>
      </c>
      <c r="W147" s="110">
        <v>-43.555592910000001</v>
      </c>
      <c r="X147" s="110">
        <v>172.75173860000001</v>
      </c>
      <c r="Y147" s="110" t="s">
        <v>483</v>
      </c>
      <c r="Z147" s="110" t="s">
        <v>802</v>
      </c>
      <c r="AA147" s="110" t="s">
        <v>424</v>
      </c>
      <c r="AB147" s="110" t="s">
        <v>333</v>
      </c>
      <c r="AC147" s="110" t="s">
        <v>246</v>
      </c>
      <c r="AD147" s="110" t="s">
        <v>333</v>
      </c>
      <c r="AE147" s="110" t="s">
        <v>1306</v>
      </c>
      <c r="AF147" s="110" t="s">
        <v>1745</v>
      </c>
      <c r="AH147" s="110" t="s">
        <v>1775</v>
      </c>
      <c r="AI147" s="110" t="s">
        <v>246</v>
      </c>
      <c r="AJ147" s="110" t="s">
        <v>246</v>
      </c>
      <c r="AK147" s="110" t="s">
        <v>171</v>
      </c>
      <c r="AL147" s="110" t="s">
        <v>190</v>
      </c>
      <c r="AO147" s="110">
        <v>1</v>
      </c>
      <c r="AP147" s="110" t="s">
        <v>190</v>
      </c>
      <c r="AQ147" s="110" t="s">
        <v>176</v>
      </c>
      <c r="AR147" s="110">
        <v>1986</v>
      </c>
      <c r="AS147" s="110" t="s">
        <v>163</v>
      </c>
      <c r="AT147" s="110" t="s">
        <v>254</v>
      </c>
      <c r="AU147" s="110">
        <v>50</v>
      </c>
      <c r="AW147" s="110" t="s">
        <v>174</v>
      </c>
      <c r="AX147" s="110" t="s">
        <v>174</v>
      </c>
      <c r="AY147" s="110" t="s">
        <v>174</v>
      </c>
      <c r="AZ147" s="110" t="s">
        <v>174</v>
      </c>
      <c r="BA147" s="110">
        <v>27</v>
      </c>
      <c r="BB147" s="110">
        <v>27</v>
      </c>
      <c r="BC147" s="110">
        <v>27</v>
      </c>
      <c r="BD147" s="110">
        <v>0</v>
      </c>
      <c r="BE147" s="110" t="s">
        <v>182</v>
      </c>
      <c r="BF147" s="110" t="s">
        <v>412</v>
      </c>
      <c r="BH147" s="110" t="s">
        <v>190</v>
      </c>
      <c r="BI147" s="110" t="s">
        <v>182</v>
      </c>
      <c r="BJ147" s="110" t="s">
        <v>412</v>
      </c>
      <c r="BK147" s="110">
        <v>5</v>
      </c>
      <c r="BL147" s="110">
        <v>4</v>
      </c>
      <c r="BM147" s="110" t="s">
        <v>174</v>
      </c>
      <c r="BN147" s="110" t="s">
        <v>174</v>
      </c>
      <c r="BO147" s="110" t="s">
        <v>174</v>
      </c>
      <c r="BP147" s="110" t="s">
        <v>174</v>
      </c>
      <c r="BQ147" s="110" t="s">
        <v>174</v>
      </c>
      <c r="BR147" s="110" t="s">
        <v>174</v>
      </c>
      <c r="BS147" s="110">
        <v>18</v>
      </c>
      <c r="BT147" s="110" t="s">
        <v>2347</v>
      </c>
      <c r="BU147" s="110" t="s">
        <v>1394</v>
      </c>
      <c r="BV147" s="110" t="s">
        <v>2603</v>
      </c>
      <c r="BW147" s="110">
        <v>0.8</v>
      </c>
      <c r="BZ147" s="110">
        <v>2.6200000000000001E-2</v>
      </c>
      <c r="CB147" s="110">
        <v>26.455999259999999</v>
      </c>
      <c r="CC147" s="110" t="b">
        <v>0</v>
      </c>
      <c r="CD147" s="110">
        <v>57.2</v>
      </c>
      <c r="CE147" s="110" t="s">
        <v>2256</v>
      </c>
      <c r="CF147" s="110" t="s">
        <v>2256</v>
      </c>
      <c r="CG147" s="110" t="s">
        <v>174</v>
      </c>
      <c r="CH147" s="110" t="s">
        <v>174</v>
      </c>
      <c r="CI147" s="110" t="s">
        <v>920</v>
      </c>
    </row>
    <row r="148" spans="1:88">
      <c r="A148" s="110" t="s">
        <v>547</v>
      </c>
      <c r="B148" s="110">
        <v>31</v>
      </c>
      <c r="C148" s="110">
        <v>1</v>
      </c>
      <c r="D148" s="110">
        <v>2</v>
      </c>
      <c r="E148" s="110">
        <v>147</v>
      </c>
      <c r="F148" s="110">
        <v>1989</v>
      </c>
      <c r="G148" s="110" t="s">
        <v>161</v>
      </c>
      <c r="H148" s="110" t="s">
        <v>2440</v>
      </c>
      <c r="I148" s="110" t="s">
        <v>182</v>
      </c>
      <c r="J148" s="110" t="s">
        <v>246</v>
      </c>
      <c r="K148" s="110" t="s">
        <v>999</v>
      </c>
      <c r="L148" s="110" t="s">
        <v>999</v>
      </c>
      <c r="R148" s="110" t="s">
        <v>152</v>
      </c>
      <c r="S148" s="110" t="s">
        <v>443</v>
      </c>
      <c r="T148" s="110" t="s">
        <v>279</v>
      </c>
      <c r="U148" s="110" t="s">
        <v>280</v>
      </c>
      <c r="V148" s="110">
        <v>43.555592910000001</v>
      </c>
      <c r="W148" s="110">
        <v>-43.555592910000001</v>
      </c>
      <c r="X148" s="110">
        <v>172.75173860000001</v>
      </c>
      <c r="Y148" s="110" t="s">
        <v>483</v>
      </c>
      <c r="Z148" s="110" t="s">
        <v>802</v>
      </c>
      <c r="AA148" s="110" t="s">
        <v>424</v>
      </c>
      <c r="AB148" s="110" t="s">
        <v>333</v>
      </c>
      <c r="AC148" s="110" t="s">
        <v>246</v>
      </c>
      <c r="AD148" s="110" t="s">
        <v>333</v>
      </c>
      <c r="AE148" s="110" t="s">
        <v>1306</v>
      </c>
      <c r="AF148" s="110" t="s">
        <v>1745</v>
      </c>
      <c r="AH148" s="110" t="s">
        <v>1775</v>
      </c>
      <c r="AI148" s="110" t="s">
        <v>246</v>
      </c>
      <c r="AJ148" s="110" t="s">
        <v>246</v>
      </c>
      <c r="AK148" s="110" t="s">
        <v>171</v>
      </c>
      <c r="AL148" s="110" t="s">
        <v>190</v>
      </c>
      <c r="AO148" s="110">
        <v>8</v>
      </c>
      <c r="AP148" s="110" t="s">
        <v>190</v>
      </c>
      <c r="AQ148" s="110" t="s">
        <v>176</v>
      </c>
      <c r="AR148" s="110">
        <v>1986</v>
      </c>
      <c r="AS148" s="110" t="s">
        <v>319</v>
      </c>
      <c r="AT148" s="110" t="s">
        <v>254</v>
      </c>
      <c r="AU148" s="110">
        <v>50</v>
      </c>
      <c r="AW148" s="110" t="s">
        <v>174</v>
      </c>
      <c r="AX148" s="110" t="s">
        <v>174</v>
      </c>
      <c r="AY148" s="110" t="s">
        <v>174</v>
      </c>
      <c r="AZ148" s="110" t="s">
        <v>174</v>
      </c>
      <c r="BA148" s="110">
        <v>27</v>
      </c>
      <c r="BB148" s="110">
        <v>27</v>
      </c>
      <c r="BC148" s="110">
        <v>27</v>
      </c>
      <c r="BD148" s="110">
        <v>0</v>
      </c>
      <c r="BE148" s="110" t="s">
        <v>182</v>
      </c>
      <c r="BF148" s="110" t="s">
        <v>412</v>
      </c>
      <c r="BH148" s="110" t="s">
        <v>190</v>
      </c>
      <c r="BI148" s="110" t="s">
        <v>182</v>
      </c>
      <c r="BJ148" s="110" t="s">
        <v>412</v>
      </c>
      <c r="BK148" s="110">
        <v>5</v>
      </c>
      <c r="BL148" s="110">
        <v>4</v>
      </c>
      <c r="BM148" s="110" t="s">
        <v>174</v>
      </c>
      <c r="BN148" s="110" t="s">
        <v>174</v>
      </c>
      <c r="BO148" s="110" t="s">
        <v>174</v>
      </c>
      <c r="BP148" s="110" t="s">
        <v>174</v>
      </c>
      <c r="BQ148" s="110" t="s">
        <v>174</v>
      </c>
      <c r="BR148" s="110" t="s">
        <v>174</v>
      </c>
      <c r="BS148" s="110">
        <v>18</v>
      </c>
      <c r="BT148" s="110" t="s">
        <v>2347</v>
      </c>
      <c r="BU148" s="110" t="s">
        <v>1394</v>
      </c>
      <c r="BV148" s="110" t="s">
        <v>2603</v>
      </c>
      <c r="BW148" s="110">
        <v>0.92</v>
      </c>
      <c r="BZ148" s="110">
        <v>3.9800000000000002E-2</v>
      </c>
      <c r="CB148" s="110">
        <v>17.415758310000001</v>
      </c>
      <c r="CC148" s="110" t="b">
        <v>0</v>
      </c>
      <c r="CD148" s="110">
        <v>45</v>
      </c>
      <c r="CE148" s="110" t="s">
        <v>2256</v>
      </c>
      <c r="CF148" s="110" t="s">
        <v>2256</v>
      </c>
      <c r="CG148" s="110" t="s">
        <v>174</v>
      </c>
      <c r="CH148" s="110" t="s">
        <v>3041</v>
      </c>
      <c r="CI148" s="110" t="s">
        <v>920</v>
      </c>
    </row>
    <row r="149" spans="1:88">
      <c r="A149" s="110" t="s">
        <v>547</v>
      </c>
      <c r="B149" s="110">
        <v>31</v>
      </c>
      <c r="C149" s="110">
        <v>1</v>
      </c>
      <c r="D149" s="110">
        <v>2</v>
      </c>
      <c r="E149" s="110">
        <v>148</v>
      </c>
      <c r="F149" s="110">
        <v>1989</v>
      </c>
      <c r="G149" s="110" t="s">
        <v>161</v>
      </c>
      <c r="H149" s="110" t="s">
        <v>2440</v>
      </c>
      <c r="I149" s="110" t="s">
        <v>182</v>
      </c>
      <c r="J149" s="110" t="s">
        <v>246</v>
      </c>
      <c r="K149" s="110" t="s">
        <v>999</v>
      </c>
      <c r="L149" s="110" t="s">
        <v>999</v>
      </c>
      <c r="R149" s="110" t="s">
        <v>152</v>
      </c>
      <c r="S149" s="110" t="s">
        <v>443</v>
      </c>
      <c r="T149" s="110" t="s">
        <v>279</v>
      </c>
      <c r="U149" s="110" t="s">
        <v>280</v>
      </c>
      <c r="V149" s="110">
        <v>43.555592910000001</v>
      </c>
      <c r="W149" s="110">
        <v>-43.555592910000001</v>
      </c>
      <c r="X149" s="110">
        <v>172.75173860000001</v>
      </c>
      <c r="Y149" s="110" t="s">
        <v>483</v>
      </c>
      <c r="Z149" s="110" t="s">
        <v>802</v>
      </c>
      <c r="AA149" s="110" t="s">
        <v>424</v>
      </c>
      <c r="AB149" s="110" t="s">
        <v>333</v>
      </c>
      <c r="AC149" s="110" t="s">
        <v>246</v>
      </c>
      <c r="AD149" s="110" t="s">
        <v>333</v>
      </c>
      <c r="AE149" s="110" t="s">
        <v>1306</v>
      </c>
      <c r="AF149" s="110" t="s">
        <v>1745</v>
      </c>
      <c r="AH149" s="110" t="s">
        <v>1775</v>
      </c>
      <c r="AI149" s="110" t="s">
        <v>246</v>
      </c>
      <c r="AJ149" s="110" t="s">
        <v>246</v>
      </c>
      <c r="AK149" s="110" t="s">
        <v>171</v>
      </c>
      <c r="AL149" s="110" t="s">
        <v>190</v>
      </c>
      <c r="AO149" s="110">
        <v>8.5000000000000006E-2</v>
      </c>
      <c r="AP149" s="110" t="s">
        <v>190</v>
      </c>
      <c r="AQ149" s="110" t="s">
        <v>176</v>
      </c>
      <c r="AR149" s="110">
        <v>1986</v>
      </c>
      <c r="AS149" s="110" t="s">
        <v>319</v>
      </c>
      <c r="AT149" s="110" t="s">
        <v>254</v>
      </c>
      <c r="AU149" s="110">
        <v>50</v>
      </c>
      <c r="AW149" s="110" t="s">
        <v>174</v>
      </c>
      <c r="AX149" s="110" t="s">
        <v>174</v>
      </c>
      <c r="AY149" s="110" t="s">
        <v>174</v>
      </c>
      <c r="AZ149" s="110" t="s">
        <v>174</v>
      </c>
      <c r="BA149" s="110">
        <v>27</v>
      </c>
      <c r="BB149" s="110">
        <v>27</v>
      </c>
      <c r="BC149" s="110">
        <v>27</v>
      </c>
      <c r="BD149" s="110">
        <v>0</v>
      </c>
      <c r="BE149" s="110" t="s">
        <v>182</v>
      </c>
      <c r="BF149" s="110" t="s">
        <v>412</v>
      </c>
      <c r="BH149" s="110" t="s">
        <v>190</v>
      </c>
      <c r="BI149" s="110" t="s">
        <v>182</v>
      </c>
      <c r="BJ149" s="110" t="s">
        <v>412</v>
      </c>
      <c r="BK149" s="110">
        <v>5</v>
      </c>
      <c r="BL149" s="110">
        <v>4</v>
      </c>
      <c r="BM149" s="110" t="s">
        <v>174</v>
      </c>
      <c r="BN149" s="110" t="s">
        <v>174</v>
      </c>
      <c r="BO149" s="110" t="s">
        <v>174</v>
      </c>
      <c r="BP149" s="110" t="s">
        <v>174</v>
      </c>
      <c r="BQ149" s="110" t="s">
        <v>174</v>
      </c>
      <c r="BR149" s="110" t="s">
        <v>174</v>
      </c>
      <c r="BS149" s="110">
        <v>18</v>
      </c>
      <c r="BT149" s="110" t="s">
        <v>2347</v>
      </c>
      <c r="BU149" s="110" t="s">
        <v>1394</v>
      </c>
      <c r="BV149" s="110" t="s">
        <v>2603</v>
      </c>
      <c r="BW149" s="110">
        <v>0.94</v>
      </c>
      <c r="BZ149" s="110">
        <v>3.8399999999999997E-2</v>
      </c>
      <c r="CB149" s="110">
        <v>18.05070783</v>
      </c>
      <c r="CC149" s="110" t="b">
        <v>0</v>
      </c>
      <c r="CD149" s="110">
        <v>48.2</v>
      </c>
      <c r="CE149" s="110" t="s">
        <v>2256</v>
      </c>
      <c r="CF149" s="110" t="s">
        <v>2256</v>
      </c>
      <c r="CG149" s="110" t="s">
        <v>174</v>
      </c>
      <c r="CH149" s="110" t="s">
        <v>174</v>
      </c>
      <c r="CI149" s="110" t="s">
        <v>920</v>
      </c>
    </row>
    <row r="150" spans="1:88">
      <c r="A150" s="110" t="s">
        <v>942</v>
      </c>
      <c r="B150" s="110">
        <v>32</v>
      </c>
      <c r="C150" s="110">
        <v>2</v>
      </c>
      <c r="D150" s="110">
        <v>1</v>
      </c>
      <c r="E150" s="110">
        <v>149</v>
      </c>
      <c r="F150" s="110">
        <v>2022</v>
      </c>
      <c r="G150" s="110" t="s">
        <v>187</v>
      </c>
      <c r="H150" s="110" t="s">
        <v>1119</v>
      </c>
      <c r="I150" s="110" t="s">
        <v>182</v>
      </c>
      <c r="J150" s="110" t="s">
        <v>182</v>
      </c>
      <c r="K150" s="110" t="s">
        <v>186</v>
      </c>
      <c r="L150" s="110" t="s">
        <v>186</v>
      </c>
      <c r="M150" s="110" t="s">
        <v>3173</v>
      </c>
      <c r="N150" s="110" t="s">
        <v>3157</v>
      </c>
      <c r="O150" s="110">
        <v>1</v>
      </c>
      <c r="Q150" s="110">
        <v>0.7</v>
      </c>
      <c r="R150" s="110" t="s">
        <v>2611</v>
      </c>
      <c r="S150" s="110" t="s">
        <v>444</v>
      </c>
      <c r="T150" s="110" t="s">
        <v>1295</v>
      </c>
      <c r="U150" s="110" t="s">
        <v>1296</v>
      </c>
      <c r="V150" s="110">
        <v>39.144333330000002</v>
      </c>
      <c r="W150" s="110">
        <v>39.144333330000002</v>
      </c>
      <c r="X150" s="110">
        <v>2.9369999999999998</v>
      </c>
      <c r="Y150" s="110" t="s">
        <v>419</v>
      </c>
      <c r="Z150" s="110" t="s">
        <v>155</v>
      </c>
      <c r="AA150" s="110" t="s">
        <v>1788</v>
      </c>
      <c r="AB150" s="110" t="s">
        <v>1216</v>
      </c>
      <c r="AC150" s="110" t="s">
        <v>182</v>
      </c>
      <c r="AD150" s="110" t="s">
        <v>333</v>
      </c>
      <c r="AE150" s="110" t="s">
        <v>187</v>
      </c>
      <c r="AF150" s="110" t="s">
        <v>190</v>
      </c>
      <c r="AG150" s="110" t="s">
        <v>190</v>
      </c>
      <c r="AI150" s="110" t="s">
        <v>246</v>
      </c>
      <c r="AJ150" s="110" t="s">
        <v>246</v>
      </c>
      <c r="AK150" s="110" t="s">
        <v>1756</v>
      </c>
      <c r="AL150" s="110" t="s">
        <v>1297</v>
      </c>
      <c r="AM150" s="110">
        <v>50</v>
      </c>
      <c r="AN150" s="110" t="s">
        <v>1216</v>
      </c>
      <c r="AP150" s="110" t="s">
        <v>190</v>
      </c>
      <c r="AQ150" s="110" t="s">
        <v>175</v>
      </c>
      <c r="AR150" s="110">
        <v>2019</v>
      </c>
      <c r="AS150" s="110" t="s">
        <v>475</v>
      </c>
      <c r="AT150" s="110" t="s">
        <v>420</v>
      </c>
      <c r="AU150" s="110" t="s">
        <v>174</v>
      </c>
      <c r="AV150" s="110" t="s">
        <v>174</v>
      </c>
      <c r="BA150" s="110">
        <v>18</v>
      </c>
      <c r="BB150" s="110">
        <v>18</v>
      </c>
      <c r="BC150" s="110">
        <v>18</v>
      </c>
      <c r="BD150" s="110">
        <v>0</v>
      </c>
      <c r="BE150" s="110" t="s">
        <v>246</v>
      </c>
      <c r="BF150" s="110" t="s">
        <v>188</v>
      </c>
      <c r="BG150" s="110">
        <v>0</v>
      </c>
      <c r="BI150" s="110" t="s">
        <v>246</v>
      </c>
      <c r="BJ150" s="110" t="s">
        <v>1300</v>
      </c>
      <c r="BK150" s="110">
        <v>3</v>
      </c>
      <c r="BL150" s="110">
        <v>9</v>
      </c>
      <c r="BM150" s="110" t="s">
        <v>1461</v>
      </c>
      <c r="BN150" s="110" t="s">
        <v>174</v>
      </c>
      <c r="BO150" s="110" t="s">
        <v>174</v>
      </c>
      <c r="BP150" s="110" t="s">
        <v>174</v>
      </c>
      <c r="BQ150" s="110" t="s">
        <v>174</v>
      </c>
      <c r="BR150" s="110" t="s">
        <v>174</v>
      </c>
      <c r="BS150" s="110">
        <v>15</v>
      </c>
      <c r="BT150" s="110" t="s">
        <v>2382</v>
      </c>
      <c r="BU150" s="110" t="s">
        <v>3206</v>
      </c>
      <c r="BV150" s="110" t="s">
        <v>2603</v>
      </c>
      <c r="BW150" s="110">
        <v>0.995</v>
      </c>
      <c r="BX150" s="110" t="s">
        <v>1396</v>
      </c>
      <c r="BY150" s="110">
        <v>0.95</v>
      </c>
      <c r="CA150" s="110">
        <v>5.6280000000000001</v>
      </c>
      <c r="CB150" s="110">
        <v>3.55366027</v>
      </c>
      <c r="CC150" s="110" t="b">
        <v>0</v>
      </c>
      <c r="CD150" s="110">
        <v>29</v>
      </c>
      <c r="CE150" s="110">
        <v>25.83</v>
      </c>
      <c r="CF150" s="110" t="s">
        <v>182</v>
      </c>
      <c r="CG150" s="110" t="s">
        <v>174</v>
      </c>
      <c r="CH150" s="110" t="s">
        <v>1302</v>
      </c>
      <c r="CI150" s="110" t="s">
        <v>1298</v>
      </c>
    </row>
    <row r="151" spans="1:88">
      <c r="A151" s="110" t="s">
        <v>942</v>
      </c>
      <c r="B151" s="110">
        <v>32</v>
      </c>
      <c r="C151" s="110">
        <v>2</v>
      </c>
      <c r="D151" s="110">
        <v>2</v>
      </c>
      <c r="E151" s="110">
        <v>150</v>
      </c>
      <c r="F151" s="110">
        <v>2022</v>
      </c>
      <c r="G151" s="110" t="s">
        <v>187</v>
      </c>
      <c r="H151" s="110" t="s">
        <v>1119</v>
      </c>
      <c r="I151" s="110" t="s">
        <v>182</v>
      </c>
      <c r="J151" s="110" t="s">
        <v>182</v>
      </c>
      <c r="K151" s="110" t="s">
        <v>186</v>
      </c>
      <c r="L151" s="110" t="s">
        <v>186</v>
      </c>
      <c r="M151" s="110" t="s">
        <v>3173</v>
      </c>
      <c r="N151" s="110" t="s">
        <v>3157</v>
      </c>
      <c r="O151" s="110">
        <v>1</v>
      </c>
      <c r="Q151" s="110">
        <v>0.7</v>
      </c>
      <c r="R151" s="110" t="s">
        <v>2611</v>
      </c>
      <c r="S151" s="110" t="s">
        <v>444</v>
      </c>
      <c r="T151" s="110" t="s">
        <v>1295</v>
      </c>
      <c r="U151" s="110" t="s">
        <v>1296</v>
      </c>
      <c r="V151" s="110">
        <v>39.144333330000002</v>
      </c>
      <c r="W151" s="110">
        <v>39.144333330000002</v>
      </c>
      <c r="X151" s="110">
        <v>2.9369999999999998</v>
      </c>
      <c r="Y151" s="110" t="s">
        <v>419</v>
      </c>
      <c r="Z151" s="110" t="s">
        <v>155</v>
      </c>
      <c r="AA151" s="110" t="s">
        <v>1788</v>
      </c>
      <c r="AB151" s="110" t="s">
        <v>1216</v>
      </c>
      <c r="AC151" s="110" t="s">
        <v>182</v>
      </c>
      <c r="AD151" s="110" t="s">
        <v>333</v>
      </c>
      <c r="AE151" s="110" t="s">
        <v>187</v>
      </c>
      <c r="AF151" s="110" t="s">
        <v>190</v>
      </c>
      <c r="AG151" s="110" t="s">
        <v>190</v>
      </c>
      <c r="AI151" s="110" t="s">
        <v>246</v>
      </c>
      <c r="AJ151" s="110" t="s">
        <v>246</v>
      </c>
      <c r="AK151" s="110" t="s">
        <v>1756</v>
      </c>
      <c r="AL151" s="110" t="s">
        <v>1297</v>
      </c>
      <c r="AM151" s="110">
        <v>50</v>
      </c>
      <c r="AN151" s="110" t="s">
        <v>1216</v>
      </c>
      <c r="AP151" s="110" t="s">
        <v>190</v>
      </c>
      <c r="AQ151" s="110" t="s">
        <v>175</v>
      </c>
      <c r="AR151" s="110">
        <v>2020</v>
      </c>
      <c r="AS151" s="110" t="s">
        <v>327</v>
      </c>
      <c r="AT151" s="110" t="s">
        <v>385</v>
      </c>
      <c r="AU151" s="110" t="s">
        <v>174</v>
      </c>
      <c r="AV151" s="110" t="s">
        <v>174</v>
      </c>
      <c r="BA151" s="110">
        <v>18</v>
      </c>
      <c r="BB151" s="110">
        <v>18</v>
      </c>
      <c r="BC151" s="110">
        <v>18</v>
      </c>
      <c r="BD151" s="110">
        <v>0</v>
      </c>
      <c r="BE151" s="110" t="s">
        <v>246</v>
      </c>
      <c r="BF151" s="110" t="s">
        <v>188</v>
      </c>
      <c r="BG151" s="110">
        <v>0</v>
      </c>
      <c r="BI151" s="110" t="s">
        <v>246</v>
      </c>
      <c r="BJ151" s="110" t="s">
        <v>1300</v>
      </c>
      <c r="BK151" s="110">
        <v>3</v>
      </c>
      <c r="BL151" s="110">
        <v>9</v>
      </c>
      <c r="BM151" s="110" t="s">
        <v>1461</v>
      </c>
      <c r="BN151" s="110" t="s">
        <v>174</v>
      </c>
      <c r="BO151" s="110" t="s">
        <v>174</v>
      </c>
      <c r="BP151" s="110" t="s">
        <v>174</v>
      </c>
      <c r="BQ151" s="110" t="s">
        <v>174</v>
      </c>
      <c r="BR151" s="110" t="s">
        <v>174</v>
      </c>
      <c r="BS151" s="110">
        <v>15</v>
      </c>
      <c r="BT151" s="110" t="s">
        <v>1385</v>
      </c>
      <c r="BU151" s="110" t="s">
        <v>3207</v>
      </c>
      <c r="BV151" s="110" t="s">
        <v>2603</v>
      </c>
      <c r="BW151" s="110">
        <v>0.98</v>
      </c>
      <c r="BZ151" s="110">
        <v>0.1525</v>
      </c>
      <c r="CB151" s="110">
        <v>5.64</v>
      </c>
      <c r="CC151" s="110" t="b">
        <v>0</v>
      </c>
      <c r="CD151" s="110">
        <v>14.5</v>
      </c>
      <c r="CE151" s="110">
        <v>14.5</v>
      </c>
      <c r="CF151" s="110" t="s">
        <v>182</v>
      </c>
      <c r="CG151" s="110" t="s">
        <v>174</v>
      </c>
      <c r="CH151" s="110" t="s">
        <v>1302</v>
      </c>
      <c r="CI151" s="110" t="s">
        <v>1298</v>
      </c>
    </row>
    <row r="152" spans="1:88">
      <c r="A152" s="110" t="s">
        <v>681</v>
      </c>
      <c r="B152" s="110">
        <v>33</v>
      </c>
      <c r="C152" s="110">
        <v>1</v>
      </c>
      <c r="D152" s="110">
        <v>1</v>
      </c>
      <c r="E152" s="110">
        <v>151</v>
      </c>
      <c r="F152" s="110">
        <v>1980</v>
      </c>
      <c r="G152" s="110" t="s">
        <v>161</v>
      </c>
      <c r="H152" s="110" t="s">
        <v>2437</v>
      </c>
      <c r="I152" s="110" t="s">
        <v>182</v>
      </c>
      <c r="J152" s="110" t="s">
        <v>246</v>
      </c>
      <c r="K152" s="110" t="s">
        <v>999</v>
      </c>
      <c r="L152" s="110" t="s">
        <v>999</v>
      </c>
      <c r="R152" s="110" t="s">
        <v>272</v>
      </c>
      <c r="S152" s="110" t="s">
        <v>443</v>
      </c>
      <c r="T152" s="110" t="s">
        <v>616</v>
      </c>
      <c r="U152" s="110" t="s">
        <v>617</v>
      </c>
      <c r="V152" s="110">
        <v>43.120888049999998</v>
      </c>
      <c r="W152" s="110">
        <v>43.120888049999998</v>
      </c>
      <c r="X152" s="110">
        <v>-70.86151366</v>
      </c>
      <c r="Y152" s="110" t="s">
        <v>276</v>
      </c>
      <c r="Z152" s="110" t="s">
        <v>586</v>
      </c>
      <c r="AA152" s="110" t="s">
        <v>1788</v>
      </c>
      <c r="AB152" s="110" t="s">
        <v>1724</v>
      </c>
      <c r="AC152" s="110" t="s">
        <v>182</v>
      </c>
      <c r="AD152" s="110" t="s">
        <v>333</v>
      </c>
      <c r="AE152" s="110" t="s">
        <v>1123</v>
      </c>
      <c r="AF152" s="110" t="s">
        <v>173</v>
      </c>
      <c r="AG152" s="110" t="s">
        <v>1766</v>
      </c>
      <c r="AI152" s="110" t="s">
        <v>246</v>
      </c>
      <c r="AJ152" s="110" t="s">
        <v>246</v>
      </c>
      <c r="AK152" s="110" t="s">
        <v>171</v>
      </c>
      <c r="AL152" s="110" t="s">
        <v>190</v>
      </c>
      <c r="AO152" s="110">
        <v>2.5</v>
      </c>
      <c r="AP152" s="110" t="s">
        <v>190</v>
      </c>
      <c r="AQ152" s="110" t="s">
        <v>176</v>
      </c>
      <c r="AR152" s="110" t="s">
        <v>174</v>
      </c>
      <c r="AS152" s="110" t="s">
        <v>174</v>
      </c>
      <c r="AT152" s="110" t="s">
        <v>174</v>
      </c>
      <c r="AU152" s="110" t="s">
        <v>174</v>
      </c>
      <c r="AW152" s="110">
        <v>29.83</v>
      </c>
      <c r="AX152" s="110">
        <v>30.33</v>
      </c>
      <c r="AY152" s="110" t="s">
        <v>174</v>
      </c>
      <c r="AZ152" s="110" t="s">
        <v>174</v>
      </c>
      <c r="BA152" s="110" t="s">
        <v>1766</v>
      </c>
      <c r="BB152" s="110" t="s">
        <v>1766</v>
      </c>
      <c r="BE152" s="110" t="s">
        <v>182</v>
      </c>
      <c r="BF152" s="110" t="s">
        <v>412</v>
      </c>
      <c r="BH152" s="110" t="s">
        <v>174</v>
      </c>
      <c r="BI152" s="110" t="s">
        <v>182</v>
      </c>
      <c r="BJ152" s="110" t="s">
        <v>412</v>
      </c>
      <c r="BK152" s="110">
        <v>3</v>
      </c>
      <c r="BL152" s="110">
        <v>5</v>
      </c>
      <c r="BM152" s="110" t="s">
        <v>1394</v>
      </c>
      <c r="BN152" s="110">
        <v>7.6399999999999996E-2</v>
      </c>
      <c r="BO152" s="110" t="s">
        <v>174</v>
      </c>
      <c r="BP152" s="110">
        <v>9</v>
      </c>
      <c r="BQ152" s="110" t="s">
        <v>174</v>
      </c>
      <c r="BR152" s="110" t="s">
        <v>174</v>
      </c>
      <c r="BS152" s="110">
        <v>38</v>
      </c>
      <c r="BT152" s="110" t="s">
        <v>2458</v>
      </c>
      <c r="BU152" s="110" t="s">
        <v>2606</v>
      </c>
      <c r="BV152" s="110" t="s">
        <v>2458</v>
      </c>
      <c r="BZ152" s="110">
        <v>7.6399999999999996E-2</v>
      </c>
      <c r="CB152" s="110">
        <v>9.0726070750000005</v>
      </c>
      <c r="CC152" s="110" t="b">
        <v>0</v>
      </c>
      <c r="CD152" s="110" t="s">
        <v>2256</v>
      </c>
      <c r="CE152" s="110" t="s">
        <v>2256</v>
      </c>
      <c r="CF152" s="110" t="s">
        <v>2256</v>
      </c>
      <c r="CG152" s="110" t="s">
        <v>174</v>
      </c>
      <c r="CH152" s="110" t="s">
        <v>2457</v>
      </c>
      <c r="CI152" s="110" t="s">
        <v>965</v>
      </c>
    </row>
    <row r="153" spans="1:88">
      <c r="A153" s="110" t="s">
        <v>681</v>
      </c>
      <c r="B153" s="110">
        <v>33</v>
      </c>
      <c r="C153" s="110">
        <v>1</v>
      </c>
      <c r="D153" s="110">
        <v>1</v>
      </c>
      <c r="E153" s="110">
        <v>152</v>
      </c>
      <c r="F153" s="110">
        <v>1980</v>
      </c>
      <c r="G153" s="110" t="s">
        <v>161</v>
      </c>
      <c r="H153" s="110" t="s">
        <v>2437</v>
      </c>
      <c r="I153" s="110" t="s">
        <v>182</v>
      </c>
      <c r="J153" s="110" t="s">
        <v>246</v>
      </c>
      <c r="K153" s="110" t="s">
        <v>999</v>
      </c>
      <c r="L153" s="110" t="s">
        <v>999</v>
      </c>
      <c r="R153" s="110" t="s">
        <v>272</v>
      </c>
      <c r="S153" s="110" t="s">
        <v>443</v>
      </c>
      <c r="T153" s="110" t="s">
        <v>611</v>
      </c>
      <c r="U153" s="110" t="s">
        <v>612</v>
      </c>
      <c r="V153" s="110">
        <v>43.120888049999998</v>
      </c>
      <c r="W153" s="110">
        <v>43.120888049999998</v>
      </c>
      <c r="X153" s="110">
        <v>-70.86151366</v>
      </c>
      <c r="Y153" s="110" t="s">
        <v>276</v>
      </c>
      <c r="Z153" s="110" t="s">
        <v>586</v>
      </c>
      <c r="AA153" s="110" t="s">
        <v>1788</v>
      </c>
      <c r="AB153" s="110" t="s">
        <v>1724</v>
      </c>
      <c r="AC153" s="110" t="s">
        <v>182</v>
      </c>
      <c r="AD153" s="110" t="s">
        <v>333</v>
      </c>
      <c r="AE153" s="110" t="s">
        <v>1123</v>
      </c>
      <c r="AF153" s="110" t="s">
        <v>173</v>
      </c>
      <c r="AG153" s="110" t="s">
        <v>1766</v>
      </c>
      <c r="AI153" s="110" t="s">
        <v>246</v>
      </c>
      <c r="AJ153" s="110" t="s">
        <v>246</v>
      </c>
      <c r="AK153" s="110" t="s">
        <v>171</v>
      </c>
      <c r="AL153" s="110" t="s">
        <v>190</v>
      </c>
      <c r="AO153" s="110">
        <v>2.5</v>
      </c>
      <c r="AP153" s="110" t="s">
        <v>190</v>
      </c>
      <c r="AQ153" s="110" t="s">
        <v>176</v>
      </c>
      <c r="AR153" s="110" t="s">
        <v>174</v>
      </c>
      <c r="AS153" s="110" t="s">
        <v>174</v>
      </c>
      <c r="AT153" s="110" t="s">
        <v>174</v>
      </c>
      <c r="AU153" s="110" t="s">
        <v>174</v>
      </c>
      <c r="AW153" s="110">
        <v>29.83</v>
      </c>
      <c r="AX153" s="110">
        <v>22.2</v>
      </c>
      <c r="AY153" s="110" t="s">
        <v>174</v>
      </c>
      <c r="AZ153" s="110" t="s">
        <v>174</v>
      </c>
      <c r="BA153" s="110" t="s">
        <v>1766</v>
      </c>
      <c r="BB153" s="110" t="s">
        <v>1766</v>
      </c>
      <c r="BE153" s="110" t="s">
        <v>182</v>
      </c>
      <c r="BF153" s="110" t="s">
        <v>412</v>
      </c>
      <c r="BH153" s="110" t="s">
        <v>174</v>
      </c>
      <c r="BI153" s="110" t="s">
        <v>182</v>
      </c>
      <c r="BJ153" s="110" t="s">
        <v>412</v>
      </c>
      <c r="BK153" s="110">
        <v>3</v>
      </c>
      <c r="BL153" s="110">
        <v>5</v>
      </c>
      <c r="BM153" s="110" t="s">
        <v>1394</v>
      </c>
      <c r="BN153" s="110">
        <v>2.9700000000000001E-2</v>
      </c>
      <c r="BO153" s="110" t="s">
        <v>174</v>
      </c>
      <c r="BP153" s="110">
        <v>23.3</v>
      </c>
      <c r="BQ153" s="110" t="s">
        <v>174</v>
      </c>
      <c r="BR153" s="110" t="s">
        <v>174</v>
      </c>
      <c r="BS153" s="110">
        <v>65</v>
      </c>
      <c r="BT153" s="110" t="s">
        <v>2458</v>
      </c>
      <c r="BU153" s="110" t="s">
        <v>2606</v>
      </c>
      <c r="BV153" s="110" t="s">
        <v>2458</v>
      </c>
      <c r="BZ153" s="110">
        <v>2.9700000000000001E-2</v>
      </c>
      <c r="CB153" s="110">
        <v>23.338288909999999</v>
      </c>
      <c r="CC153" s="110" t="b">
        <v>0</v>
      </c>
      <c r="CD153" s="110" t="s">
        <v>2256</v>
      </c>
      <c r="CE153" s="110" t="s">
        <v>2256</v>
      </c>
      <c r="CF153" s="110" t="s">
        <v>2256</v>
      </c>
      <c r="CG153" s="110" t="s">
        <v>174</v>
      </c>
      <c r="CH153" s="110" t="s">
        <v>2457</v>
      </c>
      <c r="CI153" s="110" t="s">
        <v>965</v>
      </c>
    </row>
    <row r="154" spans="1:88">
      <c r="A154" s="110" t="s">
        <v>681</v>
      </c>
      <c r="B154" s="110">
        <v>33</v>
      </c>
      <c r="C154" s="110">
        <v>1</v>
      </c>
      <c r="D154" s="110">
        <v>2</v>
      </c>
      <c r="E154" s="110">
        <v>153</v>
      </c>
      <c r="F154" s="110">
        <v>1980</v>
      </c>
      <c r="G154" s="110" t="s">
        <v>161</v>
      </c>
      <c r="H154" s="110" t="s">
        <v>2437</v>
      </c>
      <c r="I154" s="110" t="s">
        <v>182</v>
      </c>
      <c r="J154" s="110" t="s">
        <v>246</v>
      </c>
      <c r="K154" s="110" t="s">
        <v>999</v>
      </c>
      <c r="L154" s="110" t="s">
        <v>999</v>
      </c>
      <c r="R154" s="110" t="s">
        <v>272</v>
      </c>
      <c r="S154" s="110" t="s">
        <v>443</v>
      </c>
      <c r="T154" s="110" t="s">
        <v>616</v>
      </c>
      <c r="U154" s="110" t="s">
        <v>617</v>
      </c>
      <c r="V154" s="110">
        <v>43.120888049999998</v>
      </c>
      <c r="W154" s="110">
        <v>43.120888049999998</v>
      </c>
      <c r="X154" s="110">
        <v>-70.86151366</v>
      </c>
      <c r="Y154" s="110" t="s">
        <v>276</v>
      </c>
      <c r="Z154" s="110" t="s">
        <v>586</v>
      </c>
      <c r="AA154" s="110" t="s">
        <v>1788</v>
      </c>
      <c r="AB154" s="110" t="s">
        <v>1724</v>
      </c>
      <c r="AC154" s="110" t="s">
        <v>182</v>
      </c>
      <c r="AD154" s="110" t="s">
        <v>333</v>
      </c>
      <c r="AE154" s="110" t="s">
        <v>1123</v>
      </c>
      <c r="AF154" s="110" t="s">
        <v>1745</v>
      </c>
      <c r="AG154" s="110" t="s">
        <v>1766</v>
      </c>
      <c r="AI154" s="110" t="s">
        <v>246</v>
      </c>
      <c r="AJ154" s="110" t="s">
        <v>246</v>
      </c>
      <c r="AK154" s="110" t="s">
        <v>171</v>
      </c>
      <c r="AL154" s="110" t="s">
        <v>190</v>
      </c>
      <c r="AO154" s="110">
        <v>2.5</v>
      </c>
      <c r="AP154" s="110" t="s">
        <v>190</v>
      </c>
      <c r="AQ154" s="110" t="s">
        <v>176</v>
      </c>
      <c r="AR154" s="110" t="s">
        <v>174</v>
      </c>
      <c r="AS154" s="110" t="s">
        <v>174</v>
      </c>
      <c r="AT154" s="110" t="s">
        <v>174</v>
      </c>
      <c r="AU154" s="110" t="s">
        <v>174</v>
      </c>
      <c r="AW154" s="110">
        <v>29.4</v>
      </c>
      <c r="AX154" s="110">
        <v>10.39</v>
      </c>
      <c r="AY154" s="110" t="s">
        <v>174</v>
      </c>
      <c r="AZ154" s="110" t="s">
        <v>174</v>
      </c>
      <c r="BA154" s="110" t="s">
        <v>1766</v>
      </c>
      <c r="BB154" s="110" t="s">
        <v>1766</v>
      </c>
      <c r="BE154" s="110" t="s">
        <v>182</v>
      </c>
      <c r="BF154" s="110" t="s">
        <v>412</v>
      </c>
      <c r="BH154" s="110" t="s">
        <v>174</v>
      </c>
      <c r="BI154" s="110" t="s">
        <v>182</v>
      </c>
      <c r="BJ154" s="110" t="s">
        <v>412</v>
      </c>
      <c r="BK154" s="110">
        <v>3</v>
      </c>
      <c r="BL154" s="110">
        <v>5</v>
      </c>
      <c r="BM154" s="110" t="s">
        <v>1394</v>
      </c>
      <c r="BN154" s="110">
        <v>6.25E-2</v>
      </c>
      <c r="BO154" s="110" t="s">
        <v>174</v>
      </c>
      <c r="BP154" s="110">
        <v>11.1</v>
      </c>
      <c r="BQ154" s="110" t="s">
        <v>174</v>
      </c>
      <c r="BR154" s="110" t="s">
        <v>174</v>
      </c>
      <c r="BS154" s="110">
        <v>35</v>
      </c>
      <c r="BT154" s="110" t="s">
        <v>2458</v>
      </c>
      <c r="BU154" s="110" t="s">
        <v>2606</v>
      </c>
      <c r="BV154" s="110" t="s">
        <v>2458</v>
      </c>
      <c r="BZ154" s="110">
        <v>6.25E-2</v>
      </c>
      <c r="CB154" s="110">
        <v>11.09035489</v>
      </c>
      <c r="CC154" s="110" t="b">
        <v>0</v>
      </c>
      <c r="CD154" s="110" t="s">
        <v>2256</v>
      </c>
      <c r="CE154" s="110" t="s">
        <v>2256</v>
      </c>
      <c r="CF154" s="110" t="s">
        <v>2256</v>
      </c>
      <c r="CG154" s="110" t="s">
        <v>174</v>
      </c>
      <c r="CH154" s="110" t="s">
        <v>2457</v>
      </c>
      <c r="CI154" s="110" t="s">
        <v>965</v>
      </c>
    </row>
    <row r="155" spans="1:88">
      <c r="A155" s="110" t="s">
        <v>681</v>
      </c>
      <c r="B155" s="110">
        <v>33</v>
      </c>
      <c r="C155" s="110">
        <v>1</v>
      </c>
      <c r="D155" s="110">
        <v>2</v>
      </c>
      <c r="E155" s="110">
        <v>154</v>
      </c>
      <c r="F155" s="110">
        <v>1980</v>
      </c>
      <c r="G155" s="110" t="s">
        <v>161</v>
      </c>
      <c r="H155" s="110" t="s">
        <v>2437</v>
      </c>
      <c r="I155" s="110" t="s">
        <v>182</v>
      </c>
      <c r="J155" s="110" t="s">
        <v>246</v>
      </c>
      <c r="K155" s="110" t="s">
        <v>999</v>
      </c>
      <c r="L155" s="110" t="s">
        <v>999</v>
      </c>
      <c r="R155" s="110" t="s">
        <v>272</v>
      </c>
      <c r="S155" s="110" t="s">
        <v>443</v>
      </c>
      <c r="T155" s="110" t="s">
        <v>611</v>
      </c>
      <c r="U155" s="110" t="s">
        <v>612</v>
      </c>
      <c r="V155" s="110">
        <v>43.120888049999998</v>
      </c>
      <c r="W155" s="110">
        <v>43.120888049999998</v>
      </c>
      <c r="X155" s="110">
        <v>-70.86151366</v>
      </c>
      <c r="Y155" s="110" t="s">
        <v>276</v>
      </c>
      <c r="Z155" s="110" t="s">
        <v>586</v>
      </c>
      <c r="AA155" s="110" t="s">
        <v>1788</v>
      </c>
      <c r="AB155" s="110" t="s">
        <v>1724</v>
      </c>
      <c r="AC155" s="110" t="s">
        <v>182</v>
      </c>
      <c r="AD155" s="110" t="s">
        <v>333</v>
      </c>
      <c r="AE155" s="110" t="s">
        <v>1123</v>
      </c>
      <c r="AF155" s="110" t="s">
        <v>1745</v>
      </c>
      <c r="AG155" s="110" t="s">
        <v>1766</v>
      </c>
      <c r="AI155" s="110" t="s">
        <v>246</v>
      </c>
      <c r="AJ155" s="110" t="s">
        <v>246</v>
      </c>
      <c r="AK155" s="110" t="s">
        <v>171</v>
      </c>
      <c r="AL155" s="110" t="s">
        <v>190</v>
      </c>
      <c r="AO155" s="110">
        <v>2.5</v>
      </c>
      <c r="AP155" s="110" t="s">
        <v>190</v>
      </c>
      <c r="AQ155" s="110" t="s">
        <v>176</v>
      </c>
      <c r="AR155" s="110" t="s">
        <v>174</v>
      </c>
      <c r="AS155" s="110" t="s">
        <v>174</v>
      </c>
      <c r="AT155" s="110" t="s">
        <v>174</v>
      </c>
      <c r="AU155" s="110" t="s">
        <v>174</v>
      </c>
      <c r="AW155" s="110">
        <v>21.96</v>
      </c>
      <c r="AX155" s="110">
        <v>17.84</v>
      </c>
      <c r="AY155" s="110" t="s">
        <v>174</v>
      </c>
      <c r="AZ155" s="110" t="s">
        <v>174</v>
      </c>
      <c r="BA155" s="110" t="s">
        <v>1766</v>
      </c>
      <c r="BB155" s="110" t="s">
        <v>1766</v>
      </c>
      <c r="BE155" s="110" t="s">
        <v>182</v>
      </c>
      <c r="BF155" s="110" t="s">
        <v>412</v>
      </c>
      <c r="BH155" s="110" t="s">
        <v>174</v>
      </c>
      <c r="BI155" s="110" t="s">
        <v>182</v>
      </c>
      <c r="BJ155" s="110" t="s">
        <v>412</v>
      </c>
      <c r="BK155" s="110">
        <v>3</v>
      </c>
      <c r="BL155" s="110">
        <v>5</v>
      </c>
      <c r="BM155" s="110" t="s">
        <v>1394</v>
      </c>
      <c r="BN155" s="110">
        <v>0.10970000000000001</v>
      </c>
      <c r="BO155" s="110" t="s">
        <v>174</v>
      </c>
      <c r="BP155" s="110">
        <v>6.3</v>
      </c>
      <c r="BQ155" s="110" t="s">
        <v>174</v>
      </c>
      <c r="BR155" s="110" t="s">
        <v>174</v>
      </c>
      <c r="BS155" s="110">
        <v>40</v>
      </c>
      <c r="BT155" s="110" t="s">
        <v>2458</v>
      </c>
      <c r="BU155" s="110" t="s">
        <v>2606</v>
      </c>
      <c r="BV155" s="110" t="s">
        <v>2458</v>
      </c>
      <c r="BZ155" s="110">
        <v>0.10970000000000001</v>
      </c>
      <c r="CB155" s="110">
        <v>6.31857047</v>
      </c>
      <c r="CC155" s="110" t="b">
        <v>0</v>
      </c>
      <c r="CD155" s="110" t="s">
        <v>2256</v>
      </c>
      <c r="CE155" s="110" t="s">
        <v>2256</v>
      </c>
      <c r="CF155" s="110" t="s">
        <v>2256</v>
      </c>
      <c r="CG155" s="110" t="s">
        <v>174</v>
      </c>
      <c r="CH155" s="110" t="s">
        <v>2457</v>
      </c>
      <c r="CI155" s="110" t="s">
        <v>965</v>
      </c>
    </row>
    <row r="156" spans="1:88">
      <c r="A156" s="110" t="s">
        <v>681</v>
      </c>
      <c r="B156" s="110">
        <v>33</v>
      </c>
      <c r="C156" s="110">
        <v>1</v>
      </c>
      <c r="D156" s="110">
        <v>3</v>
      </c>
      <c r="E156" s="110">
        <v>155</v>
      </c>
      <c r="F156" s="110">
        <v>1980</v>
      </c>
      <c r="G156" s="110" t="s">
        <v>161</v>
      </c>
      <c r="H156" s="110" t="s">
        <v>2437</v>
      </c>
      <c r="I156" s="110" t="s">
        <v>182</v>
      </c>
      <c r="J156" s="110" t="s">
        <v>246</v>
      </c>
      <c r="K156" s="110" t="s">
        <v>999</v>
      </c>
      <c r="L156" s="110" t="s">
        <v>999</v>
      </c>
      <c r="R156" s="110" t="s">
        <v>272</v>
      </c>
      <c r="S156" s="110" t="s">
        <v>443</v>
      </c>
      <c r="T156" s="110" t="s">
        <v>616</v>
      </c>
      <c r="U156" s="110" t="s">
        <v>617</v>
      </c>
      <c r="V156" s="110">
        <v>43.120888049999998</v>
      </c>
      <c r="W156" s="110">
        <v>43.120888049999998</v>
      </c>
      <c r="X156" s="110">
        <v>-70.86151366</v>
      </c>
      <c r="Y156" s="110" t="s">
        <v>276</v>
      </c>
      <c r="Z156" s="110" t="s">
        <v>586</v>
      </c>
      <c r="AA156" s="110" t="s">
        <v>1788</v>
      </c>
      <c r="AB156" s="110" t="s">
        <v>1724</v>
      </c>
      <c r="AC156" s="110" t="s">
        <v>182</v>
      </c>
      <c r="AD156" s="110" t="s">
        <v>333</v>
      </c>
      <c r="AE156" s="110" t="s">
        <v>1306</v>
      </c>
      <c r="AF156" s="110" t="s">
        <v>1745</v>
      </c>
      <c r="AH156" s="110" t="s">
        <v>1775</v>
      </c>
      <c r="AI156" s="110" t="s">
        <v>246</v>
      </c>
      <c r="AJ156" s="110" t="s">
        <v>246</v>
      </c>
      <c r="AK156" s="110" t="s">
        <v>171</v>
      </c>
      <c r="AL156" s="110" t="s">
        <v>190</v>
      </c>
      <c r="AO156" s="110">
        <v>2.5</v>
      </c>
      <c r="AP156" s="110" t="s">
        <v>190</v>
      </c>
      <c r="AQ156" s="110" t="s">
        <v>176</v>
      </c>
      <c r="AR156" s="110" t="s">
        <v>174</v>
      </c>
      <c r="AS156" s="110" t="s">
        <v>174</v>
      </c>
      <c r="AT156" s="110" t="s">
        <v>174</v>
      </c>
      <c r="AU156" s="110" t="s">
        <v>174</v>
      </c>
      <c r="AW156" s="110">
        <v>33.200000000000003</v>
      </c>
      <c r="AX156" s="110">
        <v>38.700000000000003</v>
      </c>
      <c r="AY156" s="110" t="s">
        <v>174</v>
      </c>
      <c r="AZ156" s="110" t="s">
        <v>174</v>
      </c>
      <c r="BA156" s="110" t="s">
        <v>1766</v>
      </c>
      <c r="BB156" s="110" t="s">
        <v>1766</v>
      </c>
      <c r="BE156" s="110" t="s">
        <v>182</v>
      </c>
      <c r="BF156" s="110" t="s">
        <v>412</v>
      </c>
      <c r="BH156" s="110" t="s">
        <v>174</v>
      </c>
      <c r="BI156" s="110" t="s">
        <v>182</v>
      </c>
      <c r="BJ156" s="110" t="s">
        <v>412</v>
      </c>
      <c r="BK156" s="110">
        <v>3</v>
      </c>
      <c r="BL156" s="110">
        <v>5</v>
      </c>
      <c r="BM156" s="110" t="s">
        <v>1394</v>
      </c>
      <c r="BN156" s="110">
        <v>5.3800000000000001E-2</v>
      </c>
      <c r="BO156" s="110" t="s">
        <v>174</v>
      </c>
      <c r="BP156" s="110">
        <v>12.9</v>
      </c>
      <c r="BQ156" s="110" t="s">
        <v>174</v>
      </c>
      <c r="BR156" s="110" t="s">
        <v>174</v>
      </c>
      <c r="BS156" s="110">
        <v>60</v>
      </c>
      <c r="BT156" s="110" t="s">
        <v>2458</v>
      </c>
      <c r="BU156" s="110" t="s">
        <v>2606</v>
      </c>
      <c r="BV156" s="110" t="s">
        <v>2458</v>
      </c>
      <c r="BZ156" s="110">
        <v>5.3800000000000001E-2</v>
      </c>
      <c r="CB156" s="110">
        <v>12.88377659</v>
      </c>
      <c r="CC156" s="110" t="b">
        <v>0</v>
      </c>
      <c r="CD156" s="110" t="s">
        <v>2256</v>
      </c>
      <c r="CE156" s="110" t="s">
        <v>2256</v>
      </c>
      <c r="CF156" s="110" t="s">
        <v>2256</v>
      </c>
      <c r="CG156" s="110" t="s">
        <v>174</v>
      </c>
      <c r="CH156" s="110" t="s">
        <v>2457</v>
      </c>
      <c r="CI156" s="110" t="s">
        <v>965</v>
      </c>
    </row>
    <row r="157" spans="1:88">
      <c r="A157" s="110" t="s">
        <v>681</v>
      </c>
      <c r="B157" s="110">
        <v>33</v>
      </c>
      <c r="C157" s="110">
        <v>1</v>
      </c>
      <c r="D157" s="110">
        <v>3</v>
      </c>
      <c r="E157" s="110">
        <v>156</v>
      </c>
      <c r="F157" s="110">
        <v>1980</v>
      </c>
      <c r="G157" s="110" t="s">
        <v>161</v>
      </c>
      <c r="H157" s="110" t="s">
        <v>2437</v>
      </c>
      <c r="I157" s="110" t="s">
        <v>182</v>
      </c>
      <c r="J157" s="110" t="s">
        <v>246</v>
      </c>
      <c r="K157" s="110" t="s">
        <v>999</v>
      </c>
      <c r="L157" s="110" t="s">
        <v>999</v>
      </c>
      <c r="R157" s="110" t="s">
        <v>272</v>
      </c>
      <c r="S157" s="110" t="s">
        <v>443</v>
      </c>
      <c r="T157" s="110" t="s">
        <v>611</v>
      </c>
      <c r="U157" s="110" t="s">
        <v>612</v>
      </c>
      <c r="V157" s="110">
        <v>43.120888049999998</v>
      </c>
      <c r="W157" s="110">
        <v>43.120888049999998</v>
      </c>
      <c r="X157" s="110">
        <v>-70.86151366</v>
      </c>
      <c r="Y157" s="110" t="s">
        <v>276</v>
      </c>
      <c r="Z157" s="110" t="s">
        <v>586</v>
      </c>
      <c r="AA157" s="110" t="s">
        <v>1788</v>
      </c>
      <c r="AB157" s="110" t="s">
        <v>1724</v>
      </c>
      <c r="AC157" s="110" t="s">
        <v>182</v>
      </c>
      <c r="AD157" s="110" t="s">
        <v>333</v>
      </c>
      <c r="AE157" s="110" t="s">
        <v>1306</v>
      </c>
      <c r="AF157" s="110" t="s">
        <v>1745</v>
      </c>
      <c r="AH157" s="110" t="s">
        <v>1775</v>
      </c>
      <c r="AI157" s="110" t="s">
        <v>246</v>
      </c>
      <c r="AJ157" s="110" t="s">
        <v>246</v>
      </c>
      <c r="AK157" s="110" t="s">
        <v>171</v>
      </c>
      <c r="AL157" s="110" t="s">
        <v>190</v>
      </c>
      <c r="AO157" s="110">
        <v>2.5</v>
      </c>
      <c r="AP157" s="110" t="s">
        <v>190</v>
      </c>
      <c r="AQ157" s="110" t="s">
        <v>176</v>
      </c>
      <c r="AR157" s="110" t="s">
        <v>174</v>
      </c>
      <c r="AS157" s="110" t="s">
        <v>174</v>
      </c>
      <c r="AT157" s="110" t="s">
        <v>174</v>
      </c>
      <c r="AU157" s="110" t="s">
        <v>174</v>
      </c>
      <c r="AW157" s="110">
        <v>29.4</v>
      </c>
      <c r="AX157" s="110">
        <v>29.4</v>
      </c>
      <c r="AY157" s="110" t="s">
        <v>174</v>
      </c>
      <c r="AZ157" s="110" t="s">
        <v>174</v>
      </c>
      <c r="BA157" s="110" t="s">
        <v>1766</v>
      </c>
      <c r="BB157" s="110" t="s">
        <v>1766</v>
      </c>
      <c r="BE157" s="110" t="s">
        <v>182</v>
      </c>
      <c r="BF157" s="110" t="s">
        <v>412</v>
      </c>
      <c r="BH157" s="110" t="s">
        <v>174</v>
      </c>
      <c r="BI157" s="110" t="s">
        <v>182</v>
      </c>
      <c r="BJ157" s="110" t="s">
        <v>412</v>
      </c>
      <c r="BK157" s="110">
        <v>3</v>
      </c>
      <c r="BL157" s="110">
        <v>5</v>
      </c>
      <c r="BM157" s="110" t="s">
        <v>1394</v>
      </c>
      <c r="BN157" s="110">
        <v>8.2799999999999999E-2</v>
      </c>
      <c r="BO157" s="110" t="s">
        <v>174</v>
      </c>
      <c r="BP157" s="110">
        <v>8.4</v>
      </c>
      <c r="BQ157" s="110" t="s">
        <v>174</v>
      </c>
      <c r="BR157" s="110" t="s">
        <v>174</v>
      </c>
      <c r="BS157" s="110">
        <v>60</v>
      </c>
      <c r="BT157" s="110" t="s">
        <v>2458</v>
      </c>
      <c r="BU157" s="110" t="s">
        <v>2606</v>
      </c>
      <c r="BV157" s="110" t="s">
        <v>2458</v>
      </c>
      <c r="BZ157" s="110">
        <v>8.2799999999999999E-2</v>
      </c>
      <c r="CB157" s="110">
        <v>8.3713427599999992</v>
      </c>
      <c r="CC157" s="110" t="b">
        <v>0</v>
      </c>
      <c r="CD157" s="110" t="s">
        <v>2256</v>
      </c>
      <c r="CE157" s="110" t="s">
        <v>2256</v>
      </c>
      <c r="CF157" s="110" t="s">
        <v>2256</v>
      </c>
      <c r="CG157" s="110" t="s">
        <v>174</v>
      </c>
      <c r="CH157" s="110" t="s">
        <v>2457</v>
      </c>
      <c r="CI157" s="110" t="s">
        <v>965</v>
      </c>
    </row>
    <row r="158" spans="1:88">
      <c r="A158" s="110" t="s">
        <v>765</v>
      </c>
      <c r="B158" s="110">
        <v>34</v>
      </c>
      <c r="C158" s="110">
        <v>3</v>
      </c>
      <c r="D158" s="110">
        <v>1</v>
      </c>
      <c r="E158" s="110">
        <v>157</v>
      </c>
      <c r="F158" s="110">
        <v>1985</v>
      </c>
      <c r="G158" s="110" t="s">
        <v>187</v>
      </c>
      <c r="H158" s="110" t="s">
        <v>1219</v>
      </c>
      <c r="I158" s="110" t="s">
        <v>182</v>
      </c>
      <c r="J158" s="110" t="s">
        <v>246</v>
      </c>
      <c r="K158" s="110" t="s">
        <v>184</v>
      </c>
      <c r="L158" s="110" t="s">
        <v>184</v>
      </c>
      <c r="M158" s="110" t="s">
        <v>3175</v>
      </c>
      <c r="P158" s="110" t="s">
        <v>3183</v>
      </c>
      <c r="R158" s="110" t="s">
        <v>1976</v>
      </c>
      <c r="S158" s="110" t="s">
        <v>446</v>
      </c>
      <c r="T158" s="110" t="s">
        <v>757</v>
      </c>
      <c r="U158" s="110" t="s">
        <v>758</v>
      </c>
      <c r="V158" s="110">
        <v>43.935838490000002</v>
      </c>
      <c r="W158" s="110">
        <v>43.935838490000002</v>
      </c>
      <c r="X158" s="110">
        <v>-69.580216429999993</v>
      </c>
      <c r="Y158" s="110" t="s">
        <v>276</v>
      </c>
      <c r="Z158" s="110" t="s">
        <v>586</v>
      </c>
      <c r="AA158" s="110" t="s">
        <v>1788</v>
      </c>
      <c r="AB158" s="110" t="s">
        <v>1732</v>
      </c>
      <c r="AC158" s="110" t="s">
        <v>182</v>
      </c>
      <c r="AD158" s="110" t="s">
        <v>1256</v>
      </c>
      <c r="AE158" s="110" t="s">
        <v>187</v>
      </c>
      <c r="AF158" s="110" t="s">
        <v>190</v>
      </c>
      <c r="AG158" s="110" t="s">
        <v>190</v>
      </c>
      <c r="AI158" s="110" t="s">
        <v>246</v>
      </c>
      <c r="AJ158" s="110" t="s">
        <v>246</v>
      </c>
      <c r="AK158" s="110" t="s">
        <v>764</v>
      </c>
      <c r="AL158" s="110" t="s">
        <v>1227</v>
      </c>
      <c r="AM158" s="110">
        <v>800</v>
      </c>
      <c r="AN158" s="110" t="s">
        <v>1903</v>
      </c>
      <c r="AO158" s="110" t="s">
        <v>190</v>
      </c>
      <c r="AP158" s="110" t="s">
        <v>190</v>
      </c>
      <c r="AQ158" s="110" t="s">
        <v>175</v>
      </c>
      <c r="AR158" s="110" t="s">
        <v>174</v>
      </c>
      <c r="AS158" s="110" t="s">
        <v>174</v>
      </c>
      <c r="AT158" s="110" t="s">
        <v>174</v>
      </c>
      <c r="AU158" s="110">
        <v>40</v>
      </c>
      <c r="AW158" s="110">
        <v>49</v>
      </c>
      <c r="AX158" s="110">
        <v>21.55</v>
      </c>
      <c r="AY158" s="110">
        <v>28.9</v>
      </c>
      <c r="AZ158" s="110">
        <v>26.3</v>
      </c>
      <c r="BA158" s="110">
        <v>20</v>
      </c>
      <c r="BB158" s="110">
        <v>25</v>
      </c>
      <c r="BC158" s="110">
        <v>22.5</v>
      </c>
      <c r="BD158" s="110">
        <v>5</v>
      </c>
      <c r="BE158" s="110" t="s">
        <v>2606</v>
      </c>
      <c r="BF158" s="110" t="s">
        <v>2606</v>
      </c>
      <c r="BH158" s="110" t="s">
        <v>174</v>
      </c>
      <c r="BI158" s="110" t="s">
        <v>246</v>
      </c>
      <c r="BJ158" s="110" t="s">
        <v>766</v>
      </c>
      <c r="BK158" s="110" t="s">
        <v>1766</v>
      </c>
      <c r="BL158" s="110">
        <v>10</v>
      </c>
      <c r="BM158" s="110" t="s">
        <v>174</v>
      </c>
      <c r="BN158" s="110" t="s">
        <v>174</v>
      </c>
      <c r="BO158" s="110" t="s">
        <v>174</v>
      </c>
      <c r="BP158" s="110" t="s">
        <v>174</v>
      </c>
      <c r="BQ158" s="110" t="s">
        <v>174</v>
      </c>
      <c r="BR158" s="110" t="s">
        <v>174</v>
      </c>
      <c r="BS158" s="110">
        <v>70</v>
      </c>
      <c r="BT158" s="110" t="s">
        <v>1385</v>
      </c>
      <c r="BU158" s="110" t="s">
        <v>3207</v>
      </c>
      <c r="BV158" s="110" t="s">
        <v>2603</v>
      </c>
      <c r="BW158" s="110">
        <v>0.996</v>
      </c>
      <c r="BZ158" s="110">
        <v>6.6799999999999998E-2</v>
      </c>
      <c r="CB158" s="110">
        <v>24.84</v>
      </c>
      <c r="CC158" s="110" t="b">
        <v>0</v>
      </c>
      <c r="CD158" s="110">
        <v>38.1</v>
      </c>
      <c r="CE158" s="110">
        <v>38.1</v>
      </c>
      <c r="CF158" s="110" t="s">
        <v>182</v>
      </c>
      <c r="CG158" s="110" t="s">
        <v>174</v>
      </c>
      <c r="CI158" s="110" t="s">
        <v>760</v>
      </c>
    </row>
    <row r="159" spans="1:88">
      <c r="A159" s="110" t="s">
        <v>970</v>
      </c>
      <c r="B159" s="110">
        <v>35</v>
      </c>
      <c r="C159" s="110">
        <v>3</v>
      </c>
      <c r="D159" s="110">
        <v>1</v>
      </c>
      <c r="E159" s="110">
        <v>158</v>
      </c>
      <c r="F159" s="110">
        <v>2010</v>
      </c>
      <c r="G159" s="110" t="s">
        <v>161</v>
      </c>
      <c r="H159" s="110" t="s">
        <v>2440</v>
      </c>
      <c r="I159" s="110" t="s">
        <v>182</v>
      </c>
      <c r="J159" s="110" t="s">
        <v>246</v>
      </c>
      <c r="K159" s="110" t="s">
        <v>999</v>
      </c>
      <c r="L159" s="110" t="s">
        <v>999</v>
      </c>
      <c r="R159" s="110" t="s">
        <v>1976</v>
      </c>
      <c r="S159" s="110" t="s">
        <v>443</v>
      </c>
      <c r="T159" s="110" t="s">
        <v>1189</v>
      </c>
      <c r="U159" s="110" t="s">
        <v>1190</v>
      </c>
      <c r="V159" s="110">
        <v>58.370534550000002</v>
      </c>
      <c r="W159" s="110">
        <v>58.370534550000002</v>
      </c>
      <c r="X159" s="110">
        <v>22.975764850000001</v>
      </c>
      <c r="Y159" s="110" t="s">
        <v>1323</v>
      </c>
      <c r="Z159" s="110" t="s">
        <v>155</v>
      </c>
      <c r="AA159" s="110" t="s">
        <v>1788</v>
      </c>
      <c r="AB159" s="110" t="s">
        <v>333</v>
      </c>
      <c r="AC159" s="110" t="s">
        <v>246</v>
      </c>
      <c r="AD159" s="110" t="s">
        <v>333</v>
      </c>
      <c r="AE159" s="110" t="s">
        <v>218</v>
      </c>
      <c r="AF159" s="110" t="s">
        <v>190</v>
      </c>
      <c r="AG159" s="110">
        <v>2</v>
      </c>
      <c r="AI159" s="110" t="s">
        <v>246</v>
      </c>
      <c r="AJ159" s="110" t="s">
        <v>246</v>
      </c>
      <c r="AK159" s="110" t="s">
        <v>171</v>
      </c>
      <c r="AL159" s="110" t="s">
        <v>190</v>
      </c>
      <c r="AM159" s="110" t="s">
        <v>174</v>
      </c>
      <c r="AO159" s="110">
        <v>1</v>
      </c>
      <c r="AP159" s="110" t="s">
        <v>190</v>
      </c>
      <c r="AQ159" s="110" t="s">
        <v>176</v>
      </c>
      <c r="AR159" s="110">
        <v>2000</v>
      </c>
      <c r="AS159" s="110" t="s">
        <v>174</v>
      </c>
      <c r="AT159" s="110" t="s">
        <v>298</v>
      </c>
      <c r="AU159" s="110">
        <v>20</v>
      </c>
      <c r="AV159" s="110" t="s">
        <v>1256</v>
      </c>
      <c r="BA159" s="110">
        <v>13.5</v>
      </c>
      <c r="BB159" s="110">
        <v>13.5</v>
      </c>
      <c r="BC159" s="110">
        <v>13.5</v>
      </c>
      <c r="BD159" s="110">
        <v>0</v>
      </c>
      <c r="BE159" s="110" t="s">
        <v>182</v>
      </c>
      <c r="BF159" s="110" t="s">
        <v>412</v>
      </c>
      <c r="BH159" s="110" t="s">
        <v>174</v>
      </c>
      <c r="BI159" s="110" t="s">
        <v>182</v>
      </c>
      <c r="BJ159" s="110" t="s">
        <v>412</v>
      </c>
      <c r="BK159" s="110">
        <v>3</v>
      </c>
      <c r="BL159" s="110">
        <v>4</v>
      </c>
      <c r="BM159" s="110" t="s">
        <v>174</v>
      </c>
      <c r="BN159" s="110" t="s">
        <v>174</v>
      </c>
      <c r="BO159" s="110" t="s">
        <v>174</v>
      </c>
      <c r="BP159" s="110" t="s">
        <v>174</v>
      </c>
      <c r="BQ159" s="110" t="s">
        <v>174</v>
      </c>
      <c r="BR159" s="110" t="s">
        <v>174</v>
      </c>
      <c r="BS159" s="110">
        <v>29</v>
      </c>
      <c r="BT159" s="110" t="s">
        <v>1385</v>
      </c>
      <c r="BU159" s="110" t="s">
        <v>3207</v>
      </c>
      <c r="BV159" s="110" t="s">
        <v>2603</v>
      </c>
      <c r="BW159" s="110">
        <v>0.94</v>
      </c>
      <c r="BZ159" s="110">
        <v>6.7500000000000004E-2</v>
      </c>
      <c r="CB159" s="110">
        <v>40.68</v>
      </c>
      <c r="CC159" s="110" t="b">
        <v>0</v>
      </c>
      <c r="CD159" s="110">
        <v>47.6</v>
      </c>
      <c r="CE159" s="110">
        <v>47.6</v>
      </c>
      <c r="CF159" s="110" t="s">
        <v>182</v>
      </c>
      <c r="CG159" s="110" t="s">
        <v>174</v>
      </c>
      <c r="CH159" s="110" t="s">
        <v>1335</v>
      </c>
      <c r="CI159" s="110" t="s">
        <v>1339</v>
      </c>
      <c r="CJ159" s="110" t="s">
        <v>1340</v>
      </c>
    </row>
    <row r="160" spans="1:88">
      <c r="A160" s="110" t="s">
        <v>970</v>
      </c>
      <c r="B160" s="110">
        <v>35</v>
      </c>
      <c r="C160" s="110">
        <v>3</v>
      </c>
      <c r="D160" s="110">
        <v>1</v>
      </c>
      <c r="E160" s="110">
        <v>159</v>
      </c>
      <c r="F160" s="110">
        <v>2010</v>
      </c>
      <c r="G160" s="110" t="s">
        <v>161</v>
      </c>
      <c r="H160" s="110" t="s">
        <v>2440</v>
      </c>
      <c r="I160" s="110" t="s">
        <v>182</v>
      </c>
      <c r="J160" s="110" t="s">
        <v>246</v>
      </c>
      <c r="K160" s="110" t="s">
        <v>999</v>
      </c>
      <c r="L160" s="110" t="s">
        <v>999</v>
      </c>
      <c r="R160" s="110" t="s">
        <v>1976</v>
      </c>
      <c r="S160" s="110" t="s">
        <v>443</v>
      </c>
      <c r="T160" s="110" t="s">
        <v>1189</v>
      </c>
      <c r="U160" s="110" t="s">
        <v>1190</v>
      </c>
      <c r="V160" s="110">
        <v>58.370534550000002</v>
      </c>
      <c r="W160" s="110">
        <v>58.370534550000002</v>
      </c>
      <c r="X160" s="110">
        <v>22.975764850000001</v>
      </c>
      <c r="Y160" s="110" t="s">
        <v>1323</v>
      </c>
      <c r="Z160" s="110" t="s">
        <v>155</v>
      </c>
      <c r="AA160" s="110" t="s">
        <v>1788</v>
      </c>
      <c r="AB160" s="110" t="s">
        <v>333</v>
      </c>
      <c r="AC160" s="110" t="s">
        <v>246</v>
      </c>
      <c r="AD160" s="110" t="s">
        <v>333</v>
      </c>
      <c r="AE160" s="110" t="s">
        <v>218</v>
      </c>
      <c r="AF160" s="110" t="s">
        <v>190</v>
      </c>
      <c r="AG160" s="110">
        <v>2</v>
      </c>
      <c r="AI160" s="110" t="s">
        <v>246</v>
      </c>
      <c r="AJ160" s="110" t="s">
        <v>246</v>
      </c>
      <c r="AK160" s="110" t="s">
        <v>171</v>
      </c>
      <c r="AL160" s="110" t="s">
        <v>190</v>
      </c>
      <c r="AM160" s="110" t="s">
        <v>174</v>
      </c>
      <c r="AO160" s="110">
        <v>1</v>
      </c>
      <c r="AP160" s="110" t="s">
        <v>190</v>
      </c>
      <c r="AQ160" s="110" t="s">
        <v>176</v>
      </c>
      <c r="AR160" s="110">
        <v>2000</v>
      </c>
      <c r="AS160" s="110" t="s">
        <v>174</v>
      </c>
      <c r="AT160" s="110" t="s">
        <v>298</v>
      </c>
      <c r="AU160" s="110">
        <v>20</v>
      </c>
      <c r="AV160" s="110" t="s">
        <v>1256</v>
      </c>
      <c r="BA160" s="110">
        <v>13.5</v>
      </c>
      <c r="BB160" s="110">
        <v>13.5</v>
      </c>
      <c r="BC160" s="110">
        <v>13.5</v>
      </c>
      <c r="BD160" s="110">
        <v>0</v>
      </c>
      <c r="BE160" s="110" t="s">
        <v>182</v>
      </c>
      <c r="BF160" s="110" t="s">
        <v>412</v>
      </c>
      <c r="BH160" s="110" t="s">
        <v>174</v>
      </c>
      <c r="BI160" s="110" t="s">
        <v>182</v>
      </c>
      <c r="BJ160" s="110" t="s">
        <v>412</v>
      </c>
      <c r="BK160" s="110">
        <v>3</v>
      </c>
      <c r="BL160" s="110">
        <v>4</v>
      </c>
      <c r="BM160" s="110" t="s">
        <v>174</v>
      </c>
      <c r="BN160" s="110" t="s">
        <v>174</v>
      </c>
      <c r="BO160" s="110" t="s">
        <v>174</v>
      </c>
      <c r="BP160" s="110" t="s">
        <v>174</v>
      </c>
      <c r="BQ160" s="110" t="s">
        <v>174</v>
      </c>
      <c r="BR160" s="110" t="s">
        <v>174</v>
      </c>
      <c r="BS160" s="110">
        <v>29</v>
      </c>
      <c r="BT160" s="110" t="s">
        <v>1385</v>
      </c>
      <c r="BU160" s="110" t="s">
        <v>3207</v>
      </c>
      <c r="BV160" s="110" t="s">
        <v>2603</v>
      </c>
      <c r="BW160" s="110">
        <v>0.97</v>
      </c>
      <c r="BZ160" s="110">
        <v>0.29499999999999998</v>
      </c>
      <c r="CB160" s="110" t="s">
        <v>190</v>
      </c>
      <c r="CC160" s="110" t="b">
        <v>0</v>
      </c>
      <c r="CD160" s="110">
        <v>63</v>
      </c>
      <c r="CE160" s="110">
        <v>63</v>
      </c>
      <c r="CF160" s="110" t="s">
        <v>182</v>
      </c>
      <c r="CG160" s="110" t="s">
        <v>174</v>
      </c>
      <c r="CH160" s="110" t="s">
        <v>1336</v>
      </c>
      <c r="CI160" s="110" t="s">
        <v>1339</v>
      </c>
      <c r="CJ160" s="110" t="s">
        <v>1340</v>
      </c>
    </row>
    <row r="161" spans="1:88">
      <c r="A161" s="110" t="s">
        <v>970</v>
      </c>
      <c r="B161" s="110">
        <v>35</v>
      </c>
      <c r="C161" s="110">
        <v>3</v>
      </c>
      <c r="D161" s="110">
        <v>1</v>
      </c>
      <c r="E161" s="110">
        <v>160</v>
      </c>
      <c r="F161" s="110">
        <v>2010</v>
      </c>
      <c r="G161" s="110" t="s">
        <v>161</v>
      </c>
      <c r="H161" s="110" t="s">
        <v>2440</v>
      </c>
      <c r="I161" s="110" t="s">
        <v>182</v>
      </c>
      <c r="J161" s="110" t="s">
        <v>246</v>
      </c>
      <c r="K161" s="110" t="s">
        <v>999</v>
      </c>
      <c r="L161" s="110" t="s">
        <v>999</v>
      </c>
      <c r="R161" s="110" t="s">
        <v>1976</v>
      </c>
      <c r="S161" s="110" t="s">
        <v>443</v>
      </c>
      <c r="T161" s="110" t="s">
        <v>1189</v>
      </c>
      <c r="U161" s="110" t="s">
        <v>1190</v>
      </c>
      <c r="V161" s="110">
        <v>58.370534550000002</v>
      </c>
      <c r="W161" s="110">
        <v>58.370534550000002</v>
      </c>
      <c r="X161" s="110">
        <v>22.975764850000001</v>
      </c>
      <c r="Y161" s="110" t="s">
        <v>1323</v>
      </c>
      <c r="Z161" s="110" t="s">
        <v>155</v>
      </c>
      <c r="AA161" s="110" t="s">
        <v>1788</v>
      </c>
      <c r="AB161" s="110" t="s">
        <v>333</v>
      </c>
      <c r="AC161" s="110" t="s">
        <v>246</v>
      </c>
      <c r="AD161" s="110" t="s">
        <v>333</v>
      </c>
      <c r="AE161" s="110" t="s">
        <v>218</v>
      </c>
      <c r="AF161" s="110" t="s">
        <v>190</v>
      </c>
      <c r="AG161" s="110">
        <v>2</v>
      </c>
      <c r="AI161" s="110" t="s">
        <v>246</v>
      </c>
      <c r="AJ161" s="110" t="s">
        <v>246</v>
      </c>
      <c r="AK161" s="110" t="s">
        <v>171</v>
      </c>
      <c r="AL161" s="110" t="s">
        <v>190</v>
      </c>
      <c r="AM161" s="110" t="s">
        <v>174</v>
      </c>
      <c r="AO161" s="110">
        <v>1</v>
      </c>
      <c r="AP161" s="110" t="s">
        <v>190</v>
      </c>
      <c r="AQ161" s="110" t="s">
        <v>176</v>
      </c>
      <c r="AR161" s="110">
        <v>2000</v>
      </c>
      <c r="AS161" s="110" t="s">
        <v>174</v>
      </c>
      <c r="AT161" s="110" t="s">
        <v>298</v>
      </c>
      <c r="AU161" s="110">
        <v>20</v>
      </c>
      <c r="AV161" s="110" t="s">
        <v>1256</v>
      </c>
      <c r="BA161" s="110">
        <v>13.5</v>
      </c>
      <c r="BB161" s="110">
        <v>13.5</v>
      </c>
      <c r="BC161" s="110">
        <v>13.5</v>
      </c>
      <c r="BD161" s="110">
        <v>0</v>
      </c>
      <c r="BE161" s="110" t="s">
        <v>182</v>
      </c>
      <c r="BF161" s="110" t="s">
        <v>412</v>
      </c>
      <c r="BH161" s="110" t="s">
        <v>174</v>
      </c>
      <c r="BI161" s="110" t="s">
        <v>182</v>
      </c>
      <c r="BJ161" s="110" t="s">
        <v>412</v>
      </c>
      <c r="BK161" s="110">
        <v>3</v>
      </c>
      <c r="BL161" s="110">
        <v>4</v>
      </c>
      <c r="BM161" s="110" t="s">
        <v>174</v>
      </c>
      <c r="BN161" s="110" t="s">
        <v>174</v>
      </c>
      <c r="BO161" s="110" t="s">
        <v>174</v>
      </c>
      <c r="BP161" s="110" t="s">
        <v>174</v>
      </c>
      <c r="BQ161" s="110" t="s">
        <v>174</v>
      </c>
      <c r="BR161" s="110" t="s">
        <v>174</v>
      </c>
      <c r="BS161" s="110">
        <v>29</v>
      </c>
      <c r="BT161" s="110" t="s">
        <v>1385</v>
      </c>
      <c r="BU161" s="110" t="s">
        <v>3207</v>
      </c>
      <c r="BV161" s="110" t="s">
        <v>2603</v>
      </c>
      <c r="BW161" s="110">
        <v>0.88</v>
      </c>
      <c r="BZ161" s="110">
        <v>0.29239999999999999</v>
      </c>
      <c r="CB161" s="110" t="s">
        <v>190</v>
      </c>
      <c r="CC161" s="110" t="b">
        <v>0</v>
      </c>
      <c r="CD161" s="110">
        <v>65.8</v>
      </c>
      <c r="CE161" s="110">
        <v>65.8</v>
      </c>
      <c r="CF161" s="110" t="s">
        <v>182</v>
      </c>
      <c r="CG161" s="110" t="s">
        <v>174</v>
      </c>
      <c r="CH161" s="110" t="s">
        <v>1337</v>
      </c>
      <c r="CI161" s="110" t="s">
        <v>1339</v>
      </c>
      <c r="CJ161" s="110" t="s">
        <v>1340</v>
      </c>
    </row>
    <row r="162" spans="1:88">
      <c r="A162" s="110" t="s">
        <v>970</v>
      </c>
      <c r="B162" s="110">
        <v>35</v>
      </c>
      <c r="C162" s="110">
        <v>3</v>
      </c>
      <c r="D162" s="110">
        <v>1</v>
      </c>
      <c r="E162" s="110">
        <v>161</v>
      </c>
      <c r="F162" s="110">
        <v>2010</v>
      </c>
      <c r="G162" s="110" t="s">
        <v>161</v>
      </c>
      <c r="H162" s="110" t="s">
        <v>2440</v>
      </c>
      <c r="I162" s="110" t="s">
        <v>182</v>
      </c>
      <c r="J162" s="110" t="s">
        <v>246</v>
      </c>
      <c r="K162" s="110" t="s">
        <v>999</v>
      </c>
      <c r="L162" s="110" t="s">
        <v>999</v>
      </c>
      <c r="R162" s="110" t="s">
        <v>1976</v>
      </c>
      <c r="S162" s="110" t="s">
        <v>443</v>
      </c>
      <c r="T162" s="110" t="s">
        <v>1189</v>
      </c>
      <c r="U162" s="110" t="s">
        <v>1190</v>
      </c>
      <c r="V162" s="110">
        <v>58.370534550000002</v>
      </c>
      <c r="W162" s="110">
        <v>58.370534550000002</v>
      </c>
      <c r="X162" s="110">
        <v>22.975764850000001</v>
      </c>
      <c r="Y162" s="110" t="s">
        <v>1323</v>
      </c>
      <c r="Z162" s="110" t="s">
        <v>155</v>
      </c>
      <c r="AA162" s="110" t="s">
        <v>1788</v>
      </c>
      <c r="AB162" s="110" t="s">
        <v>333</v>
      </c>
      <c r="AC162" s="110" t="s">
        <v>246</v>
      </c>
      <c r="AD162" s="110" t="s">
        <v>333</v>
      </c>
      <c r="AE162" s="110" t="s">
        <v>218</v>
      </c>
      <c r="AF162" s="110" t="s">
        <v>190</v>
      </c>
      <c r="AG162" s="110">
        <v>2</v>
      </c>
      <c r="AI162" s="110" t="s">
        <v>246</v>
      </c>
      <c r="AJ162" s="110" t="s">
        <v>246</v>
      </c>
      <c r="AK162" s="110" t="s">
        <v>171</v>
      </c>
      <c r="AL162" s="110" t="s">
        <v>190</v>
      </c>
      <c r="AM162" s="110" t="s">
        <v>174</v>
      </c>
      <c r="AO162" s="110">
        <v>1</v>
      </c>
      <c r="AP162" s="110" t="s">
        <v>190</v>
      </c>
      <c r="AQ162" s="110" t="s">
        <v>176</v>
      </c>
      <c r="AR162" s="110">
        <v>2000</v>
      </c>
      <c r="AS162" s="110" t="s">
        <v>174</v>
      </c>
      <c r="AT162" s="110" t="s">
        <v>298</v>
      </c>
      <c r="AU162" s="110">
        <v>20</v>
      </c>
      <c r="AV162" s="110" t="s">
        <v>1256</v>
      </c>
      <c r="BA162" s="110">
        <v>13.5</v>
      </c>
      <c r="BB162" s="110">
        <v>13.5</v>
      </c>
      <c r="BC162" s="110">
        <v>13.5</v>
      </c>
      <c r="BD162" s="110">
        <v>0</v>
      </c>
      <c r="BE162" s="110" t="s">
        <v>182</v>
      </c>
      <c r="BF162" s="110" t="s">
        <v>412</v>
      </c>
      <c r="BH162" s="110" t="s">
        <v>174</v>
      </c>
      <c r="BI162" s="110" t="s">
        <v>182</v>
      </c>
      <c r="BJ162" s="110" t="s">
        <v>412</v>
      </c>
      <c r="BK162" s="110">
        <v>3</v>
      </c>
      <c r="BL162" s="110">
        <v>4</v>
      </c>
      <c r="BM162" s="110" t="s">
        <v>174</v>
      </c>
      <c r="BN162" s="110" t="s">
        <v>174</v>
      </c>
      <c r="BO162" s="110" t="s">
        <v>174</v>
      </c>
      <c r="BP162" s="110" t="s">
        <v>174</v>
      </c>
      <c r="BQ162" s="110" t="s">
        <v>174</v>
      </c>
      <c r="BR162" s="110" t="s">
        <v>174</v>
      </c>
      <c r="BS162" s="110">
        <v>29</v>
      </c>
      <c r="BT162" s="110" t="s">
        <v>1385</v>
      </c>
      <c r="BU162" s="110" t="s">
        <v>3207</v>
      </c>
      <c r="BV162" s="110" t="s">
        <v>2603</v>
      </c>
      <c r="BW162" s="110">
        <v>0.95</v>
      </c>
      <c r="BZ162" s="110">
        <v>6.7500000000000004E-2</v>
      </c>
      <c r="CB162" s="110">
        <v>45.84</v>
      </c>
      <c r="CC162" s="110" t="b">
        <v>0</v>
      </c>
      <c r="CD162" s="110">
        <v>47.7</v>
      </c>
      <c r="CE162" s="110">
        <v>47.7</v>
      </c>
      <c r="CF162" s="110" t="s">
        <v>182</v>
      </c>
      <c r="CG162" s="110" t="s">
        <v>174</v>
      </c>
      <c r="CH162" s="110" t="s">
        <v>1338</v>
      </c>
      <c r="CI162" s="110" t="s">
        <v>1339</v>
      </c>
      <c r="CJ162" s="110" t="s">
        <v>1340</v>
      </c>
    </row>
    <row r="163" spans="1:88">
      <c r="A163" s="110" t="s">
        <v>970</v>
      </c>
      <c r="B163" s="110">
        <v>35</v>
      </c>
      <c r="C163" s="110">
        <v>3</v>
      </c>
      <c r="D163" s="110">
        <v>1</v>
      </c>
      <c r="E163" s="110">
        <v>162</v>
      </c>
      <c r="F163" s="110">
        <v>2010</v>
      </c>
      <c r="G163" s="110" t="s">
        <v>161</v>
      </c>
      <c r="H163" s="110" t="s">
        <v>2440</v>
      </c>
      <c r="I163" s="110" t="s">
        <v>182</v>
      </c>
      <c r="J163" s="110" t="s">
        <v>246</v>
      </c>
      <c r="K163" s="110" t="s">
        <v>999</v>
      </c>
      <c r="L163" s="110" t="s">
        <v>999</v>
      </c>
      <c r="R163" s="110" t="s">
        <v>1976</v>
      </c>
      <c r="S163" s="110" t="s">
        <v>444</v>
      </c>
      <c r="T163" s="110" t="s">
        <v>448</v>
      </c>
      <c r="U163" s="110" t="s">
        <v>1188</v>
      </c>
      <c r="V163" s="110">
        <v>58.370534550000002</v>
      </c>
      <c r="W163" s="110">
        <v>58.370534550000002</v>
      </c>
      <c r="X163" s="110">
        <v>22.975764850000001</v>
      </c>
      <c r="Y163" s="110" t="s">
        <v>1323</v>
      </c>
      <c r="Z163" s="110" t="s">
        <v>155</v>
      </c>
      <c r="AA163" s="110" t="s">
        <v>1788</v>
      </c>
      <c r="AB163" s="110" t="s">
        <v>333</v>
      </c>
      <c r="AC163" s="110" t="s">
        <v>246</v>
      </c>
      <c r="AD163" s="110" t="s">
        <v>333</v>
      </c>
      <c r="AE163" s="110" t="s">
        <v>218</v>
      </c>
      <c r="AF163" s="110" t="s">
        <v>190</v>
      </c>
      <c r="AG163" s="110">
        <v>2</v>
      </c>
      <c r="AI163" s="110" t="s">
        <v>246</v>
      </c>
      <c r="AJ163" s="110" t="s">
        <v>246</v>
      </c>
      <c r="AK163" s="110" t="s">
        <v>171</v>
      </c>
      <c r="AL163" s="110" t="s">
        <v>190</v>
      </c>
      <c r="AM163" s="110" t="s">
        <v>174</v>
      </c>
      <c r="AO163" s="110">
        <v>1</v>
      </c>
      <c r="AP163" s="110" t="s">
        <v>190</v>
      </c>
      <c r="AQ163" s="110" t="s">
        <v>176</v>
      </c>
      <c r="AR163" s="110">
        <v>2000</v>
      </c>
      <c r="AS163" s="110" t="s">
        <v>174</v>
      </c>
      <c r="AT163" s="110" t="s">
        <v>298</v>
      </c>
      <c r="AU163" s="110">
        <v>20</v>
      </c>
      <c r="AV163" s="110" t="s">
        <v>1256</v>
      </c>
      <c r="BA163" s="110">
        <v>13.5</v>
      </c>
      <c r="BB163" s="110">
        <v>13.5</v>
      </c>
      <c r="BC163" s="110">
        <v>13.5</v>
      </c>
      <c r="BD163" s="110">
        <v>0</v>
      </c>
      <c r="BE163" s="110" t="s">
        <v>182</v>
      </c>
      <c r="BF163" s="110" t="s">
        <v>412</v>
      </c>
      <c r="BH163" s="110" t="s">
        <v>174</v>
      </c>
      <c r="BI163" s="110" t="s">
        <v>182</v>
      </c>
      <c r="BJ163" s="110" t="s">
        <v>412</v>
      </c>
      <c r="BK163" s="110">
        <v>3</v>
      </c>
      <c r="BL163" s="110">
        <v>4</v>
      </c>
      <c r="BM163" s="110" t="s">
        <v>174</v>
      </c>
      <c r="BN163" s="110" t="s">
        <v>174</v>
      </c>
      <c r="BO163" s="110" t="s">
        <v>174</v>
      </c>
      <c r="BP163" s="110" t="s">
        <v>174</v>
      </c>
      <c r="BQ163" s="110" t="s">
        <v>174</v>
      </c>
      <c r="BR163" s="110" t="s">
        <v>174</v>
      </c>
      <c r="BS163" s="110">
        <v>29</v>
      </c>
      <c r="BT163" s="110" t="s">
        <v>1387</v>
      </c>
      <c r="BU163" s="110" t="s">
        <v>2606</v>
      </c>
      <c r="BV163" s="110" t="s">
        <v>1387</v>
      </c>
      <c r="CB163" s="110" t="s">
        <v>190</v>
      </c>
      <c r="CC163" s="110" t="b">
        <v>0</v>
      </c>
      <c r="CD163" s="110">
        <v>115</v>
      </c>
      <c r="CE163" s="110" t="s">
        <v>2256</v>
      </c>
      <c r="CF163" s="110" t="s">
        <v>2256</v>
      </c>
      <c r="CG163" s="110" t="s">
        <v>174</v>
      </c>
      <c r="CH163" s="110" t="s">
        <v>1335</v>
      </c>
      <c r="CI163" s="110" t="s">
        <v>1339</v>
      </c>
      <c r="CJ163" s="110" t="s">
        <v>1342</v>
      </c>
    </row>
    <row r="164" spans="1:88">
      <c r="A164" s="110" t="s">
        <v>970</v>
      </c>
      <c r="B164" s="110">
        <v>35</v>
      </c>
      <c r="C164" s="110">
        <v>3</v>
      </c>
      <c r="D164" s="110">
        <v>1</v>
      </c>
      <c r="E164" s="110">
        <v>163</v>
      </c>
      <c r="F164" s="110">
        <v>2010</v>
      </c>
      <c r="G164" s="110" t="s">
        <v>161</v>
      </c>
      <c r="H164" s="110" t="s">
        <v>2440</v>
      </c>
      <c r="I164" s="110" t="s">
        <v>182</v>
      </c>
      <c r="J164" s="110" t="s">
        <v>246</v>
      </c>
      <c r="K164" s="110" t="s">
        <v>999</v>
      </c>
      <c r="L164" s="110" t="s">
        <v>999</v>
      </c>
      <c r="R164" s="110" t="s">
        <v>1976</v>
      </c>
      <c r="S164" s="110" t="s">
        <v>444</v>
      </c>
      <c r="T164" s="110" t="s">
        <v>448</v>
      </c>
      <c r="U164" s="110" t="s">
        <v>1188</v>
      </c>
      <c r="V164" s="110">
        <v>58.370534550000002</v>
      </c>
      <c r="W164" s="110">
        <v>58.370534550000002</v>
      </c>
      <c r="X164" s="110">
        <v>22.975764850000001</v>
      </c>
      <c r="Y164" s="110" t="s">
        <v>1323</v>
      </c>
      <c r="Z164" s="110" t="s">
        <v>155</v>
      </c>
      <c r="AA164" s="110" t="s">
        <v>1788</v>
      </c>
      <c r="AB164" s="110" t="s">
        <v>333</v>
      </c>
      <c r="AC164" s="110" t="s">
        <v>246</v>
      </c>
      <c r="AD164" s="110" t="s">
        <v>333</v>
      </c>
      <c r="AE164" s="110" t="s">
        <v>218</v>
      </c>
      <c r="AF164" s="110" t="s">
        <v>190</v>
      </c>
      <c r="AG164" s="110">
        <v>2</v>
      </c>
      <c r="AI164" s="110" t="s">
        <v>246</v>
      </c>
      <c r="AJ164" s="110" t="s">
        <v>246</v>
      </c>
      <c r="AK164" s="110" t="s">
        <v>171</v>
      </c>
      <c r="AL164" s="110" t="s">
        <v>190</v>
      </c>
      <c r="AM164" s="110" t="s">
        <v>174</v>
      </c>
      <c r="AO164" s="110">
        <v>1</v>
      </c>
      <c r="AP164" s="110" t="s">
        <v>190</v>
      </c>
      <c r="AQ164" s="110" t="s">
        <v>176</v>
      </c>
      <c r="AR164" s="110">
        <v>2000</v>
      </c>
      <c r="AS164" s="110" t="s">
        <v>174</v>
      </c>
      <c r="AT164" s="110" t="s">
        <v>298</v>
      </c>
      <c r="AU164" s="110">
        <v>20</v>
      </c>
      <c r="AV164" s="110" t="s">
        <v>1256</v>
      </c>
      <c r="BA164" s="110">
        <v>13.5</v>
      </c>
      <c r="BB164" s="110">
        <v>13.5</v>
      </c>
      <c r="BC164" s="110">
        <v>13.5</v>
      </c>
      <c r="BD164" s="110">
        <v>0</v>
      </c>
      <c r="BE164" s="110" t="s">
        <v>182</v>
      </c>
      <c r="BF164" s="110" t="s">
        <v>412</v>
      </c>
      <c r="BH164" s="110" t="s">
        <v>174</v>
      </c>
      <c r="BI164" s="110" t="s">
        <v>182</v>
      </c>
      <c r="BJ164" s="110" t="s">
        <v>412</v>
      </c>
      <c r="BK164" s="110">
        <v>3</v>
      </c>
      <c r="BL164" s="110">
        <v>4</v>
      </c>
      <c r="BM164" s="110" t="s">
        <v>174</v>
      </c>
      <c r="BN164" s="110" t="s">
        <v>174</v>
      </c>
      <c r="BO164" s="110" t="s">
        <v>174</v>
      </c>
      <c r="BP164" s="110" t="s">
        <v>174</v>
      </c>
      <c r="BQ164" s="110" t="s">
        <v>174</v>
      </c>
      <c r="BR164" s="110" t="s">
        <v>174</v>
      </c>
      <c r="BS164" s="110">
        <v>29</v>
      </c>
      <c r="BT164" s="110" t="s">
        <v>1387</v>
      </c>
      <c r="BU164" s="110" t="s">
        <v>2606</v>
      </c>
      <c r="BV164" s="110" t="s">
        <v>1387</v>
      </c>
      <c r="CB164" s="110" t="s">
        <v>190</v>
      </c>
      <c r="CC164" s="110" t="b">
        <v>0</v>
      </c>
      <c r="CD164" s="110">
        <v>122</v>
      </c>
      <c r="CE164" s="110" t="s">
        <v>2256</v>
      </c>
      <c r="CF164" s="110" t="s">
        <v>2256</v>
      </c>
      <c r="CG164" s="110" t="s">
        <v>174</v>
      </c>
      <c r="CH164" s="110" t="s">
        <v>1336</v>
      </c>
      <c r="CI164" s="110" t="s">
        <v>1339</v>
      </c>
      <c r="CJ164" s="110" t="s">
        <v>1342</v>
      </c>
    </row>
    <row r="165" spans="1:88">
      <c r="A165" s="110" t="s">
        <v>970</v>
      </c>
      <c r="B165" s="110">
        <v>35</v>
      </c>
      <c r="C165" s="110">
        <v>3</v>
      </c>
      <c r="D165" s="110">
        <v>1</v>
      </c>
      <c r="E165" s="110">
        <v>164</v>
      </c>
      <c r="F165" s="110">
        <v>2010</v>
      </c>
      <c r="G165" s="110" t="s">
        <v>161</v>
      </c>
      <c r="H165" s="110" t="s">
        <v>2440</v>
      </c>
      <c r="I165" s="110" t="s">
        <v>182</v>
      </c>
      <c r="J165" s="110" t="s">
        <v>246</v>
      </c>
      <c r="K165" s="110" t="s">
        <v>999</v>
      </c>
      <c r="L165" s="110" t="s">
        <v>999</v>
      </c>
      <c r="R165" s="110" t="s">
        <v>1976</v>
      </c>
      <c r="S165" s="110" t="s">
        <v>444</v>
      </c>
      <c r="T165" s="110" t="s">
        <v>448</v>
      </c>
      <c r="U165" s="110" t="s">
        <v>1188</v>
      </c>
      <c r="V165" s="110">
        <v>58.370534550000002</v>
      </c>
      <c r="W165" s="110">
        <v>58.370534550000002</v>
      </c>
      <c r="X165" s="110">
        <v>22.975764850000001</v>
      </c>
      <c r="Y165" s="110" t="s">
        <v>1323</v>
      </c>
      <c r="Z165" s="110" t="s">
        <v>155</v>
      </c>
      <c r="AA165" s="110" t="s">
        <v>1788</v>
      </c>
      <c r="AB165" s="110" t="s">
        <v>333</v>
      </c>
      <c r="AC165" s="110" t="s">
        <v>246</v>
      </c>
      <c r="AD165" s="110" t="s">
        <v>333</v>
      </c>
      <c r="AE165" s="110" t="s">
        <v>218</v>
      </c>
      <c r="AF165" s="110" t="s">
        <v>190</v>
      </c>
      <c r="AG165" s="110">
        <v>2</v>
      </c>
      <c r="AI165" s="110" t="s">
        <v>246</v>
      </c>
      <c r="AJ165" s="110" t="s">
        <v>246</v>
      </c>
      <c r="AK165" s="110" t="s">
        <v>171</v>
      </c>
      <c r="AL165" s="110" t="s">
        <v>190</v>
      </c>
      <c r="AM165" s="110" t="s">
        <v>174</v>
      </c>
      <c r="AO165" s="110">
        <v>1</v>
      </c>
      <c r="AP165" s="110" t="s">
        <v>190</v>
      </c>
      <c r="AQ165" s="110" t="s">
        <v>176</v>
      </c>
      <c r="AR165" s="110">
        <v>2000</v>
      </c>
      <c r="AS165" s="110" t="s">
        <v>174</v>
      </c>
      <c r="AT165" s="110" t="s">
        <v>298</v>
      </c>
      <c r="AU165" s="110">
        <v>20</v>
      </c>
      <c r="AV165" s="110" t="s">
        <v>1256</v>
      </c>
      <c r="BA165" s="110">
        <v>13.5</v>
      </c>
      <c r="BB165" s="110">
        <v>13.5</v>
      </c>
      <c r="BC165" s="110">
        <v>13.5</v>
      </c>
      <c r="BD165" s="110">
        <v>0</v>
      </c>
      <c r="BE165" s="110" t="s">
        <v>182</v>
      </c>
      <c r="BF165" s="110" t="s">
        <v>412</v>
      </c>
      <c r="BH165" s="110" t="s">
        <v>174</v>
      </c>
      <c r="BI165" s="110" t="s">
        <v>182</v>
      </c>
      <c r="BJ165" s="110" t="s">
        <v>412</v>
      </c>
      <c r="BK165" s="110">
        <v>3</v>
      </c>
      <c r="BL165" s="110">
        <v>4</v>
      </c>
      <c r="BM165" s="110" t="s">
        <v>174</v>
      </c>
      <c r="BN165" s="110" t="s">
        <v>174</v>
      </c>
      <c r="BO165" s="110" t="s">
        <v>174</v>
      </c>
      <c r="BP165" s="110" t="s">
        <v>174</v>
      </c>
      <c r="BQ165" s="110" t="s">
        <v>174</v>
      </c>
      <c r="BR165" s="110" t="s">
        <v>174</v>
      </c>
      <c r="BS165" s="110">
        <v>29</v>
      </c>
      <c r="BT165" s="110" t="s">
        <v>1387</v>
      </c>
      <c r="BU165" s="110" t="s">
        <v>2606</v>
      </c>
      <c r="BV165" s="110" t="s">
        <v>1387</v>
      </c>
      <c r="CB165" s="110" t="s">
        <v>190</v>
      </c>
      <c r="CC165" s="110" t="b">
        <v>0</v>
      </c>
      <c r="CD165" s="110">
        <v>111</v>
      </c>
      <c r="CE165" s="110" t="s">
        <v>2256</v>
      </c>
      <c r="CF165" s="110" t="s">
        <v>2256</v>
      </c>
      <c r="CG165" s="110" t="s">
        <v>174</v>
      </c>
      <c r="CH165" s="110" t="s">
        <v>1337</v>
      </c>
      <c r="CI165" s="110" t="s">
        <v>1339</v>
      </c>
      <c r="CJ165" s="110" t="s">
        <v>1342</v>
      </c>
    </row>
    <row r="166" spans="1:88">
      <c r="A166" s="110" t="s">
        <v>970</v>
      </c>
      <c r="B166" s="110">
        <v>35</v>
      </c>
      <c r="C166" s="110">
        <v>3</v>
      </c>
      <c r="D166" s="110">
        <v>1</v>
      </c>
      <c r="E166" s="110">
        <v>165</v>
      </c>
      <c r="F166" s="110">
        <v>2010</v>
      </c>
      <c r="G166" s="110" t="s">
        <v>161</v>
      </c>
      <c r="H166" s="110" t="s">
        <v>2440</v>
      </c>
      <c r="I166" s="110" t="s">
        <v>182</v>
      </c>
      <c r="J166" s="110" t="s">
        <v>246</v>
      </c>
      <c r="K166" s="110" t="s">
        <v>999</v>
      </c>
      <c r="L166" s="110" t="s">
        <v>999</v>
      </c>
      <c r="R166" s="110" t="s">
        <v>1976</v>
      </c>
      <c r="S166" s="110" t="s">
        <v>444</v>
      </c>
      <c r="T166" s="110" t="s">
        <v>448</v>
      </c>
      <c r="U166" s="110" t="s">
        <v>1188</v>
      </c>
      <c r="V166" s="110">
        <v>58.370534550000002</v>
      </c>
      <c r="W166" s="110">
        <v>58.370534550000002</v>
      </c>
      <c r="X166" s="110">
        <v>22.975764850000001</v>
      </c>
      <c r="Y166" s="110" t="s">
        <v>1323</v>
      </c>
      <c r="Z166" s="110" t="s">
        <v>155</v>
      </c>
      <c r="AA166" s="110" t="s">
        <v>1788</v>
      </c>
      <c r="AB166" s="110" t="s">
        <v>333</v>
      </c>
      <c r="AC166" s="110" t="s">
        <v>246</v>
      </c>
      <c r="AD166" s="110" t="s">
        <v>333</v>
      </c>
      <c r="AE166" s="110" t="s">
        <v>218</v>
      </c>
      <c r="AF166" s="110" t="s">
        <v>190</v>
      </c>
      <c r="AG166" s="110">
        <v>2</v>
      </c>
      <c r="AI166" s="110" t="s">
        <v>246</v>
      </c>
      <c r="AJ166" s="110" t="s">
        <v>246</v>
      </c>
      <c r="AK166" s="110" t="s">
        <v>171</v>
      </c>
      <c r="AL166" s="110" t="s">
        <v>190</v>
      </c>
      <c r="AM166" s="110" t="s">
        <v>174</v>
      </c>
      <c r="AO166" s="110">
        <v>1</v>
      </c>
      <c r="AP166" s="110" t="s">
        <v>190</v>
      </c>
      <c r="AQ166" s="110" t="s">
        <v>176</v>
      </c>
      <c r="AR166" s="110">
        <v>2000</v>
      </c>
      <c r="AS166" s="110" t="s">
        <v>174</v>
      </c>
      <c r="AT166" s="110" t="s">
        <v>298</v>
      </c>
      <c r="AU166" s="110">
        <v>20</v>
      </c>
      <c r="AV166" s="110" t="s">
        <v>1256</v>
      </c>
      <c r="BA166" s="110">
        <v>13.5</v>
      </c>
      <c r="BB166" s="110">
        <v>13.5</v>
      </c>
      <c r="BC166" s="110">
        <v>13.5</v>
      </c>
      <c r="BD166" s="110">
        <v>0</v>
      </c>
      <c r="BE166" s="110" t="s">
        <v>182</v>
      </c>
      <c r="BF166" s="110" t="s">
        <v>412</v>
      </c>
      <c r="BH166" s="110" t="s">
        <v>174</v>
      </c>
      <c r="BI166" s="110" t="s">
        <v>182</v>
      </c>
      <c r="BJ166" s="110" t="s">
        <v>412</v>
      </c>
      <c r="BK166" s="110">
        <v>3</v>
      </c>
      <c r="BL166" s="110">
        <v>4</v>
      </c>
      <c r="BM166" s="110" t="s">
        <v>174</v>
      </c>
      <c r="BN166" s="110" t="s">
        <v>174</v>
      </c>
      <c r="BO166" s="110" t="s">
        <v>174</v>
      </c>
      <c r="BP166" s="110" t="s">
        <v>174</v>
      </c>
      <c r="BQ166" s="110" t="s">
        <v>174</v>
      </c>
      <c r="BR166" s="110" t="s">
        <v>174</v>
      </c>
      <c r="BS166" s="110">
        <v>29</v>
      </c>
      <c r="BT166" s="110" t="s">
        <v>1387</v>
      </c>
      <c r="BU166" s="110" t="s">
        <v>2606</v>
      </c>
      <c r="BV166" s="110" t="s">
        <v>1387</v>
      </c>
      <c r="CB166" s="110" t="s">
        <v>190</v>
      </c>
      <c r="CC166" s="110" t="b">
        <v>0</v>
      </c>
      <c r="CD166" s="110">
        <v>115</v>
      </c>
      <c r="CE166" s="110" t="s">
        <v>2256</v>
      </c>
      <c r="CF166" s="110" t="s">
        <v>2256</v>
      </c>
      <c r="CG166" s="110" t="s">
        <v>174</v>
      </c>
      <c r="CH166" s="110" t="s">
        <v>1338</v>
      </c>
      <c r="CI166" s="110" t="s">
        <v>1339</v>
      </c>
      <c r="CJ166" s="110" t="s">
        <v>1342</v>
      </c>
    </row>
    <row r="167" spans="1:88">
      <c r="A167" s="110" t="s">
        <v>970</v>
      </c>
      <c r="B167" s="110">
        <v>35</v>
      </c>
      <c r="C167" s="110">
        <v>3</v>
      </c>
      <c r="D167" s="110">
        <v>2</v>
      </c>
      <c r="E167" s="110">
        <v>166</v>
      </c>
      <c r="F167" s="110">
        <v>2010</v>
      </c>
      <c r="G167" s="110" t="s">
        <v>161</v>
      </c>
      <c r="H167" s="110" t="s">
        <v>2440</v>
      </c>
      <c r="I167" s="110" t="s">
        <v>182</v>
      </c>
      <c r="J167" s="110" t="s">
        <v>246</v>
      </c>
      <c r="K167" s="110" t="s">
        <v>999</v>
      </c>
      <c r="L167" s="110" t="s">
        <v>999</v>
      </c>
      <c r="R167" s="110" t="s">
        <v>1976</v>
      </c>
      <c r="S167" s="110" t="s">
        <v>443</v>
      </c>
      <c r="T167" s="110" t="s">
        <v>1189</v>
      </c>
      <c r="U167" s="110" t="s">
        <v>1190</v>
      </c>
      <c r="V167" s="110">
        <v>58.370534550000002</v>
      </c>
      <c r="W167" s="110">
        <v>58.370534550000002</v>
      </c>
      <c r="X167" s="110">
        <v>22.975764850000001</v>
      </c>
      <c r="Y167" s="110" t="s">
        <v>1323</v>
      </c>
      <c r="Z167" s="110" t="s">
        <v>155</v>
      </c>
      <c r="AA167" s="110" t="s">
        <v>1788</v>
      </c>
      <c r="AB167" s="110" t="s">
        <v>333</v>
      </c>
      <c r="AC167" s="110" t="s">
        <v>246</v>
      </c>
      <c r="AD167" s="110" t="s">
        <v>333</v>
      </c>
      <c r="AE167" s="110" t="s">
        <v>218</v>
      </c>
      <c r="AF167" s="110" t="s">
        <v>190</v>
      </c>
      <c r="AG167" s="110">
        <v>2</v>
      </c>
      <c r="AI167" s="110" t="s">
        <v>246</v>
      </c>
      <c r="AJ167" s="110" t="s">
        <v>246</v>
      </c>
      <c r="AK167" s="110" t="s">
        <v>171</v>
      </c>
      <c r="AL167" s="110" t="s">
        <v>190</v>
      </c>
      <c r="AM167" s="110" t="s">
        <v>174</v>
      </c>
      <c r="AO167" s="110">
        <v>1</v>
      </c>
      <c r="AP167" s="110" t="s">
        <v>190</v>
      </c>
      <c r="AQ167" s="110" t="s">
        <v>176</v>
      </c>
      <c r="AR167" s="110">
        <v>2000</v>
      </c>
      <c r="AS167" s="110" t="s">
        <v>174</v>
      </c>
      <c r="AT167" s="110" t="s">
        <v>420</v>
      </c>
      <c r="AU167" s="110">
        <v>20</v>
      </c>
      <c r="AV167" s="110" t="s">
        <v>1256</v>
      </c>
      <c r="BA167" s="110">
        <v>19</v>
      </c>
      <c r="BB167" s="110">
        <v>19</v>
      </c>
      <c r="BC167" s="110">
        <v>19</v>
      </c>
      <c r="BD167" s="110">
        <v>0</v>
      </c>
      <c r="BE167" s="110" t="s">
        <v>182</v>
      </c>
      <c r="BF167" s="110" t="s">
        <v>412</v>
      </c>
      <c r="BH167" s="110" t="s">
        <v>174</v>
      </c>
      <c r="BI167" s="110" t="s">
        <v>182</v>
      </c>
      <c r="BJ167" s="110" t="s">
        <v>412</v>
      </c>
      <c r="BK167" s="110">
        <v>3</v>
      </c>
      <c r="BL167" s="110">
        <v>5</v>
      </c>
      <c r="BM167" s="110" t="s">
        <v>174</v>
      </c>
      <c r="BN167" s="110" t="s">
        <v>174</v>
      </c>
      <c r="BO167" s="110" t="s">
        <v>174</v>
      </c>
      <c r="BP167" s="110" t="s">
        <v>174</v>
      </c>
      <c r="BQ167" s="110" t="s">
        <v>174</v>
      </c>
      <c r="BR167" s="110" t="s">
        <v>174</v>
      </c>
      <c r="BS167" s="110">
        <v>70</v>
      </c>
      <c r="BT167" s="110" t="s">
        <v>2347</v>
      </c>
      <c r="BU167" s="110" t="s">
        <v>1394</v>
      </c>
      <c r="BV167" s="110" t="s">
        <v>2603</v>
      </c>
      <c r="BW167" s="110">
        <v>0.99</v>
      </c>
      <c r="BZ167" s="110">
        <v>4.0599999999999997E-2</v>
      </c>
      <c r="CB167" s="110">
        <v>17.072590649999999</v>
      </c>
      <c r="CC167" s="110" t="b">
        <v>0</v>
      </c>
      <c r="CD167" s="110">
        <v>1</v>
      </c>
      <c r="CE167" s="110">
        <v>0</v>
      </c>
      <c r="CF167" s="110" t="s">
        <v>246</v>
      </c>
      <c r="CG167" s="110" t="s">
        <v>174</v>
      </c>
      <c r="CH167" s="110" t="s">
        <v>1335</v>
      </c>
      <c r="CI167" s="110" t="s">
        <v>1339</v>
      </c>
      <c r="CJ167" s="110" t="s">
        <v>1341</v>
      </c>
    </row>
    <row r="168" spans="1:88">
      <c r="A168" s="110" t="s">
        <v>970</v>
      </c>
      <c r="B168" s="110">
        <v>35</v>
      </c>
      <c r="C168" s="110">
        <v>3</v>
      </c>
      <c r="D168" s="110">
        <v>2</v>
      </c>
      <c r="E168" s="110">
        <v>167</v>
      </c>
      <c r="F168" s="110">
        <v>2010</v>
      </c>
      <c r="G168" s="110" t="s">
        <v>161</v>
      </c>
      <c r="H168" s="110" t="s">
        <v>2440</v>
      </c>
      <c r="I168" s="110" t="s">
        <v>182</v>
      </c>
      <c r="J168" s="110" t="s">
        <v>246</v>
      </c>
      <c r="K168" s="110" t="s">
        <v>999</v>
      </c>
      <c r="L168" s="110" t="s">
        <v>999</v>
      </c>
      <c r="R168" s="110" t="s">
        <v>1976</v>
      </c>
      <c r="S168" s="110" t="s">
        <v>443</v>
      </c>
      <c r="T168" s="110" t="s">
        <v>1189</v>
      </c>
      <c r="U168" s="110" t="s">
        <v>1190</v>
      </c>
      <c r="V168" s="110">
        <v>58.370534550000002</v>
      </c>
      <c r="W168" s="110">
        <v>58.370534550000002</v>
      </c>
      <c r="X168" s="110">
        <v>22.975764850000001</v>
      </c>
      <c r="Y168" s="110" t="s">
        <v>1323</v>
      </c>
      <c r="Z168" s="110" t="s">
        <v>155</v>
      </c>
      <c r="AA168" s="110" t="s">
        <v>1788</v>
      </c>
      <c r="AB168" s="110" t="s">
        <v>333</v>
      </c>
      <c r="AC168" s="110" t="s">
        <v>246</v>
      </c>
      <c r="AD168" s="110" t="s">
        <v>333</v>
      </c>
      <c r="AE168" s="110" t="s">
        <v>218</v>
      </c>
      <c r="AF168" s="110" t="s">
        <v>190</v>
      </c>
      <c r="AG168" s="110">
        <v>2</v>
      </c>
      <c r="AI168" s="110" t="s">
        <v>246</v>
      </c>
      <c r="AJ168" s="110" t="s">
        <v>246</v>
      </c>
      <c r="AK168" s="110" t="s">
        <v>171</v>
      </c>
      <c r="AL168" s="110" t="s">
        <v>190</v>
      </c>
      <c r="AM168" s="110" t="s">
        <v>174</v>
      </c>
      <c r="AO168" s="110">
        <v>1</v>
      </c>
      <c r="AP168" s="110" t="s">
        <v>190</v>
      </c>
      <c r="AQ168" s="110" t="s">
        <v>176</v>
      </c>
      <c r="AR168" s="110">
        <v>2000</v>
      </c>
      <c r="AS168" s="110" t="s">
        <v>174</v>
      </c>
      <c r="AT168" s="110" t="s">
        <v>420</v>
      </c>
      <c r="AU168" s="110">
        <v>20</v>
      </c>
      <c r="AV168" s="110" t="s">
        <v>1256</v>
      </c>
      <c r="BA168" s="110">
        <v>19</v>
      </c>
      <c r="BB168" s="110">
        <v>19</v>
      </c>
      <c r="BC168" s="110">
        <v>19</v>
      </c>
      <c r="BD168" s="110">
        <v>0</v>
      </c>
      <c r="BE168" s="110" t="s">
        <v>182</v>
      </c>
      <c r="BF168" s="110" t="s">
        <v>412</v>
      </c>
      <c r="BH168" s="110" t="s">
        <v>174</v>
      </c>
      <c r="BI168" s="110" t="s">
        <v>182</v>
      </c>
      <c r="BJ168" s="110" t="s">
        <v>412</v>
      </c>
      <c r="BK168" s="110">
        <v>3</v>
      </c>
      <c r="BL168" s="110">
        <v>4</v>
      </c>
      <c r="BM168" s="110" t="s">
        <v>174</v>
      </c>
      <c r="BN168" s="110" t="s">
        <v>174</v>
      </c>
      <c r="BO168" s="110" t="s">
        <v>174</v>
      </c>
      <c r="BP168" s="110" t="s">
        <v>174</v>
      </c>
      <c r="BQ168" s="110" t="s">
        <v>174</v>
      </c>
      <c r="BR168" s="110" t="s">
        <v>174</v>
      </c>
      <c r="BS168" s="110">
        <v>70</v>
      </c>
      <c r="BT168" s="110" t="s">
        <v>2347</v>
      </c>
      <c r="BU168" s="110" t="s">
        <v>1394</v>
      </c>
      <c r="BV168" s="110" t="s">
        <v>2603</v>
      </c>
      <c r="BW168" s="110">
        <v>0.99</v>
      </c>
      <c r="BZ168" s="110">
        <v>4.0399999999999998E-2</v>
      </c>
      <c r="CB168" s="110">
        <v>17.157108430000001</v>
      </c>
      <c r="CC168" s="110" t="b">
        <v>0</v>
      </c>
      <c r="CD168" s="110">
        <v>0</v>
      </c>
      <c r="CE168" s="110">
        <v>0</v>
      </c>
      <c r="CF168" s="110" t="s">
        <v>246</v>
      </c>
      <c r="CG168" s="110" t="s">
        <v>174</v>
      </c>
      <c r="CH168" s="110" t="s">
        <v>1336</v>
      </c>
      <c r="CI168" s="110" t="s">
        <v>1339</v>
      </c>
      <c r="CJ168" s="110" t="s">
        <v>1341</v>
      </c>
    </row>
    <row r="169" spans="1:88">
      <c r="A169" s="110" t="s">
        <v>970</v>
      </c>
      <c r="B169" s="110">
        <v>35</v>
      </c>
      <c r="C169" s="110">
        <v>3</v>
      </c>
      <c r="D169" s="110">
        <v>2</v>
      </c>
      <c r="E169" s="110">
        <v>168</v>
      </c>
      <c r="F169" s="110">
        <v>2010</v>
      </c>
      <c r="G169" s="110" t="s">
        <v>161</v>
      </c>
      <c r="H169" s="110" t="s">
        <v>2440</v>
      </c>
      <c r="I169" s="110" t="s">
        <v>182</v>
      </c>
      <c r="J169" s="110" t="s">
        <v>246</v>
      </c>
      <c r="K169" s="110" t="s">
        <v>999</v>
      </c>
      <c r="L169" s="110" t="s">
        <v>999</v>
      </c>
      <c r="R169" s="110" t="s">
        <v>1976</v>
      </c>
      <c r="S169" s="110" t="s">
        <v>443</v>
      </c>
      <c r="T169" s="110" t="s">
        <v>1189</v>
      </c>
      <c r="U169" s="110" t="s">
        <v>1190</v>
      </c>
      <c r="V169" s="110">
        <v>58.370534550000002</v>
      </c>
      <c r="W169" s="110">
        <v>58.370534550000002</v>
      </c>
      <c r="X169" s="110">
        <v>22.975764850000001</v>
      </c>
      <c r="Y169" s="110" t="s">
        <v>1323</v>
      </c>
      <c r="Z169" s="110" t="s">
        <v>155</v>
      </c>
      <c r="AA169" s="110" t="s">
        <v>1788</v>
      </c>
      <c r="AB169" s="110" t="s">
        <v>333</v>
      </c>
      <c r="AC169" s="110" t="s">
        <v>246</v>
      </c>
      <c r="AD169" s="110" t="s">
        <v>333</v>
      </c>
      <c r="AE169" s="110" t="s">
        <v>218</v>
      </c>
      <c r="AF169" s="110" t="s">
        <v>190</v>
      </c>
      <c r="AG169" s="110">
        <v>2</v>
      </c>
      <c r="AI169" s="110" t="s">
        <v>246</v>
      </c>
      <c r="AJ169" s="110" t="s">
        <v>246</v>
      </c>
      <c r="AK169" s="110" t="s">
        <v>171</v>
      </c>
      <c r="AL169" s="110" t="s">
        <v>190</v>
      </c>
      <c r="AM169" s="110" t="s">
        <v>174</v>
      </c>
      <c r="AO169" s="110">
        <v>1</v>
      </c>
      <c r="AP169" s="110" t="s">
        <v>190</v>
      </c>
      <c r="AQ169" s="110" t="s">
        <v>176</v>
      </c>
      <c r="AR169" s="110">
        <v>2000</v>
      </c>
      <c r="AS169" s="110" t="s">
        <v>174</v>
      </c>
      <c r="AT169" s="110" t="s">
        <v>420</v>
      </c>
      <c r="AU169" s="110">
        <v>20</v>
      </c>
      <c r="AV169" s="110" t="s">
        <v>1256</v>
      </c>
      <c r="BA169" s="110">
        <v>19</v>
      </c>
      <c r="BB169" s="110">
        <v>19</v>
      </c>
      <c r="BC169" s="110">
        <v>19</v>
      </c>
      <c r="BD169" s="110">
        <v>0</v>
      </c>
      <c r="BE169" s="110" t="s">
        <v>182</v>
      </c>
      <c r="BF169" s="110" t="s">
        <v>412</v>
      </c>
      <c r="BH169" s="110" t="s">
        <v>174</v>
      </c>
      <c r="BI169" s="110" t="s">
        <v>182</v>
      </c>
      <c r="BJ169" s="110" t="s">
        <v>412</v>
      </c>
      <c r="BK169" s="110">
        <v>3</v>
      </c>
      <c r="BL169" s="110">
        <v>4</v>
      </c>
      <c r="BM169" s="110" t="s">
        <v>174</v>
      </c>
      <c r="BN169" s="110" t="s">
        <v>174</v>
      </c>
      <c r="BO169" s="110" t="s">
        <v>174</v>
      </c>
      <c r="BP169" s="110" t="s">
        <v>174</v>
      </c>
      <c r="BQ169" s="110" t="s">
        <v>174</v>
      </c>
      <c r="BR169" s="110" t="s">
        <v>174</v>
      </c>
      <c r="BS169" s="110">
        <v>70</v>
      </c>
      <c r="BT169" s="110" t="s">
        <v>2378</v>
      </c>
      <c r="BU169" s="110" t="s">
        <v>1398</v>
      </c>
      <c r="BV169" s="110" t="s">
        <v>2603</v>
      </c>
      <c r="BW169" s="110">
        <v>0.995</v>
      </c>
      <c r="BX169" s="110" t="s">
        <v>2347</v>
      </c>
      <c r="BY169" s="110">
        <v>0.96499999999999997</v>
      </c>
      <c r="BZ169" s="110">
        <v>5.21E-2</v>
      </c>
      <c r="CB169" s="110">
        <v>13.30416853</v>
      </c>
      <c r="CC169" s="110" t="b">
        <v>0</v>
      </c>
      <c r="CD169" s="110">
        <v>0</v>
      </c>
      <c r="CE169" s="110">
        <v>0</v>
      </c>
      <c r="CF169" s="110" t="s">
        <v>246</v>
      </c>
      <c r="CG169" s="110" t="s">
        <v>174</v>
      </c>
      <c r="CH169" s="110" t="s">
        <v>1337</v>
      </c>
      <c r="CI169" s="110" t="s">
        <v>1339</v>
      </c>
      <c r="CJ169" s="110" t="s">
        <v>1341</v>
      </c>
    </row>
    <row r="170" spans="1:88">
      <c r="A170" s="110" t="s">
        <v>970</v>
      </c>
      <c r="B170" s="110">
        <v>35</v>
      </c>
      <c r="C170" s="110">
        <v>3</v>
      </c>
      <c r="D170" s="110">
        <v>2</v>
      </c>
      <c r="E170" s="110">
        <v>169</v>
      </c>
      <c r="F170" s="110">
        <v>2010</v>
      </c>
      <c r="G170" s="110" t="s">
        <v>161</v>
      </c>
      <c r="H170" s="110" t="s">
        <v>2440</v>
      </c>
      <c r="I170" s="110" t="s">
        <v>182</v>
      </c>
      <c r="J170" s="110" t="s">
        <v>246</v>
      </c>
      <c r="K170" s="110" t="s">
        <v>999</v>
      </c>
      <c r="L170" s="110" t="s">
        <v>999</v>
      </c>
      <c r="R170" s="110" t="s">
        <v>1976</v>
      </c>
      <c r="S170" s="110" t="s">
        <v>443</v>
      </c>
      <c r="T170" s="110" t="s">
        <v>1189</v>
      </c>
      <c r="U170" s="110" t="s">
        <v>1190</v>
      </c>
      <c r="V170" s="110">
        <v>58.370534550000002</v>
      </c>
      <c r="W170" s="110">
        <v>58.370534550000002</v>
      </c>
      <c r="X170" s="110">
        <v>22.975764850000001</v>
      </c>
      <c r="Y170" s="110" t="s">
        <v>1323</v>
      </c>
      <c r="Z170" s="110" t="s">
        <v>155</v>
      </c>
      <c r="AA170" s="110" t="s">
        <v>1788</v>
      </c>
      <c r="AB170" s="110" t="s">
        <v>333</v>
      </c>
      <c r="AC170" s="110" t="s">
        <v>246</v>
      </c>
      <c r="AD170" s="110" t="s">
        <v>333</v>
      </c>
      <c r="AE170" s="110" t="s">
        <v>218</v>
      </c>
      <c r="AF170" s="110" t="s">
        <v>190</v>
      </c>
      <c r="AG170" s="110">
        <v>2</v>
      </c>
      <c r="AI170" s="110" t="s">
        <v>246</v>
      </c>
      <c r="AJ170" s="110" t="s">
        <v>246</v>
      </c>
      <c r="AK170" s="110" t="s">
        <v>171</v>
      </c>
      <c r="AL170" s="110" t="s">
        <v>190</v>
      </c>
      <c r="AM170" s="110" t="s">
        <v>174</v>
      </c>
      <c r="AO170" s="110">
        <v>1</v>
      </c>
      <c r="AP170" s="110" t="s">
        <v>190</v>
      </c>
      <c r="AQ170" s="110" t="s">
        <v>176</v>
      </c>
      <c r="AR170" s="110">
        <v>2000</v>
      </c>
      <c r="AS170" s="110" t="s">
        <v>174</v>
      </c>
      <c r="AT170" s="110" t="s">
        <v>420</v>
      </c>
      <c r="AU170" s="110">
        <v>20</v>
      </c>
      <c r="AV170" s="110" t="s">
        <v>1256</v>
      </c>
      <c r="BA170" s="110">
        <v>19</v>
      </c>
      <c r="BB170" s="110">
        <v>19</v>
      </c>
      <c r="BC170" s="110">
        <v>19</v>
      </c>
      <c r="BD170" s="110">
        <v>0</v>
      </c>
      <c r="BE170" s="110" t="s">
        <v>182</v>
      </c>
      <c r="BF170" s="110" t="s">
        <v>412</v>
      </c>
      <c r="BH170" s="110" t="s">
        <v>174</v>
      </c>
      <c r="BI170" s="110" t="s">
        <v>182</v>
      </c>
      <c r="BJ170" s="110" t="s">
        <v>412</v>
      </c>
      <c r="BK170" s="110">
        <v>3</v>
      </c>
      <c r="BL170" s="110">
        <v>4</v>
      </c>
      <c r="BM170" s="110" t="s">
        <v>174</v>
      </c>
      <c r="BN170" s="110" t="s">
        <v>174</v>
      </c>
      <c r="BO170" s="110" t="s">
        <v>174</v>
      </c>
      <c r="BP170" s="110" t="s">
        <v>174</v>
      </c>
      <c r="BQ170" s="110" t="s">
        <v>174</v>
      </c>
      <c r="BR170" s="110" t="s">
        <v>174</v>
      </c>
      <c r="BS170" s="110">
        <v>70</v>
      </c>
      <c r="BT170" s="110" t="s">
        <v>2347</v>
      </c>
      <c r="BU170" s="110" t="s">
        <v>1394</v>
      </c>
      <c r="BV170" s="110" t="s">
        <v>2603</v>
      </c>
      <c r="BW170" s="110">
        <v>0.98</v>
      </c>
      <c r="BZ170" s="110">
        <v>3.7600000000000001E-2</v>
      </c>
      <c r="CB170" s="110">
        <v>18.43476544</v>
      </c>
      <c r="CC170" s="110" t="b">
        <v>0</v>
      </c>
      <c r="CD170" s="110">
        <v>0</v>
      </c>
      <c r="CE170" s="110">
        <v>0</v>
      </c>
      <c r="CF170" s="110" t="s">
        <v>246</v>
      </c>
      <c r="CG170" s="110" t="s">
        <v>174</v>
      </c>
      <c r="CH170" s="110" t="s">
        <v>1338</v>
      </c>
      <c r="CI170" s="110" t="s">
        <v>1339</v>
      </c>
      <c r="CJ170" s="110" t="s">
        <v>1341</v>
      </c>
    </row>
    <row r="171" spans="1:88">
      <c r="A171" s="110" t="s">
        <v>970</v>
      </c>
      <c r="B171" s="110">
        <v>35</v>
      </c>
      <c r="C171" s="110">
        <v>3</v>
      </c>
      <c r="D171" s="110">
        <v>2</v>
      </c>
      <c r="E171" s="110">
        <v>170</v>
      </c>
      <c r="F171" s="110">
        <v>2010</v>
      </c>
      <c r="G171" s="110" t="s">
        <v>161</v>
      </c>
      <c r="H171" s="110" t="s">
        <v>2440</v>
      </c>
      <c r="I171" s="110" t="s">
        <v>182</v>
      </c>
      <c r="J171" s="110" t="s">
        <v>246</v>
      </c>
      <c r="K171" s="110" t="s">
        <v>999</v>
      </c>
      <c r="L171" s="110" t="s">
        <v>999</v>
      </c>
      <c r="R171" s="110" t="s">
        <v>1976</v>
      </c>
      <c r="S171" s="110" t="s">
        <v>444</v>
      </c>
      <c r="T171" s="110" t="s">
        <v>448</v>
      </c>
      <c r="U171" s="110" t="s">
        <v>1188</v>
      </c>
      <c r="V171" s="110">
        <v>58.370534550000002</v>
      </c>
      <c r="W171" s="110">
        <v>58.370534550000002</v>
      </c>
      <c r="X171" s="110">
        <v>22.975764850000001</v>
      </c>
      <c r="Y171" s="110" t="s">
        <v>1323</v>
      </c>
      <c r="Z171" s="110" t="s">
        <v>155</v>
      </c>
      <c r="AA171" s="110" t="s">
        <v>1788</v>
      </c>
      <c r="AB171" s="110" t="s">
        <v>333</v>
      </c>
      <c r="AC171" s="110" t="s">
        <v>246</v>
      </c>
      <c r="AD171" s="110" t="s">
        <v>333</v>
      </c>
      <c r="AE171" s="110" t="s">
        <v>218</v>
      </c>
      <c r="AF171" s="110" t="s">
        <v>190</v>
      </c>
      <c r="AG171" s="110">
        <v>2</v>
      </c>
      <c r="AI171" s="110" t="s">
        <v>246</v>
      </c>
      <c r="AJ171" s="110" t="s">
        <v>246</v>
      </c>
      <c r="AK171" s="110" t="s">
        <v>171</v>
      </c>
      <c r="AL171" s="110" t="s">
        <v>190</v>
      </c>
      <c r="AM171" s="110" t="s">
        <v>174</v>
      </c>
      <c r="AO171" s="110">
        <v>1</v>
      </c>
      <c r="AP171" s="110" t="s">
        <v>190</v>
      </c>
      <c r="AQ171" s="110" t="s">
        <v>176</v>
      </c>
      <c r="AR171" s="110">
        <v>2000</v>
      </c>
      <c r="AS171" s="110" t="s">
        <v>174</v>
      </c>
      <c r="AT171" s="110" t="s">
        <v>420</v>
      </c>
      <c r="AU171" s="110">
        <v>20</v>
      </c>
      <c r="AV171" s="110" t="s">
        <v>1256</v>
      </c>
      <c r="BA171" s="110">
        <v>19</v>
      </c>
      <c r="BB171" s="110">
        <v>19</v>
      </c>
      <c r="BC171" s="110">
        <v>19</v>
      </c>
      <c r="BD171" s="110">
        <v>0</v>
      </c>
      <c r="BE171" s="110" t="s">
        <v>182</v>
      </c>
      <c r="BF171" s="110" t="s">
        <v>412</v>
      </c>
      <c r="BH171" s="110" t="s">
        <v>174</v>
      </c>
      <c r="BI171" s="110" t="s">
        <v>182</v>
      </c>
      <c r="BJ171" s="110" t="s">
        <v>412</v>
      </c>
      <c r="BK171" s="110">
        <v>3</v>
      </c>
      <c r="BL171" s="110">
        <v>4</v>
      </c>
      <c r="BM171" s="110" t="s">
        <v>174</v>
      </c>
      <c r="BN171" s="110" t="s">
        <v>174</v>
      </c>
      <c r="BO171" s="110" t="s">
        <v>174</v>
      </c>
      <c r="BP171" s="110" t="s">
        <v>174</v>
      </c>
      <c r="BQ171" s="110" t="s">
        <v>174</v>
      </c>
      <c r="BR171" s="110" t="s">
        <v>174</v>
      </c>
      <c r="BS171" s="110">
        <v>70</v>
      </c>
      <c r="BT171" s="110" t="s">
        <v>2378</v>
      </c>
      <c r="BU171" s="110" t="s">
        <v>1398</v>
      </c>
      <c r="BV171" s="110" t="s">
        <v>2603</v>
      </c>
      <c r="BW171" s="110">
        <v>0.98699999999999999</v>
      </c>
      <c r="BX171" s="110" t="s">
        <v>2347</v>
      </c>
      <c r="BY171" s="110">
        <v>0.85</v>
      </c>
      <c r="BZ171" s="110">
        <v>2.8000000000000001E-2</v>
      </c>
      <c r="CB171" s="110">
        <v>24.755256450000001</v>
      </c>
      <c r="CC171" s="110" t="b">
        <v>0</v>
      </c>
      <c r="CD171" s="110">
        <v>0</v>
      </c>
      <c r="CE171" s="110">
        <v>0</v>
      </c>
      <c r="CF171" s="110" t="s">
        <v>246</v>
      </c>
      <c r="CG171" s="110" t="s">
        <v>174</v>
      </c>
      <c r="CH171" s="110" t="s">
        <v>1335</v>
      </c>
      <c r="CI171" s="110" t="s">
        <v>1339</v>
      </c>
      <c r="CJ171" s="110" t="s">
        <v>1343</v>
      </c>
    </row>
    <row r="172" spans="1:88">
      <c r="A172" s="110" t="s">
        <v>970</v>
      </c>
      <c r="B172" s="110">
        <v>35</v>
      </c>
      <c r="C172" s="110">
        <v>3</v>
      </c>
      <c r="D172" s="110">
        <v>2</v>
      </c>
      <c r="E172" s="110">
        <v>171</v>
      </c>
      <c r="F172" s="110">
        <v>2010</v>
      </c>
      <c r="G172" s="110" t="s">
        <v>161</v>
      </c>
      <c r="H172" s="110" t="s">
        <v>2440</v>
      </c>
      <c r="I172" s="110" t="s">
        <v>182</v>
      </c>
      <c r="J172" s="110" t="s">
        <v>246</v>
      </c>
      <c r="K172" s="110" t="s">
        <v>999</v>
      </c>
      <c r="L172" s="110" t="s">
        <v>999</v>
      </c>
      <c r="R172" s="110" t="s">
        <v>1976</v>
      </c>
      <c r="S172" s="110" t="s">
        <v>444</v>
      </c>
      <c r="T172" s="110" t="s">
        <v>448</v>
      </c>
      <c r="U172" s="110" t="s">
        <v>1188</v>
      </c>
      <c r="V172" s="110">
        <v>58.370534550000002</v>
      </c>
      <c r="W172" s="110">
        <v>58.370534550000002</v>
      </c>
      <c r="X172" s="110">
        <v>22.975764850000001</v>
      </c>
      <c r="Y172" s="110" t="s">
        <v>1323</v>
      </c>
      <c r="Z172" s="110" t="s">
        <v>155</v>
      </c>
      <c r="AA172" s="110" t="s">
        <v>1788</v>
      </c>
      <c r="AB172" s="110" t="s">
        <v>333</v>
      </c>
      <c r="AC172" s="110" t="s">
        <v>246</v>
      </c>
      <c r="AD172" s="110" t="s">
        <v>333</v>
      </c>
      <c r="AE172" s="110" t="s">
        <v>218</v>
      </c>
      <c r="AF172" s="110" t="s">
        <v>190</v>
      </c>
      <c r="AG172" s="110">
        <v>2</v>
      </c>
      <c r="AI172" s="110" t="s">
        <v>246</v>
      </c>
      <c r="AJ172" s="110" t="s">
        <v>246</v>
      </c>
      <c r="AK172" s="110" t="s">
        <v>171</v>
      </c>
      <c r="AL172" s="110" t="s">
        <v>190</v>
      </c>
      <c r="AM172" s="110" t="s">
        <v>174</v>
      </c>
      <c r="AO172" s="110">
        <v>1</v>
      </c>
      <c r="AP172" s="110" t="s">
        <v>190</v>
      </c>
      <c r="AQ172" s="110" t="s">
        <v>176</v>
      </c>
      <c r="AR172" s="110">
        <v>2000</v>
      </c>
      <c r="AS172" s="110" t="s">
        <v>174</v>
      </c>
      <c r="AT172" s="110" t="s">
        <v>420</v>
      </c>
      <c r="AU172" s="110">
        <v>20</v>
      </c>
      <c r="AV172" s="110" t="s">
        <v>1256</v>
      </c>
      <c r="BA172" s="110">
        <v>19</v>
      </c>
      <c r="BB172" s="110">
        <v>19</v>
      </c>
      <c r="BC172" s="110">
        <v>19</v>
      </c>
      <c r="BD172" s="110">
        <v>0</v>
      </c>
      <c r="BE172" s="110" t="s">
        <v>182</v>
      </c>
      <c r="BF172" s="110" t="s">
        <v>412</v>
      </c>
      <c r="BH172" s="110" t="s">
        <v>174</v>
      </c>
      <c r="BI172" s="110" t="s">
        <v>182</v>
      </c>
      <c r="BJ172" s="110" t="s">
        <v>412</v>
      </c>
      <c r="BK172" s="110">
        <v>3</v>
      </c>
      <c r="BL172" s="110">
        <v>4</v>
      </c>
      <c r="BM172" s="110" t="s">
        <v>174</v>
      </c>
      <c r="BN172" s="110" t="s">
        <v>174</v>
      </c>
      <c r="BO172" s="110" t="s">
        <v>174</v>
      </c>
      <c r="BP172" s="110" t="s">
        <v>174</v>
      </c>
      <c r="BQ172" s="110" t="s">
        <v>174</v>
      </c>
      <c r="BR172" s="110" t="s">
        <v>174</v>
      </c>
      <c r="BS172" s="110">
        <v>70</v>
      </c>
      <c r="BT172" s="110" t="s">
        <v>2378</v>
      </c>
      <c r="BU172" s="110" t="s">
        <v>1398</v>
      </c>
      <c r="BV172" s="110" t="s">
        <v>2603</v>
      </c>
      <c r="BW172" s="110">
        <v>0.98</v>
      </c>
      <c r="BX172" s="110" t="s">
        <v>1385</v>
      </c>
      <c r="BY172" s="110">
        <v>0.82350000000000001</v>
      </c>
      <c r="BZ172" s="110">
        <v>2.2100000000000002E-2</v>
      </c>
      <c r="CB172" s="110">
        <v>25.38</v>
      </c>
      <c r="CC172" s="110" t="b">
        <v>0</v>
      </c>
      <c r="CD172" s="110">
        <v>0</v>
      </c>
      <c r="CE172" s="110">
        <v>0</v>
      </c>
      <c r="CF172" s="110" t="s">
        <v>246</v>
      </c>
      <c r="CG172" s="110" t="s">
        <v>174</v>
      </c>
      <c r="CH172" s="110" t="s">
        <v>1336</v>
      </c>
      <c r="CI172" s="110" t="s">
        <v>1339</v>
      </c>
      <c r="CJ172" s="110" t="s">
        <v>1343</v>
      </c>
    </row>
    <row r="173" spans="1:88">
      <c r="A173" s="110" t="s">
        <v>970</v>
      </c>
      <c r="B173" s="110">
        <v>35</v>
      </c>
      <c r="C173" s="110">
        <v>3</v>
      </c>
      <c r="D173" s="110">
        <v>2</v>
      </c>
      <c r="E173" s="110">
        <v>172</v>
      </c>
      <c r="F173" s="110">
        <v>2010</v>
      </c>
      <c r="G173" s="110" t="s">
        <v>161</v>
      </c>
      <c r="H173" s="110" t="s">
        <v>2440</v>
      </c>
      <c r="I173" s="110" t="s">
        <v>182</v>
      </c>
      <c r="J173" s="110" t="s">
        <v>246</v>
      </c>
      <c r="K173" s="110" t="s">
        <v>999</v>
      </c>
      <c r="L173" s="110" t="s">
        <v>999</v>
      </c>
      <c r="R173" s="110" t="s">
        <v>1976</v>
      </c>
      <c r="S173" s="110" t="s">
        <v>444</v>
      </c>
      <c r="T173" s="110" t="s">
        <v>448</v>
      </c>
      <c r="U173" s="110" t="s">
        <v>1188</v>
      </c>
      <c r="V173" s="110">
        <v>58.370534550000002</v>
      </c>
      <c r="W173" s="110">
        <v>58.370534550000002</v>
      </c>
      <c r="X173" s="110">
        <v>22.975764850000001</v>
      </c>
      <c r="Y173" s="110" t="s">
        <v>1323</v>
      </c>
      <c r="Z173" s="110" t="s">
        <v>155</v>
      </c>
      <c r="AA173" s="110" t="s">
        <v>1788</v>
      </c>
      <c r="AB173" s="110" t="s">
        <v>333</v>
      </c>
      <c r="AC173" s="110" t="s">
        <v>246</v>
      </c>
      <c r="AD173" s="110" t="s">
        <v>333</v>
      </c>
      <c r="AE173" s="110" t="s">
        <v>218</v>
      </c>
      <c r="AF173" s="110" t="s">
        <v>190</v>
      </c>
      <c r="AG173" s="110">
        <v>2</v>
      </c>
      <c r="AI173" s="110" t="s">
        <v>246</v>
      </c>
      <c r="AJ173" s="110" t="s">
        <v>246</v>
      </c>
      <c r="AK173" s="110" t="s">
        <v>171</v>
      </c>
      <c r="AL173" s="110" t="s">
        <v>190</v>
      </c>
      <c r="AM173" s="110" t="s">
        <v>174</v>
      </c>
      <c r="AO173" s="110">
        <v>1</v>
      </c>
      <c r="AP173" s="110" t="s">
        <v>190</v>
      </c>
      <c r="AQ173" s="110" t="s">
        <v>176</v>
      </c>
      <c r="AR173" s="110">
        <v>2000</v>
      </c>
      <c r="AS173" s="110" t="s">
        <v>174</v>
      </c>
      <c r="AT173" s="110" t="s">
        <v>420</v>
      </c>
      <c r="AU173" s="110">
        <v>20</v>
      </c>
      <c r="AV173" s="110" t="s">
        <v>1256</v>
      </c>
      <c r="BA173" s="110">
        <v>19</v>
      </c>
      <c r="BB173" s="110">
        <v>19</v>
      </c>
      <c r="BC173" s="110">
        <v>19</v>
      </c>
      <c r="BD173" s="110">
        <v>0</v>
      </c>
      <c r="BE173" s="110" t="s">
        <v>182</v>
      </c>
      <c r="BF173" s="110" t="s">
        <v>412</v>
      </c>
      <c r="BH173" s="110" t="s">
        <v>174</v>
      </c>
      <c r="BI173" s="110" t="s">
        <v>182</v>
      </c>
      <c r="BJ173" s="110" t="s">
        <v>412</v>
      </c>
      <c r="BK173" s="110">
        <v>3</v>
      </c>
      <c r="BL173" s="110">
        <v>4</v>
      </c>
      <c r="BM173" s="110" t="s">
        <v>174</v>
      </c>
      <c r="BN173" s="110" t="s">
        <v>174</v>
      </c>
      <c r="BO173" s="110" t="s">
        <v>174</v>
      </c>
      <c r="BP173" s="110" t="s">
        <v>174</v>
      </c>
      <c r="BQ173" s="110" t="s">
        <v>174</v>
      </c>
      <c r="BR173" s="110" t="s">
        <v>174</v>
      </c>
      <c r="BS173" s="110">
        <v>70</v>
      </c>
      <c r="BT173" s="110" t="s">
        <v>2378</v>
      </c>
      <c r="BU173" s="110" t="s">
        <v>1398</v>
      </c>
      <c r="BV173" s="110" t="s">
        <v>2603</v>
      </c>
      <c r="BW173" s="110">
        <v>0.98</v>
      </c>
      <c r="BX173" s="110" t="s">
        <v>1385</v>
      </c>
      <c r="BY173" s="110">
        <v>0.876</v>
      </c>
      <c r="BZ173" s="110">
        <v>1.55E-2</v>
      </c>
      <c r="CB173" s="110">
        <v>28.76</v>
      </c>
      <c r="CC173" s="110" t="b">
        <v>0</v>
      </c>
      <c r="CD173" s="110">
        <v>0</v>
      </c>
      <c r="CE173" s="110">
        <v>0</v>
      </c>
      <c r="CF173" s="110" t="s">
        <v>246</v>
      </c>
      <c r="CG173" s="110" t="s">
        <v>174</v>
      </c>
      <c r="CH173" s="110" t="s">
        <v>1337</v>
      </c>
      <c r="CI173" s="110" t="s">
        <v>1339</v>
      </c>
      <c r="CJ173" s="110" t="s">
        <v>1343</v>
      </c>
    </row>
    <row r="174" spans="1:88">
      <c r="A174" s="110" t="s">
        <v>970</v>
      </c>
      <c r="B174" s="110">
        <v>35</v>
      </c>
      <c r="C174" s="110">
        <v>3</v>
      </c>
      <c r="D174" s="110">
        <v>2</v>
      </c>
      <c r="E174" s="110">
        <v>173</v>
      </c>
      <c r="F174" s="110">
        <v>2010</v>
      </c>
      <c r="G174" s="110" t="s">
        <v>161</v>
      </c>
      <c r="H174" s="110" t="s">
        <v>2440</v>
      </c>
      <c r="I174" s="110" t="s">
        <v>182</v>
      </c>
      <c r="J174" s="110" t="s">
        <v>246</v>
      </c>
      <c r="K174" s="110" t="s">
        <v>999</v>
      </c>
      <c r="L174" s="110" t="s">
        <v>999</v>
      </c>
      <c r="R174" s="110" t="s">
        <v>1976</v>
      </c>
      <c r="S174" s="110" t="s">
        <v>444</v>
      </c>
      <c r="T174" s="110" t="s">
        <v>448</v>
      </c>
      <c r="U174" s="110" t="s">
        <v>1188</v>
      </c>
      <c r="V174" s="110">
        <v>58.370534550000002</v>
      </c>
      <c r="W174" s="110">
        <v>58.370534550000002</v>
      </c>
      <c r="X174" s="110">
        <v>22.975764850000001</v>
      </c>
      <c r="Y174" s="110" t="s">
        <v>1323</v>
      </c>
      <c r="Z174" s="110" t="s">
        <v>155</v>
      </c>
      <c r="AA174" s="110" t="s">
        <v>1788</v>
      </c>
      <c r="AB174" s="110" t="s">
        <v>333</v>
      </c>
      <c r="AC174" s="110" t="s">
        <v>246</v>
      </c>
      <c r="AD174" s="110" t="s">
        <v>333</v>
      </c>
      <c r="AE174" s="110" t="s">
        <v>218</v>
      </c>
      <c r="AF174" s="110" t="s">
        <v>190</v>
      </c>
      <c r="AG174" s="110">
        <v>2</v>
      </c>
      <c r="AI174" s="110" t="s">
        <v>246</v>
      </c>
      <c r="AJ174" s="110" t="s">
        <v>246</v>
      </c>
      <c r="AK174" s="110" t="s">
        <v>171</v>
      </c>
      <c r="AL174" s="110" t="s">
        <v>190</v>
      </c>
      <c r="AM174" s="110" t="s">
        <v>174</v>
      </c>
      <c r="AO174" s="110">
        <v>1</v>
      </c>
      <c r="AP174" s="110" t="s">
        <v>190</v>
      </c>
      <c r="AQ174" s="110" t="s">
        <v>176</v>
      </c>
      <c r="AR174" s="110">
        <v>2000</v>
      </c>
      <c r="AS174" s="110" t="s">
        <v>174</v>
      </c>
      <c r="AT174" s="110" t="s">
        <v>420</v>
      </c>
      <c r="AU174" s="110">
        <v>20</v>
      </c>
      <c r="AV174" s="110" t="s">
        <v>1256</v>
      </c>
      <c r="BA174" s="110">
        <v>19</v>
      </c>
      <c r="BB174" s="110">
        <v>19</v>
      </c>
      <c r="BC174" s="110">
        <v>19</v>
      </c>
      <c r="BD174" s="110">
        <v>0</v>
      </c>
      <c r="BE174" s="110" t="s">
        <v>182</v>
      </c>
      <c r="BF174" s="110" t="s">
        <v>412</v>
      </c>
      <c r="BH174" s="110" t="s">
        <v>174</v>
      </c>
      <c r="BI174" s="110" t="s">
        <v>182</v>
      </c>
      <c r="BJ174" s="110" t="s">
        <v>412</v>
      </c>
      <c r="BK174" s="110">
        <v>3</v>
      </c>
      <c r="BL174" s="110">
        <v>4</v>
      </c>
      <c r="BM174" s="110" t="s">
        <v>174</v>
      </c>
      <c r="BN174" s="110" t="s">
        <v>174</v>
      </c>
      <c r="BO174" s="110" t="s">
        <v>174</v>
      </c>
      <c r="BP174" s="110" t="s">
        <v>174</v>
      </c>
      <c r="BQ174" s="110" t="s">
        <v>174</v>
      </c>
      <c r="BR174" s="110" t="s">
        <v>174</v>
      </c>
      <c r="BS174" s="110">
        <v>70</v>
      </c>
      <c r="BT174" s="110" t="s">
        <v>2378</v>
      </c>
      <c r="BU174" s="110" t="s">
        <v>1398</v>
      </c>
      <c r="BV174" s="110" t="s">
        <v>2603</v>
      </c>
      <c r="BW174" s="110">
        <v>0.98</v>
      </c>
      <c r="BX174" s="110" t="s">
        <v>1385</v>
      </c>
      <c r="BY174" s="110">
        <v>0.879</v>
      </c>
      <c r="BZ174" s="110">
        <v>1.24E-2</v>
      </c>
      <c r="CB174" s="110">
        <v>30.87</v>
      </c>
      <c r="CC174" s="110" t="b">
        <v>0</v>
      </c>
      <c r="CD174" s="110">
        <v>0</v>
      </c>
      <c r="CE174" s="110">
        <v>0</v>
      </c>
      <c r="CF174" s="110" t="s">
        <v>246</v>
      </c>
      <c r="CG174" s="110" t="s">
        <v>174</v>
      </c>
      <c r="CH174" s="110" t="s">
        <v>1338</v>
      </c>
      <c r="CI174" s="110" t="s">
        <v>1339</v>
      </c>
      <c r="CJ174" s="110" t="s">
        <v>1343</v>
      </c>
    </row>
    <row r="175" spans="1:88">
      <c r="A175" s="110" t="s">
        <v>608</v>
      </c>
      <c r="B175" s="110">
        <v>36</v>
      </c>
      <c r="C175" s="110">
        <v>1</v>
      </c>
      <c r="D175" s="110">
        <v>1</v>
      </c>
      <c r="E175" s="110">
        <v>174</v>
      </c>
      <c r="F175" s="110">
        <v>2012</v>
      </c>
      <c r="G175" s="110" t="s">
        <v>161</v>
      </c>
      <c r="H175" s="110" t="s">
        <v>2437</v>
      </c>
      <c r="I175" s="110" t="s">
        <v>182</v>
      </c>
      <c r="J175" s="110" t="s">
        <v>246</v>
      </c>
      <c r="K175" s="110" t="s">
        <v>999</v>
      </c>
      <c r="L175" s="110" t="s">
        <v>999</v>
      </c>
      <c r="R175" s="110" t="s">
        <v>2611</v>
      </c>
      <c r="S175" s="110" t="s">
        <v>444</v>
      </c>
      <c r="T175" s="110" t="s">
        <v>587</v>
      </c>
      <c r="U175" s="110" t="s">
        <v>588</v>
      </c>
      <c r="V175" s="110">
        <v>44.559161109999998</v>
      </c>
      <c r="W175" s="110">
        <v>44.559161109999998</v>
      </c>
      <c r="X175" s="110">
        <v>-64.032430559999995</v>
      </c>
      <c r="Y175" s="110" t="s">
        <v>585</v>
      </c>
      <c r="Z175" s="110" t="s">
        <v>586</v>
      </c>
      <c r="AA175" s="110" t="s">
        <v>1788</v>
      </c>
      <c r="AB175" s="110" t="s">
        <v>333</v>
      </c>
      <c r="AC175" s="110" t="s">
        <v>246</v>
      </c>
      <c r="AD175" s="110" t="s">
        <v>333</v>
      </c>
      <c r="AE175" s="110" t="s">
        <v>1123</v>
      </c>
      <c r="AF175" s="110" t="s">
        <v>1745</v>
      </c>
      <c r="AG175" s="110">
        <v>19</v>
      </c>
      <c r="AI175" s="110" t="s">
        <v>246</v>
      </c>
      <c r="AJ175" s="110" t="s">
        <v>246</v>
      </c>
      <c r="AK175" s="110" t="s">
        <v>171</v>
      </c>
      <c r="AL175" s="110" t="s">
        <v>190</v>
      </c>
      <c r="AO175" s="110">
        <v>5</v>
      </c>
      <c r="AP175" s="110" t="s">
        <v>190</v>
      </c>
      <c r="AQ175" s="110" t="s">
        <v>176</v>
      </c>
      <c r="AR175" s="110">
        <v>2010</v>
      </c>
      <c r="AS175" s="110" t="s">
        <v>475</v>
      </c>
      <c r="AT175" s="110" t="s">
        <v>420</v>
      </c>
      <c r="AU175" s="110">
        <v>500</v>
      </c>
      <c r="AW175" s="110">
        <v>19</v>
      </c>
      <c r="AX175" s="110">
        <v>9.9</v>
      </c>
      <c r="AY175" s="110">
        <v>17.2</v>
      </c>
      <c r="AZ175" s="110">
        <v>16.899999999999999</v>
      </c>
      <c r="BA175" s="110">
        <v>9.6</v>
      </c>
      <c r="BB175" s="110">
        <v>11.2</v>
      </c>
      <c r="BC175" s="110">
        <v>10.4</v>
      </c>
      <c r="BD175" s="110">
        <v>1.6</v>
      </c>
      <c r="BE175" s="110" t="s">
        <v>182</v>
      </c>
      <c r="BF175" s="110" t="s">
        <v>412</v>
      </c>
      <c r="BH175" s="110" t="s">
        <v>174</v>
      </c>
      <c r="BI175" s="110" t="s">
        <v>182</v>
      </c>
      <c r="BJ175" s="110" t="s">
        <v>190</v>
      </c>
      <c r="BK175" s="110">
        <v>3</v>
      </c>
      <c r="BL175" s="110">
        <v>4</v>
      </c>
      <c r="BM175" s="110" t="s">
        <v>174</v>
      </c>
      <c r="BN175" s="110" t="s">
        <v>174</v>
      </c>
      <c r="BO175" s="110" t="s">
        <v>174</v>
      </c>
      <c r="BP175" s="110" t="s">
        <v>174</v>
      </c>
      <c r="BQ175" s="110" t="s">
        <v>174</v>
      </c>
      <c r="BR175" s="110" t="s">
        <v>174</v>
      </c>
      <c r="BS175" s="110">
        <v>112</v>
      </c>
      <c r="BT175" s="110" t="s">
        <v>2378</v>
      </c>
      <c r="BU175" s="110" t="s">
        <v>1398</v>
      </c>
      <c r="BV175" s="110" t="s">
        <v>2603</v>
      </c>
      <c r="BW175" s="110">
        <v>0.99009999999999998</v>
      </c>
      <c r="BX175" s="110" t="s">
        <v>1396</v>
      </c>
      <c r="BY175" s="110">
        <v>0.94</v>
      </c>
      <c r="CA175" s="110">
        <v>0.78580000000000005</v>
      </c>
      <c r="CB175" s="110">
        <v>63.629422239999997</v>
      </c>
      <c r="CC175" s="110" t="b">
        <v>0</v>
      </c>
      <c r="CD175" s="110">
        <v>20.019646365422396</v>
      </c>
      <c r="CE175" s="110">
        <v>0</v>
      </c>
      <c r="CF175" s="110" t="s">
        <v>246</v>
      </c>
      <c r="CG175" s="110" t="s">
        <v>174</v>
      </c>
      <c r="CH175" s="110" t="s">
        <v>263</v>
      </c>
      <c r="CI175" s="110" t="s">
        <v>594</v>
      </c>
      <c r="CJ175" s="110" t="s">
        <v>590</v>
      </c>
    </row>
    <row r="176" spans="1:88">
      <c r="A176" s="110" t="s">
        <v>608</v>
      </c>
      <c r="B176" s="110">
        <v>36</v>
      </c>
      <c r="C176" s="110">
        <v>1</v>
      </c>
      <c r="D176" s="110">
        <v>1</v>
      </c>
      <c r="E176" s="110">
        <v>175</v>
      </c>
      <c r="F176" s="110">
        <v>2012</v>
      </c>
      <c r="G176" s="110" t="s">
        <v>161</v>
      </c>
      <c r="H176" s="110" t="s">
        <v>2437</v>
      </c>
      <c r="I176" s="110" t="s">
        <v>182</v>
      </c>
      <c r="J176" s="110" t="s">
        <v>246</v>
      </c>
      <c r="K176" s="110" t="s">
        <v>999</v>
      </c>
      <c r="L176" s="110" t="s">
        <v>999</v>
      </c>
      <c r="R176" s="110" t="s">
        <v>152</v>
      </c>
      <c r="S176" s="110" t="s">
        <v>443</v>
      </c>
      <c r="T176" s="110" t="s">
        <v>154</v>
      </c>
      <c r="U176" s="110" t="s">
        <v>255</v>
      </c>
      <c r="V176" s="110">
        <v>44.559161109999998</v>
      </c>
      <c r="W176" s="110">
        <v>44.559161109999998</v>
      </c>
      <c r="X176" s="110">
        <v>-64.032430559999995</v>
      </c>
      <c r="Y176" s="110" t="s">
        <v>585</v>
      </c>
      <c r="Z176" s="110" t="s">
        <v>586</v>
      </c>
      <c r="AA176" s="110" t="s">
        <v>1788</v>
      </c>
      <c r="AB176" s="110" t="s">
        <v>333</v>
      </c>
      <c r="AC176" s="110" t="s">
        <v>246</v>
      </c>
      <c r="AD176" s="110" t="s">
        <v>333</v>
      </c>
      <c r="AE176" s="110" t="s">
        <v>1123</v>
      </c>
      <c r="AF176" s="110" t="s">
        <v>1745</v>
      </c>
      <c r="AG176" s="110">
        <v>19</v>
      </c>
      <c r="AI176" s="110" t="s">
        <v>246</v>
      </c>
      <c r="AJ176" s="110" t="s">
        <v>246</v>
      </c>
      <c r="AK176" s="110" t="s">
        <v>171</v>
      </c>
      <c r="AL176" s="110" t="s">
        <v>190</v>
      </c>
      <c r="AO176" s="110">
        <v>5</v>
      </c>
      <c r="AP176" s="110" t="s">
        <v>190</v>
      </c>
      <c r="AQ176" s="110" t="s">
        <v>176</v>
      </c>
      <c r="AR176" s="110">
        <v>2010</v>
      </c>
      <c r="AS176" s="110" t="s">
        <v>475</v>
      </c>
      <c r="AT176" s="110" t="s">
        <v>420</v>
      </c>
      <c r="AU176" s="110">
        <v>500</v>
      </c>
      <c r="AW176" s="110">
        <v>103</v>
      </c>
      <c r="AX176" s="110">
        <v>26.2</v>
      </c>
      <c r="AY176" s="110">
        <v>32.299999999999997</v>
      </c>
      <c r="AZ176" s="110">
        <v>32.1</v>
      </c>
      <c r="BA176" s="110">
        <v>9.6</v>
      </c>
      <c r="BB176" s="110">
        <v>11.2</v>
      </c>
      <c r="BC176" s="110">
        <v>10.4</v>
      </c>
      <c r="BD176" s="110">
        <v>1.6</v>
      </c>
      <c r="BE176" s="110" t="s">
        <v>182</v>
      </c>
      <c r="BF176" s="110" t="s">
        <v>412</v>
      </c>
      <c r="BH176" s="110" t="s">
        <v>174</v>
      </c>
      <c r="BI176" s="110" t="s">
        <v>182</v>
      </c>
      <c r="BJ176" s="110" t="s">
        <v>190</v>
      </c>
      <c r="BK176" s="110">
        <v>3</v>
      </c>
      <c r="BL176" s="110">
        <v>4</v>
      </c>
      <c r="BM176" s="110" t="s">
        <v>174</v>
      </c>
      <c r="BN176" s="110" t="s">
        <v>174</v>
      </c>
      <c r="BO176" s="110" t="s">
        <v>174</v>
      </c>
      <c r="BP176" s="110" t="s">
        <v>174</v>
      </c>
      <c r="BQ176" s="110" t="s">
        <v>174</v>
      </c>
      <c r="BR176" s="110" t="s">
        <v>174</v>
      </c>
      <c r="BS176" s="110">
        <v>112</v>
      </c>
      <c r="BT176" s="110" t="s">
        <v>2378</v>
      </c>
      <c r="BU176" s="110" t="s">
        <v>1398</v>
      </c>
      <c r="BV176" s="110" t="s">
        <v>2603</v>
      </c>
      <c r="BW176" s="110">
        <v>0.98</v>
      </c>
      <c r="BX176" s="110" t="s">
        <v>2347</v>
      </c>
      <c r="BY176" s="110">
        <v>0.89239999999999997</v>
      </c>
      <c r="BZ176" s="110">
        <v>0.20200000000000001</v>
      </c>
      <c r="CB176" s="110">
        <v>3.4314216860000002</v>
      </c>
      <c r="CC176" s="110" t="b">
        <v>0</v>
      </c>
      <c r="CD176" s="110">
        <v>8.9702970297029694</v>
      </c>
      <c r="CE176" s="110">
        <v>0</v>
      </c>
      <c r="CF176" s="110" t="s">
        <v>246</v>
      </c>
      <c r="CG176" s="110" t="s">
        <v>174</v>
      </c>
      <c r="CH176" s="110" t="s">
        <v>263</v>
      </c>
      <c r="CI176" s="110" t="s">
        <v>594</v>
      </c>
      <c r="CJ176" s="110" t="s">
        <v>590</v>
      </c>
    </row>
    <row r="177" spans="1:88">
      <c r="A177" s="110" t="s">
        <v>969</v>
      </c>
      <c r="B177" s="110">
        <v>37</v>
      </c>
      <c r="C177" s="110">
        <v>3</v>
      </c>
      <c r="D177" s="110">
        <v>1</v>
      </c>
      <c r="E177" s="110">
        <v>176</v>
      </c>
      <c r="F177" s="110">
        <v>2018</v>
      </c>
      <c r="G177" s="110" t="s">
        <v>161</v>
      </c>
      <c r="H177" s="110" t="s">
        <v>1219</v>
      </c>
      <c r="I177" s="110" t="s">
        <v>182</v>
      </c>
      <c r="J177" s="110" t="s">
        <v>246</v>
      </c>
      <c r="K177" s="110" t="s">
        <v>999</v>
      </c>
      <c r="L177" s="110" t="s">
        <v>999</v>
      </c>
      <c r="R177" s="110" t="s">
        <v>2606</v>
      </c>
      <c r="S177" s="110" t="s">
        <v>2606</v>
      </c>
      <c r="T177" s="110" t="s">
        <v>258</v>
      </c>
      <c r="U177" s="110" t="s">
        <v>174</v>
      </c>
      <c r="V177" s="110">
        <v>31.051619880000001</v>
      </c>
      <c r="W177" s="110">
        <v>-31.051619880000001</v>
      </c>
      <c r="X177" s="110">
        <v>-51.2371865</v>
      </c>
      <c r="Y177" s="110" t="s">
        <v>1322</v>
      </c>
      <c r="Z177" s="110" t="s">
        <v>2185</v>
      </c>
      <c r="AA177" s="110" t="s">
        <v>424</v>
      </c>
      <c r="AB177" s="110" t="s">
        <v>333</v>
      </c>
      <c r="AC177" s="110" t="s">
        <v>246</v>
      </c>
      <c r="AD177" s="110" t="s">
        <v>333</v>
      </c>
      <c r="AE177" s="110" t="s">
        <v>1123</v>
      </c>
      <c r="AF177" s="110" t="s">
        <v>1745</v>
      </c>
      <c r="AG177" s="110">
        <v>1</v>
      </c>
      <c r="AI177" s="110" t="s">
        <v>246</v>
      </c>
      <c r="AJ177" s="110" t="s">
        <v>246</v>
      </c>
      <c r="AK177" s="110" t="s">
        <v>171</v>
      </c>
      <c r="AL177" s="110" t="s">
        <v>190</v>
      </c>
      <c r="AM177" s="110" t="s">
        <v>174</v>
      </c>
      <c r="AO177" s="110">
        <v>1</v>
      </c>
      <c r="AP177" s="110" t="s">
        <v>190</v>
      </c>
      <c r="AQ177" s="110" t="s">
        <v>176</v>
      </c>
      <c r="AR177" s="110">
        <v>2013</v>
      </c>
      <c r="AS177" s="110" t="s">
        <v>297</v>
      </c>
      <c r="AT177" s="110" t="s">
        <v>254</v>
      </c>
      <c r="AU177" s="110">
        <v>800</v>
      </c>
      <c r="AV177" s="110" t="s">
        <v>1255</v>
      </c>
      <c r="BA177" s="110" t="s">
        <v>1766</v>
      </c>
      <c r="BB177" s="110" t="s">
        <v>1766</v>
      </c>
      <c r="BE177" s="110" t="s">
        <v>182</v>
      </c>
      <c r="BF177" s="110" t="s">
        <v>412</v>
      </c>
      <c r="BH177" s="110" t="s">
        <v>174</v>
      </c>
      <c r="BI177" s="110" t="s">
        <v>182</v>
      </c>
      <c r="BJ177" s="110" t="s">
        <v>412</v>
      </c>
      <c r="BK177" s="110">
        <v>4</v>
      </c>
      <c r="BL177" s="110">
        <v>3</v>
      </c>
      <c r="BM177" s="110" t="s">
        <v>174</v>
      </c>
      <c r="BN177" s="110" t="s">
        <v>174</v>
      </c>
      <c r="BO177" s="110" t="s">
        <v>174</v>
      </c>
      <c r="BP177" s="110" t="s">
        <v>174</v>
      </c>
      <c r="BQ177" s="110" t="s">
        <v>174</v>
      </c>
      <c r="BR177" s="110" t="s">
        <v>174</v>
      </c>
      <c r="BS177" s="110">
        <v>21</v>
      </c>
      <c r="BT177" s="110" t="s">
        <v>2378</v>
      </c>
      <c r="BU177" s="110" t="s">
        <v>1398</v>
      </c>
      <c r="BV177" s="110" t="s">
        <v>2603</v>
      </c>
      <c r="BW177" s="110">
        <v>0.996</v>
      </c>
      <c r="BX177" s="110" t="s">
        <v>1396</v>
      </c>
      <c r="BY177" s="110">
        <v>0.90400000000000003</v>
      </c>
      <c r="CA177" s="110">
        <v>3.41</v>
      </c>
      <c r="CB177" s="110">
        <v>14.6627566</v>
      </c>
      <c r="CC177" s="110" t="b">
        <v>0</v>
      </c>
      <c r="CD177" s="110">
        <v>27.375</v>
      </c>
      <c r="CE177" s="110">
        <v>0</v>
      </c>
      <c r="CF177" s="110" t="s">
        <v>246</v>
      </c>
      <c r="CG177" s="110" t="s">
        <v>174</v>
      </c>
      <c r="CH177" s="110" t="s">
        <v>1321</v>
      </c>
    </row>
    <row r="178" spans="1:88">
      <c r="A178" s="110" t="s">
        <v>969</v>
      </c>
      <c r="B178" s="110">
        <v>37</v>
      </c>
      <c r="C178" s="110">
        <v>3</v>
      </c>
      <c r="D178" s="110">
        <v>1</v>
      </c>
      <c r="E178" s="110">
        <v>177</v>
      </c>
      <c r="F178" s="110">
        <v>2018</v>
      </c>
      <c r="G178" s="110" t="s">
        <v>161</v>
      </c>
      <c r="H178" s="110" t="s">
        <v>1219</v>
      </c>
      <c r="I178" s="110" t="s">
        <v>182</v>
      </c>
      <c r="J178" s="110" t="s">
        <v>246</v>
      </c>
      <c r="K178" s="110" t="s">
        <v>999</v>
      </c>
      <c r="L178" s="110" t="s">
        <v>999</v>
      </c>
      <c r="R178" s="110" t="s">
        <v>2606</v>
      </c>
      <c r="S178" s="110" t="s">
        <v>2606</v>
      </c>
      <c r="T178" s="110" t="s">
        <v>258</v>
      </c>
      <c r="U178" s="110" t="s">
        <v>174</v>
      </c>
      <c r="V178" s="110">
        <v>31.051619880000001</v>
      </c>
      <c r="W178" s="110">
        <v>-31.051619880000001</v>
      </c>
      <c r="X178" s="110">
        <v>-51.2371865</v>
      </c>
      <c r="Y178" s="110" t="s">
        <v>1322</v>
      </c>
      <c r="Z178" s="110" t="s">
        <v>2185</v>
      </c>
      <c r="AA178" s="110" t="s">
        <v>424</v>
      </c>
      <c r="AB178" s="110" t="s">
        <v>333</v>
      </c>
      <c r="AC178" s="110" t="s">
        <v>246</v>
      </c>
      <c r="AD178" s="110" t="s">
        <v>333</v>
      </c>
      <c r="AE178" s="110" t="s">
        <v>1123</v>
      </c>
      <c r="AF178" s="110" t="s">
        <v>1745</v>
      </c>
      <c r="AG178" s="110">
        <v>1</v>
      </c>
      <c r="AI178" s="110" t="s">
        <v>246</v>
      </c>
      <c r="AJ178" s="110" t="s">
        <v>246</v>
      </c>
      <c r="AK178" s="110" t="s">
        <v>171</v>
      </c>
      <c r="AL178" s="110" t="s">
        <v>190</v>
      </c>
      <c r="AM178" s="110" t="s">
        <v>174</v>
      </c>
      <c r="AO178" s="110">
        <v>1</v>
      </c>
      <c r="AP178" s="110" t="s">
        <v>190</v>
      </c>
      <c r="AQ178" s="110" t="s">
        <v>176</v>
      </c>
      <c r="AR178" s="110">
        <v>2014</v>
      </c>
      <c r="AS178" s="110" t="s">
        <v>297</v>
      </c>
      <c r="AT178" s="110" t="s">
        <v>254</v>
      </c>
      <c r="AU178" s="110">
        <v>77</v>
      </c>
      <c r="AV178" s="110" t="s">
        <v>1255</v>
      </c>
      <c r="BA178" s="110" t="s">
        <v>1766</v>
      </c>
      <c r="BB178" s="110" t="s">
        <v>1766</v>
      </c>
      <c r="BE178" s="110" t="s">
        <v>182</v>
      </c>
      <c r="BF178" s="110" t="s">
        <v>412</v>
      </c>
      <c r="BH178" s="110" t="s">
        <v>174</v>
      </c>
      <c r="BI178" s="110" t="s">
        <v>182</v>
      </c>
      <c r="BJ178" s="110" t="s">
        <v>412</v>
      </c>
      <c r="BK178" s="110">
        <v>4</v>
      </c>
      <c r="BL178" s="110">
        <v>3</v>
      </c>
      <c r="BM178" s="110" t="s">
        <v>174</v>
      </c>
      <c r="BN178" s="110" t="s">
        <v>174</v>
      </c>
      <c r="BO178" s="110" t="s">
        <v>174</v>
      </c>
      <c r="BP178" s="110" t="s">
        <v>174</v>
      </c>
      <c r="BQ178" s="110" t="s">
        <v>174</v>
      </c>
      <c r="BR178" s="110" t="s">
        <v>174</v>
      </c>
      <c r="BS178" s="110">
        <v>21</v>
      </c>
      <c r="BT178" s="110" t="s">
        <v>1387</v>
      </c>
      <c r="BU178" s="110" t="s">
        <v>2606</v>
      </c>
      <c r="BV178" s="110" t="s">
        <v>1387</v>
      </c>
      <c r="CB178" s="110" t="s">
        <v>190</v>
      </c>
      <c r="CC178" s="110" t="b">
        <v>0</v>
      </c>
      <c r="CD178" s="110">
        <v>66.233766230000001</v>
      </c>
      <c r="CE178" s="110" t="s">
        <v>2256</v>
      </c>
      <c r="CF178" s="110" t="s">
        <v>2256</v>
      </c>
      <c r="CG178" s="110" t="s">
        <v>174</v>
      </c>
      <c r="CH178" s="110" t="s">
        <v>2495</v>
      </c>
    </row>
    <row r="179" spans="1:88">
      <c r="A179" s="110" t="s">
        <v>537</v>
      </c>
      <c r="B179" s="110">
        <v>38</v>
      </c>
      <c r="C179" s="110">
        <v>1</v>
      </c>
      <c r="D179" s="110">
        <v>1</v>
      </c>
      <c r="E179" s="110">
        <v>178</v>
      </c>
      <c r="F179" s="110">
        <v>2014</v>
      </c>
      <c r="G179" s="110" t="s">
        <v>161</v>
      </c>
      <c r="H179" s="110" t="s">
        <v>1219</v>
      </c>
      <c r="I179" s="110" t="s">
        <v>182</v>
      </c>
      <c r="J179" s="110" t="s">
        <v>246</v>
      </c>
      <c r="K179" s="110" t="s">
        <v>999</v>
      </c>
      <c r="L179" s="110" t="s">
        <v>999</v>
      </c>
      <c r="R179" s="110" t="s">
        <v>2611</v>
      </c>
      <c r="S179" s="110" t="s">
        <v>446</v>
      </c>
      <c r="T179" s="110" t="s">
        <v>539</v>
      </c>
      <c r="U179" s="110" t="s">
        <v>544</v>
      </c>
      <c r="V179" s="110">
        <v>62.981388889999998</v>
      </c>
      <c r="W179" s="110">
        <v>-62.981388889999998</v>
      </c>
      <c r="X179" s="110">
        <v>-60.652777780000001</v>
      </c>
      <c r="Y179" s="110" t="s">
        <v>538</v>
      </c>
      <c r="Z179" s="110" t="s">
        <v>797</v>
      </c>
      <c r="AA179" s="110" t="s">
        <v>1788</v>
      </c>
      <c r="AB179" s="110" t="s">
        <v>1724</v>
      </c>
      <c r="AC179" s="110" t="s">
        <v>182</v>
      </c>
      <c r="AD179" s="110" t="s">
        <v>333</v>
      </c>
      <c r="AE179" s="110" t="s">
        <v>1306</v>
      </c>
      <c r="AF179" s="110" t="s">
        <v>1745</v>
      </c>
      <c r="AH179" s="110" t="s">
        <v>1775</v>
      </c>
      <c r="AI179" s="110" t="s">
        <v>246</v>
      </c>
      <c r="AJ179" s="110" t="s">
        <v>246</v>
      </c>
      <c r="AK179" s="110" t="s">
        <v>171</v>
      </c>
      <c r="AL179" s="110" t="s">
        <v>190</v>
      </c>
      <c r="AO179" s="110">
        <v>15</v>
      </c>
      <c r="AP179" s="110" t="s">
        <v>190</v>
      </c>
      <c r="AQ179" s="110" t="s">
        <v>176</v>
      </c>
      <c r="AR179" s="110">
        <v>2010</v>
      </c>
      <c r="AS179" s="110" t="s">
        <v>384</v>
      </c>
      <c r="AT179" s="110" t="s">
        <v>420</v>
      </c>
      <c r="AU179" s="110">
        <v>5</v>
      </c>
      <c r="AV179" s="110" t="s">
        <v>1255</v>
      </c>
      <c r="AW179" s="110" t="s">
        <v>174</v>
      </c>
      <c r="AX179" s="110" t="s">
        <v>174</v>
      </c>
      <c r="AY179" s="110" t="s">
        <v>174</v>
      </c>
      <c r="AZ179" s="110" t="s">
        <v>174</v>
      </c>
      <c r="BA179" s="110">
        <v>1.4</v>
      </c>
      <c r="BB179" s="110">
        <v>1.4</v>
      </c>
      <c r="BC179" s="110">
        <v>1.4</v>
      </c>
      <c r="BD179" s="110">
        <v>0</v>
      </c>
      <c r="BE179" s="110" t="s">
        <v>182</v>
      </c>
      <c r="BF179" s="110" t="s">
        <v>412</v>
      </c>
      <c r="BH179" s="110" t="s">
        <v>174</v>
      </c>
      <c r="BI179" s="110" t="s">
        <v>182</v>
      </c>
      <c r="BJ179" s="110" t="s">
        <v>1897</v>
      </c>
      <c r="BK179" s="110">
        <v>3</v>
      </c>
      <c r="BL179" s="110">
        <v>4</v>
      </c>
      <c r="BM179" s="110" t="s">
        <v>1394</v>
      </c>
      <c r="BN179" s="110" t="s">
        <v>174</v>
      </c>
      <c r="BO179" s="110" t="s">
        <v>174</v>
      </c>
      <c r="BP179" s="110" t="s">
        <v>174</v>
      </c>
      <c r="BQ179" s="110" t="s">
        <v>174</v>
      </c>
      <c r="BR179" s="110" t="s">
        <v>174</v>
      </c>
      <c r="BS179" s="110">
        <v>14</v>
      </c>
      <c r="BT179" s="110" t="s">
        <v>1385</v>
      </c>
      <c r="BU179" s="110" t="s">
        <v>3207</v>
      </c>
      <c r="BV179" s="110" t="s">
        <v>2603</v>
      </c>
      <c r="BW179" s="110">
        <v>0.97</v>
      </c>
      <c r="BZ179" s="110">
        <v>0.29339999999999999</v>
      </c>
      <c r="CB179" s="110" t="s">
        <v>190</v>
      </c>
      <c r="CC179" s="110" t="b">
        <v>0</v>
      </c>
      <c r="CD179" s="110">
        <v>76.7</v>
      </c>
      <c r="CE179" s="110">
        <v>76.7</v>
      </c>
      <c r="CF179" s="110" t="s">
        <v>182</v>
      </c>
      <c r="CG179" s="110" t="s">
        <v>174</v>
      </c>
      <c r="CH179" s="110" t="s">
        <v>263</v>
      </c>
      <c r="CI179" s="110" t="s">
        <v>174</v>
      </c>
      <c r="CJ179" s="110" t="s">
        <v>542</v>
      </c>
    </row>
    <row r="180" spans="1:88">
      <c r="A180" s="110" t="s">
        <v>537</v>
      </c>
      <c r="B180" s="110">
        <v>38</v>
      </c>
      <c r="C180" s="110">
        <v>1</v>
      </c>
      <c r="D180" s="110">
        <v>1</v>
      </c>
      <c r="E180" s="110">
        <v>179</v>
      </c>
      <c r="F180" s="110">
        <v>2014</v>
      </c>
      <c r="G180" s="110" t="s">
        <v>161</v>
      </c>
      <c r="H180" s="110" t="s">
        <v>1219</v>
      </c>
      <c r="I180" s="110" t="s">
        <v>182</v>
      </c>
      <c r="J180" s="110" t="s">
        <v>246</v>
      </c>
      <c r="K180" s="110" t="s">
        <v>999</v>
      </c>
      <c r="L180" s="110" t="s">
        <v>999</v>
      </c>
      <c r="R180" s="110" t="s">
        <v>2611</v>
      </c>
      <c r="S180" s="110" t="s">
        <v>443</v>
      </c>
      <c r="T180" s="110" t="s">
        <v>540</v>
      </c>
      <c r="U180" s="110" t="s">
        <v>541</v>
      </c>
      <c r="V180" s="110">
        <v>62.981388889999998</v>
      </c>
      <c r="W180" s="110">
        <v>-62.981388889999998</v>
      </c>
      <c r="X180" s="110">
        <v>-60.652777780000001</v>
      </c>
      <c r="Y180" s="110" t="s">
        <v>538</v>
      </c>
      <c r="Z180" s="110" t="s">
        <v>797</v>
      </c>
      <c r="AA180" s="110" t="s">
        <v>1788</v>
      </c>
      <c r="AB180" s="110" t="s">
        <v>1724</v>
      </c>
      <c r="AC180" s="110" t="s">
        <v>182</v>
      </c>
      <c r="AD180" s="110" t="s">
        <v>333</v>
      </c>
      <c r="AE180" s="110" t="s">
        <v>1306</v>
      </c>
      <c r="AF180" s="110" t="s">
        <v>1745</v>
      </c>
      <c r="AH180" s="110" t="s">
        <v>1775</v>
      </c>
      <c r="AI180" s="110" t="s">
        <v>246</v>
      </c>
      <c r="AJ180" s="110" t="s">
        <v>246</v>
      </c>
      <c r="AK180" s="110" t="s">
        <v>171</v>
      </c>
      <c r="AL180" s="110" t="s">
        <v>190</v>
      </c>
      <c r="AO180" s="110">
        <v>15</v>
      </c>
      <c r="AP180" s="110" t="s">
        <v>190</v>
      </c>
      <c r="AQ180" s="110" t="s">
        <v>176</v>
      </c>
      <c r="AR180" s="110">
        <v>2010</v>
      </c>
      <c r="AS180" s="110" t="s">
        <v>384</v>
      </c>
      <c r="AT180" s="110" t="s">
        <v>420</v>
      </c>
      <c r="AU180" s="110">
        <v>5</v>
      </c>
      <c r="AV180" s="110" t="s">
        <v>1255</v>
      </c>
      <c r="AW180" s="110" t="s">
        <v>174</v>
      </c>
      <c r="AX180" s="110" t="s">
        <v>174</v>
      </c>
      <c r="AY180" s="110" t="s">
        <v>174</v>
      </c>
      <c r="AZ180" s="110" t="s">
        <v>174</v>
      </c>
      <c r="BA180" s="110">
        <v>1.4</v>
      </c>
      <c r="BB180" s="110">
        <v>1.4</v>
      </c>
      <c r="BC180" s="110">
        <v>1.4</v>
      </c>
      <c r="BD180" s="110">
        <v>0</v>
      </c>
      <c r="BE180" s="110" t="s">
        <v>182</v>
      </c>
      <c r="BF180" s="110" t="s">
        <v>412</v>
      </c>
      <c r="BH180" s="110" t="s">
        <v>174</v>
      </c>
      <c r="BI180" s="110" t="s">
        <v>182</v>
      </c>
      <c r="BJ180" s="110" t="s">
        <v>190</v>
      </c>
      <c r="BK180" s="110">
        <v>3</v>
      </c>
      <c r="BL180" s="110">
        <v>4</v>
      </c>
      <c r="BM180" s="110" t="s">
        <v>1394</v>
      </c>
      <c r="BN180" s="110" t="s">
        <v>174</v>
      </c>
      <c r="BO180" s="110" t="s">
        <v>174</v>
      </c>
      <c r="BP180" s="110" t="s">
        <v>174</v>
      </c>
      <c r="BQ180" s="110" t="s">
        <v>174</v>
      </c>
      <c r="BR180" s="110" t="s">
        <v>174</v>
      </c>
      <c r="BS180" s="110">
        <v>14</v>
      </c>
      <c r="BT180" s="110" t="s">
        <v>1385</v>
      </c>
      <c r="BU180" s="110" t="s">
        <v>3207</v>
      </c>
      <c r="BV180" s="110" t="s">
        <v>2603</v>
      </c>
      <c r="BW180" s="110">
        <v>0.77</v>
      </c>
      <c r="BZ180" s="110">
        <v>0.38219999999999998</v>
      </c>
      <c r="CB180" s="110" t="s">
        <v>190</v>
      </c>
      <c r="CC180" s="110" t="b">
        <v>0</v>
      </c>
      <c r="CD180" s="110">
        <v>60.8</v>
      </c>
      <c r="CE180" s="110">
        <v>60.8</v>
      </c>
      <c r="CF180" s="110" t="s">
        <v>182</v>
      </c>
      <c r="CG180" s="110" t="s">
        <v>174</v>
      </c>
      <c r="CH180" s="110" t="s">
        <v>263</v>
      </c>
      <c r="CI180" s="110" t="s">
        <v>174</v>
      </c>
      <c r="CJ180" s="110" t="s">
        <v>542</v>
      </c>
    </row>
    <row r="181" spans="1:88">
      <c r="A181" s="110" t="s">
        <v>183</v>
      </c>
      <c r="B181" s="110">
        <v>39</v>
      </c>
      <c r="C181" s="110">
        <v>1</v>
      </c>
      <c r="D181" s="110">
        <v>1</v>
      </c>
      <c r="E181" s="110">
        <v>180</v>
      </c>
      <c r="F181" s="110">
        <v>2022</v>
      </c>
      <c r="G181" s="110" t="s">
        <v>187</v>
      </c>
      <c r="H181" s="110" t="s">
        <v>1119</v>
      </c>
      <c r="I181" s="110" t="s">
        <v>182</v>
      </c>
      <c r="J181" s="110" t="s">
        <v>182</v>
      </c>
      <c r="K181" s="110" t="s">
        <v>186</v>
      </c>
      <c r="L181" s="110" t="s">
        <v>186</v>
      </c>
      <c r="M181" s="110" t="s">
        <v>3173</v>
      </c>
      <c r="N181" s="110" t="s">
        <v>3169</v>
      </c>
      <c r="Q181" s="110">
        <v>0.7</v>
      </c>
      <c r="R181" s="110" t="s">
        <v>152</v>
      </c>
      <c r="S181" s="110" t="s">
        <v>443</v>
      </c>
      <c r="T181" s="110" t="s">
        <v>154</v>
      </c>
      <c r="U181" s="110" t="s">
        <v>326</v>
      </c>
      <c r="V181" s="110">
        <v>37.01</v>
      </c>
      <c r="W181" s="110">
        <v>37.01</v>
      </c>
      <c r="X181" s="110">
        <v>122.24</v>
      </c>
      <c r="Y181" s="110" t="s">
        <v>185</v>
      </c>
      <c r="Z181" s="110" t="s">
        <v>380</v>
      </c>
      <c r="AA181" s="110" t="s">
        <v>1788</v>
      </c>
      <c r="AB181" s="110" t="s">
        <v>1216</v>
      </c>
      <c r="AC181" s="110" t="s">
        <v>182</v>
      </c>
      <c r="AD181" s="110" t="s">
        <v>333</v>
      </c>
      <c r="AE181" s="110" t="s">
        <v>187</v>
      </c>
      <c r="AF181" s="110" t="s">
        <v>190</v>
      </c>
      <c r="AG181" s="110" t="s">
        <v>190</v>
      </c>
      <c r="AI181" s="110" t="s">
        <v>246</v>
      </c>
      <c r="AJ181" s="110" t="s">
        <v>246</v>
      </c>
      <c r="AK181" s="110" t="s">
        <v>196</v>
      </c>
      <c r="AL181" s="110" t="s">
        <v>1217</v>
      </c>
      <c r="AM181" s="110">
        <v>1500</v>
      </c>
      <c r="AN181" s="110" t="s">
        <v>1216</v>
      </c>
      <c r="AP181" s="110" t="s">
        <v>193</v>
      </c>
      <c r="AQ181" s="110" t="s">
        <v>175</v>
      </c>
      <c r="AR181" s="110">
        <v>2018</v>
      </c>
      <c r="AS181" s="110" t="s">
        <v>169</v>
      </c>
      <c r="AT181" s="110" t="s">
        <v>298</v>
      </c>
      <c r="AU181" s="110" t="s">
        <v>190</v>
      </c>
      <c r="AY181" s="110" t="s">
        <v>190</v>
      </c>
      <c r="AZ181" s="110" t="s">
        <v>190</v>
      </c>
      <c r="BA181" s="110">
        <v>22.5</v>
      </c>
      <c r="BB181" s="110">
        <v>22.5</v>
      </c>
      <c r="BC181" s="110">
        <v>22.5</v>
      </c>
      <c r="BD181" s="110">
        <v>0</v>
      </c>
      <c r="BE181" s="110" t="s">
        <v>246</v>
      </c>
      <c r="BF181" s="110" t="s">
        <v>188</v>
      </c>
      <c r="BG181" s="110">
        <v>0</v>
      </c>
      <c r="BI181" s="110" t="s">
        <v>246</v>
      </c>
      <c r="BJ181" s="110" t="s">
        <v>191</v>
      </c>
      <c r="BK181" s="110">
        <v>3</v>
      </c>
      <c r="BL181" s="110">
        <v>13</v>
      </c>
      <c r="BM181" s="110" t="s">
        <v>174</v>
      </c>
      <c r="BN181" s="110" t="s">
        <v>174</v>
      </c>
      <c r="BO181" s="110" t="s">
        <v>174</v>
      </c>
      <c r="BP181" s="110" t="s">
        <v>174</v>
      </c>
      <c r="BQ181" s="110">
        <v>58</v>
      </c>
      <c r="BR181" s="110" t="s">
        <v>174</v>
      </c>
      <c r="BS181" s="110">
        <v>360</v>
      </c>
      <c r="BT181" s="110" t="s">
        <v>1385</v>
      </c>
      <c r="BU181" s="110" t="s">
        <v>3207</v>
      </c>
      <c r="BV181" s="110" t="s">
        <v>2603</v>
      </c>
      <c r="BW181" s="110">
        <v>0.88</v>
      </c>
      <c r="BZ181" s="110">
        <v>2.7099999999999999E-2</v>
      </c>
      <c r="CB181" s="110" t="s">
        <v>190</v>
      </c>
      <c r="CC181" s="110" t="b">
        <v>0</v>
      </c>
      <c r="CD181" s="110">
        <v>61.2355035</v>
      </c>
      <c r="CE181" s="110">
        <v>61.2355035</v>
      </c>
      <c r="CF181" s="110" t="s">
        <v>182</v>
      </c>
      <c r="CG181" s="110" t="s">
        <v>190</v>
      </c>
      <c r="CH181" s="110" t="s">
        <v>190</v>
      </c>
      <c r="CI181" s="110" t="s">
        <v>192</v>
      </c>
      <c r="CJ181" s="110" t="s">
        <v>206</v>
      </c>
    </row>
    <row r="182" spans="1:88">
      <c r="A182" s="110" t="s">
        <v>603</v>
      </c>
      <c r="B182" s="110">
        <v>40</v>
      </c>
      <c r="C182" s="110">
        <v>1</v>
      </c>
      <c r="D182" s="110">
        <v>1</v>
      </c>
      <c r="E182" s="110">
        <v>181</v>
      </c>
      <c r="F182" s="110">
        <v>2020</v>
      </c>
      <c r="G182" s="110" t="s">
        <v>187</v>
      </c>
      <c r="H182" s="110" t="s">
        <v>2436</v>
      </c>
      <c r="I182" s="110" t="s">
        <v>182</v>
      </c>
      <c r="J182" s="110" t="s">
        <v>246</v>
      </c>
      <c r="K182" s="110" t="s">
        <v>999</v>
      </c>
      <c r="L182" s="110" t="s">
        <v>999</v>
      </c>
      <c r="R182" s="110" t="s">
        <v>152</v>
      </c>
      <c r="S182" s="110" t="s">
        <v>443</v>
      </c>
      <c r="T182" s="110" t="s">
        <v>347</v>
      </c>
      <c r="U182" s="110" t="s">
        <v>348</v>
      </c>
      <c r="V182" s="110">
        <v>30.373180000000001</v>
      </c>
      <c r="W182" s="110">
        <v>-30.373180000000001</v>
      </c>
      <c r="X182" s="110">
        <v>153.10666800000001</v>
      </c>
      <c r="Y182" s="110" t="s">
        <v>349</v>
      </c>
      <c r="Z182" s="110" t="s">
        <v>802</v>
      </c>
      <c r="AA182" s="110" t="s">
        <v>1788</v>
      </c>
      <c r="AB182" s="110" t="s">
        <v>1723</v>
      </c>
      <c r="AC182" s="110" t="s">
        <v>182</v>
      </c>
      <c r="AD182" s="110" t="s">
        <v>1256</v>
      </c>
      <c r="AE182" s="110" t="s">
        <v>187</v>
      </c>
      <c r="AF182" s="110" t="s">
        <v>190</v>
      </c>
      <c r="AG182" s="110" t="s">
        <v>190</v>
      </c>
      <c r="AI182" s="110" t="s">
        <v>246</v>
      </c>
      <c r="AJ182" s="110" t="s">
        <v>246</v>
      </c>
      <c r="AK182" s="110" t="s">
        <v>1757</v>
      </c>
      <c r="AL182" s="110" t="s">
        <v>1802</v>
      </c>
      <c r="AN182" s="110" t="s">
        <v>412</v>
      </c>
      <c r="AO182" s="110">
        <v>1</v>
      </c>
      <c r="AP182" s="110" t="s">
        <v>190</v>
      </c>
      <c r="AQ182" s="110" t="s">
        <v>176</v>
      </c>
      <c r="AR182" s="110" t="s">
        <v>174</v>
      </c>
      <c r="AS182" s="110" t="s">
        <v>174</v>
      </c>
      <c r="AT182" s="110" t="s">
        <v>174</v>
      </c>
      <c r="AU182" s="110">
        <v>10</v>
      </c>
      <c r="BA182" s="110">
        <v>23</v>
      </c>
      <c r="BB182" s="110">
        <v>26</v>
      </c>
      <c r="BC182" s="110">
        <v>24.5</v>
      </c>
      <c r="BD182" s="110">
        <v>3</v>
      </c>
      <c r="BE182" s="110" t="s">
        <v>2606</v>
      </c>
      <c r="BF182" s="110" t="s">
        <v>2606</v>
      </c>
      <c r="BH182" s="110" t="s">
        <v>174</v>
      </c>
      <c r="BI182" s="110" t="s">
        <v>182</v>
      </c>
      <c r="BJ182" s="110" t="s">
        <v>353</v>
      </c>
      <c r="BK182" s="110">
        <v>5</v>
      </c>
      <c r="BL182" s="110">
        <v>4</v>
      </c>
      <c r="BM182" s="110" t="s">
        <v>1385</v>
      </c>
      <c r="BN182" s="110">
        <v>6.7877999999999994E-2</v>
      </c>
      <c r="BO182" s="110" t="s">
        <v>174</v>
      </c>
      <c r="BP182" s="110">
        <v>6</v>
      </c>
      <c r="BQ182" s="110">
        <v>61</v>
      </c>
      <c r="BR182" s="110" t="s">
        <v>174</v>
      </c>
      <c r="BS182" s="110">
        <v>40</v>
      </c>
      <c r="BT182" s="110" t="s">
        <v>1385</v>
      </c>
      <c r="BU182" s="110" t="s">
        <v>3207</v>
      </c>
      <c r="BV182" s="110" t="s">
        <v>2603</v>
      </c>
      <c r="BW182" s="110">
        <v>0.94</v>
      </c>
      <c r="BZ182" s="110">
        <v>0.19520000000000001</v>
      </c>
      <c r="CB182" s="110">
        <v>6.12</v>
      </c>
      <c r="CC182" s="110" t="b">
        <v>0</v>
      </c>
      <c r="CD182" s="110">
        <v>28.6</v>
      </c>
      <c r="CE182" s="110">
        <v>28.6</v>
      </c>
      <c r="CF182" s="110" t="s">
        <v>182</v>
      </c>
      <c r="CG182" s="110" t="s">
        <v>174</v>
      </c>
      <c r="CH182" s="110" t="s">
        <v>355</v>
      </c>
      <c r="CI182" s="110" t="s">
        <v>354</v>
      </c>
      <c r="CJ182" s="110" t="s">
        <v>1896</v>
      </c>
    </row>
    <row r="183" spans="1:88">
      <c r="A183" s="110" t="s">
        <v>603</v>
      </c>
      <c r="B183" s="110">
        <v>40</v>
      </c>
      <c r="C183" s="110">
        <v>1</v>
      </c>
      <c r="D183" s="110">
        <v>1</v>
      </c>
      <c r="E183" s="110">
        <v>182</v>
      </c>
      <c r="F183" s="110">
        <v>2020</v>
      </c>
      <c r="G183" s="110" t="s">
        <v>187</v>
      </c>
      <c r="H183" s="110" t="s">
        <v>2436</v>
      </c>
      <c r="I183" s="110" t="s">
        <v>182</v>
      </c>
      <c r="J183" s="110" t="s">
        <v>246</v>
      </c>
      <c r="K183" s="110" t="s">
        <v>999</v>
      </c>
      <c r="L183" s="110" t="s">
        <v>999</v>
      </c>
      <c r="R183" s="110" t="s">
        <v>152</v>
      </c>
      <c r="S183" s="110" t="s">
        <v>443</v>
      </c>
      <c r="T183" s="110" t="s">
        <v>347</v>
      </c>
      <c r="U183" s="110" t="s">
        <v>348</v>
      </c>
      <c r="V183" s="110">
        <v>30.373180000000001</v>
      </c>
      <c r="W183" s="110">
        <v>-30.373180000000001</v>
      </c>
      <c r="X183" s="110">
        <v>153.10666800000001</v>
      </c>
      <c r="Y183" s="110" t="s">
        <v>349</v>
      </c>
      <c r="Z183" s="110" t="s">
        <v>802</v>
      </c>
      <c r="AA183" s="110" t="s">
        <v>1788</v>
      </c>
      <c r="AB183" s="110" t="s">
        <v>1723</v>
      </c>
      <c r="AC183" s="110" t="s">
        <v>182</v>
      </c>
      <c r="AD183" s="110" t="s">
        <v>1256</v>
      </c>
      <c r="AE183" s="110" t="s">
        <v>187</v>
      </c>
      <c r="AF183" s="110" t="s">
        <v>190</v>
      </c>
      <c r="AG183" s="110" t="s">
        <v>190</v>
      </c>
      <c r="AI183" s="110" t="s">
        <v>246</v>
      </c>
      <c r="AJ183" s="110" t="s">
        <v>246</v>
      </c>
      <c r="AK183" s="110" t="s">
        <v>1757</v>
      </c>
      <c r="AL183" s="110" t="s">
        <v>1802</v>
      </c>
      <c r="AN183" s="110" t="s">
        <v>412</v>
      </c>
      <c r="AO183" s="110">
        <v>1</v>
      </c>
      <c r="AP183" s="110" t="s">
        <v>190</v>
      </c>
      <c r="AQ183" s="110" t="s">
        <v>176</v>
      </c>
      <c r="AR183" s="110" t="s">
        <v>174</v>
      </c>
      <c r="AS183" s="110" t="s">
        <v>174</v>
      </c>
      <c r="AT183" s="110" t="s">
        <v>174</v>
      </c>
      <c r="AU183" s="110">
        <v>10</v>
      </c>
      <c r="AW183" s="110" t="s">
        <v>174</v>
      </c>
      <c r="AX183" s="110" t="s">
        <v>174</v>
      </c>
      <c r="AY183" s="110" t="s">
        <v>174</v>
      </c>
      <c r="AZ183" s="110" t="s">
        <v>174</v>
      </c>
      <c r="BA183" s="110">
        <v>23</v>
      </c>
      <c r="BB183" s="110">
        <v>26</v>
      </c>
      <c r="BC183" s="110">
        <v>24.5</v>
      </c>
      <c r="BD183" s="110">
        <v>3</v>
      </c>
      <c r="BE183" s="110" t="s">
        <v>2606</v>
      </c>
      <c r="BF183" s="110" t="s">
        <v>2606</v>
      </c>
      <c r="BH183" s="110" t="s">
        <v>174</v>
      </c>
      <c r="BI183" s="110" t="s">
        <v>182</v>
      </c>
      <c r="BJ183" s="110" t="s">
        <v>353</v>
      </c>
      <c r="BK183" s="110">
        <v>5</v>
      </c>
      <c r="BL183" s="110">
        <v>4</v>
      </c>
      <c r="BM183" s="110" t="s">
        <v>1385</v>
      </c>
      <c r="BN183" s="110">
        <v>5.7100999999999999E-2</v>
      </c>
      <c r="BO183" s="110" t="s">
        <v>174</v>
      </c>
      <c r="BP183" s="110">
        <v>11</v>
      </c>
      <c r="BQ183" s="110">
        <v>76</v>
      </c>
      <c r="BR183" s="110" t="s">
        <v>174</v>
      </c>
      <c r="BS183" s="110">
        <v>40</v>
      </c>
      <c r="BT183" s="110" t="s">
        <v>1385</v>
      </c>
      <c r="BU183" s="110" t="s">
        <v>3207</v>
      </c>
      <c r="BV183" s="110" t="s">
        <v>2603</v>
      </c>
      <c r="BW183" s="110">
        <v>0.95</v>
      </c>
      <c r="BZ183" s="110">
        <v>0.12230000000000001</v>
      </c>
      <c r="CB183" s="110">
        <v>9.41</v>
      </c>
      <c r="CC183" s="110" t="b">
        <v>0</v>
      </c>
      <c r="CD183" s="110">
        <v>27.3</v>
      </c>
      <c r="CE183" s="110">
        <v>27.3</v>
      </c>
      <c r="CF183" s="110" t="s">
        <v>182</v>
      </c>
      <c r="CG183" s="110" t="s">
        <v>174</v>
      </c>
      <c r="CH183" s="110" t="s">
        <v>350</v>
      </c>
      <c r="CI183" s="110" t="s">
        <v>354</v>
      </c>
      <c r="CJ183" s="110" t="s">
        <v>1896</v>
      </c>
    </row>
    <row r="184" spans="1:88">
      <c r="A184" s="110" t="s">
        <v>603</v>
      </c>
      <c r="B184" s="110">
        <v>40</v>
      </c>
      <c r="C184" s="110">
        <v>1</v>
      </c>
      <c r="D184" s="110">
        <v>1</v>
      </c>
      <c r="E184" s="110">
        <v>183</v>
      </c>
      <c r="F184" s="110">
        <v>2020</v>
      </c>
      <c r="G184" s="110" t="s">
        <v>187</v>
      </c>
      <c r="H184" s="110" t="s">
        <v>2436</v>
      </c>
      <c r="I184" s="110" t="s">
        <v>182</v>
      </c>
      <c r="J184" s="110" t="s">
        <v>246</v>
      </c>
      <c r="K184" s="110" t="s">
        <v>999</v>
      </c>
      <c r="L184" s="110" t="s">
        <v>999</v>
      </c>
      <c r="R184" s="110" t="s">
        <v>152</v>
      </c>
      <c r="S184" s="110" t="s">
        <v>443</v>
      </c>
      <c r="T184" s="110" t="s">
        <v>347</v>
      </c>
      <c r="U184" s="110" t="s">
        <v>348</v>
      </c>
      <c r="V184" s="110">
        <v>30.373180000000001</v>
      </c>
      <c r="W184" s="110">
        <v>-30.373180000000001</v>
      </c>
      <c r="X184" s="110">
        <v>153.10666800000001</v>
      </c>
      <c r="Y184" s="110" t="s">
        <v>349</v>
      </c>
      <c r="Z184" s="110" t="s">
        <v>802</v>
      </c>
      <c r="AA184" s="110" t="s">
        <v>1788</v>
      </c>
      <c r="AB184" s="110" t="s">
        <v>1723</v>
      </c>
      <c r="AC184" s="110" t="s">
        <v>182</v>
      </c>
      <c r="AD184" s="110" t="s">
        <v>1256</v>
      </c>
      <c r="AE184" s="110" t="s">
        <v>187</v>
      </c>
      <c r="AF184" s="110" t="s">
        <v>190</v>
      </c>
      <c r="AG184" s="110" t="s">
        <v>190</v>
      </c>
      <c r="AI184" s="110" t="s">
        <v>246</v>
      </c>
      <c r="AJ184" s="110" t="s">
        <v>246</v>
      </c>
      <c r="AK184" s="110" t="s">
        <v>1757</v>
      </c>
      <c r="AL184" s="110" t="s">
        <v>1802</v>
      </c>
      <c r="AN184" s="110" t="s">
        <v>412</v>
      </c>
      <c r="AO184" s="110">
        <v>1</v>
      </c>
      <c r="AP184" s="110" t="s">
        <v>190</v>
      </c>
      <c r="AQ184" s="110" t="s">
        <v>176</v>
      </c>
      <c r="AR184" s="110" t="s">
        <v>174</v>
      </c>
      <c r="AS184" s="110" t="s">
        <v>174</v>
      </c>
      <c r="AT184" s="110" t="s">
        <v>174</v>
      </c>
      <c r="AU184" s="110">
        <v>10</v>
      </c>
      <c r="AW184" s="110" t="s">
        <v>174</v>
      </c>
      <c r="AX184" s="110" t="s">
        <v>174</v>
      </c>
      <c r="AY184" s="110" t="s">
        <v>174</v>
      </c>
      <c r="AZ184" s="110" t="s">
        <v>174</v>
      </c>
      <c r="BA184" s="110">
        <v>23</v>
      </c>
      <c r="BB184" s="110">
        <v>26</v>
      </c>
      <c r="BC184" s="110">
        <v>24.5</v>
      </c>
      <c r="BD184" s="110">
        <v>3</v>
      </c>
      <c r="BE184" s="110" t="s">
        <v>2606</v>
      </c>
      <c r="BF184" s="110" t="s">
        <v>2606</v>
      </c>
      <c r="BH184" s="110" t="s">
        <v>174</v>
      </c>
      <c r="BI184" s="110" t="s">
        <v>182</v>
      </c>
      <c r="BJ184" s="110" t="s">
        <v>353</v>
      </c>
      <c r="BK184" s="110">
        <v>5</v>
      </c>
      <c r="BL184" s="110">
        <v>4</v>
      </c>
      <c r="BM184" s="110" t="s">
        <v>1385</v>
      </c>
      <c r="BN184" s="110">
        <v>4.0224999999999997E-2</v>
      </c>
      <c r="BO184" s="110" t="s">
        <v>174</v>
      </c>
      <c r="BP184" s="110">
        <v>18</v>
      </c>
      <c r="BQ184" s="110">
        <v>62</v>
      </c>
      <c r="BR184" s="110" t="s">
        <v>174</v>
      </c>
      <c r="BS184" s="110">
        <v>40</v>
      </c>
      <c r="BT184" s="110" t="s">
        <v>1385</v>
      </c>
      <c r="BU184" s="110" t="s">
        <v>3207</v>
      </c>
      <c r="BV184" s="110" t="s">
        <v>2603</v>
      </c>
      <c r="BW184" s="110">
        <v>0.94</v>
      </c>
      <c r="BZ184" s="110">
        <v>0.32029999999999997</v>
      </c>
      <c r="CB184" s="110" t="s">
        <v>190</v>
      </c>
      <c r="CC184" s="110" t="b">
        <v>0</v>
      </c>
      <c r="CD184" s="110">
        <v>50.2</v>
      </c>
      <c r="CE184" s="110">
        <v>50.2</v>
      </c>
      <c r="CF184" s="110" t="s">
        <v>182</v>
      </c>
      <c r="CG184" s="110" t="s">
        <v>174</v>
      </c>
      <c r="CH184" s="110" t="s">
        <v>351</v>
      </c>
      <c r="CI184" s="110" t="s">
        <v>354</v>
      </c>
      <c r="CJ184" s="110" t="s">
        <v>1896</v>
      </c>
    </row>
    <row r="185" spans="1:88">
      <c r="A185" s="110" t="s">
        <v>603</v>
      </c>
      <c r="B185" s="110">
        <v>40</v>
      </c>
      <c r="C185" s="110">
        <v>1</v>
      </c>
      <c r="D185" s="110">
        <v>1</v>
      </c>
      <c r="E185" s="110">
        <v>184</v>
      </c>
      <c r="F185" s="110">
        <v>2020</v>
      </c>
      <c r="G185" s="110" t="s">
        <v>187</v>
      </c>
      <c r="H185" s="110" t="s">
        <v>2436</v>
      </c>
      <c r="I185" s="110" t="s">
        <v>182</v>
      </c>
      <c r="J185" s="110" t="s">
        <v>246</v>
      </c>
      <c r="K185" s="110" t="s">
        <v>999</v>
      </c>
      <c r="L185" s="110" t="s">
        <v>999</v>
      </c>
      <c r="R185" s="110" t="s">
        <v>152</v>
      </c>
      <c r="S185" s="110" t="s">
        <v>443</v>
      </c>
      <c r="T185" s="110" t="s">
        <v>347</v>
      </c>
      <c r="U185" s="110" t="s">
        <v>348</v>
      </c>
      <c r="V185" s="110">
        <v>30.373180000000001</v>
      </c>
      <c r="W185" s="110">
        <v>-30.373180000000001</v>
      </c>
      <c r="X185" s="110">
        <v>153.10666800000001</v>
      </c>
      <c r="Y185" s="110" t="s">
        <v>349</v>
      </c>
      <c r="Z185" s="110" t="s">
        <v>802</v>
      </c>
      <c r="AA185" s="110" t="s">
        <v>1788</v>
      </c>
      <c r="AB185" s="110" t="s">
        <v>1723</v>
      </c>
      <c r="AC185" s="110" t="s">
        <v>182</v>
      </c>
      <c r="AD185" s="110" t="s">
        <v>1256</v>
      </c>
      <c r="AE185" s="110" t="s">
        <v>187</v>
      </c>
      <c r="AF185" s="110" t="s">
        <v>190</v>
      </c>
      <c r="AG185" s="110" t="s">
        <v>190</v>
      </c>
      <c r="AI185" s="110" t="s">
        <v>246</v>
      </c>
      <c r="AJ185" s="110" t="s">
        <v>246</v>
      </c>
      <c r="AK185" s="110" t="s">
        <v>1757</v>
      </c>
      <c r="AL185" s="110" t="s">
        <v>1802</v>
      </c>
      <c r="AN185" s="110" t="s">
        <v>412</v>
      </c>
      <c r="AO185" s="110">
        <v>1</v>
      </c>
      <c r="AP185" s="110" t="s">
        <v>190</v>
      </c>
      <c r="AQ185" s="110" t="s">
        <v>176</v>
      </c>
      <c r="AR185" s="110" t="s">
        <v>174</v>
      </c>
      <c r="AS185" s="110" t="s">
        <v>174</v>
      </c>
      <c r="AT185" s="110" t="s">
        <v>174</v>
      </c>
      <c r="AU185" s="110">
        <v>10</v>
      </c>
      <c r="AW185" s="110" t="s">
        <v>174</v>
      </c>
      <c r="AX185" s="110" t="s">
        <v>174</v>
      </c>
      <c r="AY185" s="110" t="s">
        <v>174</v>
      </c>
      <c r="AZ185" s="110" t="s">
        <v>174</v>
      </c>
      <c r="BA185" s="110">
        <v>23</v>
      </c>
      <c r="BB185" s="110">
        <v>26</v>
      </c>
      <c r="BC185" s="110">
        <v>24.5</v>
      </c>
      <c r="BD185" s="110">
        <v>3</v>
      </c>
      <c r="BE185" s="110" t="s">
        <v>2606</v>
      </c>
      <c r="BF185" s="110" t="s">
        <v>2606</v>
      </c>
      <c r="BH185" s="110" t="s">
        <v>174</v>
      </c>
      <c r="BI185" s="110" t="s">
        <v>182</v>
      </c>
      <c r="BJ185" s="110" t="s">
        <v>353</v>
      </c>
      <c r="BK185" s="110">
        <v>5</v>
      </c>
      <c r="BL185" s="110">
        <v>4</v>
      </c>
      <c r="BM185" s="110" t="s">
        <v>1385</v>
      </c>
      <c r="BN185" s="110">
        <v>6.2950000000000006E-2</v>
      </c>
      <c r="BO185" s="110" t="s">
        <v>174</v>
      </c>
      <c r="BP185" s="110">
        <v>6</v>
      </c>
      <c r="BQ185" s="110">
        <v>63</v>
      </c>
      <c r="BR185" s="110" t="s">
        <v>174</v>
      </c>
      <c r="BS185" s="110">
        <v>40</v>
      </c>
      <c r="BT185" s="110" t="s">
        <v>1385</v>
      </c>
      <c r="BU185" s="110" t="s">
        <v>3207</v>
      </c>
      <c r="BV185" s="110" t="s">
        <v>2603</v>
      </c>
      <c r="BW185" s="110">
        <v>0.94</v>
      </c>
      <c r="BZ185" s="110">
        <v>0.23680000000000001</v>
      </c>
      <c r="CB185" s="110">
        <v>6.0549999999999997</v>
      </c>
      <c r="CC185" s="110" t="b">
        <v>0</v>
      </c>
      <c r="CD185" s="110">
        <v>18.899999999999999</v>
      </c>
      <c r="CE185" s="110">
        <v>18.899999999999999</v>
      </c>
      <c r="CF185" s="110" t="s">
        <v>182</v>
      </c>
      <c r="CG185" s="110" t="s">
        <v>174</v>
      </c>
      <c r="CH185" s="110" t="s">
        <v>243</v>
      </c>
      <c r="CI185" s="110" t="s">
        <v>354</v>
      </c>
      <c r="CJ185" s="110" t="s">
        <v>1896</v>
      </c>
    </row>
    <row r="186" spans="1:88">
      <c r="A186" s="110" t="s">
        <v>603</v>
      </c>
      <c r="B186" s="110">
        <v>40</v>
      </c>
      <c r="C186" s="110">
        <v>1</v>
      </c>
      <c r="D186" s="110">
        <v>1</v>
      </c>
      <c r="E186" s="110">
        <v>185</v>
      </c>
      <c r="F186" s="110">
        <v>2020</v>
      </c>
      <c r="G186" s="110" t="s">
        <v>187</v>
      </c>
      <c r="H186" s="110" t="s">
        <v>2436</v>
      </c>
      <c r="I186" s="110" t="s">
        <v>182</v>
      </c>
      <c r="J186" s="110" t="s">
        <v>246</v>
      </c>
      <c r="K186" s="110" t="s">
        <v>999</v>
      </c>
      <c r="L186" s="110" t="s">
        <v>999</v>
      </c>
      <c r="R186" s="110" t="s">
        <v>152</v>
      </c>
      <c r="S186" s="110" t="s">
        <v>443</v>
      </c>
      <c r="T186" s="110" t="s">
        <v>347</v>
      </c>
      <c r="U186" s="110" t="s">
        <v>348</v>
      </c>
      <c r="V186" s="110">
        <v>30.373180000000001</v>
      </c>
      <c r="W186" s="110">
        <v>-30.373180000000001</v>
      </c>
      <c r="X186" s="110">
        <v>153.10666800000001</v>
      </c>
      <c r="Y186" s="110" t="s">
        <v>349</v>
      </c>
      <c r="Z186" s="110" t="s">
        <v>802</v>
      </c>
      <c r="AA186" s="110" t="s">
        <v>1788</v>
      </c>
      <c r="AB186" s="110" t="s">
        <v>1723</v>
      </c>
      <c r="AC186" s="110" t="s">
        <v>182</v>
      </c>
      <c r="AD186" s="110" t="s">
        <v>1256</v>
      </c>
      <c r="AE186" s="110" t="s">
        <v>187</v>
      </c>
      <c r="AF186" s="110" t="s">
        <v>190</v>
      </c>
      <c r="AG186" s="110" t="s">
        <v>190</v>
      </c>
      <c r="AI186" s="110" t="s">
        <v>246</v>
      </c>
      <c r="AJ186" s="110" t="s">
        <v>246</v>
      </c>
      <c r="AK186" s="110" t="s">
        <v>1757</v>
      </c>
      <c r="AL186" s="110" t="s">
        <v>1802</v>
      </c>
      <c r="AN186" s="110" t="s">
        <v>412</v>
      </c>
      <c r="AO186" s="110">
        <v>1</v>
      </c>
      <c r="AP186" s="110" t="s">
        <v>190</v>
      </c>
      <c r="AQ186" s="110" t="s">
        <v>176</v>
      </c>
      <c r="AR186" s="110" t="s">
        <v>174</v>
      </c>
      <c r="AS186" s="110" t="s">
        <v>174</v>
      </c>
      <c r="AT186" s="110" t="s">
        <v>174</v>
      </c>
      <c r="AU186" s="110">
        <v>10</v>
      </c>
      <c r="AW186" s="110" t="s">
        <v>174</v>
      </c>
      <c r="AX186" s="110" t="s">
        <v>174</v>
      </c>
      <c r="AY186" s="110" t="s">
        <v>174</v>
      </c>
      <c r="AZ186" s="110" t="s">
        <v>174</v>
      </c>
      <c r="BA186" s="110">
        <v>23</v>
      </c>
      <c r="BB186" s="110">
        <v>26</v>
      </c>
      <c r="BC186" s="110">
        <v>24.5</v>
      </c>
      <c r="BD186" s="110">
        <v>3</v>
      </c>
      <c r="BE186" s="110" t="s">
        <v>2606</v>
      </c>
      <c r="BF186" s="110" t="s">
        <v>2606</v>
      </c>
      <c r="BH186" s="110" t="s">
        <v>174</v>
      </c>
      <c r="BI186" s="110" t="s">
        <v>182</v>
      </c>
      <c r="BJ186" s="110" t="s">
        <v>353</v>
      </c>
      <c r="BK186" s="110">
        <v>5</v>
      </c>
      <c r="BL186" s="110">
        <v>4</v>
      </c>
      <c r="BM186" s="110" t="s">
        <v>1385</v>
      </c>
      <c r="BN186" s="110">
        <v>7.2806999999999997E-2</v>
      </c>
      <c r="BO186" s="110" t="s">
        <v>174</v>
      </c>
      <c r="BP186" s="110">
        <v>5</v>
      </c>
      <c r="BQ186" s="110">
        <v>60</v>
      </c>
      <c r="BR186" s="110" t="s">
        <v>174</v>
      </c>
      <c r="BS186" s="110">
        <v>40</v>
      </c>
      <c r="BT186" s="110" t="s">
        <v>1385</v>
      </c>
      <c r="BU186" s="110" t="s">
        <v>3207</v>
      </c>
      <c r="BV186" s="110" t="s">
        <v>2603</v>
      </c>
      <c r="BW186" s="110">
        <v>0.95</v>
      </c>
      <c r="BZ186" s="110">
        <v>0.16700000000000001</v>
      </c>
      <c r="CB186" s="110">
        <v>5.85</v>
      </c>
      <c r="CC186" s="110" t="b">
        <v>0</v>
      </c>
      <c r="CD186" s="110">
        <v>20.3</v>
      </c>
      <c r="CE186" s="110">
        <v>20.3</v>
      </c>
      <c r="CF186" s="110" t="s">
        <v>182</v>
      </c>
      <c r="CG186" s="110" t="s">
        <v>174</v>
      </c>
      <c r="CH186" s="110" t="s">
        <v>243</v>
      </c>
      <c r="CI186" s="110" t="s">
        <v>354</v>
      </c>
      <c r="CJ186" s="110" t="s">
        <v>1896</v>
      </c>
    </row>
    <row r="187" spans="1:88">
      <c r="A187" s="110" t="s">
        <v>603</v>
      </c>
      <c r="B187" s="110">
        <v>40</v>
      </c>
      <c r="C187" s="110">
        <v>1</v>
      </c>
      <c r="D187" s="110">
        <v>1</v>
      </c>
      <c r="E187" s="110">
        <v>186</v>
      </c>
      <c r="F187" s="110">
        <v>2020</v>
      </c>
      <c r="G187" s="110" t="s">
        <v>187</v>
      </c>
      <c r="H187" s="110" t="s">
        <v>2436</v>
      </c>
      <c r="I187" s="110" t="s">
        <v>182</v>
      </c>
      <c r="J187" s="110" t="s">
        <v>246</v>
      </c>
      <c r="K187" s="110" t="s">
        <v>999</v>
      </c>
      <c r="L187" s="110" t="s">
        <v>999</v>
      </c>
      <c r="R187" s="110" t="s">
        <v>152</v>
      </c>
      <c r="S187" s="110" t="s">
        <v>443</v>
      </c>
      <c r="T187" s="110" t="s">
        <v>347</v>
      </c>
      <c r="U187" s="110" t="s">
        <v>348</v>
      </c>
      <c r="V187" s="110">
        <v>30.373180000000001</v>
      </c>
      <c r="W187" s="110">
        <v>-30.373180000000001</v>
      </c>
      <c r="X187" s="110">
        <v>153.10666800000001</v>
      </c>
      <c r="Y187" s="110" t="s">
        <v>349</v>
      </c>
      <c r="Z187" s="110" t="s">
        <v>802</v>
      </c>
      <c r="AA187" s="110" t="s">
        <v>1788</v>
      </c>
      <c r="AB187" s="110" t="s">
        <v>1723</v>
      </c>
      <c r="AC187" s="110" t="s">
        <v>182</v>
      </c>
      <c r="AD187" s="110" t="s">
        <v>1256</v>
      </c>
      <c r="AE187" s="110" t="s">
        <v>187</v>
      </c>
      <c r="AF187" s="110" t="s">
        <v>190</v>
      </c>
      <c r="AG187" s="110" t="s">
        <v>190</v>
      </c>
      <c r="AI187" s="110" t="s">
        <v>246</v>
      </c>
      <c r="AJ187" s="110" t="s">
        <v>246</v>
      </c>
      <c r="AK187" s="110" t="s">
        <v>1757</v>
      </c>
      <c r="AL187" s="110" t="s">
        <v>1802</v>
      </c>
      <c r="AN187" s="110" t="s">
        <v>412</v>
      </c>
      <c r="AO187" s="110">
        <v>1</v>
      </c>
      <c r="AP187" s="110" t="s">
        <v>190</v>
      </c>
      <c r="AQ187" s="110" t="s">
        <v>176</v>
      </c>
      <c r="AR187" s="110" t="s">
        <v>174</v>
      </c>
      <c r="AS187" s="110" t="s">
        <v>174</v>
      </c>
      <c r="AT187" s="110" t="s">
        <v>174</v>
      </c>
      <c r="AU187" s="110">
        <v>10</v>
      </c>
      <c r="AW187" s="110" t="s">
        <v>174</v>
      </c>
      <c r="AX187" s="110" t="s">
        <v>174</v>
      </c>
      <c r="AY187" s="110" t="s">
        <v>174</v>
      </c>
      <c r="AZ187" s="110" t="s">
        <v>174</v>
      </c>
      <c r="BA187" s="110">
        <v>23</v>
      </c>
      <c r="BB187" s="110">
        <v>26</v>
      </c>
      <c r="BC187" s="110">
        <v>24.5</v>
      </c>
      <c r="BD187" s="110">
        <v>3</v>
      </c>
      <c r="BE187" s="110" t="s">
        <v>2606</v>
      </c>
      <c r="BF187" s="110" t="s">
        <v>2606</v>
      </c>
      <c r="BH187" s="110" t="s">
        <v>174</v>
      </c>
      <c r="BI187" s="110" t="s">
        <v>182</v>
      </c>
      <c r="BJ187" s="110" t="s">
        <v>353</v>
      </c>
      <c r="BK187" s="110">
        <v>5</v>
      </c>
      <c r="BL187" s="110">
        <v>4</v>
      </c>
      <c r="BM187" s="110" t="s">
        <v>1385</v>
      </c>
      <c r="BN187" s="110">
        <v>6.0255000000000003E-2</v>
      </c>
      <c r="BO187" s="110" t="s">
        <v>174</v>
      </c>
      <c r="BP187" s="110">
        <v>5</v>
      </c>
      <c r="BQ187" s="110">
        <v>58</v>
      </c>
      <c r="BR187" s="110" t="s">
        <v>174</v>
      </c>
      <c r="BS187" s="110">
        <v>40</v>
      </c>
      <c r="BT187" s="110" t="s">
        <v>1385</v>
      </c>
      <c r="BU187" s="110" t="s">
        <v>3207</v>
      </c>
      <c r="BV187" s="110" t="s">
        <v>2603</v>
      </c>
      <c r="BW187" s="110">
        <v>0.98</v>
      </c>
      <c r="BZ187" s="110">
        <v>0.2334</v>
      </c>
      <c r="CB187" s="110">
        <v>5.0199999999999996</v>
      </c>
      <c r="CC187" s="110" t="b">
        <v>0</v>
      </c>
      <c r="CD187" s="110">
        <v>47</v>
      </c>
      <c r="CE187" s="110">
        <v>47</v>
      </c>
      <c r="CF187" s="110" t="s">
        <v>182</v>
      </c>
      <c r="CG187" s="110" t="s">
        <v>174</v>
      </c>
      <c r="CH187" s="110" t="s">
        <v>356</v>
      </c>
      <c r="CI187" s="110" t="s">
        <v>354</v>
      </c>
      <c r="CJ187" s="110" t="s">
        <v>1896</v>
      </c>
    </row>
    <row r="188" spans="1:88">
      <c r="A188" s="110" t="s">
        <v>603</v>
      </c>
      <c r="B188" s="110">
        <v>40</v>
      </c>
      <c r="C188" s="110">
        <v>1</v>
      </c>
      <c r="D188" s="110">
        <v>1</v>
      </c>
      <c r="E188" s="110">
        <v>187</v>
      </c>
      <c r="F188" s="110">
        <v>2020</v>
      </c>
      <c r="G188" s="110" t="s">
        <v>187</v>
      </c>
      <c r="H188" s="110" t="s">
        <v>2436</v>
      </c>
      <c r="I188" s="110" t="s">
        <v>182</v>
      </c>
      <c r="J188" s="110" t="s">
        <v>246</v>
      </c>
      <c r="K188" s="110" t="s">
        <v>999</v>
      </c>
      <c r="L188" s="110" t="s">
        <v>999</v>
      </c>
      <c r="R188" s="110" t="s">
        <v>152</v>
      </c>
      <c r="S188" s="110" t="s">
        <v>443</v>
      </c>
      <c r="T188" s="110" t="s">
        <v>347</v>
      </c>
      <c r="U188" s="110" t="s">
        <v>348</v>
      </c>
      <c r="V188" s="110">
        <v>30.373180000000001</v>
      </c>
      <c r="W188" s="110">
        <v>-30.373180000000001</v>
      </c>
      <c r="X188" s="110">
        <v>153.10666800000001</v>
      </c>
      <c r="Y188" s="110" t="s">
        <v>349</v>
      </c>
      <c r="Z188" s="110" t="s">
        <v>802</v>
      </c>
      <c r="AA188" s="110" t="s">
        <v>1788</v>
      </c>
      <c r="AB188" s="110" t="s">
        <v>1723</v>
      </c>
      <c r="AC188" s="110" t="s">
        <v>182</v>
      </c>
      <c r="AD188" s="110" t="s">
        <v>1256</v>
      </c>
      <c r="AE188" s="110" t="s">
        <v>187</v>
      </c>
      <c r="AF188" s="110" t="s">
        <v>190</v>
      </c>
      <c r="AG188" s="110" t="s">
        <v>190</v>
      </c>
      <c r="AI188" s="110" t="s">
        <v>246</v>
      </c>
      <c r="AJ188" s="110" t="s">
        <v>246</v>
      </c>
      <c r="AK188" s="110" t="s">
        <v>1757</v>
      </c>
      <c r="AL188" s="110" t="s">
        <v>1802</v>
      </c>
      <c r="AN188" s="110" t="s">
        <v>412</v>
      </c>
      <c r="AO188" s="110">
        <v>1</v>
      </c>
      <c r="AP188" s="110" t="s">
        <v>190</v>
      </c>
      <c r="AQ188" s="110" t="s">
        <v>176</v>
      </c>
      <c r="AR188" s="110" t="s">
        <v>174</v>
      </c>
      <c r="AS188" s="110" t="s">
        <v>174</v>
      </c>
      <c r="AT188" s="110" t="s">
        <v>174</v>
      </c>
      <c r="AU188" s="110">
        <v>10</v>
      </c>
      <c r="AW188" s="110" t="s">
        <v>174</v>
      </c>
      <c r="AX188" s="110" t="s">
        <v>174</v>
      </c>
      <c r="AY188" s="110" t="s">
        <v>174</v>
      </c>
      <c r="AZ188" s="110" t="s">
        <v>174</v>
      </c>
      <c r="BA188" s="110">
        <v>23</v>
      </c>
      <c r="BB188" s="110">
        <v>26</v>
      </c>
      <c r="BC188" s="110">
        <v>24.5</v>
      </c>
      <c r="BD188" s="110">
        <v>3</v>
      </c>
      <c r="BE188" s="110" t="s">
        <v>2606</v>
      </c>
      <c r="BF188" s="110" t="s">
        <v>2606</v>
      </c>
      <c r="BH188" s="110" t="s">
        <v>174</v>
      </c>
      <c r="BI188" s="110" t="s">
        <v>182</v>
      </c>
      <c r="BJ188" s="110" t="s">
        <v>353</v>
      </c>
      <c r="BK188" s="110">
        <v>5</v>
      </c>
      <c r="BL188" s="110">
        <v>4</v>
      </c>
      <c r="BM188" s="110" t="s">
        <v>1385</v>
      </c>
      <c r="BN188" s="110">
        <v>1.0699999999999999E-2</v>
      </c>
      <c r="BO188" s="110" t="s">
        <v>174</v>
      </c>
      <c r="BP188" s="110">
        <v>8</v>
      </c>
      <c r="BQ188" s="110">
        <v>65</v>
      </c>
      <c r="BR188" s="110" t="s">
        <v>174</v>
      </c>
      <c r="BS188" s="110">
        <v>40</v>
      </c>
      <c r="BT188" s="110" t="s">
        <v>1385</v>
      </c>
      <c r="BU188" s="110" t="s">
        <v>3207</v>
      </c>
      <c r="BV188" s="110" t="s">
        <v>2603</v>
      </c>
      <c r="BW188" s="110">
        <v>0.93</v>
      </c>
      <c r="BZ188" s="110">
        <v>0.22170000000000001</v>
      </c>
      <c r="CB188" s="110">
        <v>6.58</v>
      </c>
      <c r="CC188" s="110" t="b">
        <v>0</v>
      </c>
      <c r="CD188" s="110">
        <v>35</v>
      </c>
      <c r="CE188" s="110">
        <v>35</v>
      </c>
      <c r="CF188" s="110" t="s">
        <v>182</v>
      </c>
      <c r="CG188" s="110" t="s">
        <v>174</v>
      </c>
      <c r="CH188" s="110" t="s">
        <v>357</v>
      </c>
      <c r="CI188" s="110" t="s">
        <v>354</v>
      </c>
      <c r="CJ188" s="110" t="s">
        <v>1896</v>
      </c>
    </row>
    <row r="189" spans="1:88">
      <c r="A189" s="110" t="s">
        <v>2420</v>
      </c>
      <c r="B189" s="110">
        <v>41</v>
      </c>
      <c r="C189" s="110">
        <v>3</v>
      </c>
      <c r="D189" s="110">
        <v>1</v>
      </c>
      <c r="E189" s="110">
        <v>188</v>
      </c>
      <c r="F189" s="110">
        <v>1981</v>
      </c>
      <c r="G189" s="110" t="s">
        <v>187</v>
      </c>
      <c r="H189" s="110" t="s">
        <v>2441</v>
      </c>
      <c r="I189" s="110" t="s">
        <v>182</v>
      </c>
      <c r="J189" s="110" t="s">
        <v>246</v>
      </c>
      <c r="K189" s="110" t="s">
        <v>186</v>
      </c>
      <c r="L189" s="110" t="s">
        <v>186</v>
      </c>
      <c r="M189" s="110" t="s">
        <v>3161</v>
      </c>
      <c r="Q189" s="110">
        <v>2</v>
      </c>
      <c r="R189" s="110" t="s">
        <v>152</v>
      </c>
      <c r="S189" s="110" t="s">
        <v>443</v>
      </c>
      <c r="T189" s="110" t="s">
        <v>347</v>
      </c>
      <c r="U189" s="110" t="s">
        <v>769</v>
      </c>
      <c r="V189" s="110">
        <v>34.135770020000002</v>
      </c>
      <c r="W189" s="110">
        <v>-34.135770020000002</v>
      </c>
      <c r="X189" s="110">
        <v>18.328773210000001</v>
      </c>
      <c r="Y189" s="110" t="s">
        <v>770</v>
      </c>
      <c r="Z189" s="110" t="s">
        <v>1721</v>
      </c>
      <c r="AA189" s="110" t="s">
        <v>1788</v>
      </c>
      <c r="AB189" s="110" t="s">
        <v>1730</v>
      </c>
      <c r="AC189" s="110" t="s">
        <v>182</v>
      </c>
      <c r="AD189" s="110" t="s">
        <v>1256</v>
      </c>
      <c r="AE189" s="110" t="s">
        <v>187</v>
      </c>
      <c r="AF189" s="110" t="s">
        <v>190</v>
      </c>
      <c r="AG189" s="110" t="s">
        <v>190</v>
      </c>
      <c r="AI189" s="110" t="s">
        <v>246</v>
      </c>
      <c r="AJ189" s="110" t="s">
        <v>246</v>
      </c>
      <c r="AK189" s="110" t="s">
        <v>764</v>
      </c>
      <c r="AL189" s="110" t="s">
        <v>1228</v>
      </c>
      <c r="AM189" s="110">
        <v>1000</v>
      </c>
      <c r="AN189" s="110" t="s">
        <v>1216</v>
      </c>
      <c r="AO189" s="110" t="s">
        <v>190</v>
      </c>
      <c r="AP189" s="110" t="s">
        <v>780</v>
      </c>
      <c r="AQ189" s="110" t="s">
        <v>176</v>
      </c>
      <c r="AR189" s="110">
        <v>1979</v>
      </c>
      <c r="AS189" s="110" t="s">
        <v>475</v>
      </c>
      <c r="AT189" s="110" t="s">
        <v>385</v>
      </c>
      <c r="AU189" s="110" t="s">
        <v>190</v>
      </c>
      <c r="AW189" s="110">
        <v>9.3000000000000007</v>
      </c>
      <c r="AX189" s="110">
        <v>18.829999999999998</v>
      </c>
      <c r="AY189" s="110">
        <v>1.21</v>
      </c>
      <c r="AZ189" s="110">
        <v>1.1299999999999999</v>
      </c>
      <c r="BA189" s="110">
        <v>10</v>
      </c>
      <c r="BB189" s="110">
        <v>10</v>
      </c>
      <c r="BC189" s="110">
        <v>10</v>
      </c>
      <c r="BD189" s="110">
        <v>0</v>
      </c>
      <c r="BE189" s="110" t="s">
        <v>2606</v>
      </c>
      <c r="BF189" s="110" t="s">
        <v>2606</v>
      </c>
      <c r="BH189" s="110" t="s">
        <v>174</v>
      </c>
      <c r="BI189" s="110" t="s">
        <v>182</v>
      </c>
      <c r="BJ189" s="110" t="s">
        <v>700</v>
      </c>
      <c r="BK189" s="110">
        <v>3</v>
      </c>
      <c r="BL189" s="110">
        <v>9</v>
      </c>
      <c r="BM189" s="110" t="s">
        <v>174</v>
      </c>
      <c r="BN189" s="110" t="s">
        <v>174</v>
      </c>
      <c r="BO189" s="110" t="s">
        <v>174</v>
      </c>
      <c r="BP189" s="110" t="s">
        <v>174</v>
      </c>
      <c r="BQ189" s="110" t="s">
        <v>174</v>
      </c>
      <c r="BR189" s="110" t="s">
        <v>174</v>
      </c>
      <c r="BS189" s="110">
        <v>10</v>
      </c>
      <c r="BT189" s="110" t="s">
        <v>2382</v>
      </c>
      <c r="BU189" s="110" t="s">
        <v>3206</v>
      </c>
      <c r="BV189" s="110" t="s">
        <v>2603</v>
      </c>
      <c r="BW189" s="110">
        <v>0.96</v>
      </c>
      <c r="BX189" s="110" t="s">
        <v>2347</v>
      </c>
      <c r="BY189" s="110">
        <v>0.82</v>
      </c>
      <c r="BZ189" s="110">
        <v>0.15890000000000001</v>
      </c>
      <c r="CB189" s="110">
        <v>1.2</v>
      </c>
      <c r="CC189" s="110" t="b">
        <v>0</v>
      </c>
      <c r="CD189" s="110">
        <v>3.81</v>
      </c>
      <c r="CE189" s="110">
        <v>3.81</v>
      </c>
      <c r="CF189" s="110" t="s">
        <v>182</v>
      </c>
      <c r="CG189" s="110">
        <v>13.57627119</v>
      </c>
      <c r="CH189" s="110" t="s">
        <v>791</v>
      </c>
      <c r="CI189" s="110" t="s">
        <v>782</v>
      </c>
      <c r="CJ189" s="110" t="s">
        <v>792</v>
      </c>
    </row>
    <row r="190" spans="1:88">
      <c r="A190" s="110" t="s">
        <v>2420</v>
      </c>
      <c r="B190" s="110">
        <v>41</v>
      </c>
      <c r="C190" s="110">
        <v>3</v>
      </c>
      <c r="D190" s="110">
        <v>1</v>
      </c>
      <c r="E190" s="110">
        <v>189</v>
      </c>
      <c r="F190" s="110">
        <v>1981</v>
      </c>
      <c r="G190" s="110" t="s">
        <v>187</v>
      </c>
      <c r="H190" s="110" t="s">
        <v>2441</v>
      </c>
      <c r="I190" s="110" t="s">
        <v>182</v>
      </c>
      <c r="J190" s="110" t="s">
        <v>246</v>
      </c>
      <c r="K190" s="110" t="s">
        <v>186</v>
      </c>
      <c r="L190" s="110" t="s">
        <v>186</v>
      </c>
      <c r="M190" s="110" t="s">
        <v>3161</v>
      </c>
      <c r="Q190" s="110">
        <v>2</v>
      </c>
      <c r="R190" s="110" t="s">
        <v>152</v>
      </c>
      <c r="S190" s="110" t="s">
        <v>443</v>
      </c>
      <c r="T190" s="110" t="s">
        <v>347</v>
      </c>
      <c r="U190" s="110" t="s">
        <v>769</v>
      </c>
      <c r="V190" s="110">
        <v>34.135770020000002</v>
      </c>
      <c r="W190" s="110">
        <v>-34.135770020000002</v>
      </c>
      <c r="X190" s="110">
        <v>18.328773210000001</v>
      </c>
      <c r="Y190" s="110" t="s">
        <v>770</v>
      </c>
      <c r="Z190" s="110" t="s">
        <v>1721</v>
      </c>
      <c r="AA190" s="110" t="s">
        <v>1788</v>
      </c>
      <c r="AB190" s="110" t="s">
        <v>1730</v>
      </c>
      <c r="AC190" s="110" t="s">
        <v>182</v>
      </c>
      <c r="AD190" s="110" t="s">
        <v>1256</v>
      </c>
      <c r="AE190" s="110" t="s">
        <v>187</v>
      </c>
      <c r="AF190" s="110" t="s">
        <v>190</v>
      </c>
      <c r="AG190" s="110" t="s">
        <v>190</v>
      </c>
      <c r="AI190" s="110" t="s">
        <v>246</v>
      </c>
      <c r="AJ190" s="110" t="s">
        <v>246</v>
      </c>
      <c r="AK190" s="110" t="s">
        <v>764</v>
      </c>
      <c r="AL190" s="110" t="s">
        <v>1228</v>
      </c>
      <c r="AM190" s="110">
        <v>1000</v>
      </c>
      <c r="AN190" s="110" t="s">
        <v>1216</v>
      </c>
      <c r="AO190" s="110" t="s">
        <v>190</v>
      </c>
      <c r="AP190" s="110" t="s">
        <v>780</v>
      </c>
      <c r="AQ190" s="110" t="s">
        <v>176</v>
      </c>
      <c r="AR190" s="110">
        <v>1979</v>
      </c>
      <c r="AS190" s="110" t="s">
        <v>475</v>
      </c>
      <c r="AT190" s="110" t="s">
        <v>385</v>
      </c>
      <c r="AU190" s="110" t="s">
        <v>190</v>
      </c>
      <c r="AW190" s="110">
        <v>10.5</v>
      </c>
      <c r="AX190" s="110">
        <v>5.4</v>
      </c>
      <c r="AY190" s="110">
        <v>1.51</v>
      </c>
      <c r="AZ190" s="110">
        <v>0.65</v>
      </c>
      <c r="BA190" s="110">
        <v>10</v>
      </c>
      <c r="BB190" s="110">
        <v>10</v>
      </c>
      <c r="BC190" s="110">
        <v>10</v>
      </c>
      <c r="BD190" s="110">
        <v>0</v>
      </c>
      <c r="BE190" s="110" t="s">
        <v>2606</v>
      </c>
      <c r="BF190" s="110" t="s">
        <v>2606</v>
      </c>
      <c r="BH190" s="110" t="s">
        <v>174</v>
      </c>
      <c r="BI190" s="110" t="s">
        <v>182</v>
      </c>
      <c r="BJ190" s="110" t="s">
        <v>700</v>
      </c>
      <c r="BK190" s="110">
        <v>3</v>
      </c>
      <c r="BL190" s="110">
        <v>10</v>
      </c>
      <c r="BM190" s="110" t="s">
        <v>174</v>
      </c>
      <c r="BN190" s="110" t="s">
        <v>174</v>
      </c>
      <c r="BO190" s="110" t="s">
        <v>174</v>
      </c>
      <c r="BP190" s="110" t="s">
        <v>174</v>
      </c>
      <c r="BQ190" s="110" t="s">
        <v>174</v>
      </c>
      <c r="BR190" s="110" t="s">
        <v>174</v>
      </c>
      <c r="BS190" s="110">
        <v>10</v>
      </c>
      <c r="BT190" s="110" t="s">
        <v>1396</v>
      </c>
      <c r="BU190" s="110" t="s">
        <v>1396</v>
      </c>
      <c r="BV190" s="110" t="s">
        <v>1396</v>
      </c>
      <c r="BW190" s="110">
        <v>0.72</v>
      </c>
      <c r="CA190" s="110">
        <v>3.3980000000000001</v>
      </c>
      <c r="CB190" s="110">
        <v>14.714537959999999</v>
      </c>
      <c r="CC190" s="110" t="b">
        <v>0</v>
      </c>
      <c r="CD190" s="110">
        <v>84.523809523809518</v>
      </c>
      <c r="CE190" s="110" t="s">
        <v>2256</v>
      </c>
      <c r="CF190" s="110" t="s">
        <v>2256</v>
      </c>
      <c r="CH190" s="110" t="s">
        <v>791</v>
      </c>
      <c r="CI190" s="110" t="s">
        <v>782</v>
      </c>
      <c r="CJ190" s="110" t="s">
        <v>792</v>
      </c>
    </row>
    <row r="191" spans="1:88">
      <c r="A191" s="110" t="s">
        <v>2420</v>
      </c>
      <c r="B191" s="110">
        <v>41</v>
      </c>
      <c r="C191" s="110">
        <v>3</v>
      </c>
      <c r="D191" s="110">
        <v>1</v>
      </c>
      <c r="E191" s="110">
        <v>190</v>
      </c>
      <c r="F191" s="110">
        <v>1981</v>
      </c>
      <c r="G191" s="110" t="s">
        <v>187</v>
      </c>
      <c r="H191" s="110" t="s">
        <v>2441</v>
      </c>
      <c r="I191" s="110" t="s">
        <v>182</v>
      </c>
      <c r="J191" s="110" t="s">
        <v>246</v>
      </c>
      <c r="K191" s="110" t="s">
        <v>186</v>
      </c>
      <c r="L191" s="110" t="s">
        <v>186</v>
      </c>
      <c r="M191" s="110" t="s">
        <v>3161</v>
      </c>
      <c r="Q191" s="110">
        <v>2</v>
      </c>
      <c r="R191" s="110" t="s">
        <v>152</v>
      </c>
      <c r="S191" s="110" t="s">
        <v>443</v>
      </c>
      <c r="T191" s="110" t="s">
        <v>156</v>
      </c>
      <c r="U191" s="110" t="s">
        <v>778</v>
      </c>
      <c r="V191" s="110">
        <v>34.135770020000002</v>
      </c>
      <c r="W191" s="110">
        <v>-34.135770020000002</v>
      </c>
      <c r="X191" s="110">
        <v>18.328773210000001</v>
      </c>
      <c r="Y191" s="110" t="s">
        <v>770</v>
      </c>
      <c r="Z191" s="110" t="s">
        <v>1721</v>
      </c>
      <c r="AA191" s="110" t="s">
        <v>1788</v>
      </c>
      <c r="AB191" s="110" t="s">
        <v>1730</v>
      </c>
      <c r="AC191" s="110" t="s">
        <v>182</v>
      </c>
      <c r="AD191" s="110" t="s">
        <v>1256</v>
      </c>
      <c r="AE191" s="110" t="s">
        <v>187</v>
      </c>
      <c r="AF191" s="110" t="s">
        <v>190</v>
      </c>
      <c r="AG191" s="110" t="s">
        <v>190</v>
      </c>
      <c r="AI191" s="110" t="s">
        <v>246</v>
      </c>
      <c r="AJ191" s="110" t="s">
        <v>246</v>
      </c>
      <c r="AK191" s="110" t="s">
        <v>764</v>
      </c>
      <c r="AL191" s="110" t="s">
        <v>1228</v>
      </c>
      <c r="AM191" s="110">
        <v>1000</v>
      </c>
      <c r="AN191" s="110" t="s">
        <v>1216</v>
      </c>
      <c r="AO191" s="110" t="s">
        <v>190</v>
      </c>
      <c r="AP191" s="110" t="s">
        <v>781</v>
      </c>
      <c r="AQ191" s="110" t="s">
        <v>176</v>
      </c>
      <c r="AR191" s="110">
        <v>1979</v>
      </c>
      <c r="AS191" s="110" t="s">
        <v>475</v>
      </c>
      <c r="AT191" s="110" t="s">
        <v>385</v>
      </c>
      <c r="AU191" s="110" t="s">
        <v>190</v>
      </c>
      <c r="AW191" s="110">
        <v>5.3</v>
      </c>
      <c r="AX191" s="110">
        <v>4.93</v>
      </c>
      <c r="AY191" s="110">
        <v>1.0900000000000001</v>
      </c>
      <c r="AZ191" s="110">
        <v>0.69</v>
      </c>
      <c r="BA191" s="110">
        <v>10</v>
      </c>
      <c r="BB191" s="110">
        <v>10</v>
      </c>
      <c r="BC191" s="110">
        <v>10</v>
      </c>
      <c r="BD191" s="110">
        <v>0</v>
      </c>
      <c r="BE191" s="110" t="s">
        <v>2606</v>
      </c>
      <c r="BF191" s="110" t="s">
        <v>2606</v>
      </c>
      <c r="BH191" s="110" t="s">
        <v>174</v>
      </c>
      <c r="BI191" s="110" t="s">
        <v>182</v>
      </c>
      <c r="BJ191" s="110" t="s">
        <v>700</v>
      </c>
      <c r="BK191" s="110">
        <v>3</v>
      </c>
      <c r="BL191" s="110">
        <v>9</v>
      </c>
      <c r="BM191" s="110" t="s">
        <v>174</v>
      </c>
      <c r="BN191" s="110" t="s">
        <v>174</v>
      </c>
      <c r="BO191" s="110" t="s">
        <v>174</v>
      </c>
      <c r="BP191" s="110" t="s">
        <v>174</v>
      </c>
      <c r="BQ191" s="110" t="s">
        <v>174</v>
      </c>
      <c r="BR191" s="110" t="s">
        <v>174</v>
      </c>
      <c r="BS191" s="110">
        <v>11</v>
      </c>
      <c r="BT191" s="110" t="s">
        <v>1385</v>
      </c>
      <c r="BU191" s="110" t="s">
        <v>3207</v>
      </c>
      <c r="BV191" s="110" t="s">
        <v>2603</v>
      </c>
      <c r="BW191" s="110">
        <v>0.84</v>
      </c>
      <c r="BZ191" s="110">
        <v>0.15240000000000001</v>
      </c>
      <c r="CB191" s="110">
        <v>5.76</v>
      </c>
      <c r="CC191" s="110" t="b">
        <v>0</v>
      </c>
      <c r="CD191" s="110">
        <v>0</v>
      </c>
      <c r="CE191" s="110">
        <v>0</v>
      </c>
      <c r="CF191" s="110" t="s">
        <v>246</v>
      </c>
      <c r="CG191" s="110">
        <v>14.224137929999999</v>
      </c>
      <c r="CH191" s="110" t="s">
        <v>791</v>
      </c>
      <c r="CI191" s="110" t="s">
        <v>782</v>
      </c>
      <c r="CJ191" s="110" t="s">
        <v>792</v>
      </c>
    </row>
    <row r="192" spans="1:88">
      <c r="A192" s="110" t="s">
        <v>2420</v>
      </c>
      <c r="B192" s="110">
        <v>41</v>
      </c>
      <c r="C192" s="110">
        <v>3</v>
      </c>
      <c r="D192" s="110">
        <v>1</v>
      </c>
      <c r="E192" s="110">
        <v>191</v>
      </c>
      <c r="F192" s="110">
        <v>1981</v>
      </c>
      <c r="G192" s="110" t="s">
        <v>187</v>
      </c>
      <c r="H192" s="110" t="s">
        <v>2441</v>
      </c>
      <c r="I192" s="110" t="s">
        <v>182</v>
      </c>
      <c r="J192" s="110" t="s">
        <v>246</v>
      </c>
      <c r="K192" s="110" t="s">
        <v>186</v>
      </c>
      <c r="L192" s="110" t="s">
        <v>186</v>
      </c>
      <c r="M192" s="110" t="s">
        <v>3161</v>
      </c>
      <c r="Q192" s="110">
        <v>2</v>
      </c>
      <c r="R192" s="110" t="s">
        <v>152</v>
      </c>
      <c r="S192" s="110" t="s">
        <v>443</v>
      </c>
      <c r="T192" s="110" t="s">
        <v>156</v>
      </c>
      <c r="U192" s="110" t="s">
        <v>778</v>
      </c>
      <c r="V192" s="110">
        <v>34.135770020000002</v>
      </c>
      <c r="W192" s="110">
        <v>-34.135770020000002</v>
      </c>
      <c r="X192" s="110">
        <v>18.328773210000001</v>
      </c>
      <c r="Y192" s="110" t="s">
        <v>770</v>
      </c>
      <c r="Z192" s="110" t="s">
        <v>1721</v>
      </c>
      <c r="AA192" s="110" t="s">
        <v>1788</v>
      </c>
      <c r="AB192" s="110" t="s">
        <v>1730</v>
      </c>
      <c r="AC192" s="110" t="s">
        <v>182</v>
      </c>
      <c r="AD192" s="110" t="s">
        <v>1256</v>
      </c>
      <c r="AE192" s="110" t="s">
        <v>187</v>
      </c>
      <c r="AF192" s="110" t="s">
        <v>190</v>
      </c>
      <c r="AG192" s="110" t="s">
        <v>190</v>
      </c>
      <c r="AI192" s="110" t="s">
        <v>246</v>
      </c>
      <c r="AJ192" s="110" t="s">
        <v>246</v>
      </c>
      <c r="AK192" s="110" t="s">
        <v>764</v>
      </c>
      <c r="AL192" s="110" t="s">
        <v>1228</v>
      </c>
      <c r="AM192" s="110">
        <v>1000</v>
      </c>
      <c r="AN192" s="110" t="s">
        <v>1216</v>
      </c>
      <c r="AO192" s="110" t="s">
        <v>190</v>
      </c>
      <c r="AP192" s="110" t="s">
        <v>781</v>
      </c>
      <c r="AQ192" s="110" t="s">
        <v>176</v>
      </c>
      <c r="AR192" s="110">
        <v>1979</v>
      </c>
      <c r="AS192" s="110" t="s">
        <v>475</v>
      </c>
      <c r="AT192" s="110" t="s">
        <v>385</v>
      </c>
      <c r="AU192" s="110" t="s">
        <v>190</v>
      </c>
      <c r="AW192" s="110">
        <v>5.9</v>
      </c>
      <c r="AX192" s="110">
        <v>2.2599999999999998</v>
      </c>
      <c r="AY192" s="110">
        <v>1.24</v>
      </c>
      <c r="AZ192" s="110">
        <v>0.32</v>
      </c>
      <c r="BA192" s="110">
        <v>10</v>
      </c>
      <c r="BB192" s="110">
        <v>10</v>
      </c>
      <c r="BC192" s="110">
        <v>10</v>
      </c>
      <c r="BD192" s="110">
        <v>0</v>
      </c>
      <c r="BE192" s="110" t="s">
        <v>2606</v>
      </c>
      <c r="BF192" s="110" t="s">
        <v>2606</v>
      </c>
      <c r="BH192" s="110" t="s">
        <v>174</v>
      </c>
      <c r="BI192" s="110" t="s">
        <v>182</v>
      </c>
      <c r="BJ192" s="110" t="s">
        <v>700</v>
      </c>
      <c r="BK192" s="110">
        <v>3</v>
      </c>
      <c r="BL192" s="110">
        <v>9</v>
      </c>
      <c r="BM192" s="110" t="s">
        <v>174</v>
      </c>
      <c r="BN192" s="110" t="s">
        <v>174</v>
      </c>
      <c r="BO192" s="110" t="s">
        <v>174</v>
      </c>
      <c r="BP192" s="110" t="s">
        <v>174</v>
      </c>
      <c r="BQ192" s="110" t="s">
        <v>174</v>
      </c>
      <c r="BR192" s="110" t="s">
        <v>174</v>
      </c>
      <c r="BS192" s="110">
        <v>11</v>
      </c>
      <c r="BT192" s="110" t="s">
        <v>1387</v>
      </c>
      <c r="BU192" s="110" t="s">
        <v>2606</v>
      </c>
      <c r="BV192" s="110" t="s">
        <v>1387</v>
      </c>
      <c r="CB192" s="110" t="s">
        <v>190</v>
      </c>
      <c r="CC192" s="110" t="b">
        <v>0</v>
      </c>
      <c r="CD192" s="110">
        <v>88.311688309999994</v>
      </c>
      <c r="CE192" s="110" t="s">
        <v>2256</v>
      </c>
      <c r="CF192" s="110" t="s">
        <v>2256</v>
      </c>
      <c r="CH192" s="110" t="s">
        <v>791</v>
      </c>
      <c r="CI192" s="110" t="s">
        <v>782</v>
      </c>
      <c r="CJ192" s="110" t="s">
        <v>792</v>
      </c>
    </row>
    <row r="193" spans="1:88">
      <c r="A193" s="110" t="s">
        <v>935</v>
      </c>
      <c r="B193" s="110">
        <v>42</v>
      </c>
      <c r="C193" s="110">
        <v>1</v>
      </c>
      <c r="D193" s="110">
        <v>1</v>
      </c>
      <c r="E193" s="110">
        <v>192</v>
      </c>
      <c r="F193" s="110">
        <v>2021</v>
      </c>
      <c r="G193" s="110" t="s">
        <v>187</v>
      </c>
      <c r="H193" s="110" t="s">
        <v>2441</v>
      </c>
      <c r="I193" s="110" t="s">
        <v>182</v>
      </c>
      <c r="J193" s="110" t="s">
        <v>246</v>
      </c>
      <c r="K193" s="110" t="s">
        <v>186</v>
      </c>
      <c r="L193" s="110" t="s">
        <v>186</v>
      </c>
      <c r="M193" s="110" t="s">
        <v>3173</v>
      </c>
      <c r="N193" s="110" t="s">
        <v>3166</v>
      </c>
      <c r="O193" s="110">
        <v>0.5</v>
      </c>
      <c r="Q193" s="110">
        <v>0.2</v>
      </c>
      <c r="R193" s="110" t="s">
        <v>2611</v>
      </c>
      <c r="S193" s="110" t="s">
        <v>444</v>
      </c>
      <c r="T193" s="110" t="s">
        <v>1095</v>
      </c>
      <c r="U193" s="110" t="s">
        <v>1206</v>
      </c>
      <c r="V193" s="110">
        <v>9.2891357790000004</v>
      </c>
      <c r="W193" s="110">
        <v>9.2891357790000004</v>
      </c>
      <c r="X193" s="110">
        <v>79.134003669999998</v>
      </c>
      <c r="Y193" s="110" t="s">
        <v>1205</v>
      </c>
      <c r="Z193" s="110" t="s">
        <v>802</v>
      </c>
      <c r="AA193" s="110" t="s">
        <v>1788</v>
      </c>
      <c r="AB193" s="110" t="s">
        <v>333</v>
      </c>
      <c r="AC193" s="110" t="s">
        <v>246</v>
      </c>
      <c r="AD193" s="110" t="s">
        <v>1725</v>
      </c>
      <c r="AE193" s="110" t="s">
        <v>187</v>
      </c>
      <c r="AF193" s="110" t="s">
        <v>190</v>
      </c>
      <c r="AG193" s="110" t="s">
        <v>190</v>
      </c>
      <c r="AI193" s="110" t="s">
        <v>246</v>
      </c>
      <c r="AJ193" s="110" t="s">
        <v>246</v>
      </c>
      <c r="AK193" s="110" t="s">
        <v>1214</v>
      </c>
      <c r="AL193" s="110" t="s">
        <v>1785</v>
      </c>
      <c r="AM193" s="110">
        <v>1000</v>
      </c>
      <c r="AN193" s="110" t="s">
        <v>1903</v>
      </c>
      <c r="AP193" s="110" t="s">
        <v>174</v>
      </c>
      <c r="AQ193" s="110" t="s">
        <v>175</v>
      </c>
      <c r="AR193" s="110">
        <v>2019</v>
      </c>
      <c r="AS193" s="110" t="s">
        <v>174</v>
      </c>
      <c r="AT193" s="110" t="s">
        <v>174</v>
      </c>
      <c r="AU193" s="110" t="s">
        <v>174</v>
      </c>
      <c r="AW193" s="110" t="s">
        <v>174</v>
      </c>
      <c r="AX193" s="110" t="s">
        <v>174</v>
      </c>
      <c r="AY193" s="110" t="s">
        <v>174</v>
      </c>
      <c r="AZ193" s="110" t="s">
        <v>174</v>
      </c>
      <c r="BA193" s="110">
        <v>25</v>
      </c>
      <c r="BB193" s="110">
        <v>25</v>
      </c>
      <c r="BC193" s="110">
        <v>25</v>
      </c>
      <c r="BD193" s="110">
        <v>0</v>
      </c>
      <c r="BE193" s="110" t="s">
        <v>246</v>
      </c>
      <c r="BF193" s="110" t="s">
        <v>188</v>
      </c>
      <c r="BG193" s="110">
        <v>0</v>
      </c>
      <c r="BH193" s="110" t="s">
        <v>174</v>
      </c>
      <c r="BI193" s="110" t="s">
        <v>246</v>
      </c>
      <c r="BJ193" s="110" t="s">
        <v>333</v>
      </c>
      <c r="BK193" s="110">
        <v>2</v>
      </c>
      <c r="BL193" s="110">
        <v>25</v>
      </c>
      <c r="BM193" s="110" t="s">
        <v>1461</v>
      </c>
      <c r="BN193" s="110">
        <v>1.7000000000000001E-2</v>
      </c>
      <c r="BQ193" s="110">
        <v>32.200000000000003</v>
      </c>
      <c r="BR193" s="110">
        <v>85</v>
      </c>
      <c r="BS193" s="110">
        <v>100</v>
      </c>
      <c r="BT193" s="110" t="s">
        <v>1385</v>
      </c>
      <c r="BU193" s="110" t="s">
        <v>3207</v>
      </c>
      <c r="BV193" s="110" t="s">
        <v>2603</v>
      </c>
      <c r="BW193" s="110">
        <v>0.94</v>
      </c>
      <c r="BZ193" s="110">
        <v>4.4699999999999997E-2</v>
      </c>
      <c r="CB193" s="110">
        <v>25.31</v>
      </c>
      <c r="CC193" s="110" t="b">
        <v>0</v>
      </c>
      <c r="CD193" s="110">
        <v>30.6</v>
      </c>
      <c r="CE193" s="110">
        <v>30.6</v>
      </c>
      <c r="CF193" s="110" t="s">
        <v>182</v>
      </c>
      <c r="CG193" s="110" t="s">
        <v>174</v>
      </c>
      <c r="CH193" s="110" t="s">
        <v>194</v>
      </c>
      <c r="CI193" s="110" t="s">
        <v>1215</v>
      </c>
      <c r="CJ193" s="110" t="s">
        <v>1213</v>
      </c>
    </row>
    <row r="194" spans="1:88">
      <c r="A194" s="110" t="s">
        <v>935</v>
      </c>
      <c r="B194" s="110">
        <v>42</v>
      </c>
      <c r="C194" s="110">
        <v>1</v>
      </c>
      <c r="D194" s="110">
        <v>1</v>
      </c>
      <c r="E194" s="110">
        <v>193</v>
      </c>
      <c r="F194" s="110">
        <v>2021</v>
      </c>
      <c r="G194" s="110" t="s">
        <v>187</v>
      </c>
      <c r="H194" s="110" t="s">
        <v>2441</v>
      </c>
      <c r="I194" s="110" t="s">
        <v>182</v>
      </c>
      <c r="J194" s="110" t="s">
        <v>246</v>
      </c>
      <c r="K194" s="110" t="s">
        <v>186</v>
      </c>
      <c r="L194" s="110" t="s">
        <v>186</v>
      </c>
      <c r="M194" s="110" t="s">
        <v>3173</v>
      </c>
      <c r="N194" s="110" t="s">
        <v>3166</v>
      </c>
      <c r="O194" s="110">
        <v>0.5</v>
      </c>
      <c r="Q194" s="110">
        <v>0.2</v>
      </c>
      <c r="R194" s="110" t="s">
        <v>2611</v>
      </c>
      <c r="S194" s="110" t="s">
        <v>444</v>
      </c>
      <c r="T194" s="110" t="s">
        <v>1202</v>
      </c>
      <c r="U194" s="110" t="s">
        <v>552</v>
      </c>
      <c r="V194" s="110">
        <v>9.2891357790000004</v>
      </c>
      <c r="W194" s="110">
        <v>9.2891357790000004</v>
      </c>
      <c r="X194" s="110">
        <v>79.134003669999998</v>
      </c>
      <c r="Y194" s="110" t="s">
        <v>1205</v>
      </c>
      <c r="Z194" s="110" t="s">
        <v>802</v>
      </c>
      <c r="AA194" s="110" t="s">
        <v>1788</v>
      </c>
      <c r="AB194" s="110" t="s">
        <v>333</v>
      </c>
      <c r="AC194" s="110" t="s">
        <v>246</v>
      </c>
      <c r="AD194" s="110" t="s">
        <v>1725</v>
      </c>
      <c r="AE194" s="110" t="s">
        <v>187</v>
      </c>
      <c r="AF194" s="110" t="s">
        <v>190</v>
      </c>
      <c r="AG194" s="110" t="s">
        <v>190</v>
      </c>
      <c r="AI194" s="110" t="s">
        <v>246</v>
      </c>
      <c r="AJ194" s="110" t="s">
        <v>246</v>
      </c>
      <c r="AK194" s="110" t="s">
        <v>1214</v>
      </c>
      <c r="AL194" s="110" t="s">
        <v>1785</v>
      </c>
      <c r="AM194" s="110">
        <v>1000</v>
      </c>
      <c r="AN194" s="110" t="s">
        <v>1903</v>
      </c>
      <c r="AP194" s="110" t="s">
        <v>174</v>
      </c>
      <c r="AQ194" s="110" t="s">
        <v>175</v>
      </c>
      <c r="AR194" s="110">
        <v>2019</v>
      </c>
      <c r="AS194" s="110" t="s">
        <v>174</v>
      </c>
      <c r="AT194" s="110" t="s">
        <v>174</v>
      </c>
      <c r="AU194" s="110" t="s">
        <v>174</v>
      </c>
      <c r="AW194" s="110" t="s">
        <v>174</v>
      </c>
      <c r="AX194" s="110" t="s">
        <v>174</v>
      </c>
      <c r="AY194" s="110" t="s">
        <v>174</v>
      </c>
      <c r="AZ194" s="110" t="s">
        <v>174</v>
      </c>
      <c r="BA194" s="110">
        <v>25</v>
      </c>
      <c r="BB194" s="110">
        <v>25</v>
      </c>
      <c r="BC194" s="110">
        <v>25</v>
      </c>
      <c r="BD194" s="110">
        <v>0</v>
      </c>
      <c r="BE194" s="110" t="s">
        <v>246</v>
      </c>
      <c r="BF194" s="110" t="s">
        <v>188</v>
      </c>
      <c r="BG194" s="110">
        <v>0</v>
      </c>
      <c r="BH194" s="110" t="s">
        <v>174</v>
      </c>
      <c r="BI194" s="110" t="s">
        <v>246</v>
      </c>
      <c r="BJ194" s="110" t="s">
        <v>333</v>
      </c>
      <c r="BK194" s="110">
        <v>2</v>
      </c>
      <c r="BL194" s="110">
        <v>25</v>
      </c>
      <c r="BM194" s="110" t="s">
        <v>1461</v>
      </c>
      <c r="BN194" s="110">
        <v>1.26E-2</v>
      </c>
      <c r="BQ194" s="110">
        <v>28</v>
      </c>
      <c r="BR194" s="110">
        <v>79</v>
      </c>
      <c r="BS194" s="110">
        <v>100</v>
      </c>
      <c r="BT194" s="110" t="s">
        <v>1385</v>
      </c>
      <c r="BU194" s="110" t="s">
        <v>3207</v>
      </c>
      <c r="BV194" s="110" t="s">
        <v>2603</v>
      </c>
      <c r="BW194" s="110">
        <v>0.92</v>
      </c>
      <c r="BZ194" s="110">
        <v>5.16E-2</v>
      </c>
      <c r="CB194" s="110">
        <v>20.27</v>
      </c>
      <c r="CC194" s="110" t="b">
        <v>0</v>
      </c>
      <c r="CD194" s="110">
        <v>29.6</v>
      </c>
      <c r="CE194" s="110">
        <v>29.6</v>
      </c>
      <c r="CF194" s="110" t="s">
        <v>182</v>
      </c>
      <c r="CG194" s="110" t="s">
        <v>174</v>
      </c>
      <c r="CH194" s="110" t="s">
        <v>194</v>
      </c>
      <c r="CI194" s="110" t="s">
        <v>1215</v>
      </c>
      <c r="CJ194" s="110" t="s">
        <v>1213</v>
      </c>
    </row>
    <row r="195" spans="1:88">
      <c r="A195" s="110" t="s">
        <v>935</v>
      </c>
      <c r="B195" s="110">
        <v>42</v>
      </c>
      <c r="C195" s="110">
        <v>1</v>
      </c>
      <c r="D195" s="110">
        <v>1</v>
      </c>
      <c r="E195" s="110">
        <v>194</v>
      </c>
      <c r="F195" s="110">
        <v>2021</v>
      </c>
      <c r="G195" s="110" t="s">
        <v>187</v>
      </c>
      <c r="H195" s="110" t="s">
        <v>2441</v>
      </c>
      <c r="I195" s="110" t="s">
        <v>182</v>
      </c>
      <c r="J195" s="110" t="s">
        <v>246</v>
      </c>
      <c r="K195" s="110" t="s">
        <v>186</v>
      </c>
      <c r="L195" s="110" t="s">
        <v>186</v>
      </c>
      <c r="M195" s="110" t="s">
        <v>3173</v>
      </c>
      <c r="N195" s="110" t="s">
        <v>3166</v>
      </c>
      <c r="O195" s="110">
        <v>0.5</v>
      </c>
      <c r="Q195" s="110">
        <v>0.2</v>
      </c>
      <c r="R195" s="110" t="s">
        <v>272</v>
      </c>
      <c r="S195" s="110" t="s">
        <v>443</v>
      </c>
      <c r="T195" s="110" t="s">
        <v>1207</v>
      </c>
      <c r="U195" s="110" t="s">
        <v>1208</v>
      </c>
      <c r="V195" s="110">
        <v>9.2891357790000004</v>
      </c>
      <c r="W195" s="110">
        <v>9.2891357790000004</v>
      </c>
      <c r="X195" s="110">
        <v>79.134003669999998</v>
      </c>
      <c r="Y195" s="110" t="s">
        <v>1205</v>
      </c>
      <c r="Z195" s="110" t="s">
        <v>802</v>
      </c>
      <c r="AA195" s="110" t="s">
        <v>1788</v>
      </c>
      <c r="AB195" s="110" t="s">
        <v>333</v>
      </c>
      <c r="AC195" s="110" t="s">
        <v>246</v>
      </c>
      <c r="AD195" s="110" t="s">
        <v>1725</v>
      </c>
      <c r="AE195" s="110" t="s">
        <v>187</v>
      </c>
      <c r="AF195" s="110" t="s">
        <v>190</v>
      </c>
      <c r="AG195" s="110" t="s">
        <v>190</v>
      </c>
      <c r="AI195" s="110" t="s">
        <v>246</v>
      </c>
      <c r="AJ195" s="110" t="s">
        <v>246</v>
      </c>
      <c r="AK195" s="110" t="s">
        <v>1214</v>
      </c>
      <c r="AL195" s="110" t="s">
        <v>1785</v>
      </c>
      <c r="AM195" s="110">
        <v>1000</v>
      </c>
      <c r="AN195" s="110" t="s">
        <v>1903</v>
      </c>
      <c r="AP195" s="110" t="s">
        <v>174</v>
      </c>
      <c r="AQ195" s="110" t="s">
        <v>175</v>
      </c>
      <c r="AR195" s="110">
        <v>2019</v>
      </c>
      <c r="AS195" s="110" t="s">
        <v>174</v>
      </c>
      <c r="AT195" s="110" t="s">
        <v>174</v>
      </c>
      <c r="AU195" s="110" t="s">
        <v>174</v>
      </c>
      <c r="AW195" s="110" t="s">
        <v>174</v>
      </c>
      <c r="AX195" s="110" t="s">
        <v>174</v>
      </c>
      <c r="AY195" s="110" t="s">
        <v>174</v>
      </c>
      <c r="AZ195" s="110" t="s">
        <v>174</v>
      </c>
      <c r="BA195" s="110">
        <v>25</v>
      </c>
      <c r="BB195" s="110">
        <v>25</v>
      </c>
      <c r="BC195" s="110">
        <v>25</v>
      </c>
      <c r="BD195" s="110">
        <v>0</v>
      </c>
      <c r="BE195" s="110" t="s">
        <v>246</v>
      </c>
      <c r="BF195" s="110" t="s">
        <v>188</v>
      </c>
      <c r="BG195" s="110">
        <v>0</v>
      </c>
      <c r="BH195" s="110" t="s">
        <v>174</v>
      </c>
      <c r="BI195" s="110" t="s">
        <v>246</v>
      </c>
      <c r="BJ195" s="110" t="s">
        <v>333</v>
      </c>
      <c r="BK195" s="110">
        <v>2</v>
      </c>
      <c r="BL195" s="110">
        <v>25</v>
      </c>
      <c r="BM195" s="110" t="s">
        <v>1461</v>
      </c>
      <c r="BN195" s="110">
        <v>2.3E-2</v>
      </c>
      <c r="BQ195" s="110">
        <v>9.4</v>
      </c>
      <c r="BR195" s="110">
        <v>43</v>
      </c>
      <c r="BS195" s="110">
        <v>100</v>
      </c>
      <c r="BT195" s="110" t="s">
        <v>1385</v>
      </c>
      <c r="BU195" s="110" t="s">
        <v>3207</v>
      </c>
      <c r="BV195" s="110" t="s">
        <v>2603</v>
      </c>
      <c r="BW195" s="110">
        <v>0.97</v>
      </c>
      <c r="BZ195" s="110">
        <v>0.28060000000000002</v>
      </c>
      <c r="CB195" s="110">
        <v>2.97</v>
      </c>
      <c r="CC195" s="110" t="b">
        <v>0</v>
      </c>
      <c r="CD195" s="110">
        <v>13.5</v>
      </c>
      <c r="CE195" s="110">
        <v>13.5</v>
      </c>
      <c r="CF195" s="110" t="s">
        <v>182</v>
      </c>
      <c r="CG195" s="110" t="s">
        <v>174</v>
      </c>
      <c r="CH195" s="110" t="s">
        <v>194</v>
      </c>
      <c r="CI195" s="110" t="s">
        <v>1215</v>
      </c>
      <c r="CJ195" s="110" t="s">
        <v>1213</v>
      </c>
    </row>
    <row r="196" spans="1:88">
      <c r="A196" s="110" t="s">
        <v>935</v>
      </c>
      <c r="B196" s="110">
        <v>42</v>
      </c>
      <c r="C196" s="110">
        <v>1</v>
      </c>
      <c r="D196" s="110">
        <v>1</v>
      </c>
      <c r="E196" s="110">
        <v>195</v>
      </c>
      <c r="F196" s="110">
        <v>2021</v>
      </c>
      <c r="G196" s="110" t="s">
        <v>187</v>
      </c>
      <c r="H196" s="110" t="s">
        <v>2441</v>
      </c>
      <c r="I196" s="110" t="s">
        <v>182</v>
      </c>
      <c r="J196" s="110" t="s">
        <v>246</v>
      </c>
      <c r="K196" s="110" t="s">
        <v>186</v>
      </c>
      <c r="L196" s="110" t="s">
        <v>186</v>
      </c>
      <c r="M196" s="110" t="s">
        <v>3173</v>
      </c>
      <c r="N196" s="110" t="s">
        <v>3166</v>
      </c>
      <c r="O196" s="110">
        <v>0.5</v>
      </c>
      <c r="Q196" s="110">
        <v>0.2</v>
      </c>
      <c r="R196" s="110" t="s">
        <v>272</v>
      </c>
      <c r="S196" s="110" t="s">
        <v>443</v>
      </c>
      <c r="T196" s="110" t="s">
        <v>273</v>
      </c>
      <c r="U196" s="110" t="s">
        <v>1210</v>
      </c>
      <c r="V196" s="110">
        <v>9.2891357790000004</v>
      </c>
      <c r="W196" s="110">
        <v>9.2891357790000004</v>
      </c>
      <c r="X196" s="110">
        <v>79.134003669999998</v>
      </c>
      <c r="Y196" s="110" t="s">
        <v>1205</v>
      </c>
      <c r="Z196" s="110" t="s">
        <v>802</v>
      </c>
      <c r="AA196" s="110" t="s">
        <v>1788</v>
      </c>
      <c r="AB196" s="110" t="s">
        <v>333</v>
      </c>
      <c r="AC196" s="110" t="s">
        <v>246</v>
      </c>
      <c r="AD196" s="110" t="s">
        <v>1725</v>
      </c>
      <c r="AE196" s="110" t="s">
        <v>187</v>
      </c>
      <c r="AF196" s="110" t="s">
        <v>190</v>
      </c>
      <c r="AG196" s="110" t="s">
        <v>190</v>
      </c>
      <c r="AI196" s="110" t="s">
        <v>246</v>
      </c>
      <c r="AJ196" s="110" t="s">
        <v>246</v>
      </c>
      <c r="AK196" s="110" t="s">
        <v>1214</v>
      </c>
      <c r="AL196" s="110" t="s">
        <v>1785</v>
      </c>
      <c r="AM196" s="110">
        <v>1000</v>
      </c>
      <c r="AN196" s="110" t="s">
        <v>1903</v>
      </c>
      <c r="AP196" s="110" t="s">
        <v>174</v>
      </c>
      <c r="AQ196" s="110" t="s">
        <v>175</v>
      </c>
      <c r="AR196" s="110">
        <v>2019</v>
      </c>
      <c r="AS196" s="110" t="s">
        <v>174</v>
      </c>
      <c r="AT196" s="110" t="s">
        <v>174</v>
      </c>
      <c r="AU196" s="110" t="s">
        <v>174</v>
      </c>
      <c r="AW196" s="110" t="s">
        <v>174</v>
      </c>
      <c r="AX196" s="110" t="s">
        <v>174</v>
      </c>
      <c r="AY196" s="110" t="s">
        <v>174</v>
      </c>
      <c r="AZ196" s="110" t="s">
        <v>174</v>
      </c>
      <c r="BA196" s="110">
        <v>25</v>
      </c>
      <c r="BB196" s="110">
        <v>25</v>
      </c>
      <c r="BC196" s="110">
        <v>25</v>
      </c>
      <c r="BD196" s="110">
        <v>0</v>
      </c>
      <c r="BE196" s="110" t="s">
        <v>246</v>
      </c>
      <c r="BF196" s="110" t="s">
        <v>188</v>
      </c>
      <c r="BG196" s="110">
        <v>0</v>
      </c>
      <c r="BH196" s="110" t="s">
        <v>174</v>
      </c>
      <c r="BI196" s="110" t="s">
        <v>246</v>
      </c>
      <c r="BJ196" s="110" t="s">
        <v>333</v>
      </c>
      <c r="BK196" s="110">
        <v>2</v>
      </c>
      <c r="BL196" s="110">
        <v>25</v>
      </c>
      <c r="BM196" s="110" t="s">
        <v>1461</v>
      </c>
      <c r="BN196" s="110">
        <v>1.6E-2</v>
      </c>
      <c r="BQ196" s="110">
        <v>19</v>
      </c>
      <c r="BR196" s="110">
        <v>62</v>
      </c>
      <c r="BS196" s="110">
        <v>100</v>
      </c>
      <c r="BT196" s="110" t="s">
        <v>1385</v>
      </c>
      <c r="BU196" s="110" t="s">
        <v>3207</v>
      </c>
      <c r="BV196" s="110" t="s">
        <v>2603</v>
      </c>
      <c r="BW196" s="110">
        <v>0.94</v>
      </c>
      <c r="BZ196" s="110">
        <v>0.11</v>
      </c>
      <c r="CB196" s="110">
        <v>9.02</v>
      </c>
      <c r="CC196" s="110" t="b">
        <v>0</v>
      </c>
      <c r="CD196" s="110">
        <v>23.8</v>
      </c>
      <c r="CE196" s="110">
        <v>23.8</v>
      </c>
      <c r="CF196" s="110" t="s">
        <v>182</v>
      </c>
      <c r="CG196" s="110" t="s">
        <v>174</v>
      </c>
      <c r="CH196" s="110" t="s">
        <v>194</v>
      </c>
      <c r="CI196" s="110" t="s">
        <v>1215</v>
      </c>
      <c r="CJ196" s="110" t="s">
        <v>1213</v>
      </c>
    </row>
    <row r="197" spans="1:88">
      <c r="A197" s="110" t="s">
        <v>935</v>
      </c>
      <c r="B197" s="110">
        <v>42</v>
      </c>
      <c r="C197" s="110">
        <v>1</v>
      </c>
      <c r="D197" s="110">
        <v>1</v>
      </c>
      <c r="E197" s="110">
        <v>196</v>
      </c>
      <c r="F197" s="110">
        <v>2021</v>
      </c>
      <c r="G197" s="110" t="s">
        <v>187</v>
      </c>
      <c r="H197" s="110" t="s">
        <v>2441</v>
      </c>
      <c r="I197" s="110" t="s">
        <v>182</v>
      </c>
      <c r="J197" s="110" t="s">
        <v>246</v>
      </c>
      <c r="K197" s="110" t="s">
        <v>186</v>
      </c>
      <c r="L197" s="110" t="s">
        <v>186</v>
      </c>
      <c r="M197" s="110" t="s">
        <v>3173</v>
      </c>
      <c r="N197" s="110" t="s">
        <v>3166</v>
      </c>
      <c r="O197" s="110">
        <v>0.5</v>
      </c>
      <c r="Q197" s="110">
        <v>0.2</v>
      </c>
      <c r="R197" s="110" t="s">
        <v>1976</v>
      </c>
      <c r="S197" s="110" t="s">
        <v>443</v>
      </c>
      <c r="T197" s="110" t="s">
        <v>1211</v>
      </c>
      <c r="U197" s="110" t="s">
        <v>1212</v>
      </c>
      <c r="V197" s="110">
        <v>9.2891357790000004</v>
      </c>
      <c r="W197" s="110">
        <v>9.2891357790000004</v>
      </c>
      <c r="X197" s="110">
        <v>79.134003669999998</v>
      </c>
      <c r="Y197" s="110" t="s">
        <v>1205</v>
      </c>
      <c r="Z197" s="110" t="s">
        <v>802</v>
      </c>
      <c r="AA197" s="110" t="s">
        <v>1788</v>
      </c>
      <c r="AB197" s="110" t="s">
        <v>333</v>
      </c>
      <c r="AC197" s="110" t="s">
        <v>246</v>
      </c>
      <c r="AD197" s="110" t="s">
        <v>1725</v>
      </c>
      <c r="AE197" s="110" t="s">
        <v>187</v>
      </c>
      <c r="AF197" s="110" t="s">
        <v>190</v>
      </c>
      <c r="AG197" s="110" t="s">
        <v>190</v>
      </c>
      <c r="AI197" s="110" t="s">
        <v>246</v>
      </c>
      <c r="AJ197" s="110" t="s">
        <v>246</v>
      </c>
      <c r="AK197" s="110" t="s">
        <v>1214</v>
      </c>
      <c r="AL197" s="110" t="s">
        <v>1785</v>
      </c>
      <c r="AM197" s="110">
        <v>1000</v>
      </c>
      <c r="AN197" s="110" t="s">
        <v>1903</v>
      </c>
      <c r="AP197" s="110" t="s">
        <v>174</v>
      </c>
      <c r="AQ197" s="110" t="s">
        <v>175</v>
      </c>
      <c r="AR197" s="110">
        <v>2019</v>
      </c>
      <c r="AS197" s="110" t="s">
        <v>174</v>
      </c>
      <c r="AT197" s="110" t="s">
        <v>174</v>
      </c>
      <c r="AU197" s="110" t="s">
        <v>174</v>
      </c>
      <c r="AW197" s="110" t="s">
        <v>174</v>
      </c>
      <c r="AX197" s="110" t="s">
        <v>174</v>
      </c>
      <c r="AY197" s="110" t="s">
        <v>174</v>
      </c>
      <c r="AZ197" s="110" t="s">
        <v>174</v>
      </c>
      <c r="BA197" s="110">
        <v>25</v>
      </c>
      <c r="BB197" s="110">
        <v>25</v>
      </c>
      <c r="BC197" s="110">
        <v>25</v>
      </c>
      <c r="BD197" s="110">
        <v>0</v>
      </c>
      <c r="BE197" s="110" t="s">
        <v>246</v>
      </c>
      <c r="BF197" s="110" t="s">
        <v>188</v>
      </c>
      <c r="BG197" s="110">
        <v>0</v>
      </c>
      <c r="BH197" s="110" t="s">
        <v>174</v>
      </c>
      <c r="BI197" s="110" t="s">
        <v>246</v>
      </c>
      <c r="BJ197" s="110" t="s">
        <v>333</v>
      </c>
      <c r="BK197" s="110">
        <v>2</v>
      </c>
      <c r="BL197" s="110">
        <v>25</v>
      </c>
      <c r="BM197" s="110" t="s">
        <v>1461</v>
      </c>
      <c r="BN197" s="110">
        <v>0.02</v>
      </c>
      <c r="BQ197" s="110">
        <v>13</v>
      </c>
      <c r="BR197" s="110">
        <v>50</v>
      </c>
      <c r="BS197" s="110">
        <v>100</v>
      </c>
      <c r="BT197" s="110" t="s">
        <v>1385</v>
      </c>
      <c r="BU197" s="110" t="s">
        <v>3207</v>
      </c>
      <c r="BV197" s="110" t="s">
        <v>2603</v>
      </c>
      <c r="BW197" s="110">
        <v>0.81</v>
      </c>
      <c r="BZ197" s="110">
        <v>0.43519999999999998</v>
      </c>
      <c r="CB197" s="110">
        <v>2.2999999999999998</v>
      </c>
      <c r="CC197" s="110" t="b">
        <v>0</v>
      </c>
      <c r="CD197" s="110">
        <v>23.2</v>
      </c>
      <c r="CE197" s="110">
        <v>23.2</v>
      </c>
      <c r="CF197" s="110" t="s">
        <v>182</v>
      </c>
      <c r="CG197" s="110" t="s">
        <v>174</v>
      </c>
      <c r="CH197" s="110" t="s">
        <v>194</v>
      </c>
      <c r="CI197" s="110" t="s">
        <v>1215</v>
      </c>
      <c r="CJ197" s="110" t="s">
        <v>1213</v>
      </c>
    </row>
    <row r="198" spans="1:88">
      <c r="A198" s="110" t="s">
        <v>847</v>
      </c>
      <c r="B198" s="110">
        <v>43</v>
      </c>
      <c r="C198" s="110">
        <v>3</v>
      </c>
      <c r="D198" s="110">
        <v>1</v>
      </c>
      <c r="E198" s="110">
        <v>197</v>
      </c>
      <c r="F198" s="110">
        <v>1986</v>
      </c>
      <c r="G198" s="110" t="s">
        <v>161</v>
      </c>
      <c r="H198" s="110" t="s">
        <v>1219</v>
      </c>
      <c r="I198" s="110" t="s">
        <v>182</v>
      </c>
      <c r="J198" s="110" t="s">
        <v>246</v>
      </c>
      <c r="K198" s="110" t="s">
        <v>999</v>
      </c>
      <c r="L198" s="110" t="s">
        <v>999</v>
      </c>
      <c r="R198" s="110" t="s">
        <v>1976</v>
      </c>
      <c r="S198" s="110" t="s">
        <v>446</v>
      </c>
      <c r="T198" s="110" t="s">
        <v>1002</v>
      </c>
      <c r="U198" s="110" t="s">
        <v>1177</v>
      </c>
      <c r="V198" s="110">
        <v>33.949377939999998</v>
      </c>
      <c r="W198" s="110">
        <v>-33.949377939999998</v>
      </c>
      <c r="X198" s="110">
        <v>25.61453921</v>
      </c>
      <c r="Y198" s="110" t="s">
        <v>770</v>
      </c>
      <c r="Z198" s="110" t="s">
        <v>802</v>
      </c>
      <c r="AA198" s="110" t="s">
        <v>424</v>
      </c>
      <c r="AB198" s="110" t="s">
        <v>333</v>
      </c>
      <c r="AC198" s="110" t="s">
        <v>246</v>
      </c>
      <c r="AD198" s="110" t="s">
        <v>333</v>
      </c>
      <c r="AE198" s="110" t="s">
        <v>1123</v>
      </c>
      <c r="AF198" s="110" t="s">
        <v>1745</v>
      </c>
      <c r="AG198" s="110" t="s">
        <v>1766</v>
      </c>
      <c r="AI198" s="110" t="s">
        <v>246</v>
      </c>
      <c r="AJ198" s="110" t="s">
        <v>246</v>
      </c>
      <c r="AK198" s="110" t="s">
        <v>171</v>
      </c>
      <c r="AL198" s="110" t="s">
        <v>190</v>
      </c>
      <c r="AM198" s="110" t="s">
        <v>174</v>
      </c>
      <c r="AO198" s="110">
        <v>2</v>
      </c>
      <c r="AP198" s="110" t="s">
        <v>190</v>
      </c>
      <c r="AQ198" s="110" t="s">
        <v>176</v>
      </c>
      <c r="AR198" s="110">
        <v>1985</v>
      </c>
      <c r="AS198" s="110" t="s">
        <v>297</v>
      </c>
      <c r="AT198" s="110" t="s">
        <v>298</v>
      </c>
      <c r="AU198" s="110">
        <v>50</v>
      </c>
      <c r="AW198" s="110" t="s">
        <v>174</v>
      </c>
      <c r="AX198" s="110" t="s">
        <v>174</v>
      </c>
      <c r="AY198" s="110" t="s">
        <v>174</v>
      </c>
      <c r="AZ198" s="110" t="s">
        <v>174</v>
      </c>
      <c r="BA198" s="110" t="s">
        <v>1766</v>
      </c>
      <c r="BB198" s="110" t="s">
        <v>1766</v>
      </c>
      <c r="BE198" s="110" t="s">
        <v>182</v>
      </c>
      <c r="BF198" s="110" t="s">
        <v>412</v>
      </c>
      <c r="BH198" s="110" t="s">
        <v>174</v>
      </c>
      <c r="BI198" s="110" t="s">
        <v>182</v>
      </c>
      <c r="BJ198" s="110" t="s">
        <v>412</v>
      </c>
      <c r="BK198" s="110">
        <v>2</v>
      </c>
      <c r="BL198" s="110">
        <v>6</v>
      </c>
      <c r="BM198" s="110" t="s">
        <v>174</v>
      </c>
      <c r="BN198" s="110" t="s">
        <v>174</v>
      </c>
      <c r="BO198" s="110" t="s">
        <v>174</v>
      </c>
      <c r="BP198" s="110" t="s">
        <v>174</v>
      </c>
      <c r="BQ198" s="110" t="s">
        <v>174</v>
      </c>
      <c r="BR198" s="110" t="s">
        <v>174</v>
      </c>
      <c r="BS198" s="110">
        <v>9</v>
      </c>
      <c r="BT198" s="110" t="s">
        <v>1385</v>
      </c>
      <c r="BU198" s="110" t="s">
        <v>3207</v>
      </c>
      <c r="BV198" s="110" t="s">
        <v>2603</v>
      </c>
      <c r="BW198" s="110">
        <v>0.98</v>
      </c>
      <c r="BZ198" s="110">
        <v>0.106</v>
      </c>
      <c r="CB198" s="110">
        <v>3.4</v>
      </c>
      <c r="CC198" s="110" t="b">
        <v>0</v>
      </c>
      <c r="CD198" s="110">
        <v>0</v>
      </c>
      <c r="CE198" s="110">
        <v>0</v>
      </c>
      <c r="CF198" s="110" t="s">
        <v>246</v>
      </c>
      <c r="CG198" s="110" t="s">
        <v>174</v>
      </c>
      <c r="CH198" s="110" t="s">
        <v>174</v>
      </c>
      <c r="CI198" s="110" t="s">
        <v>1181</v>
      </c>
    </row>
    <row r="199" spans="1:88">
      <c r="A199" s="110" t="s">
        <v>2176</v>
      </c>
      <c r="B199" s="110">
        <v>44</v>
      </c>
      <c r="C199" s="110">
        <v>1</v>
      </c>
      <c r="D199" s="110">
        <v>1</v>
      </c>
      <c r="E199" s="110">
        <v>198</v>
      </c>
      <c r="F199" s="110">
        <v>2021</v>
      </c>
      <c r="G199" s="110" t="s">
        <v>187</v>
      </c>
      <c r="H199" s="110" t="s">
        <v>1219</v>
      </c>
      <c r="I199" s="110" t="s">
        <v>246</v>
      </c>
      <c r="J199" s="110" t="s">
        <v>246</v>
      </c>
      <c r="K199" s="110" t="s">
        <v>999</v>
      </c>
      <c r="L199" s="110" t="s">
        <v>999</v>
      </c>
      <c r="R199" s="110" t="s">
        <v>1976</v>
      </c>
      <c r="S199" s="110" t="s">
        <v>446</v>
      </c>
      <c r="T199" s="110" t="s">
        <v>702</v>
      </c>
      <c r="U199" s="110" t="s">
        <v>1992</v>
      </c>
      <c r="V199" s="110">
        <v>23.482772000000001</v>
      </c>
      <c r="W199" s="110">
        <v>23.482772000000001</v>
      </c>
      <c r="X199" s="110">
        <v>117.107889</v>
      </c>
      <c r="Y199" s="110" t="s">
        <v>185</v>
      </c>
      <c r="Z199" s="110" t="s">
        <v>380</v>
      </c>
      <c r="AA199" s="110" t="s">
        <v>1788</v>
      </c>
      <c r="AB199" s="110" t="s">
        <v>333</v>
      </c>
      <c r="AC199" s="110" t="s">
        <v>246</v>
      </c>
      <c r="AD199" s="110" t="s">
        <v>1725</v>
      </c>
      <c r="AE199" s="110" t="s">
        <v>187</v>
      </c>
      <c r="AI199" s="110" t="s">
        <v>246</v>
      </c>
      <c r="AJ199" s="110" t="s">
        <v>246</v>
      </c>
      <c r="AK199" s="110" t="s">
        <v>2068</v>
      </c>
      <c r="AL199" s="110" t="s">
        <v>1785</v>
      </c>
      <c r="AM199" s="110">
        <v>5000</v>
      </c>
      <c r="AN199" s="110" t="s">
        <v>1903</v>
      </c>
      <c r="AQ199" s="110" t="s">
        <v>176</v>
      </c>
      <c r="AU199" s="110">
        <v>5</v>
      </c>
      <c r="AV199" s="110" t="s">
        <v>1256</v>
      </c>
      <c r="BA199" s="110">
        <v>25</v>
      </c>
      <c r="BB199" s="110">
        <v>25</v>
      </c>
      <c r="BC199" s="110">
        <v>25</v>
      </c>
      <c r="BD199" s="110">
        <v>0</v>
      </c>
      <c r="BE199" s="110" t="s">
        <v>182</v>
      </c>
      <c r="BF199" s="110" t="s">
        <v>1903</v>
      </c>
      <c r="BG199" s="110" t="s">
        <v>2036</v>
      </c>
      <c r="BI199" s="110" t="s">
        <v>246</v>
      </c>
      <c r="BK199" s="110">
        <v>3</v>
      </c>
      <c r="BL199" s="110">
        <v>5</v>
      </c>
      <c r="BN199" s="110">
        <v>3.2000000000000002E-3</v>
      </c>
      <c r="BS199" s="110">
        <v>70</v>
      </c>
      <c r="BT199" s="110" t="s">
        <v>1387</v>
      </c>
      <c r="BU199" s="110" t="s">
        <v>2606</v>
      </c>
      <c r="BV199" s="110" t="s">
        <v>1387</v>
      </c>
      <c r="CB199" s="110" t="s">
        <v>190</v>
      </c>
      <c r="CC199" s="110" t="b">
        <v>0</v>
      </c>
      <c r="CD199" s="110">
        <v>79.86</v>
      </c>
      <c r="CE199" s="110" t="s">
        <v>2256</v>
      </c>
      <c r="CF199" s="110" t="s">
        <v>2256</v>
      </c>
      <c r="CH199" s="110" t="s">
        <v>2072</v>
      </c>
      <c r="CJ199" s="110" t="s">
        <v>2067</v>
      </c>
    </row>
    <row r="200" spans="1:88">
      <c r="A200" s="110" t="s">
        <v>2176</v>
      </c>
      <c r="B200" s="110">
        <v>44</v>
      </c>
      <c r="C200" s="110">
        <v>1</v>
      </c>
      <c r="D200" s="110">
        <v>1</v>
      </c>
      <c r="E200" s="110">
        <v>199</v>
      </c>
      <c r="F200" s="110">
        <v>2021</v>
      </c>
      <c r="G200" s="110" t="s">
        <v>187</v>
      </c>
      <c r="H200" s="110" t="s">
        <v>1219</v>
      </c>
      <c r="I200" s="110" t="s">
        <v>246</v>
      </c>
      <c r="J200" s="110" t="s">
        <v>246</v>
      </c>
      <c r="K200" s="110" t="s">
        <v>999</v>
      </c>
      <c r="L200" s="110" t="s">
        <v>999</v>
      </c>
      <c r="R200" s="110" t="s">
        <v>1976</v>
      </c>
      <c r="S200" s="110" t="s">
        <v>446</v>
      </c>
      <c r="T200" s="110" t="s">
        <v>702</v>
      </c>
      <c r="U200" s="110" t="s">
        <v>1992</v>
      </c>
      <c r="V200" s="110">
        <v>23.482772000000001</v>
      </c>
      <c r="W200" s="110">
        <v>23.482772000000001</v>
      </c>
      <c r="X200" s="110">
        <v>117.107889</v>
      </c>
      <c r="Y200" s="110" t="s">
        <v>185</v>
      </c>
      <c r="Z200" s="110" t="s">
        <v>380</v>
      </c>
      <c r="AA200" s="110" t="s">
        <v>1788</v>
      </c>
      <c r="AB200" s="110" t="s">
        <v>333</v>
      </c>
      <c r="AC200" s="110" t="s">
        <v>246</v>
      </c>
      <c r="AD200" s="110" t="s">
        <v>1725</v>
      </c>
      <c r="AE200" s="110" t="s">
        <v>187</v>
      </c>
      <c r="AI200" s="110" t="s">
        <v>246</v>
      </c>
      <c r="AJ200" s="110" t="s">
        <v>246</v>
      </c>
      <c r="AK200" s="110" t="s">
        <v>2068</v>
      </c>
      <c r="AL200" s="110" t="s">
        <v>2055</v>
      </c>
      <c r="AM200" s="110">
        <v>5000</v>
      </c>
      <c r="AN200" s="110" t="s">
        <v>1903</v>
      </c>
      <c r="AQ200" s="110" t="s">
        <v>176</v>
      </c>
      <c r="AU200" s="110">
        <v>5</v>
      </c>
      <c r="AV200" s="110" t="s">
        <v>1256</v>
      </c>
      <c r="BA200" s="110">
        <v>25</v>
      </c>
      <c r="BB200" s="110">
        <v>25</v>
      </c>
      <c r="BC200" s="110">
        <v>25</v>
      </c>
      <c r="BD200" s="110">
        <v>0</v>
      </c>
      <c r="BE200" s="110" t="s">
        <v>182</v>
      </c>
      <c r="BF200" s="110" t="s">
        <v>1903</v>
      </c>
      <c r="BG200" s="110" t="s">
        <v>2036</v>
      </c>
      <c r="BI200" s="110" t="s">
        <v>246</v>
      </c>
      <c r="BK200" s="110">
        <v>3</v>
      </c>
      <c r="BL200" s="110">
        <v>5</v>
      </c>
      <c r="BN200" s="110">
        <v>3.3E-3</v>
      </c>
      <c r="BS200" s="110">
        <v>70</v>
      </c>
      <c r="BT200" s="110" t="s">
        <v>1387</v>
      </c>
      <c r="BU200" s="110" t="s">
        <v>2606</v>
      </c>
      <c r="BV200" s="110" t="s">
        <v>1387</v>
      </c>
      <c r="CB200" s="110" t="s">
        <v>190</v>
      </c>
      <c r="CC200" s="110" t="b">
        <v>0</v>
      </c>
      <c r="CD200" s="110">
        <v>79.7</v>
      </c>
      <c r="CE200" s="110" t="s">
        <v>2256</v>
      </c>
      <c r="CF200" s="110" t="s">
        <v>2256</v>
      </c>
      <c r="CH200" s="110" t="s">
        <v>2073</v>
      </c>
    </row>
    <row r="201" spans="1:88">
      <c r="A201" s="110" t="s">
        <v>533</v>
      </c>
      <c r="B201" s="110">
        <v>45</v>
      </c>
      <c r="C201" s="110">
        <v>3</v>
      </c>
      <c r="D201" s="110">
        <v>1</v>
      </c>
      <c r="E201" s="110">
        <v>200</v>
      </c>
      <c r="F201" s="110">
        <v>2015</v>
      </c>
      <c r="G201" s="110" t="s">
        <v>187</v>
      </c>
      <c r="H201" s="110" t="s">
        <v>1219</v>
      </c>
      <c r="I201" s="110" t="s">
        <v>246</v>
      </c>
      <c r="J201" s="110" t="s">
        <v>246</v>
      </c>
      <c r="K201" s="110" t="s">
        <v>999</v>
      </c>
      <c r="L201" s="110" t="s">
        <v>999</v>
      </c>
      <c r="R201" s="110" t="s">
        <v>152</v>
      </c>
      <c r="S201" s="110" t="s">
        <v>443</v>
      </c>
      <c r="T201" s="110" t="s">
        <v>156</v>
      </c>
      <c r="U201" s="110" t="s">
        <v>157</v>
      </c>
      <c r="V201" s="110">
        <v>53.156944439999997</v>
      </c>
      <c r="W201" s="110">
        <v>53.156944439999997</v>
      </c>
      <c r="X201" s="110">
        <v>-9.1161111100000003</v>
      </c>
      <c r="Y201" s="110" t="s">
        <v>160</v>
      </c>
      <c r="Z201" s="110" t="s">
        <v>155</v>
      </c>
      <c r="AA201" s="110" t="s">
        <v>1788</v>
      </c>
      <c r="AB201" s="110" t="s">
        <v>333</v>
      </c>
      <c r="AC201" s="110" t="s">
        <v>246</v>
      </c>
      <c r="AD201" s="110" t="s">
        <v>333</v>
      </c>
      <c r="AE201" s="110" t="s">
        <v>187</v>
      </c>
      <c r="AF201" s="110" t="s">
        <v>190</v>
      </c>
      <c r="AG201" s="110" t="s">
        <v>190</v>
      </c>
      <c r="AI201" s="110" t="s">
        <v>246</v>
      </c>
      <c r="AJ201" s="110" t="s">
        <v>246</v>
      </c>
      <c r="AK201" s="110" t="s">
        <v>1758</v>
      </c>
      <c r="AL201" s="110" t="s">
        <v>1167</v>
      </c>
      <c r="AN201" s="110" t="s">
        <v>412</v>
      </c>
      <c r="AO201" s="110" t="s">
        <v>190</v>
      </c>
      <c r="AP201" s="110" t="s">
        <v>190</v>
      </c>
      <c r="AQ201" s="110" t="s">
        <v>176</v>
      </c>
      <c r="AR201" s="110">
        <v>2011</v>
      </c>
      <c r="AS201" s="110" t="s">
        <v>319</v>
      </c>
      <c r="AT201" s="110" t="s">
        <v>298</v>
      </c>
      <c r="AU201" s="110">
        <v>37</v>
      </c>
      <c r="AW201" s="110" t="s">
        <v>174</v>
      </c>
      <c r="AX201" s="110" t="s">
        <v>174</v>
      </c>
      <c r="AY201" s="110" t="s">
        <v>174</v>
      </c>
      <c r="AZ201" s="110" t="s">
        <v>174</v>
      </c>
      <c r="BA201" s="110">
        <v>20</v>
      </c>
      <c r="BB201" s="110">
        <v>20</v>
      </c>
      <c r="BC201" s="110">
        <v>20</v>
      </c>
      <c r="BD201" s="110">
        <v>0</v>
      </c>
      <c r="BE201" s="110" t="s">
        <v>182</v>
      </c>
      <c r="BF201" s="110" t="s">
        <v>1903</v>
      </c>
      <c r="BG201" s="110">
        <v>35</v>
      </c>
      <c r="BH201" s="110" t="s">
        <v>520</v>
      </c>
      <c r="BI201" s="110" t="s">
        <v>182</v>
      </c>
      <c r="BJ201" s="110" t="s">
        <v>521</v>
      </c>
      <c r="BK201" s="110">
        <v>5</v>
      </c>
      <c r="BL201" s="110">
        <v>3</v>
      </c>
      <c r="BM201" s="110" t="s">
        <v>174</v>
      </c>
      <c r="BN201" s="110" t="s">
        <v>174</v>
      </c>
      <c r="BO201" s="110" t="s">
        <v>174</v>
      </c>
      <c r="BP201" s="110" t="s">
        <v>174</v>
      </c>
      <c r="BQ201" s="110" t="s">
        <v>174</v>
      </c>
      <c r="BR201" s="110" t="s">
        <v>174</v>
      </c>
      <c r="BS201" s="110">
        <v>29</v>
      </c>
      <c r="BT201" s="110" t="s">
        <v>1387</v>
      </c>
      <c r="BU201" s="110" t="s">
        <v>2606</v>
      </c>
      <c r="BV201" s="110" t="s">
        <v>1387</v>
      </c>
      <c r="CB201" s="110" t="s">
        <v>190</v>
      </c>
      <c r="CC201" s="110" t="b">
        <v>0</v>
      </c>
      <c r="CD201" s="110">
        <v>84.4</v>
      </c>
      <c r="CE201" s="110" t="s">
        <v>2256</v>
      </c>
      <c r="CF201" s="110" t="s">
        <v>2256</v>
      </c>
      <c r="CG201" s="110" t="s">
        <v>174</v>
      </c>
      <c r="CH201" s="110" t="s">
        <v>174</v>
      </c>
      <c r="CI201" s="110" t="s">
        <v>522</v>
      </c>
    </row>
    <row r="202" spans="1:88">
      <c r="A202" s="110" t="s">
        <v>862</v>
      </c>
      <c r="B202" s="110">
        <v>46</v>
      </c>
      <c r="C202" s="110">
        <v>1</v>
      </c>
      <c r="D202" s="110">
        <v>2</v>
      </c>
      <c r="E202" s="110">
        <v>201</v>
      </c>
      <c r="F202" s="110">
        <v>2002</v>
      </c>
      <c r="G202" s="110" t="s">
        <v>161</v>
      </c>
      <c r="H202" s="110" t="s">
        <v>2437</v>
      </c>
      <c r="I202" s="110" t="s">
        <v>182</v>
      </c>
      <c r="J202" s="110" t="s">
        <v>246</v>
      </c>
      <c r="K202" s="110" t="s">
        <v>999</v>
      </c>
      <c r="L202" s="110" t="s">
        <v>999</v>
      </c>
      <c r="R202" s="110" t="s">
        <v>1976</v>
      </c>
      <c r="S202" s="110" t="s">
        <v>444</v>
      </c>
      <c r="T202" s="110" t="s">
        <v>448</v>
      </c>
      <c r="U202" s="110" t="s">
        <v>1188</v>
      </c>
      <c r="V202" s="110">
        <v>58.465236590000004</v>
      </c>
      <c r="W202" s="110">
        <v>58.465236590000004</v>
      </c>
      <c r="X202" s="110">
        <v>24.475314789999999</v>
      </c>
      <c r="Y202" s="110" t="s">
        <v>1323</v>
      </c>
      <c r="Z202" s="110" t="s">
        <v>155</v>
      </c>
      <c r="AA202" s="110" t="s">
        <v>1788</v>
      </c>
      <c r="AB202" s="110" t="s">
        <v>333</v>
      </c>
      <c r="AC202" s="110" t="s">
        <v>246</v>
      </c>
      <c r="AD202" s="110" t="s">
        <v>333</v>
      </c>
      <c r="AE202" s="110" t="s">
        <v>218</v>
      </c>
      <c r="AF202" s="110" t="s">
        <v>190</v>
      </c>
      <c r="AG202" s="110">
        <v>2</v>
      </c>
      <c r="AI202" s="110" t="s">
        <v>246</v>
      </c>
      <c r="AJ202" s="110" t="s">
        <v>246</v>
      </c>
      <c r="AK202" s="110" t="s">
        <v>171</v>
      </c>
      <c r="AL202" s="110" t="s">
        <v>1167</v>
      </c>
      <c r="AM202" s="110" t="s">
        <v>174</v>
      </c>
      <c r="AN202" s="110" t="s">
        <v>412</v>
      </c>
      <c r="AO202" s="110">
        <v>1</v>
      </c>
      <c r="AP202" s="110" t="s">
        <v>190</v>
      </c>
      <c r="AQ202" s="110" t="s">
        <v>176</v>
      </c>
      <c r="AR202" s="110">
        <v>2000</v>
      </c>
      <c r="AS202" s="110" t="s">
        <v>174</v>
      </c>
      <c r="AT202" s="110" t="s">
        <v>298</v>
      </c>
      <c r="AU202" s="110">
        <v>20</v>
      </c>
      <c r="AW202" s="110" t="s">
        <v>174</v>
      </c>
      <c r="AX202" s="110" t="s">
        <v>174</v>
      </c>
      <c r="AY202" s="110" t="s">
        <v>174</v>
      </c>
      <c r="AZ202" s="110" t="s">
        <v>174</v>
      </c>
      <c r="BA202" s="110">
        <v>13.5</v>
      </c>
      <c r="BB202" s="110">
        <v>13.5</v>
      </c>
      <c r="BC202" s="110">
        <v>13.5</v>
      </c>
      <c r="BD202" s="110">
        <v>0</v>
      </c>
      <c r="BE202" s="110" t="s">
        <v>182</v>
      </c>
      <c r="BF202" s="110" t="s">
        <v>412</v>
      </c>
      <c r="BH202" s="110" t="s">
        <v>174</v>
      </c>
      <c r="BI202" s="110" t="s">
        <v>182</v>
      </c>
      <c r="BJ202" s="110" t="s">
        <v>412</v>
      </c>
      <c r="BK202" s="110">
        <v>3</v>
      </c>
      <c r="BL202" s="110">
        <v>2</v>
      </c>
      <c r="BM202" s="110" t="s">
        <v>174</v>
      </c>
      <c r="BN202" s="110" t="s">
        <v>174</v>
      </c>
      <c r="BO202" s="110" t="s">
        <v>174</v>
      </c>
      <c r="BP202" s="110" t="s">
        <v>174</v>
      </c>
      <c r="BQ202" s="110" t="s">
        <v>174</v>
      </c>
      <c r="BR202" s="110" t="s">
        <v>174</v>
      </c>
      <c r="BS202" s="110">
        <v>21</v>
      </c>
      <c r="BT202" s="110" t="s">
        <v>1387</v>
      </c>
      <c r="BU202" s="110" t="s">
        <v>2606</v>
      </c>
      <c r="BV202" s="110" t="s">
        <v>1387</v>
      </c>
      <c r="CB202" s="110" t="s">
        <v>190</v>
      </c>
      <c r="CC202" s="110" t="b">
        <v>0</v>
      </c>
      <c r="CD202" s="110">
        <v>110.9</v>
      </c>
      <c r="CE202" s="110" t="s">
        <v>2256</v>
      </c>
      <c r="CF202" s="110" t="s">
        <v>2256</v>
      </c>
      <c r="CG202" s="110" t="s">
        <v>174</v>
      </c>
      <c r="CH202" s="110" t="s">
        <v>10</v>
      </c>
      <c r="CI202" s="110" t="s">
        <v>1195</v>
      </c>
    </row>
    <row r="203" spans="1:88">
      <c r="A203" s="110" t="s">
        <v>862</v>
      </c>
      <c r="B203" s="110">
        <v>46</v>
      </c>
      <c r="C203" s="110">
        <v>1</v>
      </c>
      <c r="D203" s="110">
        <v>2</v>
      </c>
      <c r="E203" s="110">
        <v>202</v>
      </c>
      <c r="F203" s="110">
        <v>2002</v>
      </c>
      <c r="G203" s="110" t="s">
        <v>161</v>
      </c>
      <c r="H203" s="110" t="s">
        <v>2437</v>
      </c>
      <c r="I203" s="110" t="s">
        <v>182</v>
      </c>
      <c r="J203" s="110" t="s">
        <v>246</v>
      </c>
      <c r="K203" s="110" t="s">
        <v>999</v>
      </c>
      <c r="L203" s="110" t="s">
        <v>999</v>
      </c>
      <c r="R203" s="110" t="s">
        <v>1976</v>
      </c>
      <c r="S203" s="110" t="s">
        <v>443</v>
      </c>
      <c r="T203" s="110" t="s">
        <v>1189</v>
      </c>
      <c r="U203" s="110" t="s">
        <v>1190</v>
      </c>
      <c r="V203" s="110">
        <v>58.465236590000004</v>
      </c>
      <c r="W203" s="110">
        <v>58.465236590000004</v>
      </c>
      <c r="X203" s="110">
        <v>24.475314789999999</v>
      </c>
      <c r="Y203" s="110" t="s">
        <v>1323</v>
      </c>
      <c r="Z203" s="110" t="s">
        <v>155</v>
      </c>
      <c r="AA203" s="110" t="s">
        <v>1788</v>
      </c>
      <c r="AB203" s="110" t="s">
        <v>333</v>
      </c>
      <c r="AC203" s="110" t="s">
        <v>246</v>
      </c>
      <c r="AD203" s="110" t="s">
        <v>333</v>
      </c>
      <c r="AE203" s="110" t="s">
        <v>218</v>
      </c>
      <c r="AF203" s="110" t="s">
        <v>190</v>
      </c>
      <c r="AG203" s="110">
        <v>2</v>
      </c>
      <c r="AI203" s="110" t="s">
        <v>246</v>
      </c>
      <c r="AJ203" s="110" t="s">
        <v>246</v>
      </c>
      <c r="AK203" s="110" t="s">
        <v>171</v>
      </c>
      <c r="AL203" s="110" t="s">
        <v>1167</v>
      </c>
      <c r="AM203" s="110" t="s">
        <v>174</v>
      </c>
      <c r="AN203" s="110" t="s">
        <v>412</v>
      </c>
      <c r="AO203" s="110">
        <v>1</v>
      </c>
      <c r="AP203" s="110" t="s">
        <v>190</v>
      </c>
      <c r="AQ203" s="110" t="s">
        <v>176</v>
      </c>
      <c r="AR203" s="110">
        <v>2000</v>
      </c>
      <c r="AS203" s="110" t="s">
        <v>174</v>
      </c>
      <c r="AT203" s="110" t="s">
        <v>298</v>
      </c>
      <c r="AU203" s="110">
        <v>20</v>
      </c>
      <c r="AW203" s="110" t="s">
        <v>174</v>
      </c>
      <c r="AX203" s="110" t="s">
        <v>174</v>
      </c>
      <c r="AY203" s="110" t="s">
        <v>174</v>
      </c>
      <c r="AZ203" s="110" t="s">
        <v>174</v>
      </c>
      <c r="BA203" s="110">
        <v>13.5</v>
      </c>
      <c r="BB203" s="110">
        <v>13.5</v>
      </c>
      <c r="BC203" s="110">
        <v>13.5</v>
      </c>
      <c r="BD203" s="110">
        <v>0</v>
      </c>
      <c r="BE203" s="110" t="s">
        <v>182</v>
      </c>
      <c r="BF203" s="110" t="s">
        <v>412</v>
      </c>
      <c r="BH203" s="110" t="s">
        <v>174</v>
      </c>
      <c r="BI203" s="110" t="s">
        <v>182</v>
      </c>
      <c r="BJ203" s="110" t="s">
        <v>412</v>
      </c>
      <c r="BK203" s="110">
        <v>3</v>
      </c>
      <c r="BL203" s="110">
        <v>4</v>
      </c>
      <c r="BM203" s="110" t="s">
        <v>174</v>
      </c>
      <c r="BN203" s="110" t="s">
        <v>174</v>
      </c>
      <c r="BO203" s="110" t="s">
        <v>174</v>
      </c>
      <c r="BP203" s="110" t="s">
        <v>174</v>
      </c>
      <c r="BQ203" s="110" t="s">
        <v>174</v>
      </c>
      <c r="BR203" s="110" t="s">
        <v>174</v>
      </c>
      <c r="BS203" s="110">
        <v>28</v>
      </c>
      <c r="BT203" s="110" t="s">
        <v>1385</v>
      </c>
      <c r="BU203" s="110" t="s">
        <v>3207</v>
      </c>
      <c r="BV203" s="110" t="s">
        <v>2603</v>
      </c>
      <c r="BW203" s="110">
        <v>0.97</v>
      </c>
      <c r="BZ203" s="110">
        <v>0.12</v>
      </c>
      <c r="CB203" s="110" t="s">
        <v>190</v>
      </c>
      <c r="CC203" s="110" t="b">
        <v>0</v>
      </c>
      <c r="CD203" s="110">
        <v>56.712000000000003</v>
      </c>
      <c r="CE203" s="110">
        <v>56.712000000000003</v>
      </c>
      <c r="CF203" s="110" t="s">
        <v>182</v>
      </c>
      <c r="CG203" s="110">
        <v>0</v>
      </c>
      <c r="CH203" s="110" t="s">
        <v>10</v>
      </c>
      <c r="CI203" s="110" t="s">
        <v>1195</v>
      </c>
    </row>
    <row r="204" spans="1:88">
      <c r="A204" s="110" t="s">
        <v>862</v>
      </c>
      <c r="B204" s="110">
        <v>46</v>
      </c>
      <c r="C204" s="110">
        <v>1</v>
      </c>
      <c r="D204" s="110">
        <v>2</v>
      </c>
      <c r="E204" s="110">
        <v>203</v>
      </c>
      <c r="F204" s="110">
        <v>2002</v>
      </c>
      <c r="G204" s="110" t="s">
        <v>161</v>
      </c>
      <c r="H204" s="110" t="s">
        <v>2437</v>
      </c>
      <c r="I204" s="110" t="s">
        <v>182</v>
      </c>
      <c r="J204" s="110" t="s">
        <v>246</v>
      </c>
      <c r="K204" s="110" t="s">
        <v>999</v>
      </c>
      <c r="L204" s="110" t="s">
        <v>999</v>
      </c>
      <c r="R204" s="110" t="s">
        <v>1976</v>
      </c>
      <c r="S204" s="110" t="s">
        <v>444</v>
      </c>
      <c r="T204" s="110" t="s">
        <v>448</v>
      </c>
      <c r="U204" s="110" t="s">
        <v>1188</v>
      </c>
      <c r="V204" s="110">
        <v>58.465236590000004</v>
      </c>
      <c r="W204" s="110">
        <v>58.465236590000004</v>
      </c>
      <c r="X204" s="110">
        <v>24.475314789999999</v>
      </c>
      <c r="Y204" s="110" t="s">
        <v>1323</v>
      </c>
      <c r="Z204" s="110" t="s">
        <v>155</v>
      </c>
      <c r="AA204" s="110" t="s">
        <v>1788</v>
      </c>
      <c r="AB204" s="110" t="s">
        <v>333</v>
      </c>
      <c r="AC204" s="110" t="s">
        <v>246</v>
      </c>
      <c r="AD204" s="110" t="s">
        <v>333</v>
      </c>
      <c r="AE204" s="110" t="s">
        <v>218</v>
      </c>
      <c r="AF204" s="110" t="s">
        <v>190</v>
      </c>
      <c r="AG204" s="110">
        <v>2</v>
      </c>
      <c r="AI204" s="110" t="s">
        <v>246</v>
      </c>
      <c r="AJ204" s="110" t="s">
        <v>246</v>
      </c>
      <c r="AK204" s="110" t="s">
        <v>171</v>
      </c>
      <c r="AL204" s="110" t="s">
        <v>1167</v>
      </c>
      <c r="AM204" s="110" t="s">
        <v>174</v>
      </c>
      <c r="AN204" s="110" t="s">
        <v>412</v>
      </c>
      <c r="AO204" s="110">
        <v>1</v>
      </c>
      <c r="AP204" s="110" t="s">
        <v>190</v>
      </c>
      <c r="AQ204" s="110" t="s">
        <v>176</v>
      </c>
      <c r="AR204" s="110">
        <v>2000</v>
      </c>
      <c r="AS204" s="110" t="s">
        <v>174</v>
      </c>
      <c r="AT204" s="110" t="s">
        <v>420</v>
      </c>
      <c r="AU204" s="110">
        <v>20</v>
      </c>
      <c r="AW204" s="110" t="s">
        <v>174</v>
      </c>
      <c r="AX204" s="110" t="s">
        <v>174</v>
      </c>
      <c r="AY204" s="110" t="s">
        <v>174</v>
      </c>
      <c r="AZ204" s="110" t="s">
        <v>174</v>
      </c>
      <c r="BA204" s="110">
        <v>19</v>
      </c>
      <c r="BB204" s="110">
        <v>19</v>
      </c>
      <c r="BC204" s="110">
        <v>19</v>
      </c>
      <c r="BD204" s="110">
        <v>0</v>
      </c>
      <c r="BE204" s="110" t="s">
        <v>182</v>
      </c>
      <c r="BF204" s="110" t="s">
        <v>412</v>
      </c>
      <c r="BH204" s="110" t="s">
        <v>174</v>
      </c>
      <c r="BI204" s="110" t="s">
        <v>182</v>
      </c>
      <c r="BJ204" s="110" t="s">
        <v>412</v>
      </c>
      <c r="BK204" s="110">
        <v>3</v>
      </c>
      <c r="BL204" s="110">
        <v>3</v>
      </c>
      <c r="BM204" s="110" t="s">
        <v>174</v>
      </c>
      <c r="BN204" s="110" t="s">
        <v>174</v>
      </c>
      <c r="BO204" s="110" t="s">
        <v>174</v>
      </c>
      <c r="BP204" s="110" t="s">
        <v>174</v>
      </c>
      <c r="BQ204" s="110" t="s">
        <v>174</v>
      </c>
      <c r="BR204" s="110" t="s">
        <v>174</v>
      </c>
      <c r="BS204" s="110">
        <v>28</v>
      </c>
      <c r="BT204" s="110" t="s">
        <v>2378</v>
      </c>
      <c r="BU204" s="110" t="s">
        <v>1398</v>
      </c>
      <c r="BV204" s="110" t="s">
        <v>2603</v>
      </c>
      <c r="BW204" s="110">
        <v>0.93</v>
      </c>
      <c r="BX204" s="110" t="s">
        <v>1396</v>
      </c>
      <c r="BY204" s="110">
        <v>0.76700000000000002</v>
      </c>
      <c r="CA204" s="110">
        <v>2.5249999999999999</v>
      </c>
      <c r="CB204" s="110">
        <v>19.801980199999999</v>
      </c>
      <c r="CC204" s="110" t="b">
        <v>0</v>
      </c>
      <c r="CD204" s="110">
        <v>35.299999999999997</v>
      </c>
      <c r="CE204" s="110" t="s">
        <v>2256</v>
      </c>
      <c r="CF204" s="110" t="s">
        <v>2256</v>
      </c>
      <c r="CG204" s="110" t="s">
        <v>174</v>
      </c>
      <c r="CH204" s="110" t="s">
        <v>10</v>
      </c>
      <c r="CI204" s="110" t="s">
        <v>1195</v>
      </c>
    </row>
    <row r="205" spans="1:88">
      <c r="A205" s="110" t="s">
        <v>862</v>
      </c>
      <c r="B205" s="110">
        <v>46</v>
      </c>
      <c r="C205" s="110">
        <v>1</v>
      </c>
      <c r="D205" s="110">
        <v>2</v>
      </c>
      <c r="E205" s="110">
        <v>204</v>
      </c>
      <c r="F205" s="110">
        <v>2002</v>
      </c>
      <c r="G205" s="110" t="s">
        <v>161</v>
      </c>
      <c r="H205" s="110" t="s">
        <v>2437</v>
      </c>
      <c r="I205" s="110" t="s">
        <v>182</v>
      </c>
      <c r="J205" s="110" t="s">
        <v>246</v>
      </c>
      <c r="K205" s="110" t="s">
        <v>999</v>
      </c>
      <c r="L205" s="110" t="s">
        <v>999</v>
      </c>
      <c r="R205" s="110" t="s">
        <v>1976</v>
      </c>
      <c r="S205" s="110" t="s">
        <v>443</v>
      </c>
      <c r="T205" s="110" t="s">
        <v>1189</v>
      </c>
      <c r="U205" s="110" t="s">
        <v>1190</v>
      </c>
      <c r="V205" s="110">
        <v>58.465236590000004</v>
      </c>
      <c r="W205" s="110">
        <v>58.465236590000004</v>
      </c>
      <c r="X205" s="110">
        <v>24.475314789999999</v>
      </c>
      <c r="Y205" s="110" t="s">
        <v>1323</v>
      </c>
      <c r="Z205" s="110" t="s">
        <v>155</v>
      </c>
      <c r="AA205" s="110" t="s">
        <v>1788</v>
      </c>
      <c r="AB205" s="110" t="s">
        <v>333</v>
      </c>
      <c r="AC205" s="110" t="s">
        <v>246</v>
      </c>
      <c r="AD205" s="110" t="s">
        <v>333</v>
      </c>
      <c r="AE205" s="110" t="s">
        <v>218</v>
      </c>
      <c r="AF205" s="110" t="s">
        <v>190</v>
      </c>
      <c r="AG205" s="110">
        <v>2</v>
      </c>
      <c r="AI205" s="110" t="s">
        <v>246</v>
      </c>
      <c r="AJ205" s="110" t="s">
        <v>246</v>
      </c>
      <c r="AK205" s="110" t="s">
        <v>171</v>
      </c>
      <c r="AL205" s="110" t="s">
        <v>1167</v>
      </c>
      <c r="AM205" s="110" t="s">
        <v>174</v>
      </c>
      <c r="AN205" s="110" t="s">
        <v>412</v>
      </c>
      <c r="AO205" s="110">
        <v>1</v>
      </c>
      <c r="AP205" s="110" t="s">
        <v>190</v>
      </c>
      <c r="AQ205" s="110" t="s">
        <v>176</v>
      </c>
      <c r="AR205" s="110">
        <v>2000</v>
      </c>
      <c r="AS205" s="110" t="s">
        <v>174</v>
      </c>
      <c r="AT205" s="110" t="s">
        <v>420</v>
      </c>
      <c r="AU205" s="110">
        <v>20</v>
      </c>
      <c r="AW205" s="110" t="s">
        <v>174</v>
      </c>
      <c r="AX205" s="110" t="s">
        <v>174</v>
      </c>
      <c r="AY205" s="110" t="s">
        <v>174</v>
      </c>
      <c r="AZ205" s="110" t="s">
        <v>174</v>
      </c>
      <c r="BA205" s="110">
        <v>19</v>
      </c>
      <c r="BB205" s="110">
        <v>19</v>
      </c>
      <c r="BC205" s="110">
        <v>19</v>
      </c>
      <c r="BD205" s="110">
        <v>0</v>
      </c>
      <c r="BE205" s="110" t="s">
        <v>182</v>
      </c>
      <c r="BF205" s="110" t="s">
        <v>412</v>
      </c>
      <c r="BH205" s="110" t="s">
        <v>174</v>
      </c>
      <c r="BI205" s="110" t="s">
        <v>182</v>
      </c>
      <c r="BJ205" s="110" t="s">
        <v>412</v>
      </c>
      <c r="BK205" s="110">
        <v>3</v>
      </c>
      <c r="BL205" s="110">
        <v>4</v>
      </c>
      <c r="BM205" s="110" t="s">
        <v>174</v>
      </c>
      <c r="BN205" s="110" t="s">
        <v>174</v>
      </c>
      <c r="BO205" s="110" t="s">
        <v>174</v>
      </c>
      <c r="BP205" s="110" t="s">
        <v>174</v>
      </c>
      <c r="BQ205" s="110" t="s">
        <v>174</v>
      </c>
      <c r="BR205" s="110" t="s">
        <v>174</v>
      </c>
      <c r="BS205" s="110">
        <v>28</v>
      </c>
      <c r="BT205" s="110" t="s">
        <v>2347</v>
      </c>
      <c r="BU205" s="110" t="s">
        <v>1394</v>
      </c>
      <c r="BV205" s="110" t="s">
        <v>2603</v>
      </c>
      <c r="BW205" s="110">
        <v>0.998</v>
      </c>
      <c r="BZ205" s="110">
        <v>4.0599999999999997E-2</v>
      </c>
      <c r="CB205" s="110">
        <v>17.072590649999999</v>
      </c>
      <c r="CC205" s="110" t="b">
        <v>0</v>
      </c>
      <c r="CD205" s="110">
        <v>32.1</v>
      </c>
      <c r="CE205" s="110" t="s">
        <v>2256</v>
      </c>
      <c r="CF205" s="110" t="s">
        <v>2256</v>
      </c>
      <c r="CG205" s="110" t="s">
        <v>174</v>
      </c>
      <c r="CH205" s="110" t="s">
        <v>10</v>
      </c>
      <c r="CI205" s="110" t="s">
        <v>1195</v>
      </c>
    </row>
    <row r="206" spans="1:88">
      <c r="A206" s="110" t="s">
        <v>862</v>
      </c>
      <c r="B206" s="110">
        <v>46</v>
      </c>
      <c r="C206" s="110">
        <v>1</v>
      </c>
      <c r="D206" s="110">
        <v>1</v>
      </c>
      <c r="E206" s="110">
        <v>205</v>
      </c>
      <c r="F206" s="110">
        <v>2002</v>
      </c>
      <c r="G206" s="110" t="s">
        <v>187</v>
      </c>
      <c r="H206" s="110" t="s">
        <v>2437</v>
      </c>
      <c r="I206" s="110" t="s">
        <v>182</v>
      </c>
      <c r="J206" s="110" t="s">
        <v>246</v>
      </c>
      <c r="K206" s="110" t="s">
        <v>999</v>
      </c>
      <c r="L206" s="110" t="s">
        <v>999</v>
      </c>
      <c r="R206" s="110" t="s">
        <v>1976</v>
      </c>
      <c r="S206" s="110" t="s">
        <v>444</v>
      </c>
      <c r="T206" s="110" t="s">
        <v>448</v>
      </c>
      <c r="U206" s="110" t="s">
        <v>1188</v>
      </c>
      <c r="V206" s="110">
        <v>58.465236590000004</v>
      </c>
      <c r="W206" s="110">
        <v>58.465236590000004</v>
      </c>
      <c r="X206" s="110">
        <v>24.475314789999999</v>
      </c>
      <c r="Y206" s="110" t="s">
        <v>1323</v>
      </c>
      <c r="Z206" s="110" t="s">
        <v>155</v>
      </c>
      <c r="AA206" s="110" t="s">
        <v>1788</v>
      </c>
      <c r="AB206" s="110" t="s">
        <v>333</v>
      </c>
      <c r="AC206" s="110" t="s">
        <v>246</v>
      </c>
      <c r="AD206" s="110" t="s">
        <v>333</v>
      </c>
      <c r="AE206" s="110" t="s">
        <v>187</v>
      </c>
      <c r="AF206" s="110" t="s">
        <v>190</v>
      </c>
      <c r="AG206" s="110" t="s">
        <v>190</v>
      </c>
      <c r="AI206" s="110" t="s">
        <v>246</v>
      </c>
      <c r="AJ206" s="110" t="s">
        <v>246</v>
      </c>
      <c r="AK206" s="110" t="s">
        <v>1759</v>
      </c>
      <c r="AL206" s="110" t="s">
        <v>1786</v>
      </c>
      <c r="AN206" s="110" t="s">
        <v>1216</v>
      </c>
      <c r="AO206" s="110">
        <v>1</v>
      </c>
      <c r="AP206" s="110" t="s">
        <v>190</v>
      </c>
      <c r="AQ206" s="110" t="s">
        <v>176</v>
      </c>
      <c r="AR206" s="110">
        <v>2000</v>
      </c>
      <c r="AS206" s="110" t="s">
        <v>174</v>
      </c>
      <c r="AT206" s="110" t="s">
        <v>174</v>
      </c>
      <c r="AU206" s="110">
        <v>20</v>
      </c>
      <c r="AW206" s="110" t="s">
        <v>174</v>
      </c>
      <c r="AX206" s="110" t="s">
        <v>174</v>
      </c>
      <c r="AY206" s="110" t="s">
        <v>174</v>
      </c>
      <c r="AZ206" s="110" t="s">
        <v>174</v>
      </c>
      <c r="BA206" s="110">
        <v>18</v>
      </c>
      <c r="BB206" s="110">
        <v>18</v>
      </c>
      <c r="BC206" s="110">
        <v>18</v>
      </c>
      <c r="BD206" s="110">
        <v>0</v>
      </c>
      <c r="BE206" s="110" t="s">
        <v>246</v>
      </c>
      <c r="BF206" s="110" t="s">
        <v>188</v>
      </c>
      <c r="BG206" s="110">
        <v>0</v>
      </c>
      <c r="BH206" s="110" t="s">
        <v>174</v>
      </c>
      <c r="BI206" s="110" t="s">
        <v>182</v>
      </c>
      <c r="BJ206" s="110" t="s">
        <v>1191</v>
      </c>
      <c r="BK206" s="110">
        <v>3</v>
      </c>
      <c r="BL206" s="110">
        <v>10</v>
      </c>
      <c r="BM206" s="110" t="s">
        <v>1396</v>
      </c>
      <c r="BN206" s="110" t="s">
        <v>174</v>
      </c>
      <c r="BO206" s="110" t="s">
        <v>174</v>
      </c>
      <c r="BP206" s="110" t="s">
        <v>174</v>
      </c>
      <c r="BQ206" s="110" t="s">
        <v>174</v>
      </c>
      <c r="BR206" s="110" t="s">
        <v>174</v>
      </c>
      <c r="BS206" s="110">
        <v>35</v>
      </c>
      <c r="BT206" s="110" t="s">
        <v>2347</v>
      </c>
      <c r="BU206" s="110" t="s">
        <v>1394</v>
      </c>
      <c r="BV206" s="110" t="s">
        <v>2603</v>
      </c>
      <c r="BW206" s="110">
        <v>0.96</v>
      </c>
      <c r="BZ206" s="110">
        <v>1.9599999999999999E-2</v>
      </c>
      <c r="CB206" s="110">
        <v>35.364652069999998</v>
      </c>
      <c r="CC206" s="110" t="b">
        <v>0</v>
      </c>
      <c r="CD206" s="110">
        <v>52.8</v>
      </c>
      <c r="CE206" s="110">
        <v>0</v>
      </c>
      <c r="CF206" s="110" t="s">
        <v>246</v>
      </c>
      <c r="CG206" s="110" t="s">
        <v>174</v>
      </c>
      <c r="CH206" s="110" t="s">
        <v>1191</v>
      </c>
      <c r="CI206" s="110" t="s">
        <v>1192</v>
      </c>
    </row>
    <row r="207" spans="1:88">
      <c r="A207" s="110" t="s">
        <v>862</v>
      </c>
      <c r="B207" s="110">
        <v>46</v>
      </c>
      <c r="C207" s="110">
        <v>1</v>
      </c>
      <c r="D207" s="110">
        <v>1</v>
      </c>
      <c r="E207" s="110">
        <v>206</v>
      </c>
      <c r="F207" s="110">
        <v>2002</v>
      </c>
      <c r="G207" s="110" t="s">
        <v>187</v>
      </c>
      <c r="H207" s="110" t="s">
        <v>2437</v>
      </c>
      <c r="I207" s="110" t="s">
        <v>182</v>
      </c>
      <c r="J207" s="110" t="s">
        <v>246</v>
      </c>
      <c r="K207" s="110" t="s">
        <v>999</v>
      </c>
      <c r="L207" s="110" t="s">
        <v>999</v>
      </c>
      <c r="R207" s="110" t="s">
        <v>1976</v>
      </c>
      <c r="S207" s="110" t="s">
        <v>444</v>
      </c>
      <c r="T207" s="110" t="s">
        <v>448</v>
      </c>
      <c r="U207" s="110" t="s">
        <v>1188</v>
      </c>
      <c r="V207" s="110">
        <v>58.465236590000004</v>
      </c>
      <c r="W207" s="110">
        <v>58.465236590000004</v>
      </c>
      <c r="X207" s="110">
        <v>24.475314789999999</v>
      </c>
      <c r="Y207" s="110" t="s">
        <v>1323</v>
      </c>
      <c r="Z207" s="110" t="s">
        <v>155</v>
      </c>
      <c r="AA207" s="110" t="s">
        <v>1788</v>
      </c>
      <c r="AB207" s="110" t="s">
        <v>333</v>
      </c>
      <c r="AC207" s="110" t="s">
        <v>246</v>
      </c>
      <c r="AD207" s="110" t="s">
        <v>333</v>
      </c>
      <c r="AE207" s="110" t="s">
        <v>187</v>
      </c>
      <c r="AF207" s="110" t="s">
        <v>190</v>
      </c>
      <c r="AG207" s="110" t="s">
        <v>190</v>
      </c>
      <c r="AI207" s="110" t="s">
        <v>246</v>
      </c>
      <c r="AJ207" s="110" t="s">
        <v>246</v>
      </c>
      <c r="AK207" s="110" t="s">
        <v>1759</v>
      </c>
      <c r="AL207" s="110" t="s">
        <v>1786</v>
      </c>
      <c r="AN207" s="110" t="s">
        <v>1216</v>
      </c>
      <c r="AO207" s="110">
        <v>1</v>
      </c>
      <c r="AP207" s="110" t="s">
        <v>190</v>
      </c>
      <c r="AQ207" s="110" t="s">
        <v>176</v>
      </c>
      <c r="AR207" s="110">
        <v>2000</v>
      </c>
      <c r="AS207" s="110" t="s">
        <v>174</v>
      </c>
      <c r="AT207" s="110" t="s">
        <v>174</v>
      </c>
      <c r="AU207" s="110">
        <v>20</v>
      </c>
      <c r="AW207" s="110" t="s">
        <v>174</v>
      </c>
      <c r="AX207" s="110" t="s">
        <v>174</v>
      </c>
      <c r="AY207" s="110" t="s">
        <v>174</v>
      </c>
      <c r="AZ207" s="110" t="s">
        <v>174</v>
      </c>
      <c r="BA207" s="110">
        <v>18</v>
      </c>
      <c r="BB207" s="110">
        <v>18</v>
      </c>
      <c r="BC207" s="110">
        <v>18</v>
      </c>
      <c r="BD207" s="110">
        <v>0</v>
      </c>
      <c r="BE207" s="110" t="s">
        <v>246</v>
      </c>
      <c r="BF207" s="110" t="s">
        <v>188</v>
      </c>
      <c r="BG207" s="110">
        <v>0</v>
      </c>
      <c r="BH207" s="110" t="s">
        <v>174</v>
      </c>
      <c r="BI207" s="110" t="s">
        <v>246</v>
      </c>
      <c r="BJ207" s="110" t="s">
        <v>881</v>
      </c>
      <c r="BK207" s="110">
        <v>3</v>
      </c>
      <c r="BL207" s="110">
        <v>10</v>
      </c>
      <c r="BM207" s="110" t="s">
        <v>1461</v>
      </c>
      <c r="BN207" s="110" t="s">
        <v>174</v>
      </c>
      <c r="BO207" s="110" t="s">
        <v>174</v>
      </c>
      <c r="BP207" s="110" t="s">
        <v>174</v>
      </c>
      <c r="BQ207" s="110" t="s">
        <v>174</v>
      </c>
      <c r="BR207" s="110" t="s">
        <v>174</v>
      </c>
      <c r="BS207" s="110">
        <v>35</v>
      </c>
      <c r="BT207" s="110" t="s">
        <v>1385</v>
      </c>
      <c r="BU207" s="110" t="s">
        <v>3207</v>
      </c>
      <c r="BV207" s="110" t="s">
        <v>2603</v>
      </c>
      <c r="BW207" s="110">
        <v>0.93</v>
      </c>
      <c r="BZ207" s="110">
        <v>0.12559999999999999</v>
      </c>
      <c r="CB207" s="110">
        <v>19.71</v>
      </c>
      <c r="CC207" s="110" t="b">
        <v>0</v>
      </c>
      <c r="CD207" s="110">
        <v>45.499000000000002</v>
      </c>
      <c r="CE207" s="110">
        <v>45.499000000000002</v>
      </c>
      <c r="CF207" s="110" t="s">
        <v>182</v>
      </c>
      <c r="CG207" s="110" t="s">
        <v>174</v>
      </c>
      <c r="CH207" s="110" t="s">
        <v>881</v>
      </c>
      <c r="CI207" s="110" t="s">
        <v>1192</v>
      </c>
    </row>
    <row r="208" spans="1:88">
      <c r="A208" s="110" t="s">
        <v>862</v>
      </c>
      <c r="B208" s="110">
        <v>46</v>
      </c>
      <c r="C208" s="110">
        <v>1</v>
      </c>
      <c r="D208" s="110">
        <v>1</v>
      </c>
      <c r="E208" s="110">
        <v>207</v>
      </c>
      <c r="F208" s="110">
        <v>2002</v>
      </c>
      <c r="G208" s="110" t="s">
        <v>187</v>
      </c>
      <c r="H208" s="110" t="s">
        <v>2437</v>
      </c>
      <c r="I208" s="110" t="s">
        <v>182</v>
      </c>
      <c r="J208" s="110" t="s">
        <v>246</v>
      </c>
      <c r="K208" s="110" t="s">
        <v>999</v>
      </c>
      <c r="L208" s="110" t="s">
        <v>999</v>
      </c>
      <c r="R208" s="110" t="s">
        <v>1976</v>
      </c>
      <c r="S208" s="110" t="s">
        <v>443</v>
      </c>
      <c r="T208" s="110" t="s">
        <v>1189</v>
      </c>
      <c r="U208" s="110" t="s">
        <v>1190</v>
      </c>
      <c r="V208" s="110">
        <v>58.465236590000004</v>
      </c>
      <c r="W208" s="110">
        <v>58.465236590000004</v>
      </c>
      <c r="X208" s="110">
        <v>24.475314789999999</v>
      </c>
      <c r="Y208" s="110" t="s">
        <v>1323</v>
      </c>
      <c r="Z208" s="110" t="s">
        <v>155</v>
      </c>
      <c r="AA208" s="110" t="s">
        <v>1788</v>
      </c>
      <c r="AB208" s="110" t="s">
        <v>333</v>
      </c>
      <c r="AC208" s="110" t="s">
        <v>246</v>
      </c>
      <c r="AD208" s="110" t="s">
        <v>333</v>
      </c>
      <c r="AE208" s="110" t="s">
        <v>187</v>
      </c>
      <c r="AF208" s="110" t="s">
        <v>190</v>
      </c>
      <c r="AG208" s="110" t="s">
        <v>190</v>
      </c>
      <c r="AI208" s="110" t="s">
        <v>246</v>
      </c>
      <c r="AJ208" s="110" t="s">
        <v>246</v>
      </c>
      <c r="AK208" s="110" t="s">
        <v>1759</v>
      </c>
      <c r="AL208" s="110" t="s">
        <v>1786</v>
      </c>
      <c r="AN208" s="110" t="s">
        <v>1216</v>
      </c>
      <c r="AO208" s="110">
        <v>1</v>
      </c>
      <c r="AP208" s="110" t="s">
        <v>190</v>
      </c>
      <c r="AQ208" s="110" t="s">
        <v>176</v>
      </c>
      <c r="AR208" s="110">
        <v>2000</v>
      </c>
      <c r="AS208" s="110" t="s">
        <v>174</v>
      </c>
      <c r="AT208" s="110" t="s">
        <v>174</v>
      </c>
      <c r="AU208" s="110">
        <v>20</v>
      </c>
      <c r="AW208" s="110" t="s">
        <v>174</v>
      </c>
      <c r="AX208" s="110" t="s">
        <v>174</v>
      </c>
      <c r="AY208" s="110" t="s">
        <v>174</v>
      </c>
      <c r="AZ208" s="110" t="s">
        <v>174</v>
      </c>
      <c r="BA208" s="110">
        <v>18</v>
      </c>
      <c r="BB208" s="110">
        <v>18</v>
      </c>
      <c r="BC208" s="110">
        <v>18</v>
      </c>
      <c r="BD208" s="110">
        <v>0</v>
      </c>
      <c r="BE208" s="110" t="s">
        <v>246</v>
      </c>
      <c r="BF208" s="110" t="s">
        <v>188</v>
      </c>
      <c r="BG208" s="110">
        <v>0</v>
      </c>
      <c r="BH208" s="110" t="s">
        <v>174</v>
      </c>
      <c r="BI208" s="110" t="s">
        <v>182</v>
      </c>
      <c r="BJ208" s="110" t="s">
        <v>1191</v>
      </c>
      <c r="BK208" s="110">
        <v>3</v>
      </c>
      <c r="BL208" s="110">
        <v>10</v>
      </c>
      <c r="BM208" s="110" t="s">
        <v>1707</v>
      </c>
      <c r="BN208" s="110" t="s">
        <v>174</v>
      </c>
      <c r="BO208" s="110" t="s">
        <v>174</v>
      </c>
      <c r="BP208" s="110" t="s">
        <v>174</v>
      </c>
      <c r="BQ208" s="110" t="s">
        <v>174</v>
      </c>
      <c r="BR208" s="110" t="s">
        <v>174</v>
      </c>
      <c r="BS208" s="110">
        <v>35</v>
      </c>
      <c r="BT208" s="110" t="s">
        <v>1396</v>
      </c>
      <c r="BU208" s="110" t="s">
        <v>1396</v>
      </c>
      <c r="BV208" s="110" t="s">
        <v>1396</v>
      </c>
      <c r="BW208" s="110">
        <v>0.94489999999999996</v>
      </c>
      <c r="CA208" s="110">
        <v>2.9573</v>
      </c>
      <c r="CB208" s="110">
        <v>16.907314100000001</v>
      </c>
      <c r="CC208" s="110" t="b">
        <v>0</v>
      </c>
      <c r="CD208" s="110">
        <v>2</v>
      </c>
      <c r="CE208" s="110">
        <v>0</v>
      </c>
      <c r="CF208" s="110" t="s">
        <v>246</v>
      </c>
      <c r="CG208" s="110" t="s">
        <v>174</v>
      </c>
      <c r="CH208" s="110" t="s">
        <v>1191</v>
      </c>
      <c r="CI208" s="110" t="s">
        <v>1192</v>
      </c>
    </row>
    <row r="209" spans="1:88">
      <c r="A209" s="110" t="s">
        <v>862</v>
      </c>
      <c r="B209" s="110">
        <v>46</v>
      </c>
      <c r="C209" s="110">
        <v>1</v>
      </c>
      <c r="D209" s="110">
        <v>1</v>
      </c>
      <c r="E209" s="110">
        <v>208</v>
      </c>
      <c r="F209" s="110">
        <v>2002</v>
      </c>
      <c r="G209" s="110" t="s">
        <v>187</v>
      </c>
      <c r="H209" s="110" t="s">
        <v>2437</v>
      </c>
      <c r="I209" s="110" t="s">
        <v>182</v>
      </c>
      <c r="J209" s="110" t="s">
        <v>246</v>
      </c>
      <c r="K209" s="110" t="s">
        <v>999</v>
      </c>
      <c r="L209" s="110" t="s">
        <v>999</v>
      </c>
      <c r="R209" s="110" t="s">
        <v>1976</v>
      </c>
      <c r="S209" s="110" t="s">
        <v>443</v>
      </c>
      <c r="T209" s="110" t="s">
        <v>1189</v>
      </c>
      <c r="U209" s="110" t="s">
        <v>1190</v>
      </c>
      <c r="V209" s="110">
        <v>58.465236590000004</v>
      </c>
      <c r="W209" s="110">
        <v>58.465236590000004</v>
      </c>
      <c r="X209" s="110">
        <v>24.475314789999999</v>
      </c>
      <c r="Y209" s="110" t="s">
        <v>1323</v>
      </c>
      <c r="Z209" s="110" t="s">
        <v>155</v>
      </c>
      <c r="AA209" s="110" t="s">
        <v>1788</v>
      </c>
      <c r="AB209" s="110" t="s">
        <v>333</v>
      </c>
      <c r="AC209" s="110" t="s">
        <v>246</v>
      </c>
      <c r="AD209" s="110" t="s">
        <v>333</v>
      </c>
      <c r="AE209" s="110" t="s">
        <v>187</v>
      </c>
      <c r="AF209" s="110" t="s">
        <v>190</v>
      </c>
      <c r="AG209" s="110" t="s">
        <v>190</v>
      </c>
      <c r="AI209" s="110" t="s">
        <v>246</v>
      </c>
      <c r="AJ209" s="110" t="s">
        <v>246</v>
      </c>
      <c r="AK209" s="110" t="s">
        <v>1759</v>
      </c>
      <c r="AL209" s="110" t="s">
        <v>1786</v>
      </c>
      <c r="AN209" s="110" t="s">
        <v>1216</v>
      </c>
      <c r="AO209" s="110">
        <v>1</v>
      </c>
      <c r="AP209" s="110" t="s">
        <v>190</v>
      </c>
      <c r="AQ209" s="110" t="s">
        <v>176</v>
      </c>
      <c r="AR209" s="110">
        <v>2000</v>
      </c>
      <c r="AS209" s="110" t="s">
        <v>174</v>
      </c>
      <c r="AT209" s="110" t="s">
        <v>174</v>
      </c>
      <c r="AU209" s="110">
        <v>20</v>
      </c>
      <c r="AW209" s="110" t="s">
        <v>174</v>
      </c>
      <c r="AX209" s="110" t="s">
        <v>174</v>
      </c>
      <c r="AY209" s="110" t="s">
        <v>174</v>
      </c>
      <c r="AZ209" s="110" t="s">
        <v>174</v>
      </c>
      <c r="BA209" s="110">
        <v>18</v>
      </c>
      <c r="BB209" s="110">
        <v>18</v>
      </c>
      <c r="BC209" s="110">
        <v>18</v>
      </c>
      <c r="BD209" s="110">
        <v>0</v>
      </c>
      <c r="BE209" s="110" t="s">
        <v>246</v>
      </c>
      <c r="BF209" s="110" t="s">
        <v>188</v>
      </c>
      <c r="BG209" s="110">
        <v>0</v>
      </c>
      <c r="BH209" s="110" t="s">
        <v>174</v>
      </c>
      <c r="BI209" s="110" t="s">
        <v>246</v>
      </c>
      <c r="BJ209" s="110" t="s">
        <v>881</v>
      </c>
      <c r="BK209" s="110">
        <v>3</v>
      </c>
      <c r="BL209" s="110">
        <v>10</v>
      </c>
      <c r="BM209" s="110" t="s">
        <v>1707</v>
      </c>
      <c r="BN209" s="110" t="s">
        <v>174</v>
      </c>
      <c r="BO209" s="110" t="s">
        <v>174</v>
      </c>
      <c r="BP209" s="110" t="s">
        <v>174</v>
      </c>
      <c r="BQ209" s="110" t="s">
        <v>174</v>
      </c>
      <c r="BR209" s="110" t="s">
        <v>174</v>
      </c>
      <c r="BS209" s="110">
        <v>35</v>
      </c>
      <c r="BT209" s="110" t="s">
        <v>1385</v>
      </c>
      <c r="BU209" s="110" t="s">
        <v>3207</v>
      </c>
      <c r="BV209" s="110" t="s">
        <v>2603</v>
      </c>
      <c r="BW209" s="110">
        <v>0.67</v>
      </c>
      <c r="BZ209" s="110">
        <v>0.1547</v>
      </c>
      <c r="CB209" s="110" t="s">
        <v>190</v>
      </c>
      <c r="CC209" s="110" t="b">
        <v>0</v>
      </c>
      <c r="CD209" s="110">
        <v>80.77</v>
      </c>
      <c r="CE209" s="110">
        <v>80.77</v>
      </c>
      <c r="CF209" s="110" t="s">
        <v>182</v>
      </c>
      <c r="CG209" s="110" t="s">
        <v>174</v>
      </c>
      <c r="CH209" s="110" t="s">
        <v>881</v>
      </c>
      <c r="CI209" s="110" t="s">
        <v>1192</v>
      </c>
    </row>
    <row r="210" spans="1:88">
      <c r="A210" s="110" t="s">
        <v>972</v>
      </c>
      <c r="B210" s="110">
        <v>47</v>
      </c>
      <c r="C210" s="110">
        <v>1</v>
      </c>
      <c r="D210" s="110">
        <v>1</v>
      </c>
      <c r="E210" s="110">
        <v>209</v>
      </c>
      <c r="F210" s="110">
        <v>2005</v>
      </c>
      <c r="G210" s="110" t="s">
        <v>187</v>
      </c>
      <c r="H210" s="110" t="s">
        <v>2437</v>
      </c>
      <c r="I210" s="110" t="s">
        <v>182</v>
      </c>
      <c r="J210" s="110" t="s">
        <v>246</v>
      </c>
      <c r="K210" s="110" t="s">
        <v>999</v>
      </c>
      <c r="L210" s="110" t="s">
        <v>999</v>
      </c>
      <c r="R210" s="110" t="s">
        <v>272</v>
      </c>
      <c r="S210" s="110" t="s">
        <v>443</v>
      </c>
      <c r="T210" s="110" t="s">
        <v>273</v>
      </c>
      <c r="U210" s="110" t="s">
        <v>1134</v>
      </c>
      <c r="V210" s="110">
        <v>56.884753289999999</v>
      </c>
      <c r="W210" s="110">
        <v>56.884753289999999</v>
      </c>
      <c r="X210" s="110">
        <v>8.8504984899999997</v>
      </c>
      <c r="Y210" s="110" t="s">
        <v>973</v>
      </c>
      <c r="Z210" s="110" t="s">
        <v>155</v>
      </c>
      <c r="AA210" s="110" t="s">
        <v>1788</v>
      </c>
      <c r="AB210" s="110" t="s">
        <v>333</v>
      </c>
      <c r="AC210" s="110" t="s">
        <v>246</v>
      </c>
      <c r="AD210" s="110" t="s">
        <v>182</v>
      </c>
      <c r="AE210" s="110" t="s">
        <v>187</v>
      </c>
      <c r="AF210" s="110" t="s">
        <v>1745</v>
      </c>
      <c r="AG210" s="110" t="s">
        <v>190</v>
      </c>
      <c r="AI210" s="110" t="s">
        <v>182</v>
      </c>
      <c r="AJ210" s="110" t="s">
        <v>1760</v>
      </c>
      <c r="AK210" s="110" t="s">
        <v>1344</v>
      </c>
      <c r="AL210" s="110" t="s">
        <v>1803</v>
      </c>
      <c r="AM210" s="110">
        <v>20000</v>
      </c>
      <c r="AN210" s="110" t="s">
        <v>412</v>
      </c>
      <c r="AO210" s="110">
        <v>1</v>
      </c>
      <c r="AP210" s="110" t="s">
        <v>190</v>
      </c>
      <c r="AQ210" s="110" t="s">
        <v>176</v>
      </c>
      <c r="AR210" s="110" t="s">
        <v>174</v>
      </c>
      <c r="AS210" s="110" t="s">
        <v>174</v>
      </c>
      <c r="AT210" s="110" t="s">
        <v>174</v>
      </c>
      <c r="AU210" s="110">
        <v>25</v>
      </c>
      <c r="AV210" s="110" t="s">
        <v>1256</v>
      </c>
      <c r="BA210" s="110">
        <v>15</v>
      </c>
      <c r="BB210" s="110">
        <v>15</v>
      </c>
      <c r="BC210" s="110">
        <v>15</v>
      </c>
      <c r="BD210" s="110">
        <v>0</v>
      </c>
      <c r="BE210" s="110" t="s">
        <v>246</v>
      </c>
      <c r="BF210" s="110" t="s">
        <v>188</v>
      </c>
      <c r="BG210" s="110">
        <v>0</v>
      </c>
      <c r="BH210" s="110" t="s">
        <v>174</v>
      </c>
      <c r="BI210" s="110" t="s">
        <v>246</v>
      </c>
      <c r="BJ210" s="110" t="s">
        <v>1345</v>
      </c>
      <c r="BK210" s="110">
        <v>3</v>
      </c>
      <c r="BL210" s="110">
        <v>9</v>
      </c>
      <c r="BM210" s="110" t="s">
        <v>1394</v>
      </c>
      <c r="BN210" s="110">
        <v>1.6E-2</v>
      </c>
      <c r="BO210" s="110" t="s">
        <v>174</v>
      </c>
      <c r="BP210" s="110" t="s">
        <v>174</v>
      </c>
      <c r="BQ210" s="110" t="s">
        <v>174</v>
      </c>
      <c r="BR210" s="110" t="s">
        <v>174</v>
      </c>
      <c r="BS210" s="110">
        <v>416</v>
      </c>
      <c r="BT210" s="110" t="s">
        <v>2347</v>
      </c>
      <c r="BU210" s="110" t="s">
        <v>1394</v>
      </c>
      <c r="BV210" s="110" t="s">
        <v>2603</v>
      </c>
      <c r="BW210" s="110">
        <v>0.95</v>
      </c>
      <c r="BZ210" s="110">
        <v>1.7100000000000001E-2</v>
      </c>
      <c r="CB210" s="110">
        <v>40.53492284</v>
      </c>
      <c r="CC210" s="110" t="b">
        <v>0</v>
      </c>
      <c r="CD210" s="110">
        <v>0</v>
      </c>
      <c r="CE210" s="110">
        <v>0</v>
      </c>
      <c r="CF210" s="110" t="s">
        <v>246</v>
      </c>
      <c r="CG210" s="110" t="s">
        <v>174</v>
      </c>
      <c r="CH210" s="110" t="s">
        <v>194</v>
      </c>
      <c r="CI210" s="110" t="s">
        <v>174</v>
      </c>
      <c r="CJ210" s="110" t="s">
        <v>1346</v>
      </c>
    </row>
    <row r="211" spans="1:88">
      <c r="A211" s="110" t="s">
        <v>972</v>
      </c>
      <c r="B211" s="110">
        <v>47</v>
      </c>
      <c r="C211" s="110">
        <v>1</v>
      </c>
      <c r="D211" s="110">
        <v>1</v>
      </c>
      <c r="E211" s="110">
        <v>210</v>
      </c>
      <c r="F211" s="110">
        <v>2005</v>
      </c>
      <c r="G211" s="110" t="s">
        <v>187</v>
      </c>
      <c r="H211" s="110" t="s">
        <v>2437</v>
      </c>
      <c r="I211" s="110" t="s">
        <v>182</v>
      </c>
      <c r="J211" s="110" t="s">
        <v>246</v>
      </c>
      <c r="K211" s="110" t="s">
        <v>999</v>
      </c>
      <c r="L211" s="110" t="s">
        <v>999</v>
      </c>
      <c r="R211" s="110" t="s">
        <v>272</v>
      </c>
      <c r="S211" s="110" t="s">
        <v>443</v>
      </c>
      <c r="T211" s="110" t="s">
        <v>1348</v>
      </c>
      <c r="U211" s="110" t="s">
        <v>1350</v>
      </c>
      <c r="V211" s="110">
        <v>56.884753289999999</v>
      </c>
      <c r="W211" s="110">
        <v>56.884753289999999</v>
      </c>
      <c r="X211" s="110">
        <v>8.8504984899999997</v>
      </c>
      <c r="Y211" s="110" t="s">
        <v>973</v>
      </c>
      <c r="Z211" s="110" t="s">
        <v>155</v>
      </c>
      <c r="AA211" s="110" t="s">
        <v>1788</v>
      </c>
      <c r="AB211" s="110" t="s">
        <v>333</v>
      </c>
      <c r="AC211" s="110" t="s">
        <v>246</v>
      </c>
      <c r="AD211" s="110" t="s">
        <v>182</v>
      </c>
      <c r="AE211" s="110" t="s">
        <v>187</v>
      </c>
      <c r="AF211" s="110" t="s">
        <v>1745</v>
      </c>
      <c r="AG211" s="110" t="s">
        <v>190</v>
      </c>
      <c r="AI211" s="110" t="s">
        <v>182</v>
      </c>
      <c r="AJ211" s="110" t="s">
        <v>1760</v>
      </c>
      <c r="AK211" s="110" t="s">
        <v>1344</v>
      </c>
      <c r="AL211" s="110" t="s">
        <v>1803</v>
      </c>
      <c r="AM211" s="110">
        <v>20000</v>
      </c>
      <c r="AN211" s="110" t="s">
        <v>412</v>
      </c>
      <c r="AO211" s="110">
        <v>1</v>
      </c>
      <c r="AP211" s="110" t="s">
        <v>190</v>
      </c>
      <c r="AQ211" s="110" t="s">
        <v>176</v>
      </c>
      <c r="AR211" s="110" t="s">
        <v>174</v>
      </c>
      <c r="AS211" s="110" t="s">
        <v>174</v>
      </c>
      <c r="AT211" s="110" t="s">
        <v>174</v>
      </c>
      <c r="AU211" s="110">
        <v>25</v>
      </c>
      <c r="AV211" s="110" t="s">
        <v>1256</v>
      </c>
      <c r="BA211" s="110">
        <v>15</v>
      </c>
      <c r="BB211" s="110">
        <v>15</v>
      </c>
      <c r="BC211" s="110">
        <v>15</v>
      </c>
      <c r="BD211" s="110">
        <v>0</v>
      </c>
      <c r="BE211" s="110" t="s">
        <v>246</v>
      </c>
      <c r="BF211" s="110" t="s">
        <v>188</v>
      </c>
      <c r="BG211" s="110">
        <v>0</v>
      </c>
      <c r="BH211" s="110" t="s">
        <v>174</v>
      </c>
      <c r="BI211" s="110" t="s">
        <v>246</v>
      </c>
      <c r="BJ211" s="110" t="s">
        <v>1345</v>
      </c>
      <c r="BK211" s="110">
        <v>3</v>
      </c>
      <c r="BL211" s="110">
        <v>9</v>
      </c>
      <c r="BM211" s="110" t="s">
        <v>1394</v>
      </c>
      <c r="BN211" s="110">
        <v>1.9E-2</v>
      </c>
      <c r="BO211" s="110" t="s">
        <v>174</v>
      </c>
      <c r="BP211" s="110" t="s">
        <v>174</v>
      </c>
      <c r="BQ211" s="110" t="s">
        <v>174</v>
      </c>
      <c r="BR211" s="110" t="s">
        <v>174</v>
      </c>
      <c r="BS211" s="110">
        <v>416</v>
      </c>
      <c r="BT211" s="110" t="s">
        <v>1385</v>
      </c>
      <c r="BU211" s="110" t="s">
        <v>3207</v>
      </c>
      <c r="BV211" s="110" t="s">
        <v>2603</v>
      </c>
      <c r="BW211" s="110">
        <v>0.86</v>
      </c>
      <c r="BZ211" s="110">
        <v>1.89E-2</v>
      </c>
      <c r="CB211" s="110" t="s">
        <v>190</v>
      </c>
      <c r="CC211" s="110" t="b">
        <v>0</v>
      </c>
      <c r="CD211" s="110">
        <v>68.2</v>
      </c>
      <c r="CE211" s="110">
        <v>68.2</v>
      </c>
      <c r="CF211" s="110" t="s">
        <v>182</v>
      </c>
      <c r="CG211" s="110" t="s">
        <v>174</v>
      </c>
      <c r="CH211" s="110" t="s">
        <v>194</v>
      </c>
      <c r="CI211" s="110" t="s">
        <v>174</v>
      </c>
      <c r="CJ211" s="110" t="s">
        <v>1347</v>
      </c>
    </row>
    <row r="212" spans="1:88">
      <c r="A212" s="110" t="s">
        <v>1988</v>
      </c>
      <c r="B212" s="110">
        <v>48</v>
      </c>
      <c r="C212" s="110">
        <v>1</v>
      </c>
      <c r="D212" s="110">
        <v>1</v>
      </c>
      <c r="E212" s="110">
        <v>211</v>
      </c>
      <c r="F212" s="110">
        <v>2009</v>
      </c>
      <c r="G212" s="110" t="s">
        <v>161</v>
      </c>
      <c r="H212" s="110" t="s">
        <v>2440</v>
      </c>
      <c r="I212" s="110" t="s">
        <v>246</v>
      </c>
      <c r="J212" s="110" t="s">
        <v>246</v>
      </c>
      <c r="K212" s="110" t="s">
        <v>999</v>
      </c>
      <c r="L212" s="110" t="s">
        <v>999</v>
      </c>
      <c r="R212" s="110" t="s">
        <v>272</v>
      </c>
      <c r="S212" s="110" t="s">
        <v>443</v>
      </c>
      <c r="T212" s="110" t="s">
        <v>611</v>
      </c>
      <c r="U212" s="110" t="s">
        <v>931</v>
      </c>
      <c r="V212" s="110">
        <v>77</v>
      </c>
      <c r="W212" s="110">
        <v>77</v>
      </c>
      <c r="X212" s="110">
        <v>15.5</v>
      </c>
      <c r="Y212" s="110" t="s">
        <v>291</v>
      </c>
      <c r="Z212" s="110" t="s">
        <v>155</v>
      </c>
      <c r="AA212" s="110" t="s">
        <v>424</v>
      </c>
      <c r="AB212" s="110" t="s">
        <v>1724</v>
      </c>
      <c r="AC212" s="110" t="s">
        <v>182</v>
      </c>
      <c r="AD212" s="110" t="s">
        <v>1256</v>
      </c>
      <c r="AE212" s="110" t="s">
        <v>1306</v>
      </c>
      <c r="AF212" s="110" t="s">
        <v>1745</v>
      </c>
      <c r="AH212" s="110" t="s">
        <v>1775</v>
      </c>
      <c r="AI212" s="110" t="s">
        <v>246</v>
      </c>
      <c r="AJ212" s="110" t="s">
        <v>246</v>
      </c>
      <c r="AK212" s="110" t="s">
        <v>171</v>
      </c>
      <c r="AO212" s="110">
        <v>1</v>
      </c>
      <c r="AQ212" s="110" t="s">
        <v>176</v>
      </c>
      <c r="AR212" s="110">
        <v>2005</v>
      </c>
      <c r="AS212" s="110" t="s">
        <v>237</v>
      </c>
      <c r="AT212" s="110" t="s">
        <v>420</v>
      </c>
      <c r="AU212" s="110">
        <v>9</v>
      </c>
      <c r="AV212" s="110" t="s">
        <v>1255</v>
      </c>
      <c r="BE212" s="110" t="s">
        <v>182</v>
      </c>
      <c r="BF212" s="110" t="s">
        <v>412</v>
      </c>
      <c r="BK212" s="110">
        <v>9</v>
      </c>
      <c r="BL212" s="110">
        <v>1</v>
      </c>
      <c r="BO212" s="110">
        <v>1.451612903</v>
      </c>
      <c r="BS212" s="110">
        <v>21</v>
      </c>
      <c r="BT212" s="110" t="s">
        <v>2256</v>
      </c>
      <c r="BU212" s="110" t="s">
        <v>2606</v>
      </c>
      <c r="BV212" s="110" t="s">
        <v>2256</v>
      </c>
      <c r="CA212" s="110">
        <v>1.451612903</v>
      </c>
      <c r="CB212" s="110">
        <v>34.444444439999998</v>
      </c>
      <c r="CC212" s="110" t="b">
        <v>0</v>
      </c>
      <c r="CD212" s="110">
        <f>100-43.97</f>
        <v>56.03</v>
      </c>
      <c r="CE212" s="110" t="s">
        <v>2256</v>
      </c>
      <c r="CF212" s="110" t="s">
        <v>2256</v>
      </c>
    </row>
    <row r="213" spans="1:88">
      <c r="A213" s="110" t="s">
        <v>2178</v>
      </c>
      <c r="B213" s="110">
        <v>49</v>
      </c>
      <c r="C213" s="110">
        <v>1</v>
      </c>
      <c r="D213" s="110">
        <v>1</v>
      </c>
      <c r="E213" s="110">
        <v>212</v>
      </c>
      <c r="F213" s="110">
        <v>2003</v>
      </c>
      <c r="G213" s="110" t="s">
        <v>187</v>
      </c>
      <c r="H213" s="110" t="s">
        <v>2440</v>
      </c>
      <c r="I213" s="110" t="s">
        <v>182</v>
      </c>
      <c r="J213" s="110" t="s">
        <v>246</v>
      </c>
      <c r="K213" s="110" t="s">
        <v>725</v>
      </c>
      <c r="L213" s="110" t="s">
        <v>725</v>
      </c>
      <c r="M213" s="110" t="s">
        <v>3175</v>
      </c>
      <c r="P213" s="110" t="s">
        <v>3180</v>
      </c>
      <c r="R213" s="110" t="s">
        <v>272</v>
      </c>
      <c r="S213" s="110" t="s">
        <v>443</v>
      </c>
      <c r="T213" s="110" t="s">
        <v>611</v>
      </c>
      <c r="U213" s="110" t="s">
        <v>613</v>
      </c>
      <c r="V213" s="110">
        <v>55.456393550000001</v>
      </c>
      <c r="W213" s="110">
        <v>55.456393550000001</v>
      </c>
      <c r="X213" s="110">
        <v>10.66539102</v>
      </c>
      <c r="Y213" s="110" t="s">
        <v>973</v>
      </c>
      <c r="Z213" s="110" t="s">
        <v>155</v>
      </c>
      <c r="AA213" s="110" t="s">
        <v>1788</v>
      </c>
      <c r="AB213" s="110" t="s">
        <v>2089</v>
      </c>
      <c r="AC213" s="110" t="s">
        <v>182</v>
      </c>
      <c r="AD213" s="110" t="s">
        <v>1725</v>
      </c>
      <c r="AE213" s="110" t="s">
        <v>1087</v>
      </c>
      <c r="AF213" s="110" t="s">
        <v>1745</v>
      </c>
      <c r="AI213" s="110" t="s">
        <v>246</v>
      </c>
      <c r="AJ213" s="110" t="s">
        <v>246</v>
      </c>
      <c r="AK213" s="110" t="s">
        <v>2091</v>
      </c>
      <c r="AL213" s="110" t="s">
        <v>2083</v>
      </c>
      <c r="AN213" s="110" t="s">
        <v>1903</v>
      </c>
      <c r="AO213" s="110" t="s">
        <v>190</v>
      </c>
      <c r="AQ213" s="110" t="s">
        <v>176</v>
      </c>
      <c r="AR213" s="110">
        <v>1998</v>
      </c>
      <c r="AS213" s="110" t="s">
        <v>253</v>
      </c>
      <c r="AT213" s="110" t="s">
        <v>254</v>
      </c>
      <c r="AU213" s="110">
        <v>1</v>
      </c>
      <c r="AV213" s="110" t="s">
        <v>1256</v>
      </c>
      <c r="BA213" s="110">
        <v>15</v>
      </c>
      <c r="BB213" s="110">
        <v>15</v>
      </c>
      <c r="BC213" s="110">
        <v>15</v>
      </c>
      <c r="BD213" s="110">
        <v>0</v>
      </c>
      <c r="BE213" s="110" t="s">
        <v>246</v>
      </c>
      <c r="BF213" s="110" t="s">
        <v>188</v>
      </c>
      <c r="BG213" s="110">
        <v>0</v>
      </c>
      <c r="BI213" s="110" t="s">
        <v>182</v>
      </c>
      <c r="BK213" s="110">
        <v>3</v>
      </c>
      <c r="BL213" s="110">
        <v>1</v>
      </c>
      <c r="BM213" s="110" t="s">
        <v>2082</v>
      </c>
      <c r="BN213" s="110">
        <v>1.8159999999999999E-2</v>
      </c>
      <c r="BP213" s="110">
        <v>38.168897610000002</v>
      </c>
      <c r="BS213" s="110">
        <v>18</v>
      </c>
      <c r="BT213" s="110" t="s">
        <v>2458</v>
      </c>
      <c r="BU213" s="110" t="s">
        <v>2606</v>
      </c>
      <c r="BV213" s="110" t="s">
        <v>2458</v>
      </c>
      <c r="BZ213" s="110">
        <v>1.8159999999999999E-2</v>
      </c>
      <c r="CB213" s="110">
        <v>38.168897610000002</v>
      </c>
      <c r="CC213" s="110" t="b">
        <v>0</v>
      </c>
      <c r="CD213" s="110" t="s">
        <v>2256</v>
      </c>
      <c r="CE213" s="110" t="s">
        <v>2256</v>
      </c>
      <c r="CF213" s="110" t="s">
        <v>2256</v>
      </c>
      <c r="CH213" s="110" t="s">
        <v>2087</v>
      </c>
      <c r="CJ213" s="110" t="s">
        <v>2092</v>
      </c>
    </row>
    <row r="214" spans="1:88">
      <c r="A214" s="110" t="s">
        <v>2178</v>
      </c>
      <c r="B214" s="110">
        <v>49</v>
      </c>
      <c r="C214" s="110">
        <v>1</v>
      </c>
      <c r="D214" s="110">
        <v>1</v>
      </c>
      <c r="E214" s="110">
        <v>213</v>
      </c>
      <c r="F214" s="110">
        <v>2003</v>
      </c>
      <c r="G214" s="110" t="s">
        <v>187</v>
      </c>
      <c r="H214" s="110" t="s">
        <v>2440</v>
      </c>
      <c r="I214" s="110" t="s">
        <v>182</v>
      </c>
      <c r="J214" s="110" t="s">
        <v>246</v>
      </c>
      <c r="K214" s="110" t="s">
        <v>725</v>
      </c>
      <c r="L214" s="110" t="s">
        <v>725</v>
      </c>
      <c r="M214" s="110" t="s">
        <v>3175</v>
      </c>
      <c r="P214" s="110" t="s">
        <v>3180</v>
      </c>
      <c r="R214" s="110" t="s">
        <v>272</v>
      </c>
      <c r="S214" s="110" t="s">
        <v>443</v>
      </c>
      <c r="T214" s="110" t="s">
        <v>611</v>
      </c>
      <c r="U214" s="110" t="s">
        <v>613</v>
      </c>
      <c r="V214" s="110">
        <v>55.456393550000001</v>
      </c>
      <c r="W214" s="110">
        <v>55.456393550000001</v>
      </c>
      <c r="X214" s="110">
        <v>10.66539102</v>
      </c>
      <c r="Y214" s="110" t="s">
        <v>973</v>
      </c>
      <c r="Z214" s="110" t="s">
        <v>155</v>
      </c>
      <c r="AA214" s="110" t="s">
        <v>1788</v>
      </c>
      <c r="AB214" s="110" t="s">
        <v>2089</v>
      </c>
      <c r="AC214" s="110" t="s">
        <v>182</v>
      </c>
      <c r="AD214" s="110" t="s">
        <v>1725</v>
      </c>
      <c r="AE214" s="110" t="s">
        <v>1087</v>
      </c>
      <c r="AF214" s="110" t="s">
        <v>1745</v>
      </c>
      <c r="AI214" s="110" t="s">
        <v>182</v>
      </c>
      <c r="AJ214" s="110" t="s">
        <v>2090</v>
      </c>
      <c r="AK214" s="110" t="s">
        <v>2091</v>
      </c>
      <c r="AL214" s="110" t="s">
        <v>2083</v>
      </c>
      <c r="AN214" s="110" t="s">
        <v>1903</v>
      </c>
      <c r="AO214" s="110" t="s">
        <v>190</v>
      </c>
      <c r="AQ214" s="110" t="s">
        <v>176</v>
      </c>
      <c r="AR214" s="110">
        <v>1998</v>
      </c>
      <c r="AS214" s="110" t="s">
        <v>253</v>
      </c>
      <c r="AT214" s="110" t="s">
        <v>254</v>
      </c>
      <c r="AU214" s="110">
        <v>1</v>
      </c>
      <c r="AV214" s="110" t="s">
        <v>1256</v>
      </c>
      <c r="BA214" s="110">
        <v>15</v>
      </c>
      <c r="BB214" s="110">
        <v>15</v>
      </c>
      <c r="BC214" s="110">
        <v>15</v>
      </c>
      <c r="BD214" s="110">
        <v>0</v>
      </c>
      <c r="BE214" s="110" t="s">
        <v>246</v>
      </c>
      <c r="BF214" s="110" t="s">
        <v>188</v>
      </c>
      <c r="BG214" s="110">
        <v>0</v>
      </c>
      <c r="BI214" s="110" t="s">
        <v>182</v>
      </c>
      <c r="BK214" s="110">
        <v>3</v>
      </c>
      <c r="BL214" s="110">
        <v>1</v>
      </c>
      <c r="BM214" s="110" t="s">
        <v>2082</v>
      </c>
      <c r="BN214" s="110">
        <v>9.8899999999999995E-3</v>
      </c>
      <c r="BP214" s="110">
        <v>70.085660320000002</v>
      </c>
      <c r="BS214" s="110">
        <v>18</v>
      </c>
      <c r="BT214" s="110" t="s">
        <v>2458</v>
      </c>
      <c r="BU214" s="110" t="s">
        <v>2606</v>
      </c>
      <c r="BV214" s="110" t="s">
        <v>2458</v>
      </c>
      <c r="BZ214" s="110">
        <v>9.8899999999999995E-3</v>
      </c>
      <c r="CB214" s="110">
        <v>70.085660320000002</v>
      </c>
      <c r="CC214" s="110" t="b">
        <v>0</v>
      </c>
      <c r="CD214" s="110" t="s">
        <v>2256</v>
      </c>
      <c r="CE214" s="110" t="s">
        <v>2256</v>
      </c>
      <c r="CF214" s="110" t="s">
        <v>2256</v>
      </c>
      <c r="CH214" s="110" t="s">
        <v>2088</v>
      </c>
      <c r="CJ214" s="110" t="s">
        <v>2092</v>
      </c>
    </row>
    <row r="215" spans="1:88">
      <c r="A215" s="110" t="s">
        <v>2178</v>
      </c>
      <c r="B215" s="110">
        <v>49</v>
      </c>
      <c r="C215" s="110">
        <v>1</v>
      </c>
      <c r="D215" s="110">
        <v>1</v>
      </c>
      <c r="E215" s="110">
        <v>214</v>
      </c>
      <c r="F215" s="110">
        <v>2003</v>
      </c>
      <c r="G215" s="110" t="s">
        <v>187</v>
      </c>
      <c r="H215" s="110" t="s">
        <v>2440</v>
      </c>
      <c r="I215" s="110" t="s">
        <v>182</v>
      </c>
      <c r="J215" s="110" t="s">
        <v>246</v>
      </c>
      <c r="K215" s="110" t="s">
        <v>725</v>
      </c>
      <c r="L215" s="110" t="s">
        <v>725</v>
      </c>
      <c r="M215" s="110" t="s">
        <v>3175</v>
      </c>
      <c r="P215" s="110" t="s">
        <v>3180</v>
      </c>
      <c r="R215" s="110" t="s">
        <v>272</v>
      </c>
      <c r="S215" s="110" t="s">
        <v>443</v>
      </c>
      <c r="T215" s="110" t="s">
        <v>611</v>
      </c>
      <c r="U215" s="110" t="s">
        <v>613</v>
      </c>
      <c r="V215" s="110">
        <v>55.456393550000001</v>
      </c>
      <c r="W215" s="110">
        <v>55.456393550000001</v>
      </c>
      <c r="X215" s="110">
        <v>10.66539102</v>
      </c>
      <c r="Y215" s="110" t="s">
        <v>973</v>
      </c>
      <c r="Z215" s="110" t="s">
        <v>155</v>
      </c>
      <c r="AA215" s="110" t="s">
        <v>1788</v>
      </c>
      <c r="AB215" s="110" t="s">
        <v>2084</v>
      </c>
      <c r="AC215" s="110" t="s">
        <v>182</v>
      </c>
      <c r="AD215" s="110" t="s">
        <v>1725</v>
      </c>
      <c r="AE215" s="110" t="s">
        <v>1087</v>
      </c>
      <c r="AF215" s="110" t="s">
        <v>1745</v>
      </c>
      <c r="AI215" s="110" t="s">
        <v>246</v>
      </c>
      <c r="AJ215" s="110" t="s">
        <v>246</v>
      </c>
      <c r="AK215" s="110" t="s">
        <v>2091</v>
      </c>
      <c r="AL215" s="110" t="s">
        <v>2083</v>
      </c>
      <c r="AN215" s="110" t="s">
        <v>1903</v>
      </c>
      <c r="AO215" s="110" t="s">
        <v>190</v>
      </c>
      <c r="AQ215" s="110" t="s">
        <v>176</v>
      </c>
      <c r="AR215" s="110">
        <v>1998</v>
      </c>
      <c r="AS215" s="110" t="s">
        <v>253</v>
      </c>
      <c r="AT215" s="110" t="s">
        <v>254</v>
      </c>
      <c r="AU215" s="110">
        <v>1</v>
      </c>
      <c r="AV215" s="110" t="s">
        <v>1256</v>
      </c>
      <c r="BA215" s="110">
        <v>15</v>
      </c>
      <c r="BB215" s="110">
        <v>15</v>
      </c>
      <c r="BC215" s="110">
        <v>15</v>
      </c>
      <c r="BD215" s="110">
        <v>0</v>
      </c>
      <c r="BE215" s="110" t="s">
        <v>246</v>
      </c>
      <c r="BF215" s="110" t="s">
        <v>188</v>
      </c>
      <c r="BG215" s="110">
        <v>0</v>
      </c>
      <c r="BI215" s="110" t="s">
        <v>182</v>
      </c>
      <c r="BK215" s="110">
        <v>3</v>
      </c>
      <c r="BL215" s="110">
        <v>1</v>
      </c>
      <c r="BM215" s="110" t="s">
        <v>2082</v>
      </c>
      <c r="BN215" s="110">
        <v>8.3049999999999999E-3</v>
      </c>
      <c r="BP215" s="110">
        <v>83.461430530000001</v>
      </c>
      <c r="BS215" s="110">
        <v>18</v>
      </c>
      <c r="BT215" s="110" t="s">
        <v>2458</v>
      </c>
      <c r="BU215" s="110" t="s">
        <v>2606</v>
      </c>
      <c r="BV215" s="110" t="s">
        <v>2458</v>
      </c>
      <c r="BZ215" s="110">
        <v>8.3049999999999999E-3</v>
      </c>
      <c r="CB215" s="110">
        <v>83.461430530000001</v>
      </c>
      <c r="CC215" s="110" t="b">
        <v>0</v>
      </c>
      <c r="CD215" s="110" t="s">
        <v>2256</v>
      </c>
      <c r="CE215" s="110" t="s">
        <v>2256</v>
      </c>
      <c r="CF215" s="110" t="s">
        <v>2256</v>
      </c>
      <c r="CH215" s="110" t="s">
        <v>2085</v>
      </c>
      <c r="CJ215" s="110" t="s">
        <v>2092</v>
      </c>
    </row>
    <row r="216" spans="1:88">
      <c r="A216" s="110" t="s">
        <v>2178</v>
      </c>
      <c r="B216" s="110">
        <v>49</v>
      </c>
      <c r="C216" s="110">
        <v>1</v>
      </c>
      <c r="D216" s="110">
        <v>1</v>
      </c>
      <c r="E216" s="110">
        <v>215</v>
      </c>
      <c r="F216" s="110">
        <v>2003</v>
      </c>
      <c r="G216" s="110" t="s">
        <v>187</v>
      </c>
      <c r="H216" s="110" t="s">
        <v>2440</v>
      </c>
      <c r="I216" s="110" t="s">
        <v>182</v>
      </c>
      <c r="J216" s="110" t="s">
        <v>246</v>
      </c>
      <c r="K216" s="110" t="s">
        <v>725</v>
      </c>
      <c r="L216" s="110" t="s">
        <v>725</v>
      </c>
      <c r="M216" s="110" t="s">
        <v>3175</v>
      </c>
      <c r="P216" s="110" t="s">
        <v>3180</v>
      </c>
      <c r="R216" s="110" t="s">
        <v>272</v>
      </c>
      <c r="S216" s="110" t="s">
        <v>443</v>
      </c>
      <c r="T216" s="110" t="s">
        <v>611</v>
      </c>
      <c r="U216" s="110" t="s">
        <v>613</v>
      </c>
      <c r="V216" s="110">
        <v>55.456393550000001</v>
      </c>
      <c r="W216" s="110">
        <v>55.456393550000001</v>
      </c>
      <c r="X216" s="110">
        <v>10.66539102</v>
      </c>
      <c r="Y216" s="110" t="s">
        <v>973</v>
      </c>
      <c r="Z216" s="110" t="s">
        <v>155</v>
      </c>
      <c r="AA216" s="110" t="s">
        <v>1788</v>
      </c>
      <c r="AB216" s="110" t="s">
        <v>2084</v>
      </c>
      <c r="AC216" s="110" t="s">
        <v>182</v>
      </c>
      <c r="AD216" s="110" t="s">
        <v>1725</v>
      </c>
      <c r="AE216" s="110" t="s">
        <v>1087</v>
      </c>
      <c r="AF216" s="110" t="s">
        <v>1745</v>
      </c>
      <c r="AI216" s="110" t="s">
        <v>182</v>
      </c>
      <c r="AJ216" s="110" t="s">
        <v>2090</v>
      </c>
      <c r="AK216" s="110" t="s">
        <v>2091</v>
      </c>
      <c r="AL216" s="110" t="s">
        <v>2083</v>
      </c>
      <c r="AN216" s="110" t="s">
        <v>1903</v>
      </c>
      <c r="AO216" s="110" t="s">
        <v>190</v>
      </c>
      <c r="AQ216" s="110" t="s">
        <v>176</v>
      </c>
      <c r="AR216" s="110">
        <v>1998</v>
      </c>
      <c r="AS216" s="110" t="s">
        <v>253</v>
      </c>
      <c r="AT216" s="110" t="s">
        <v>254</v>
      </c>
      <c r="AU216" s="110">
        <v>1</v>
      </c>
      <c r="AV216" s="110" t="s">
        <v>1256</v>
      </c>
      <c r="BA216" s="110">
        <v>15</v>
      </c>
      <c r="BB216" s="110">
        <v>15</v>
      </c>
      <c r="BC216" s="110">
        <v>15</v>
      </c>
      <c r="BD216" s="110">
        <v>0</v>
      </c>
      <c r="BE216" s="110" t="s">
        <v>246</v>
      </c>
      <c r="BF216" s="110" t="s">
        <v>188</v>
      </c>
      <c r="BG216" s="110">
        <v>0</v>
      </c>
      <c r="BI216" s="110" t="s">
        <v>182</v>
      </c>
      <c r="BK216" s="110">
        <v>3</v>
      </c>
      <c r="BL216" s="110">
        <v>1</v>
      </c>
      <c r="BM216" s="110" t="s">
        <v>2082</v>
      </c>
      <c r="BN216" s="110">
        <v>3.3800000000000002E-3</v>
      </c>
      <c r="BP216" s="110">
        <v>205.0731303</v>
      </c>
      <c r="BS216" s="110">
        <v>18</v>
      </c>
      <c r="BT216" s="110" t="s">
        <v>2458</v>
      </c>
      <c r="BU216" s="110" t="s">
        <v>2606</v>
      </c>
      <c r="BV216" s="110" t="s">
        <v>2458</v>
      </c>
      <c r="BZ216" s="110">
        <v>3.3800000000000002E-3</v>
      </c>
      <c r="CB216" s="110">
        <v>205.0731303</v>
      </c>
      <c r="CC216" s="110" t="b">
        <v>1</v>
      </c>
      <c r="CD216" s="110" t="s">
        <v>2256</v>
      </c>
      <c r="CE216" s="110" t="s">
        <v>2256</v>
      </c>
      <c r="CF216" s="110" t="s">
        <v>2256</v>
      </c>
      <c r="CH216" s="110" t="s">
        <v>2086</v>
      </c>
      <c r="CJ216" s="110" t="s">
        <v>2092</v>
      </c>
    </row>
    <row r="217" spans="1:88">
      <c r="A217" s="110" t="s">
        <v>2178</v>
      </c>
      <c r="B217" s="110">
        <v>49</v>
      </c>
      <c r="C217" s="110">
        <v>1</v>
      </c>
      <c r="D217" s="110">
        <v>1</v>
      </c>
      <c r="E217" s="110">
        <v>216</v>
      </c>
      <c r="F217" s="110">
        <v>2003</v>
      </c>
      <c r="G217" s="110" t="s">
        <v>187</v>
      </c>
      <c r="H217" s="110" t="s">
        <v>2440</v>
      </c>
      <c r="I217" s="110" t="s">
        <v>182</v>
      </c>
      <c r="J217" s="110" t="s">
        <v>246</v>
      </c>
      <c r="K217" s="110" t="s">
        <v>725</v>
      </c>
      <c r="L217" s="110" t="s">
        <v>725</v>
      </c>
      <c r="M217" s="110" t="s">
        <v>3175</v>
      </c>
      <c r="P217" s="110" t="s">
        <v>3180</v>
      </c>
      <c r="R217" s="110" t="s">
        <v>272</v>
      </c>
      <c r="S217" s="110" t="s">
        <v>443</v>
      </c>
      <c r="T217" s="110" t="s">
        <v>611</v>
      </c>
      <c r="U217" s="110" t="s">
        <v>613</v>
      </c>
      <c r="V217" s="110">
        <v>55.456393550000001</v>
      </c>
      <c r="W217" s="110">
        <v>55.456393550000001</v>
      </c>
      <c r="X217" s="110">
        <v>10.66539102</v>
      </c>
      <c r="Y217" s="110" t="s">
        <v>973</v>
      </c>
      <c r="Z217" s="110" t="s">
        <v>155</v>
      </c>
      <c r="AA217" s="110" t="s">
        <v>1788</v>
      </c>
      <c r="AB217" s="110" t="s">
        <v>2084</v>
      </c>
      <c r="AC217" s="110" t="s">
        <v>182</v>
      </c>
      <c r="AD217" s="110" t="s">
        <v>1725</v>
      </c>
      <c r="AE217" s="110" t="s">
        <v>1087</v>
      </c>
      <c r="AF217" s="110" t="s">
        <v>1745</v>
      </c>
      <c r="AI217" s="110" t="s">
        <v>246</v>
      </c>
      <c r="AJ217" s="110" t="s">
        <v>246</v>
      </c>
      <c r="AK217" s="110" t="s">
        <v>2091</v>
      </c>
      <c r="AL217" s="110" t="s">
        <v>2083</v>
      </c>
      <c r="AN217" s="110" t="s">
        <v>1903</v>
      </c>
      <c r="AO217" s="110" t="s">
        <v>190</v>
      </c>
      <c r="AQ217" s="110" t="s">
        <v>176</v>
      </c>
      <c r="AR217" s="110">
        <v>1998</v>
      </c>
      <c r="AS217" s="110" t="s">
        <v>253</v>
      </c>
      <c r="AT217" s="110" t="s">
        <v>254</v>
      </c>
      <c r="AU217" s="110">
        <v>1</v>
      </c>
      <c r="AV217" s="110" t="s">
        <v>1256</v>
      </c>
      <c r="BC217" s="110">
        <v>15</v>
      </c>
      <c r="BE217" s="110" t="s">
        <v>246</v>
      </c>
      <c r="BF217" s="110" t="s">
        <v>188</v>
      </c>
      <c r="BG217" s="110">
        <v>0</v>
      </c>
      <c r="BI217" s="110" t="s">
        <v>182</v>
      </c>
      <c r="BK217" s="110">
        <v>3</v>
      </c>
      <c r="BL217" s="110">
        <v>1</v>
      </c>
      <c r="BM217" s="110" t="s">
        <v>2082</v>
      </c>
      <c r="BN217" s="110">
        <v>2.4400000000000002E-2</v>
      </c>
      <c r="BP217" s="110">
        <v>28.407671329999999</v>
      </c>
      <c r="BS217" s="110">
        <v>18</v>
      </c>
      <c r="BT217" s="110" t="s">
        <v>2458</v>
      </c>
      <c r="BU217" s="110" t="s">
        <v>2606</v>
      </c>
      <c r="BV217" s="110" t="s">
        <v>2458</v>
      </c>
      <c r="BZ217" s="110">
        <v>2.4400000000000002E-2</v>
      </c>
      <c r="CB217" s="110">
        <v>28.407671329999999</v>
      </c>
      <c r="CC217" s="110" t="b">
        <v>0</v>
      </c>
      <c r="CD217" s="110" t="s">
        <v>2256</v>
      </c>
      <c r="CE217" s="110" t="s">
        <v>2256</v>
      </c>
      <c r="CF217" s="110" t="s">
        <v>2256</v>
      </c>
      <c r="CH217" s="110" t="s">
        <v>2160</v>
      </c>
    </row>
    <row r="218" spans="1:88">
      <c r="A218" s="110" t="s">
        <v>2178</v>
      </c>
      <c r="B218" s="110">
        <v>49</v>
      </c>
      <c r="C218" s="110">
        <v>1</v>
      </c>
      <c r="D218" s="110">
        <v>1</v>
      </c>
      <c r="E218" s="110">
        <v>217</v>
      </c>
      <c r="F218" s="110">
        <v>2003</v>
      </c>
      <c r="G218" s="110" t="s">
        <v>187</v>
      </c>
      <c r="H218" s="110" t="s">
        <v>2440</v>
      </c>
      <c r="I218" s="110" t="s">
        <v>182</v>
      </c>
      <c r="J218" s="110" t="s">
        <v>246</v>
      </c>
      <c r="K218" s="110" t="s">
        <v>725</v>
      </c>
      <c r="L218" s="110" t="s">
        <v>725</v>
      </c>
      <c r="M218" s="110" t="s">
        <v>3175</v>
      </c>
      <c r="P218" s="110" t="s">
        <v>3180</v>
      </c>
      <c r="R218" s="110" t="s">
        <v>272</v>
      </c>
      <c r="S218" s="110" t="s">
        <v>443</v>
      </c>
      <c r="T218" s="110" t="s">
        <v>611</v>
      </c>
      <c r="U218" s="110" t="s">
        <v>613</v>
      </c>
      <c r="V218" s="110">
        <v>55.456393550000001</v>
      </c>
      <c r="W218" s="110">
        <v>55.456393550000001</v>
      </c>
      <c r="X218" s="110">
        <v>10.66539102</v>
      </c>
      <c r="Y218" s="110" t="s">
        <v>973</v>
      </c>
      <c r="Z218" s="110" t="s">
        <v>155</v>
      </c>
      <c r="AA218" s="110" t="s">
        <v>1788</v>
      </c>
      <c r="AB218" s="110" t="s">
        <v>2084</v>
      </c>
      <c r="AC218" s="110" t="s">
        <v>182</v>
      </c>
      <c r="AD218" s="110" t="s">
        <v>1725</v>
      </c>
      <c r="AE218" s="110" t="s">
        <v>1087</v>
      </c>
      <c r="AF218" s="110" t="s">
        <v>1745</v>
      </c>
      <c r="AI218" s="110" t="s">
        <v>182</v>
      </c>
      <c r="AJ218" s="110" t="s">
        <v>2090</v>
      </c>
      <c r="AK218" s="110" t="s">
        <v>2091</v>
      </c>
      <c r="AL218" s="110" t="s">
        <v>2083</v>
      </c>
      <c r="AN218" s="110" t="s">
        <v>1903</v>
      </c>
      <c r="AO218" s="110" t="s">
        <v>190</v>
      </c>
      <c r="AQ218" s="110" t="s">
        <v>176</v>
      </c>
      <c r="AR218" s="110">
        <v>1998</v>
      </c>
      <c r="AS218" s="110" t="s">
        <v>253</v>
      </c>
      <c r="AT218" s="110" t="s">
        <v>254</v>
      </c>
      <c r="AU218" s="110">
        <v>1</v>
      </c>
      <c r="AV218" s="110" t="s">
        <v>1256</v>
      </c>
      <c r="BC218" s="110">
        <v>15</v>
      </c>
      <c r="BE218" s="110" t="s">
        <v>246</v>
      </c>
      <c r="BF218" s="110" t="s">
        <v>188</v>
      </c>
      <c r="BG218" s="110">
        <v>0</v>
      </c>
      <c r="BI218" s="110" t="s">
        <v>182</v>
      </c>
      <c r="BK218" s="110">
        <v>3</v>
      </c>
      <c r="BL218" s="110">
        <v>1</v>
      </c>
      <c r="BM218" s="110" t="s">
        <v>2082</v>
      </c>
      <c r="BN218" s="110">
        <v>2.6169999999999999E-2</v>
      </c>
      <c r="BP218" s="110">
        <v>26.486327110000001</v>
      </c>
      <c r="BS218" s="110">
        <v>18</v>
      </c>
      <c r="BT218" s="110" t="s">
        <v>2458</v>
      </c>
      <c r="BU218" s="110" t="s">
        <v>2606</v>
      </c>
      <c r="BV218" s="110" t="s">
        <v>2458</v>
      </c>
      <c r="BZ218" s="110">
        <v>2.6169999999999999E-2</v>
      </c>
      <c r="CB218" s="110">
        <v>26.486327110000001</v>
      </c>
      <c r="CC218" s="110" t="b">
        <v>0</v>
      </c>
      <c r="CD218" s="110" t="s">
        <v>2256</v>
      </c>
      <c r="CE218" s="110" t="s">
        <v>2256</v>
      </c>
      <c r="CF218" s="110" t="s">
        <v>2256</v>
      </c>
      <c r="CH218" s="110" t="s">
        <v>2161</v>
      </c>
    </row>
    <row r="219" spans="1:88">
      <c r="A219" s="110" t="s">
        <v>2178</v>
      </c>
      <c r="B219" s="110">
        <v>49</v>
      </c>
      <c r="C219" s="110">
        <v>1</v>
      </c>
      <c r="D219" s="110">
        <v>1</v>
      </c>
      <c r="E219" s="110">
        <v>218</v>
      </c>
      <c r="F219" s="110">
        <v>2003</v>
      </c>
      <c r="G219" s="110" t="s">
        <v>187</v>
      </c>
      <c r="H219" s="110" t="s">
        <v>2440</v>
      </c>
      <c r="I219" s="110" t="s">
        <v>182</v>
      </c>
      <c r="J219" s="110" t="s">
        <v>246</v>
      </c>
      <c r="K219" s="110" t="s">
        <v>725</v>
      </c>
      <c r="L219" s="110" t="s">
        <v>725</v>
      </c>
      <c r="M219" s="110" t="s">
        <v>3175</v>
      </c>
      <c r="P219" s="110" t="s">
        <v>3180</v>
      </c>
      <c r="R219" s="110" t="s">
        <v>272</v>
      </c>
      <c r="S219" s="110" t="s">
        <v>443</v>
      </c>
      <c r="T219" s="110" t="s">
        <v>611</v>
      </c>
      <c r="U219" s="110" t="s">
        <v>613</v>
      </c>
      <c r="V219" s="110">
        <v>55.456393550000001</v>
      </c>
      <c r="W219" s="110">
        <v>55.456393550000001</v>
      </c>
      <c r="X219" s="110">
        <v>10.66539102</v>
      </c>
      <c r="Y219" s="110" t="s">
        <v>973</v>
      </c>
      <c r="Z219" s="110" t="s">
        <v>155</v>
      </c>
      <c r="AA219" s="110" t="s">
        <v>1788</v>
      </c>
      <c r="AB219" s="110" t="s">
        <v>2084</v>
      </c>
      <c r="AC219" s="110" t="s">
        <v>182</v>
      </c>
      <c r="AD219" s="110" t="s">
        <v>1725</v>
      </c>
      <c r="AE219" s="110" t="s">
        <v>1087</v>
      </c>
      <c r="AF219" s="110" t="s">
        <v>1745</v>
      </c>
      <c r="AI219" s="110" t="s">
        <v>246</v>
      </c>
      <c r="AJ219" s="110" t="s">
        <v>246</v>
      </c>
      <c r="AK219" s="110" t="s">
        <v>2091</v>
      </c>
      <c r="AL219" s="110" t="s">
        <v>2083</v>
      </c>
      <c r="AN219" s="110" t="s">
        <v>1903</v>
      </c>
      <c r="AO219" s="110" t="s">
        <v>190</v>
      </c>
      <c r="AQ219" s="110" t="s">
        <v>176</v>
      </c>
      <c r="AR219" s="110">
        <v>1998</v>
      </c>
      <c r="AS219" s="110" t="s">
        <v>253</v>
      </c>
      <c r="AT219" s="110" t="s">
        <v>254</v>
      </c>
      <c r="AU219" s="110">
        <v>1</v>
      </c>
      <c r="AV219" s="110" t="s">
        <v>1256</v>
      </c>
      <c r="BC219" s="110">
        <v>15</v>
      </c>
      <c r="BE219" s="110" t="s">
        <v>246</v>
      </c>
      <c r="BF219" s="110" t="s">
        <v>188</v>
      </c>
      <c r="BG219" s="110">
        <v>0</v>
      </c>
      <c r="BI219" s="110" t="s">
        <v>182</v>
      </c>
      <c r="BK219" s="110">
        <v>3</v>
      </c>
      <c r="BL219" s="110">
        <v>1</v>
      </c>
      <c r="BM219" s="110" t="s">
        <v>2082</v>
      </c>
      <c r="BN219" s="110">
        <v>1.558E-2</v>
      </c>
      <c r="BP219" s="110">
        <v>44.489549459999999</v>
      </c>
      <c r="BS219" s="110">
        <v>18</v>
      </c>
      <c r="BT219" s="110" t="s">
        <v>2458</v>
      </c>
      <c r="BU219" s="110" t="s">
        <v>2606</v>
      </c>
      <c r="BV219" s="110" t="s">
        <v>2458</v>
      </c>
      <c r="BZ219" s="110">
        <v>1.558E-2</v>
      </c>
      <c r="CB219" s="110">
        <v>44.489549459999999</v>
      </c>
      <c r="CC219" s="110" t="b">
        <v>0</v>
      </c>
      <c r="CD219" s="110" t="s">
        <v>2256</v>
      </c>
      <c r="CE219" s="110" t="s">
        <v>2256</v>
      </c>
      <c r="CF219" s="110" t="s">
        <v>2256</v>
      </c>
      <c r="CH219" s="110" t="s">
        <v>2162</v>
      </c>
    </row>
    <row r="220" spans="1:88">
      <c r="A220" s="110" t="s">
        <v>2178</v>
      </c>
      <c r="B220" s="110">
        <v>49</v>
      </c>
      <c r="C220" s="110">
        <v>1</v>
      </c>
      <c r="D220" s="110">
        <v>1</v>
      </c>
      <c r="E220" s="110">
        <v>219</v>
      </c>
      <c r="F220" s="110">
        <v>2003</v>
      </c>
      <c r="G220" s="110" t="s">
        <v>187</v>
      </c>
      <c r="H220" s="110" t="s">
        <v>2440</v>
      </c>
      <c r="I220" s="110" t="s">
        <v>182</v>
      </c>
      <c r="J220" s="110" t="s">
        <v>246</v>
      </c>
      <c r="K220" s="110" t="s">
        <v>725</v>
      </c>
      <c r="L220" s="110" t="s">
        <v>725</v>
      </c>
      <c r="M220" s="110" t="s">
        <v>3175</v>
      </c>
      <c r="P220" s="110" t="s">
        <v>3180</v>
      </c>
      <c r="R220" s="110" t="s">
        <v>272</v>
      </c>
      <c r="S220" s="110" t="s">
        <v>443</v>
      </c>
      <c r="T220" s="110" t="s">
        <v>611</v>
      </c>
      <c r="U220" s="110" t="s">
        <v>613</v>
      </c>
      <c r="V220" s="110">
        <v>55.456393550000001</v>
      </c>
      <c r="W220" s="110">
        <v>55.456393550000001</v>
      </c>
      <c r="X220" s="110">
        <v>10.66539102</v>
      </c>
      <c r="Y220" s="110" t="s">
        <v>973</v>
      </c>
      <c r="Z220" s="110" t="s">
        <v>155</v>
      </c>
      <c r="AA220" s="110" t="s">
        <v>1788</v>
      </c>
      <c r="AB220" s="110" t="s">
        <v>2084</v>
      </c>
      <c r="AC220" s="110" t="s">
        <v>182</v>
      </c>
      <c r="AD220" s="110" t="s">
        <v>1725</v>
      </c>
      <c r="AE220" s="110" t="s">
        <v>1087</v>
      </c>
      <c r="AF220" s="110" t="s">
        <v>1745</v>
      </c>
      <c r="AI220" s="110" t="s">
        <v>182</v>
      </c>
      <c r="AJ220" s="110" t="s">
        <v>2090</v>
      </c>
      <c r="AK220" s="110" t="s">
        <v>2091</v>
      </c>
      <c r="AL220" s="110" t="s">
        <v>2083</v>
      </c>
      <c r="AN220" s="110" t="s">
        <v>1903</v>
      </c>
      <c r="AO220" s="110" t="s">
        <v>190</v>
      </c>
      <c r="AQ220" s="110" t="s">
        <v>176</v>
      </c>
      <c r="AR220" s="110">
        <v>1998</v>
      </c>
      <c r="AS220" s="110" t="s">
        <v>253</v>
      </c>
      <c r="AT220" s="110" t="s">
        <v>254</v>
      </c>
      <c r="AU220" s="110">
        <v>1</v>
      </c>
      <c r="AV220" s="110" t="s">
        <v>1256</v>
      </c>
      <c r="BC220" s="110">
        <v>15</v>
      </c>
      <c r="BE220" s="110" t="s">
        <v>246</v>
      </c>
      <c r="BF220" s="110" t="s">
        <v>188</v>
      </c>
      <c r="BG220" s="110">
        <v>0</v>
      </c>
      <c r="BI220" s="110" t="s">
        <v>182</v>
      </c>
      <c r="BK220" s="110">
        <v>3</v>
      </c>
      <c r="BL220" s="110">
        <v>1</v>
      </c>
      <c r="BM220" s="110" t="s">
        <v>2082</v>
      </c>
      <c r="BN220" s="110">
        <v>1.2659999999999999E-2</v>
      </c>
      <c r="BP220" s="110">
        <v>54.750962129999998</v>
      </c>
      <c r="BS220" s="110">
        <v>18</v>
      </c>
      <c r="BT220" s="110" t="s">
        <v>2458</v>
      </c>
      <c r="BU220" s="110" t="s">
        <v>2606</v>
      </c>
      <c r="BV220" s="110" t="s">
        <v>2458</v>
      </c>
      <c r="BZ220" s="110">
        <v>1.2659999999999999E-2</v>
      </c>
      <c r="CB220" s="110">
        <v>54.750962129999998</v>
      </c>
      <c r="CC220" s="110" t="b">
        <v>0</v>
      </c>
      <c r="CD220" s="110" t="s">
        <v>2256</v>
      </c>
      <c r="CE220" s="110" t="s">
        <v>2256</v>
      </c>
      <c r="CF220" s="110" t="s">
        <v>2256</v>
      </c>
      <c r="CH220" s="110" t="s">
        <v>2163</v>
      </c>
    </row>
    <row r="221" spans="1:88">
      <c r="A221" s="110" t="s">
        <v>605</v>
      </c>
      <c r="B221" s="110">
        <v>50</v>
      </c>
      <c r="C221" s="110">
        <v>1</v>
      </c>
      <c r="D221" s="110">
        <v>1</v>
      </c>
      <c r="E221" s="110">
        <v>220</v>
      </c>
      <c r="F221" s="110">
        <v>2018</v>
      </c>
      <c r="G221" s="110" t="s">
        <v>161</v>
      </c>
      <c r="H221" s="110" t="s">
        <v>2437</v>
      </c>
      <c r="I221" s="110" t="s">
        <v>182</v>
      </c>
      <c r="J221" s="110" t="s">
        <v>182</v>
      </c>
      <c r="K221" s="110" t="s">
        <v>999</v>
      </c>
      <c r="L221" s="110" t="s">
        <v>999</v>
      </c>
      <c r="R221" s="110" t="s">
        <v>152</v>
      </c>
      <c r="S221" s="110" t="s">
        <v>443</v>
      </c>
      <c r="T221" s="110" t="s">
        <v>156</v>
      </c>
      <c r="U221" s="110" t="s">
        <v>158</v>
      </c>
      <c r="V221" s="110">
        <v>50.35571625</v>
      </c>
      <c r="W221" s="110">
        <v>50.35571625</v>
      </c>
      <c r="X221" s="110">
        <v>-4.1539040390000004</v>
      </c>
      <c r="Y221" s="110" t="s">
        <v>160</v>
      </c>
      <c r="Z221" s="110" t="s">
        <v>155</v>
      </c>
      <c r="AA221" s="110" t="s">
        <v>1788</v>
      </c>
      <c r="AB221" s="110" t="s">
        <v>333</v>
      </c>
      <c r="AC221" s="110" t="s">
        <v>246</v>
      </c>
      <c r="AD221" s="110" t="s">
        <v>333</v>
      </c>
      <c r="AE221" s="110" t="s">
        <v>1123</v>
      </c>
      <c r="AF221" s="110" t="s">
        <v>1745</v>
      </c>
      <c r="AG221" s="110">
        <v>4</v>
      </c>
      <c r="AI221" s="110" t="s">
        <v>246</v>
      </c>
      <c r="AJ221" s="110" t="s">
        <v>246</v>
      </c>
      <c r="AK221" s="110" t="s">
        <v>171</v>
      </c>
      <c r="AL221" s="110" t="s">
        <v>190</v>
      </c>
      <c r="AO221" s="110">
        <v>20</v>
      </c>
      <c r="AP221" s="110" t="s">
        <v>190</v>
      </c>
      <c r="AQ221" s="110" t="s">
        <v>176</v>
      </c>
      <c r="AR221" s="110">
        <v>2016</v>
      </c>
      <c r="AS221" s="110" t="s">
        <v>297</v>
      </c>
      <c r="AT221" s="110" t="s">
        <v>298</v>
      </c>
      <c r="AU221" s="110">
        <v>105</v>
      </c>
      <c r="AW221" s="110" t="s">
        <v>174</v>
      </c>
      <c r="AX221" s="110" t="s">
        <v>174</v>
      </c>
      <c r="AY221" s="110" t="s">
        <v>174</v>
      </c>
      <c r="AZ221" s="110" t="s">
        <v>174</v>
      </c>
      <c r="BA221" s="110" t="s">
        <v>1766</v>
      </c>
      <c r="BB221" s="110" t="s">
        <v>1766</v>
      </c>
      <c r="BE221" s="110" t="s">
        <v>182</v>
      </c>
      <c r="BF221" s="110" t="s">
        <v>412</v>
      </c>
      <c r="BH221" s="110" t="s">
        <v>174</v>
      </c>
      <c r="BI221" s="110" t="s">
        <v>182</v>
      </c>
      <c r="BJ221" s="110" t="s">
        <v>190</v>
      </c>
      <c r="BK221" s="110">
        <v>4</v>
      </c>
      <c r="BL221" s="110">
        <v>1</v>
      </c>
      <c r="BM221" s="110" t="s">
        <v>174</v>
      </c>
      <c r="BN221" s="110" t="s">
        <v>174</v>
      </c>
      <c r="BO221" s="110">
        <v>4.2860000000000002E-2</v>
      </c>
      <c r="BP221" s="110" t="s">
        <v>174</v>
      </c>
      <c r="BQ221" s="110" t="s">
        <v>174</v>
      </c>
      <c r="BR221" s="110" t="s">
        <v>174</v>
      </c>
      <c r="BS221" s="110">
        <v>40</v>
      </c>
      <c r="BT221" s="110" t="s">
        <v>2256</v>
      </c>
      <c r="BU221" s="110" t="s">
        <v>2606</v>
      </c>
      <c r="BV221" s="110" t="s">
        <v>2256</v>
      </c>
      <c r="CA221" s="110">
        <v>4.2860000000000002E-2</v>
      </c>
      <c r="CB221" s="110">
        <v>1166.588894</v>
      </c>
      <c r="CC221" s="110" t="b">
        <v>1</v>
      </c>
      <c r="CD221" s="110" t="s">
        <v>2256</v>
      </c>
      <c r="CE221" s="110" t="s">
        <v>2256</v>
      </c>
      <c r="CF221" s="110" t="s">
        <v>2256</v>
      </c>
      <c r="CG221" s="110">
        <v>2333.333333</v>
      </c>
      <c r="CH221" s="110" t="s">
        <v>263</v>
      </c>
    </row>
    <row r="222" spans="1:88">
      <c r="A222" s="110" t="s">
        <v>605</v>
      </c>
      <c r="B222" s="110">
        <v>50</v>
      </c>
      <c r="C222" s="110">
        <v>1</v>
      </c>
      <c r="D222" s="110">
        <v>1</v>
      </c>
      <c r="E222" s="110">
        <v>221</v>
      </c>
      <c r="F222" s="110">
        <v>2018</v>
      </c>
      <c r="G222" s="110" t="s">
        <v>161</v>
      </c>
      <c r="H222" s="110" t="s">
        <v>2437</v>
      </c>
      <c r="I222" s="110" t="s">
        <v>182</v>
      </c>
      <c r="J222" s="110" t="s">
        <v>182</v>
      </c>
      <c r="K222" s="110" t="s">
        <v>999</v>
      </c>
      <c r="L222" s="110" t="s">
        <v>999</v>
      </c>
      <c r="R222" s="110" t="s">
        <v>152</v>
      </c>
      <c r="S222" s="110" t="s">
        <v>443</v>
      </c>
      <c r="T222" s="110" t="s">
        <v>156</v>
      </c>
      <c r="U222" s="110" t="s">
        <v>159</v>
      </c>
      <c r="V222" s="110">
        <v>50.35571625</v>
      </c>
      <c r="W222" s="110">
        <v>50.35571625</v>
      </c>
      <c r="X222" s="110">
        <v>-4.1539040390000004</v>
      </c>
      <c r="Y222" s="110" t="s">
        <v>160</v>
      </c>
      <c r="Z222" s="110" t="s">
        <v>155</v>
      </c>
      <c r="AA222" s="110" t="s">
        <v>1788</v>
      </c>
      <c r="AB222" s="110" t="s">
        <v>333</v>
      </c>
      <c r="AC222" s="110" t="s">
        <v>246</v>
      </c>
      <c r="AD222" s="110" t="s">
        <v>333</v>
      </c>
      <c r="AE222" s="110" t="s">
        <v>1123</v>
      </c>
      <c r="AF222" s="110" t="s">
        <v>1745</v>
      </c>
      <c r="AG222" s="110">
        <v>4</v>
      </c>
      <c r="AI222" s="110" t="s">
        <v>246</v>
      </c>
      <c r="AJ222" s="110" t="s">
        <v>246</v>
      </c>
      <c r="AK222" s="110" t="s">
        <v>171</v>
      </c>
      <c r="AL222" s="110" t="s">
        <v>190</v>
      </c>
      <c r="AO222" s="110">
        <v>20</v>
      </c>
      <c r="AP222" s="110" t="s">
        <v>190</v>
      </c>
      <c r="AQ222" s="110" t="s">
        <v>176</v>
      </c>
      <c r="AR222" s="110">
        <v>2016</v>
      </c>
      <c r="AS222" s="110" t="s">
        <v>297</v>
      </c>
      <c r="AT222" s="110" t="s">
        <v>298</v>
      </c>
      <c r="AU222" s="110">
        <v>105</v>
      </c>
      <c r="AW222" s="110" t="s">
        <v>174</v>
      </c>
      <c r="AX222" s="110" t="s">
        <v>174</v>
      </c>
      <c r="AY222" s="110" t="s">
        <v>174</v>
      </c>
      <c r="AZ222" s="110" t="s">
        <v>174</v>
      </c>
      <c r="BA222" s="110" t="s">
        <v>1766</v>
      </c>
      <c r="BB222" s="110" t="s">
        <v>1766</v>
      </c>
      <c r="BE222" s="110" t="s">
        <v>182</v>
      </c>
      <c r="BF222" s="110" t="s">
        <v>412</v>
      </c>
      <c r="BH222" s="110" t="s">
        <v>174</v>
      </c>
      <c r="BI222" s="110" t="s">
        <v>182</v>
      </c>
      <c r="BJ222" s="110" t="s">
        <v>190</v>
      </c>
      <c r="BK222" s="110">
        <v>4</v>
      </c>
      <c r="BL222" s="110">
        <v>1</v>
      </c>
      <c r="BM222" s="110" t="s">
        <v>174</v>
      </c>
      <c r="BN222" s="110" t="s">
        <v>174</v>
      </c>
      <c r="BO222" s="110">
        <v>0.21904999999999999</v>
      </c>
      <c r="BP222" s="110" t="s">
        <v>174</v>
      </c>
      <c r="BQ222" s="110" t="s">
        <v>174</v>
      </c>
      <c r="BR222" s="110" t="s">
        <v>174</v>
      </c>
      <c r="BS222" s="110">
        <v>40</v>
      </c>
      <c r="BT222" s="110" t="s">
        <v>2256</v>
      </c>
      <c r="BU222" s="110" t="s">
        <v>2606</v>
      </c>
      <c r="BV222" s="110" t="s">
        <v>2256</v>
      </c>
      <c r="CA222" s="110">
        <v>0.21904999999999999</v>
      </c>
      <c r="CB222" s="110">
        <v>228.2583885</v>
      </c>
      <c r="CC222" s="110" t="b">
        <v>1</v>
      </c>
      <c r="CD222" s="110" t="s">
        <v>2256</v>
      </c>
      <c r="CE222" s="110" t="s">
        <v>2256</v>
      </c>
      <c r="CF222" s="110" t="s">
        <v>2256</v>
      </c>
      <c r="CG222" s="110">
        <v>456.52173909999999</v>
      </c>
      <c r="CH222" s="110" t="s">
        <v>263</v>
      </c>
    </row>
    <row r="223" spans="1:88">
      <c r="A223" s="110" t="s">
        <v>605</v>
      </c>
      <c r="B223" s="110">
        <v>50</v>
      </c>
      <c r="C223" s="110">
        <v>1</v>
      </c>
      <c r="D223" s="110">
        <v>1</v>
      </c>
      <c r="E223" s="110">
        <v>222</v>
      </c>
      <c r="F223" s="110">
        <v>2018</v>
      </c>
      <c r="G223" s="110" t="s">
        <v>161</v>
      </c>
      <c r="H223" s="110" t="s">
        <v>2437</v>
      </c>
      <c r="I223" s="110" t="s">
        <v>182</v>
      </c>
      <c r="J223" s="110" t="s">
        <v>182</v>
      </c>
      <c r="K223" s="110" t="s">
        <v>999</v>
      </c>
      <c r="L223" s="110" t="s">
        <v>999</v>
      </c>
      <c r="R223" s="110" t="s">
        <v>152</v>
      </c>
      <c r="S223" s="110" t="s">
        <v>443</v>
      </c>
      <c r="T223" s="110" t="s">
        <v>156</v>
      </c>
      <c r="U223" s="110" t="s">
        <v>158</v>
      </c>
      <c r="V223" s="110">
        <v>50.350703000000003</v>
      </c>
      <c r="W223" s="110">
        <v>50.350703000000003</v>
      </c>
      <c r="X223" s="110">
        <v>-4.1226859999999999</v>
      </c>
      <c r="Y223" s="110" t="s">
        <v>160</v>
      </c>
      <c r="Z223" s="110" t="s">
        <v>155</v>
      </c>
      <c r="AA223" s="110" t="s">
        <v>1788</v>
      </c>
      <c r="AB223" s="110" t="s">
        <v>333</v>
      </c>
      <c r="AC223" s="110" t="s">
        <v>246</v>
      </c>
      <c r="AD223" s="110" t="s">
        <v>333</v>
      </c>
      <c r="AE223" s="110" t="s">
        <v>1123</v>
      </c>
      <c r="AF223" s="110" t="s">
        <v>1745</v>
      </c>
      <c r="AG223" s="110">
        <v>4</v>
      </c>
      <c r="AI223" s="110" t="s">
        <v>246</v>
      </c>
      <c r="AJ223" s="110" t="s">
        <v>246</v>
      </c>
      <c r="AK223" s="110" t="s">
        <v>171</v>
      </c>
      <c r="AL223" s="110" t="s">
        <v>190</v>
      </c>
      <c r="AO223" s="110">
        <v>20</v>
      </c>
      <c r="AP223" s="110" t="s">
        <v>190</v>
      </c>
      <c r="AQ223" s="110" t="s">
        <v>176</v>
      </c>
      <c r="AR223" s="110">
        <v>2016</v>
      </c>
      <c r="AS223" s="110" t="s">
        <v>297</v>
      </c>
      <c r="AT223" s="110" t="s">
        <v>298</v>
      </c>
      <c r="AU223" s="110">
        <v>105</v>
      </c>
      <c r="AW223" s="110" t="s">
        <v>174</v>
      </c>
      <c r="AX223" s="110" t="s">
        <v>174</v>
      </c>
      <c r="AY223" s="110" t="s">
        <v>174</v>
      </c>
      <c r="AZ223" s="110" t="s">
        <v>174</v>
      </c>
      <c r="BA223" s="110" t="s">
        <v>1766</v>
      </c>
      <c r="BB223" s="110" t="s">
        <v>1766</v>
      </c>
      <c r="BE223" s="110" t="s">
        <v>182</v>
      </c>
      <c r="BF223" s="110" t="s">
        <v>412</v>
      </c>
      <c r="BH223" s="110" t="s">
        <v>174</v>
      </c>
      <c r="BI223" s="110" t="s">
        <v>182</v>
      </c>
      <c r="BJ223" s="110" t="s">
        <v>190</v>
      </c>
      <c r="BK223" s="110">
        <v>4</v>
      </c>
      <c r="BL223" s="110">
        <v>1</v>
      </c>
      <c r="BM223" s="110" t="s">
        <v>174</v>
      </c>
      <c r="BN223" s="110" t="s">
        <v>174</v>
      </c>
      <c r="BO223" s="110">
        <v>0.76190000000000002</v>
      </c>
      <c r="BP223" s="110" t="s">
        <v>174</v>
      </c>
      <c r="BQ223" s="110" t="s">
        <v>174</v>
      </c>
      <c r="BR223" s="110" t="s">
        <v>174</v>
      </c>
      <c r="BS223" s="110">
        <v>40</v>
      </c>
      <c r="BT223" s="110" t="s">
        <v>2256</v>
      </c>
      <c r="BU223" s="110" t="s">
        <v>2606</v>
      </c>
      <c r="BV223" s="110" t="s">
        <v>2256</v>
      </c>
      <c r="CA223" s="110">
        <v>0.76190000000000002</v>
      </c>
      <c r="CB223" s="110">
        <v>65.625410160000001</v>
      </c>
      <c r="CC223" s="110" t="b">
        <v>0</v>
      </c>
      <c r="CD223" s="110" t="s">
        <v>2256</v>
      </c>
      <c r="CE223" s="110" t="s">
        <v>2256</v>
      </c>
      <c r="CF223" s="110" t="s">
        <v>2256</v>
      </c>
      <c r="CG223" s="110">
        <v>131.25</v>
      </c>
      <c r="CH223" s="110" t="s">
        <v>263</v>
      </c>
    </row>
    <row r="224" spans="1:88">
      <c r="A224" s="110" t="s">
        <v>605</v>
      </c>
      <c r="B224" s="110">
        <v>50</v>
      </c>
      <c r="C224" s="110">
        <v>1</v>
      </c>
      <c r="D224" s="110">
        <v>1</v>
      </c>
      <c r="E224" s="110">
        <v>223</v>
      </c>
      <c r="F224" s="110">
        <v>2018</v>
      </c>
      <c r="G224" s="110" t="s">
        <v>161</v>
      </c>
      <c r="H224" s="110" t="s">
        <v>2437</v>
      </c>
      <c r="I224" s="110" t="s">
        <v>182</v>
      </c>
      <c r="J224" s="110" t="s">
        <v>182</v>
      </c>
      <c r="K224" s="110" t="s">
        <v>999</v>
      </c>
      <c r="L224" s="110" t="s">
        <v>999</v>
      </c>
      <c r="R224" s="110" t="s">
        <v>152</v>
      </c>
      <c r="S224" s="110" t="s">
        <v>443</v>
      </c>
      <c r="T224" s="110" t="s">
        <v>156</v>
      </c>
      <c r="U224" s="110" t="s">
        <v>159</v>
      </c>
      <c r="V224" s="110">
        <v>50.350703000000003</v>
      </c>
      <c r="W224" s="110">
        <v>50.350703000000003</v>
      </c>
      <c r="X224" s="110">
        <v>-4.1226859999999999</v>
      </c>
      <c r="Y224" s="110" t="s">
        <v>160</v>
      </c>
      <c r="Z224" s="110" t="s">
        <v>155</v>
      </c>
      <c r="AA224" s="110" t="s">
        <v>1788</v>
      </c>
      <c r="AB224" s="110" t="s">
        <v>333</v>
      </c>
      <c r="AC224" s="110" t="s">
        <v>246</v>
      </c>
      <c r="AD224" s="110" t="s">
        <v>333</v>
      </c>
      <c r="AE224" s="110" t="s">
        <v>1123</v>
      </c>
      <c r="AF224" s="110" t="s">
        <v>1745</v>
      </c>
      <c r="AG224" s="110">
        <v>4</v>
      </c>
      <c r="AI224" s="110" t="s">
        <v>246</v>
      </c>
      <c r="AJ224" s="110" t="s">
        <v>246</v>
      </c>
      <c r="AK224" s="110" t="s">
        <v>171</v>
      </c>
      <c r="AL224" s="110" t="s">
        <v>190</v>
      </c>
      <c r="AO224" s="110">
        <v>20</v>
      </c>
      <c r="AP224" s="110" t="s">
        <v>190</v>
      </c>
      <c r="AQ224" s="110" t="s">
        <v>176</v>
      </c>
      <c r="AR224" s="110">
        <v>2016</v>
      </c>
      <c r="AS224" s="110" t="s">
        <v>297</v>
      </c>
      <c r="AT224" s="110" t="s">
        <v>298</v>
      </c>
      <c r="AU224" s="110">
        <v>105</v>
      </c>
      <c r="AW224" s="110" t="s">
        <v>174</v>
      </c>
      <c r="AX224" s="110" t="s">
        <v>174</v>
      </c>
      <c r="AY224" s="110" t="s">
        <v>174</v>
      </c>
      <c r="AZ224" s="110" t="s">
        <v>174</v>
      </c>
      <c r="BA224" s="110" t="s">
        <v>1766</v>
      </c>
      <c r="BB224" s="110" t="s">
        <v>1766</v>
      </c>
      <c r="BE224" s="110" t="s">
        <v>182</v>
      </c>
      <c r="BF224" s="110" t="s">
        <v>412</v>
      </c>
      <c r="BH224" s="110" t="s">
        <v>174</v>
      </c>
      <c r="BI224" s="110" t="s">
        <v>182</v>
      </c>
      <c r="BJ224" s="110" t="s">
        <v>190</v>
      </c>
      <c r="BK224" s="110">
        <v>4</v>
      </c>
      <c r="BL224" s="110">
        <v>1</v>
      </c>
      <c r="BM224" s="110" t="s">
        <v>174</v>
      </c>
      <c r="BN224" s="110" t="s">
        <v>174</v>
      </c>
      <c r="BO224" s="110">
        <v>1.4285699999999999</v>
      </c>
      <c r="BP224" s="110" t="s">
        <v>174</v>
      </c>
      <c r="BQ224" s="110" t="s">
        <v>174</v>
      </c>
      <c r="BR224" s="110" t="s">
        <v>174</v>
      </c>
      <c r="BS224" s="110">
        <v>40</v>
      </c>
      <c r="BT224" s="110" t="s">
        <v>2256</v>
      </c>
      <c r="BU224" s="110" t="s">
        <v>2606</v>
      </c>
      <c r="BV224" s="110" t="s">
        <v>2256</v>
      </c>
      <c r="CA224" s="110">
        <v>1.4285699999999999</v>
      </c>
      <c r="CB224" s="110">
        <v>35.000034999999997</v>
      </c>
      <c r="CC224" s="110" t="b">
        <v>0</v>
      </c>
      <c r="CD224" s="110" t="s">
        <v>2256</v>
      </c>
      <c r="CE224" s="110" t="s">
        <v>2256</v>
      </c>
      <c r="CF224" s="110" t="s">
        <v>2256</v>
      </c>
      <c r="CG224" s="110">
        <v>70</v>
      </c>
      <c r="CH224" s="110" t="s">
        <v>263</v>
      </c>
    </row>
    <row r="225" spans="1:88">
      <c r="A225" s="110" t="s">
        <v>601</v>
      </c>
      <c r="B225" s="110">
        <v>51</v>
      </c>
      <c r="C225" s="110">
        <v>1</v>
      </c>
      <c r="D225" s="110">
        <v>1</v>
      </c>
      <c r="E225" s="110">
        <v>224</v>
      </c>
      <c r="F225" s="110">
        <v>2018</v>
      </c>
      <c r="G225" s="110" t="s">
        <v>187</v>
      </c>
      <c r="H225" s="110" t="s">
        <v>1219</v>
      </c>
      <c r="I225" s="110" t="s">
        <v>246</v>
      </c>
      <c r="J225" s="110" t="s">
        <v>182</v>
      </c>
      <c r="K225" s="110" t="s">
        <v>999</v>
      </c>
      <c r="L225" s="110" t="s">
        <v>999</v>
      </c>
      <c r="R225" s="110" t="s">
        <v>272</v>
      </c>
      <c r="S225" s="110" t="s">
        <v>443</v>
      </c>
      <c r="T225" s="110" t="s">
        <v>273</v>
      </c>
      <c r="U225" s="110" t="s">
        <v>274</v>
      </c>
      <c r="V225" s="110">
        <v>33.448999999999998</v>
      </c>
      <c r="W225" s="110">
        <v>33.448999999999998</v>
      </c>
      <c r="X225" s="110">
        <v>-118.489</v>
      </c>
      <c r="Y225" s="110" t="s">
        <v>276</v>
      </c>
      <c r="Z225" s="110" t="s">
        <v>275</v>
      </c>
      <c r="AA225" s="110" t="s">
        <v>1788</v>
      </c>
      <c r="AB225" s="110" t="s">
        <v>333</v>
      </c>
      <c r="AC225" s="110" t="s">
        <v>246</v>
      </c>
      <c r="AD225" s="110" t="s">
        <v>333</v>
      </c>
      <c r="AE225" s="110" t="s">
        <v>187</v>
      </c>
      <c r="AF225" s="110" t="s">
        <v>190</v>
      </c>
      <c r="AG225" s="110" t="s">
        <v>190</v>
      </c>
      <c r="AI225" s="110" t="s">
        <v>246</v>
      </c>
      <c r="AJ225" s="110" t="s">
        <v>246</v>
      </c>
      <c r="AK225" s="110" t="s">
        <v>1764</v>
      </c>
      <c r="AL225" s="110" t="s">
        <v>1167</v>
      </c>
      <c r="AN225" s="110" t="s">
        <v>412</v>
      </c>
      <c r="AO225" s="110">
        <v>0.2</v>
      </c>
      <c r="AP225" s="110" t="s">
        <v>190</v>
      </c>
      <c r="AQ225" s="110" t="s">
        <v>176</v>
      </c>
      <c r="AR225" s="110">
        <v>2017</v>
      </c>
      <c r="AS225" s="110" t="s">
        <v>174</v>
      </c>
      <c r="AT225" s="110" t="s">
        <v>174</v>
      </c>
      <c r="AU225" s="110" t="s">
        <v>174</v>
      </c>
      <c r="AW225" s="110">
        <v>19.97</v>
      </c>
      <c r="AY225" s="110">
        <v>29</v>
      </c>
      <c r="AZ225" s="110">
        <v>33.799999999999997</v>
      </c>
      <c r="BA225" s="110">
        <v>17</v>
      </c>
      <c r="BB225" s="110">
        <v>17</v>
      </c>
      <c r="BC225" s="110">
        <v>17</v>
      </c>
      <c r="BD225" s="110">
        <v>0</v>
      </c>
      <c r="BE225" s="110" t="s">
        <v>182</v>
      </c>
      <c r="BF225" s="110" t="s">
        <v>1903</v>
      </c>
      <c r="BG225" s="110" t="s">
        <v>2511</v>
      </c>
      <c r="BH225" s="110" t="s">
        <v>1904</v>
      </c>
      <c r="BI225" s="110" t="s">
        <v>182</v>
      </c>
      <c r="BJ225" s="110" t="s">
        <v>898</v>
      </c>
      <c r="BK225" s="110">
        <v>1</v>
      </c>
      <c r="BL225" s="110">
        <v>10</v>
      </c>
      <c r="BM225" s="110" t="s">
        <v>174</v>
      </c>
      <c r="BN225" s="110" t="s">
        <v>174</v>
      </c>
      <c r="BO225" s="110" t="s">
        <v>174</v>
      </c>
      <c r="BP225" s="110" t="s">
        <v>174</v>
      </c>
      <c r="BQ225" s="110">
        <v>29</v>
      </c>
      <c r="BR225" s="110" t="s">
        <v>174</v>
      </c>
      <c r="BS225" s="110">
        <v>20</v>
      </c>
      <c r="BT225" s="110" t="s">
        <v>1385</v>
      </c>
      <c r="BU225" s="110" t="s">
        <v>3207</v>
      </c>
      <c r="BV225" s="110" t="s">
        <v>2603</v>
      </c>
      <c r="BW225" s="110">
        <v>0.95</v>
      </c>
      <c r="BZ225" s="110">
        <v>0.1105</v>
      </c>
      <c r="CB225" s="110">
        <v>9.2620539999999991</v>
      </c>
      <c r="CC225" s="110" t="b">
        <v>0</v>
      </c>
      <c r="CD225" s="110">
        <v>29.2</v>
      </c>
      <c r="CE225" s="110">
        <v>29.2</v>
      </c>
      <c r="CF225" s="110" t="s">
        <v>182</v>
      </c>
      <c r="CG225" s="110" t="s">
        <v>174</v>
      </c>
      <c r="CH225" s="110" t="s">
        <v>174</v>
      </c>
      <c r="CI225" s="110" t="s">
        <v>277</v>
      </c>
      <c r="CJ225" s="110" t="s">
        <v>278</v>
      </c>
    </row>
    <row r="226" spans="1:88">
      <c r="A226" s="110" t="s">
        <v>687</v>
      </c>
      <c r="B226" s="110">
        <v>52</v>
      </c>
      <c r="C226" s="110">
        <v>1</v>
      </c>
      <c r="D226" s="110">
        <v>1</v>
      </c>
      <c r="E226" s="110">
        <v>225</v>
      </c>
      <c r="F226" s="110">
        <v>1981</v>
      </c>
      <c r="G226" s="110" t="s">
        <v>187</v>
      </c>
      <c r="H226" s="110" t="s">
        <v>1219</v>
      </c>
      <c r="I226" s="110" t="s">
        <v>182</v>
      </c>
      <c r="J226" s="110" t="s">
        <v>246</v>
      </c>
      <c r="K226" s="110" t="s">
        <v>184</v>
      </c>
      <c r="L226" s="110" t="s">
        <v>184</v>
      </c>
      <c r="M226" s="110" t="s">
        <v>3175</v>
      </c>
      <c r="P226" s="110" t="s">
        <v>3183</v>
      </c>
      <c r="R226" s="110" t="s">
        <v>1976</v>
      </c>
      <c r="S226" s="110" t="s">
        <v>446</v>
      </c>
      <c r="T226" s="110" t="s">
        <v>702</v>
      </c>
      <c r="U226" s="110" t="s">
        <v>1001</v>
      </c>
      <c r="V226" s="110">
        <v>41.528961690000003</v>
      </c>
      <c r="W226" s="110">
        <v>41.528961690000003</v>
      </c>
      <c r="X226" s="110">
        <v>-70.674006719999994</v>
      </c>
      <c r="Y226" s="110" t="s">
        <v>276</v>
      </c>
      <c r="Z226" s="110" t="s">
        <v>586</v>
      </c>
      <c r="AA226" s="110" t="s">
        <v>1788</v>
      </c>
      <c r="AB226" s="110" t="s">
        <v>1735</v>
      </c>
      <c r="AC226" s="110" t="s">
        <v>182</v>
      </c>
      <c r="AD226" s="110" t="s">
        <v>1256</v>
      </c>
      <c r="AE226" s="110" t="s">
        <v>187</v>
      </c>
      <c r="AF226" s="110" t="s">
        <v>190</v>
      </c>
      <c r="AG226" s="110" t="s">
        <v>190</v>
      </c>
      <c r="AI226" s="110" t="s">
        <v>246</v>
      </c>
      <c r="AJ226" s="110" t="s">
        <v>246</v>
      </c>
      <c r="AK226" s="110" t="s">
        <v>1007</v>
      </c>
      <c r="AL226" s="110" t="s">
        <v>1787</v>
      </c>
      <c r="AM226" s="110">
        <v>950</v>
      </c>
      <c r="AN226" s="110" t="s">
        <v>1216</v>
      </c>
      <c r="AO226" s="110">
        <v>1.0999999999999999E-2</v>
      </c>
      <c r="AP226" s="110" t="s">
        <v>190</v>
      </c>
      <c r="AQ226" s="110" t="s">
        <v>176</v>
      </c>
      <c r="AR226" s="110">
        <v>1978</v>
      </c>
      <c r="AS226" s="110" t="s">
        <v>475</v>
      </c>
      <c r="AT226" s="110" t="s">
        <v>420</v>
      </c>
      <c r="AU226" s="110">
        <v>10</v>
      </c>
      <c r="AW226" s="110">
        <v>18.399999999999999</v>
      </c>
      <c r="AX226" s="110" t="s">
        <v>174</v>
      </c>
      <c r="AY226" s="110" t="s">
        <v>174</v>
      </c>
      <c r="AZ226" s="110" t="s">
        <v>174</v>
      </c>
      <c r="BA226" s="110">
        <v>10</v>
      </c>
      <c r="BB226" s="110">
        <v>29</v>
      </c>
      <c r="BC226" s="110">
        <v>19.5</v>
      </c>
      <c r="BD226" s="110">
        <v>19</v>
      </c>
      <c r="BE226" s="110" t="s">
        <v>246</v>
      </c>
      <c r="BF226" s="110" t="s">
        <v>188</v>
      </c>
      <c r="BG226" s="110">
        <v>0</v>
      </c>
      <c r="BH226" s="110" t="s">
        <v>190</v>
      </c>
      <c r="BI226" s="110" t="s">
        <v>182</v>
      </c>
      <c r="BJ226" s="110" t="s">
        <v>893</v>
      </c>
      <c r="BK226" s="110">
        <v>2</v>
      </c>
      <c r="BL226" s="110">
        <v>6</v>
      </c>
      <c r="BM226" s="110" t="s">
        <v>174</v>
      </c>
      <c r="BN226" s="110" t="s">
        <v>174</v>
      </c>
      <c r="BO226" s="110" t="s">
        <v>174</v>
      </c>
      <c r="BP226" s="110" t="s">
        <v>174</v>
      </c>
      <c r="BQ226" s="110" t="s">
        <v>174</v>
      </c>
      <c r="BR226" s="110" t="s">
        <v>174</v>
      </c>
      <c r="BS226" s="110">
        <v>150</v>
      </c>
      <c r="BT226" s="110" t="s">
        <v>1385</v>
      </c>
      <c r="BU226" s="110" t="s">
        <v>3207</v>
      </c>
      <c r="BV226" s="110" t="s">
        <v>2603</v>
      </c>
      <c r="BW226" s="110">
        <v>0.96</v>
      </c>
      <c r="BZ226" s="110">
        <v>4.7399999999999998E-2</v>
      </c>
      <c r="CB226" s="110">
        <v>96.34</v>
      </c>
      <c r="CC226" s="110" t="b">
        <v>0</v>
      </c>
      <c r="CD226" s="110">
        <v>49.5</v>
      </c>
      <c r="CE226" s="110">
        <v>49.5</v>
      </c>
      <c r="CF226" s="110" t="s">
        <v>182</v>
      </c>
      <c r="CG226" s="110" t="s">
        <v>174</v>
      </c>
      <c r="CH226" s="110" t="s">
        <v>263</v>
      </c>
      <c r="CI226" s="110" t="s">
        <v>1015</v>
      </c>
      <c r="CJ226" s="110" t="s">
        <v>1010</v>
      </c>
    </row>
    <row r="227" spans="1:88">
      <c r="A227" s="110" t="s">
        <v>687</v>
      </c>
      <c r="B227" s="110">
        <v>52</v>
      </c>
      <c r="C227" s="110">
        <v>1</v>
      </c>
      <c r="D227" s="110">
        <v>1</v>
      </c>
      <c r="E227" s="110">
        <v>226</v>
      </c>
      <c r="F227" s="110">
        <v>1981</v>
      </c>
      <c r="G227" s="110" t="s">
        <v>187</v>
      </c>
      <c r="H227" s="110" t="s">
        <v>1219</v>
      </c>
      <c r="I227" s="110" t="s">
        <v>182</v>
      </c>
      <c r="J227" s="110" t="s">
        <v>246</v>
      </c>
      <c r="K227" s="110" t="s">
        <v>184</v>
      </c>
      <c r="L227" s="110" t="s">
        <v>184</v>
      </c>
      <c r="M227" s="110" t="s">
        <v>3175</v>
      </c>
      <c r="P227" s="110" t="s">
        <v>3183</v>
      </c>
      <c r="R227" s="110" t="s">
        <v>1976</v>
      </c>
      <c r="S227" s="110" t="s">
        <v>446</v>
      </c>
      <c r="T227" s="110" t="s">
        <v>1002</v>
      </c>
      <c r="U227" s="110" t="s">
        <v>1003</v>
      </c>
      <c r="V227" s="110">
        <v>27.639915779999999</v>
      </c>
      <c r="W227" s="110">
        <v>27.639915779999999</v>
      </c>
      <c r="X227" s="110">
        <v>-80.375822990000003</v>
      </c>
      <c r="Y227" s="110" t="s">
        <v>276</v>
      </c>
      <c r="Z227" s="110" t="s">
        <v>586</v>
      </c>
      <c r="AA227" s="110" t="s">
        <v>1788</v>
      </c>
      <c r="AB227" s="110" t="s">
        <v>1735</v>
      </c>
      <c r="AC227" s="110" t="s">
        <v>182</v>
      </c>
      <c r="AD227" s="110" t="s">
        <v>1256</v>
      </c>
      <c r="AE227" s="110" t="s">
        <v>187</v>
      </c>
      <c r="AF227" s="110" t="s">
        <v>190</v>
      </c>
      <c r="AG227" s="110" t="s">
        <v>190</v>
      </c>
      <c r="AI227" s="110" t="s">
        <v>246</v>
      </c>
      <c r="AJ227" s="110" t="s">
        <v>246</v>
      </c>
      <c r="AK227" s="110" t="s">
        <v>1007</v>
      </c>
      <c r="AL227" s="110" t="s">
        <v>1787</v>
      </c>
      <c r="AM227" s="110">
        <v>950</v>
      </c>
      <c r="AN227" s="110" t="s">
        <v>1216</v>
      </c>
      <c r="AO227" s="110">
        <v>1.0999999999999999E-2</v>
      </c>
      <c r="AP227" s="110" t="s">
        <v>190</v>
      </c>
      <c r="AQ227" s="110" t="s">
        <v>176</v>
      </c>
      <c r="AR227" s="110">
        <v>1978</v>
      </c>
      <c r="AS227" s="110" t="s">
        <v>475</v>
      </c>
      <c r="AT227" s="110" t="s">
        <v>420</v>
      </c>
      <c r="AU227" s="110">
        <v>10</v>
      </c>
      <c r="AW227" s="110">
        <v>16.3</v>
      </c>
      <c r="AX227" s="110" t="s">
        <v>174</v>
      </c>
      <c r="AY227" s="110" t="s">
        <v>174</v>
      </c>
      <c r="AZ227" s="110" t="s">
        <v>174</v>
      </c>
      <c r="BA227" s="110">
        <v>10</v>
      </c>
      <c r="BB227" s="110">
        <v>29</v>
      </c>
      <c r="BC227" s="110">
        <v>19.5</v>
      </c>
      <c r="BD227" s="110">
        <v>19</v>
      </c>
      <c r="BE227" s="110" t="s">
        <v>246</v>
      </c>
      <c r="BF227" s="110" t="s">
        <v>188</v>
      </c>
      <c r="BG227" s="110">
        <v>0</v>
      </c>
      <c r="BH227" s="110" t="s">
        <v>190</v>
      </c>
      <c r="BI227" s="110" t="s">
        <v>182</v>
      </c>
      <c r="BJ227" s="110" t="s">
        <v>893</v>
      </c>
      <c r="BK227" s="110">
        <v>2</v>
      </c>
      <c r="BL227" s="110">
        <v>6</v>
      </c>
      <c r="BM227" s="110" t="s">
        <v>174</v>
      </c>
      <c r="BN227" s="110" t="s">
        <v>174</v>
      </c>
      <c r="BO227" s="110" t="s">
        <v>174</v>
      </c>
      <c r="BP227" s="110" t="s">
        <v>174</v>
      </c>
      <c r="BQ227" s="110" t="s">
        <v>174</v>
      </c>
      <c r="BR227" s="110" t="s">
        <v>174</v>
      </c>
      <c r="BS227" s="110">
        <v>150</v>
      </c>
      <c r="BT227" s="110" t="s">
        <v>1385</v>
      </c>
      <c r="BU227" s="110" t="s">
        <v>3207</v>
      </c>
      <c r="BV227" s="110" t="s">
        <v>2603</v>
      </c>
      <c r="BW227" s="110">
        <v>0.99</v>
      </c>
      <c r="BZ227" s="110">
        <v>4.1700000000000001E-2</v>
      </c>
      <c r="CB227" s="110">
        <v>36.79</v>
      </c>
      <c r="CC227" s="110" t="b">
        <v>0</v>
      </c>
      <c r="CD227" s="110">
        <v>36.1</v>
      </c>
      <c r="CE227" s="110">
        <v>36.1</v>
      </c>
      <c r="CF227" s="110" t="s">
        <v>182</v>
      </c>
      <c r="CG227" s="110" t="s">
        <v>174</v>
      </c>
      <c r="CH227" s="110" t="s">
        <v>263</v>
      </c>
      <c r="CI227" s="110" t="s">
        <v>1015</v>
      </c>
      <c r="CJ227" s="110" t="s">
        <v>1011</v>
      </c>
    </row>
    <row r="228" spans="1:88">
      <c r="A228" s="110" t="s">
        <v>687</v>
      </c>
      <c r="B228" s="110">
        <v>52</v>
      </c>
      <c r="C228" s="110">
        <v>1</v>
      </c>
      <c r="D228" s="110">
        <v>1</v>
      </c>
      <c r="E228" s="110">
        <v>227</v>
      </c>
      <c r="F228" s="110">
        <v>1981</v>
      </c>
      <c r="G228" s="110" t="s">
        <v>187</v>
      </c>
      <c r="H228" s="110" t="s">
        <v>1219</v>
      </c>
      <c r="I228" s="110" t="s">
        <v>182</v>
      </c>
      <c r="J228" s="110" t="s">
        <v>246</v>
      </c>
      <c r="K228" s="110" t="s">
        <v>184</v>
      </c>
      <c r="L228" s="110" t="s">
        <v>184</v>
      </c>
      <c r="M228" s="110" t="s">
        <v>3175</v>
      </c>
      <c r="P228" s="110" t="s">
        <v>3183</v>
      </c>
      <c r="R228" s="110" t="s">
        <v>2611</v>
      </c>
      <c r="S228" s="110" t="s">
        <v>443</v>
      </c>
      <c r="T228" s="110" t="s">
        <v>1004</v>
      </c>
      <c r="U228" s="110" t="s">
        <v>1005</v>
      </c>
      <c r="V228" s="110">
        <v>27.639915779999999</v>
      </c>
      <c r="W228" s="110">
        <v>27.639915779999999</v>
      </c>
      <c r="X228" s="110">
        <v>-80.375822990000003</v>
      </c>
      <c r="Y228" s="110" t="s">
        <v>276</v>
      </c>
      <c r="Z228" s="110" t="s">
        <v>586</v>
      </c>
      <c r="AA228" s="110" t="s">
        <v>1788</v>
      </c>
      <c r="AB228" s="110" t="s">
        <v>1735</v>
      </c>
      <c r="AC228" s="110" t="s">
        <v>182</v>
      </c>
      <c r="AD228" s="110" t="s">
        <v>1256</v>
      </c>
      <c r="AE228" s="110" t="s">
        <v>187</v>
      </c>
      <c r="AF228" s="110" t="s">
        <v>190</v>
      </c>
      <c r="AG228" s="110" t="s">
        <v>190</v>
      </c>
      <c r="AI228" s="110" t="s">
        <v>246</v>
      </c>
      <c r="AJ228" s="110" t="s">
        <v>246</v>
      </c>
      <c r="AK228" s="110" t="s">
        <v>1007</v>
      </c>
      <c r="AL228" s="110" t="s">
        <v>1787</v>
      </c>
      <c r="AM228" s="110">
        <v>950</v>
      </c>
      <c r="AN228" s="110" t="s">
        <v>1216</v>
      </c>
      <c r="AO228" s="110">
        <v>1.0999999999999999E-2</v>
      </c>
      <c r="AP228" s="110" t="s">
        <v>190</v>
      </c>
      <c r="AQ228" s="110" t="s">
        <v>176</v>
      </c>
      <c r="AR228" s="110">
        <v>1978</v>
      </c>
      <c r="AS228" s="110" t="s">
        <v>475</v>
      </c>
      <c r="AT228" s="110" t="s">
        <v>420</v>
      </c>
      <c r="AU228" s="110">
        <v>10</v>
      </c>
      <c r="AW228" s="110">
        <v>18.100000000000001</v>
      </c>
      <c r="AX228" s="110" t="s">
        <v>174</v>
      </c>
      <c r="AY228" s="110" t="s">
        <v>174</v>
      </c>
      <c r="AZ228" s="110" t="s">
        <v>174</v>
      </c>
      <c r="BA228" s="110">
        <v>10</v>
      </c>
      <c r="BB228" s="110">
        <v>29</v>
      </c>
      <c r="BC228" s="110">
        <v>19.5</v>
      </c>
      <c r="BD228" s="110">
        <v>19</v>
      </c>
      <c r="BE228" s="110" t="s">
        <v>246</v>
      </c>
      <c r="BF228" s="110" t="s">
        <v>188</v>
      </c>
      <c r="BG228" s="110">
        <v>0</v>
      </c>
      <c r="BH228" s="110" t="s">
        <v>190</v>
      </c>
      <c r="BI228" s="110" t="s">
        <v>182</v>
      </c>
      <c r="BJ228" s="110" t="s">
        <v>893</v>
      </c>
      <c r="BK228" s="110">
        <v>2</v>
      </c>
      <c r="BL228" s="110">
        <v>6</v>
      </c>
      <c r="BM228" s="110" t="s">
        <v>174</v>
      </c>
      <c r="BN228" s="110" t="s">
        <v>174</v>
      </c>
      <c r="BO228" s="110" t="s">
        <v>174</v>
      </c>
      <c r="BP228" s="110" t="s">
        <v>174</v>
      </c>
      <c r="BQ228" s="110" t="s">
        <v>174</v>
      </c>
      <c r="BR228" s="110" t="s">
        <v>174</v>
      </c>
      <c r="BS228" s="110">
        <v>150</v>
      </c>
      <c r="BT228" s="110" t="s">
        <v>1385</v>
      </c>
      <c r="BU228" s="110" t="s">
        <v>3207</v>
      </c>
      <c r="BV228" s="110" t="s">
        <v>2603</v>
      </c>
      <c r="BW228" s="110">
        <v>0.88</v>
      </c>
      <c r="BZ228" s="110">
        <v>3.7199999999999997E-2</v>
      </c>
      <c r="CB228" s="110" t="s">
        <v>190</v>
      </c>
      <c r="CC228" s="110" t="b">
        <v>0</v>
      </c>
      <c r="CD228" s="110">
        <v>54.4</v>
      </c>
      <c r="CE228" s="110">
        <v>54.4</v>
      </c>
      <c r="CF228" s="110" t="s">
        <v>182</v>
      </c>
      <c r="CG228" s="110" t="s">
        <v>174</v>
      </c>
      <c r="CH228" s="110" t="s">
        <v>263</v>
      </c>
      <c r="CI228" s="110" t="s">
        <v>1015</v>
      </c>
      <c r="CJ228" s="110" t="s">
        <v>1011</v>
      </c>
    </row>
    <row r="229" spans="1:88">
      <c r="A229" s="110" t="s">
        <v>687</v>
      </c>
      <c r="B229" s="110">
        <v>52</v>
      </c>
      <c r="C229" s="110">
        <v>1</v>
      </c>
      <c r="D229" s="110">
        <v>1</v>
      </c>
      <c r="E229" s="110">
        <v>228</v>
      </c>
      <c r="F229" s="110">
        <v>1981</v>
      </c>
      <c r="G229" s="110" t="s">
        <v>187</v>
      </c>
      <c r="H229" s="110" t="s">
        <v>1219</v>
      </c>
      <c r="I229" s="110" t="s">
        <v>182</v>
      </c>
      <c r="J229" s="110" t="s">
        <v>246</v>
      </c>
      <c r="K229" s="110" t="s">
        <v>184</v>
      </c>
      <c r="L229" s="110" t="s">
        <v>184</v>
      </c>
      <c r="M229" s="110" t="s">
        <v>3175</v>
      </c>
      <c r="P229" s="110" t="s">
        <v>3183</v>
      </c>
      <c r="R229" s="110" t="s">
        <v>272</v>
      </c>
      <c r="S229" s="110" t="s">
        <v>443</v>
      </c>
      <c r="T229" s="110" t="s">
        <v>1008</v>
      </c>
      <c r="U229" s="110" t="s">
        <v>1009</v>
      </c>
      <c r="V229" s="110">
        <v>27.639915779999999</v>
      </c>
      <c r="W229" s="110">
        <v>27.639915779999999</v>
      </c>
      <c r="X229" s="110">
        <v>-80.375822990000003</v>
      </c>
      <c r="Y229" s="110" t="s">
        <v>276</v>
      </c>
      <c r="Z229" s="110" t="s">
        <v>586</v>
      </c>
      <c r="AA229" s="110" t="s">
        <v>1788</v>
      </c>
      <c r="AB229" s="110" t="s">
        <v>1735</v>
      </c>
      <c r="AC229" s="110" t="s">
        <v>182</v>
      </c>
      <c r="AD229" s="110" t="s">
        <v>1256</v>
      </c>
      <c r="AE229" s="110" t="s">
        <v>187</v>
      </c>
      <c r="AF229" s="110" t="s">
        <v>190</v>
      </c>
      <c r="AG229" s="110" t="s">
        <v>190</v>
      </c>
      <c r="AI229" s="110" t="s">
        <v>246</v>
      </c>
      <c r="AJ229" s="110" t="s">
        <v>246</v>
      </c>
      <c r="AK229" s="110" t="s">
        <v>1007</v>
      </c>
      <c r="AL229" s="110" t="s">
        <v>1787</v>
      </c>
      <c r="AM229" s="110">
        <v>950</v>
      </c>
      <c r="AN229" s="110" t="s">
        <v>1216</v>
      </c>
      <c r="AO229" s="110">
        <v>1.0999999999999999E-2</v>
      </c>
      <c r="AP229" s="110" t="s">
        <v>190</v>
      </c>
      <c r="AQ229" s="110" t="s">
        <v>176</v>
      </c>
      <c r="AR229" s="110">
        <v>1978</v>
      </c>
      <c r="AS229" s="110" t="s">
        <v>475</v>
      </c>
      <c r="AT229" s="110" t="s">
        <v>420</v>
      </c>
      <c r="AU229" s="110">
        <v>10</v>
      </c>
      <c r="AW229" s="110">
        <v>35.5</v>
      </c>
      <c r="AX229" s="110" t="s">
        <v>174</v>
      </c>
      <c r="AY229" s="110" t="s">
        <v>174</v>
      </c>
      <c r="AZ229" s="110" t="s">
        <v>174</v>
      </c>
      <c r="BA229" s="110">
        <v>10</v>
      </c>
      <c r="BB229" s="110">
        <v>29</v>
      </c>
      <c r="BC229" s="110">
        <v>19.5</v>
      </c>
      <c r="BD229" s="110">
        <v>19</v>
      </c>
      <c r="BE229" s="110" t="s">
        <v>246</v>
      </c>
      <c r="BF229" s="110" t="s">
        <v>188</v>
      </c>
      <c r="BG229" s="110">
        <v>0</v>
      </c>
      <c r="BH229" s="110" t="s">
        <v>190</v>
      </c>
      <c r="BI229" s="110" t="s">
        <v>182</v>
      </c>
      <c r="BJ229" s="110" t="s">
        <v>893</v>
      </c>
      <c r="BK229" s="110">
        <v>2</v>
      </c>
      <c r="BL229" s="110">
        <v>6</v>
      </c>
      <c r="BM229" s="110" t="s">
        <v>174</v>
      </c>
      <c r="BN229" s="110" t="s">
        <v>174</v>
      </c>
      <c r="BO229" s="110" t="s">
        <v>174</v>
      </c>
      <c r="BP229" s="110" t="s">
        <v>174</v>
      </c>
      <c r="BQ229" s="110" t="s">
        <v>174</v>
      </c>
      <c r="BR229" s="110" t="s">
        <v>174</v>
      </c>
      <c r="BS229" s="110">
        <v>150</v>
      </c>
      <c r="BT229" s="110" t="s">
        <v>1385</v>
      </c>
      <c r="BU229" s="110" t="s">
        <v>3207</v>
      </c>
      <c r="BV229" s="110" t="s">
        <v>2603</v>
      </c>
      <c r="BW229" s="110">
        <v>0.86</v>
      </c>
      <c r="BZ229" s="110">
        <v>3.09E-2</v>
      </c>
      <c r="CB229" s="110" t="s">
        <v>190</v>
      </c>
      <c r="CC229" s="110" t="b">
        <v>0</v>
      </c>
      <c r="CD229" s="110">
        <v>77.099999999999994</v>
      </c>
      <c r="CE229" s="110">
        <v>77.099999999999994</v>
      </c>
      <c r="CF229" s="110" t="s">
        <v>182</v>
      </c>
      <c r="CG229" s="110" t="s">
        <v>174</v>
      </c>
      <c r="CH229" s="110" t="s">
        <v>263</v>
      </c>
      <c r="CI229" s="110" t="s">
        <v>1015</v>
      </c>
      <c r="CJ229" s="110" t="s">
        <v>1011</v>
      </c>
    </row>
    <row r="230" spans="1:88">
      <c r="A230" s="110" t="s">
        <v>1252</v>
      </c>
      <c r="B230" s="110">
        <v>53</v>
      </c>
      <c r="C230" s="110">
        <v>1</v>
      </c>
      <c r="D230" s="110">
        <v>1</v>
      </c>
      <c r="E230" s="110">
        <v>229</v>
      </c>
      <c r="F230" s="110">
        <v>1990</v>
      </c>
      <c r="G230" s="110" t="s">
        <v>161</v>
      </c>
      <c r="H230" s="110" t="s">
        <v>2441</v>
      </c>
      <c r="I230" s="110" t="s">
        <v>182</v>
      </c>
      <c r="J230" s="110" t="s">
        <v>246</v>
      </c>
      <c r="K230" s="110" t="s">
        <v>999</v>
      </c>
      <c r="L230" s="110" t="s">
        <v>999</v>
      </c>
      <c r="R230" s="110" t="s">
        <v>2611</v>
      </c>
      <c r="S230" s="110" t="s">
        <v>446</v>
      </c>
      <c r="T230" s="110" t="s">
        <v>1021</v>
      </c>
      <c r="U230" s="110" t="s">
        <v>1220</v>
      </c>
      <c r="V230" s="110">
        <v>54.18320482</v>
      </c>
      <c r="W230" s="110">
        <v>54.18320482</v>
      </c>
      <c r="X230" s="110">
        <v>7.8837679969999996</v>
      </c>
      <c r="Y230" s="110" t="s">
        <v>1718</v>
      </c>
      <c r="Z230" s="110" t="s">
        <v>155</v>
      </c>
      <c r="AA230" s="110" t="s">
        <v>1788</v>
      </c>
      <c r="AB230" s="110" t="s">
        <v>1729</v>
      </c>
      <c r="AC230" s="110" t="s">
        <v>182</v>
      </c>
      <c r="AD230" s="110" t="s">
        <v>1256</v>
      </c>
      <c r="AE230" s="110" t="s">
        <v>218</v>
      </c>
      <c r="AF230" s="110" t="s">
        <v>190</v>
      </c>
      <c r="AG230" s="110">
        <v>6</v>
      </c>
      <c r="AI230" s="110" t="s">
        <v>246</v>
      </c>
      <c r="AJ230" s="110" t="s">
        <v>246</v>
      </c>
      <c r="AK230" s="110" t="s">
        <v>1765</v>
      </c>
      <c r="AL230" s="110" t="s">
        <v>190</v>
      </c>
      <c r="AO230" s="110">
        <v>0.18</v>
      </c>
      <c r="AP230" s="110" t="s">
        <v>190</v>
      </c>
      <c r="AQ230" s="110" t="s">
        <v>176</v>
      </c>
      <c r="AR230" s="110">
        <v>1985</v>
      </c>
      <c r="AS230" s="110" t="s">
        <v>475</v>
      </c>
      <c r="AT230" s="110" t="s">
        <v>420</v>
      </c>
      <c r="AU230" s="110">
        <v>1</v>
      </c>
      <c r="AW230" s="110">
        <v>8.8000000000000007</v>
      </c>
      <c r="AX230" s="110">
        <v>4.8</v>
      </c>
      <c r="AZ230" s="110" t="s">
        <v>174</v>
      </c>
      <c r="BA230" s="110">
        <v>16.399999999999999</v>
      </c>
      <c r="BB230" s="110">
        <v>16.399999999999999</v>
      </c>
      <c r="BC230" s="110">
        <v>16.399999999999999</v>
      </c>
      <c r="BD230" s="110">
        <v>0</v>
      </c>
      <c r="BE230" s="110" t="s">
        <v>182</v>
      </c>
      <c r="BF230" s="110" t="s">
        <v>412</v>
      </c>
      <c r="BH230" s="110" t="s">
        <v>190</v>
      </c>
      <c r="BI230" s="110" t="s">
        <v>182</v>
      </c>
      <c r="BJ230" s="110" t="s">
        <v>412</v>
      </c>
      <c r="BK230" s="110" t="s">
        <v>1766</v>
      </c>
      <c r="BL230" s="110">
        <v>3</v>
      </c>
      <c r="BM230" s="110" t="s">
        <v>174</v>
      </c>
      <c r="BN230" s="110" t="s">
        <v>174</v>
      </c>
      <c r="BO230" s="110" t="s">
        <v>174</v>
      </c>
      <c r="BP230" s="110" t="s">
        <v>174</v>
      </c>
      <c r="BQ230" s="110" t="s">
        <v>174</v>
      </c>
      <c r="BR230" s="110" t="s">
        <v>174</v>
      </c>
      <c r="BS230" s="110">
        <v>33</v>
      </c>
      <c r="BT230" s="110" t="s">
        <v>2347</v>
      </c>
      <c r="BU230" s="110" t="s">
        <v>1394</v>
      </c>
      <c r="BV230" s="110" t="s">
        <v>2603</v>
      </c>
      <c r="BW230" s="110">
        <v>0.997</v>
      </c>
      <c r="BZ230" s="110">
        <v>0.1416</v>
      </c>
      <c r="CB230" s="110">
        <v>4.9000000000000004</v>
      </c>
      <c r="CC230" s="110" t="b">
        <v>0</v>
      </c>
      <c r="CD230" s="110">
        <v>3.4000000000000057</v>
      </c>
      <c r="CE230" s="110" t="s">
        <v>2256</v>
      </c>
      <c r="CF230" s="110" t="s">
        <v>2256</v>
      </c>
      <c r="CG230" s="110" t="s">
        <v>174</v>
      </c>
      <c r="CH230" s="110" t="s">
        <v>263</v>
      </c>
      <c r="CI230" s="110" t="s">
        <v>259</v>
      </c>
    </row>
    <row r="231" spans="1:88">
      <c r="A231" s="110" t="s">
        <v>1252</v>
      </c>
      <c r="B231" s="110">
        <v>53</v>
      </c>
      <c r="C231" s="110">
        <v>1</v>
      </c>
      <c r="D231" s="110">
        <v>1</v>
      </c>
      <c r="E231" s="110">
        <v>230</v>
      </c>
      <c r="F231" s="110">
        <v>1990</v>
      </c>
      <c r="G231" s="110" t="s">
        <v>161</v>
      </c>
      <c r="H231" s="110" t="s">
        <v>2441</v>
      </c>
      <c r="I231" s="110" t="s">
        <v>182</v>
      </c>
      <c r="J231" s="110" t="s">
        <v>246</v>
      </c>
      <c r="K231" s="110" t="s">
        <v>999</v>
      </c>
      <c r="L231" s="110" t="s">
        <v>999</v>
      </c>
      <c r="R231" s="110" t="s">
        <v>1976</v>
      </c>
      <c r="S231" s="110" t="s">
        <v>446</v>
      </c>
      <c r="T231" s="110" t="s">
        <v>1221</v>
      </c>
      <c r="U231" s="110" t="s">
        <v>2188</v>
      </c>
      <c r="V231" s="110">
        <v>54.18320482</v>
      </c>
      <c r="W231" s="110">
        <v>54.18320482</v>
      </c>
      <c r="X231" s="110">
        <v>7.8837679969999996</v>
      </c>
      <c r="Y231" s="110" t="s">
        <v>1718</v>
      </c>
      <c r="Z231" s="110" t="s">
        <v>155</v>
      </c>
      <c r="AA231" s="110" t="s">
        <v>1788</v>
      </c>
      <c r="AB231" s="110" t="s">
        <v>1729</v>
      </c>
      <c r="AC231" s="110" t="s">
        <v>182</v>
      </c>
      <c r="AD231" s="110" t="s">
        <v>1256</v>
      </c>
      <c r="AE231" s="110" t="s">
        <v>218</v>
      </c>
      <c r="AF231" s="110" t="s">
        <v>190</v>
      </c>
      <c r="AG231" s="110">
        <v>6</v>
      </c>
      <c r="AI231" s="110" t="s">
        <v>246</v>
      </c>
      <c r="AJ231" s="110" t="s">
        <v>246</v>
      </c>
      <c r="AK231" s="110" t="s">
        <v>1765</v>
      </c>
      <c r="AL231" s="110" t="s">
        <v>190</v>
      </c>
      <c r="AO231" s="110">
        <v>0.18</v>
      </c>
      <c r="AP231" s="110" t="s">
        <v>190</v>
      </c>
      <c r="AQ231" s="110" t="s">
        <v>176</v>
      </c>
      <c r="AR231" s="110">
        <v>1985</v>
      </c>
      <c r="AS231" s="110" t="s">
        <v>475</v>
      </c>
      <c r="AT231" s="110" t="s">
        <v>420</v>
      </c>
      <c r="AU231" s="110">
        <v>1</v>
      </c>
      <c r="AW231" s="110">
        <v>6.9</v>
      </c>
      <c r="AX231" s="110">
        <v>5.5</v>
      </c>
      <c r="AZ231" s="110" t="s">
        <v>174</v>
      </c>
      <c r="BA231" s="110">
        <v>16.399999999999999</v>
      </c>
      <c r="BB231" s="110">
        <v>16.399999999999999</v>
      </c>
      <c r="BC231" s="110">
        <v>16.399999999999999</v>
      </c>
      <c r="BD231" s="110">
        <v>0</v>
      </c>
      <c r="BE231" s="110" t="s">
        <v>182</v>
      </c>
      <c r="BF231" s="110" t="s">
        <v>412</v>
      </c>
      <c r="BH231" s="110" t="s">
        <v>190</v>
      </c>
      <c r="BI231" s="110" t="s">
        <v>182</v>
      </c>
      <c r="BJ231" s="110" t="s">
        <v>412</v>
      </c>
      <c r="BK231" s="110" t="s">
        <v>1766</v>
      </c>
      <c r="BL231" s="110">
        <v>2</v>
      </c>
      <c r="BM231" s="110" t="s">
        <v>174</v>
      </c>
      <c r="BN231" s="110" t="s">
        <v>174</v>
      </c>
      <c r="BO231" s="110" t="s">
        <v>174</v>
      </c>
      <c r="BP231" s="110" t="s">
        <v>174</v>
      </c>
      <c r="BQ231" s="110" t="s">
        <v>174</v>
      </c>
      <c r="BR231" s="110" t="s">
        <v>174</v>
      </c>
      <c r="BS231" s="110">
        <v>20</v>
      </c>
      <c r="BT231" s="110" t="s">
        <v>2347</v>
      </c>
      <c r="BU231" s="110" t="s">
        <v>1394</v>
      </c>
      <c r="BV231" s="110" t="s">
        <v>2603</v>
      </c>
      <c r="BW231" s="110">
        <v>0.999</v>
      </c>
      <c r="BZ231" s="110">
        <v>0.1191</v>
      </c>
      <c r="CB231" s="110">
        <v>5.8</v>
      </c>
      <c r="CC231" s="110" t="b">
        <v>0</v>
      </c>
      <c r="CD231" s="110">
        <v>7.7999999999999972</v>
      </c>
      <c r="CE231" s="110" t="s">
        <v>2256</v>
      </c>
      <c r="CF231" s="110" t="s">
        <v>2256</v>
      </c>
      <c r="CG231" s="110" t="s">
        <v>174</v>
      </c>
      <c r="CH231" s="110" t="s">
        <v>263</v>
      </c>
      <c r="CI231" s="110" t="s">
        <v>259</v>
      </c>
    </row>
    <row r="232" spans="1:88">
      <c r="A232" s="110" t="s">
        <v>1252</v>
      </c>
      <c r="B232" s="110">
        <v>53</v>
      </c>
      <c r="C232" s="110">
        <v>1</v>
      </c>
      <c r="D232" s="110">
        <v>2</v>
      </c>
      <c r="E232" s="110">
        <v>231</v>
      </c>
      <c r="F232" s="110">
        <v>1990</v>
      </c>
      <c r="G232" s="110" t="s">
        <v>161</v>
      </c>
      <c r="H232" s="110" t="s">
        <v>2441</v>
      </c>
      <c r="I232" s="110" t="s">
        <v>182</v>
      </c>
      <c r="J232" s="110" t="s">
        <v>246</v>
      </c>
      <c r="K232" s="110" t="s">
        <v>999</v>
      </c>
      <c r="L232" s="110" t="s">
        <v>999</v>
      </c>
      <c r="R232" s="110" t="s">
        <v>2611</v>
      </c>
      <c r="S232" s="110" t="s">
        <v>446</v>
      </c>
      <c r="T232" s="110" t="s">
        <v>1021</v>
      </c>
      <c r="U232" s="110" t="s">
        <v>1220</v>
      </c>
      <c r="V232" s="110">
        <v>54.18320482</v>
      </c>
      <c r="W232" s="110">
        <v>54.18320482</v>
      </c>
      <c r="X232" s="110">
        <v>7.8837679969999996</v>
      </c>
      <c r="Y232" s="110" t="s">
        <v>1718</v>
      </c>
      <c r="Z232" s="110" t="s">
        <v>155</v>
      </c>
      <c r="AA232" s="110" t="s">
        <v>1788</v>
      </c>
      <c r="AB232" s="110" t="s">
        <v>1729</v>
      </c>
      <c r="AC232" s="110" t="s">
        <v>182</v>
      </c>
      <c r="AD232" s="110" t="s">
        <v>1256</v>
      </c>
      <c r="AE232" s="110" t="s">
        <v>218</v>
      </c>
      <c r="AF232" s="110" t="s">
        <v>190</v>
      </c>
      <c r="AG232" s="110">
        <v>6</v>
      </c>
      <c r="AI232" s="110" t="s">
        <v>246</v>
      </c>
      <c r="AJ232" s="110" t="s">
        <v>246</v>
      </c>
      <c r="AK232" s="110" t="s">
        <v>1765</v>
      </c>
      <c r="AL232" s="110" t="s">
        <v>190</v>
      </c>
      <c r="AO232" s="110" t="s">
        <v>190</v>
      </c>
      <c r="AP232" s="110" t="s">
        <v>190</v>
      </c>
      <c r="AQ232" s="110" t="s">
        <v>176</v>
      </c>
      <c r="AR232" s="110">
        <v>1985</v>
      </c>
      <c r="AS232" s="110" t="s">
        <v>743</v>
      </c>
      <c r="AT232" s="110" t="s">
        <v>385</v>
      </c>
      <c r="AU232" s="110">
        <v>1</v>
      </c>
      <c r="AW232" s="110">
        <v>9.6999999999999993</v>
      </c>
      <c r="AX232" s="110">
        <v>9.1999999999999993</v>
      </c>
      <c r="AZ232" s="110" t="s">
        <v>174</v>
      </c>
      <c r="BA232" s="110">
        <v>8.1</v>
      </c>
      <c r="BB232" s="110">
        <v>8.1</v>
      </c>
      <c r="BC232" s="110">
        <v>8.1</v>
      </c>
      <c r="BD232" s="110">
        <v>0</v>
      </c>
      <c r="BE232" s="110" t="s">
        <v>182</v>
      </c>
      <c r="BF232" s="110" t="s">
        <v>412</v>
      </c>
      <c r="BH232" s="110" t="s">
        <v>190</v>
      </c>
      <c r="BI232" s="110" t="s">
        <v>182</v>
      </c>
      <c r="BJ232" s="110" t="s">
        <v>412</v>
      </c>
      <c r="BK232" s="110" t="s">
        <v>1766</v>
      </c>
      <c r="BL232" s="110">
        <v>2</v>
      </c>
      <c r="BM232" s="110" t="s">
        <v>174</v>
      </c>
      <c r="BN232" s="110" t="s">
        <v>174</v>
      </c>
      <c r="BO232" s="110" t="s">
        <v>174</v>
      </c>
      <c r="BP232" s="110" t="s">
        <v>174</v>
      </c>
      <c r="BQ232" s="110" t="s">
        <v>174</v>
      </c>
      <c r="BR232" s="110" t="s">
        <v>174</v>
      </c>
      <c r="BS232" s="110">
        <v>30</v>
      </c>
      <c r="BT232" s="110" t="s">
        <v>2347</v>
      </c>
      <c r="BU232" s="110" t="s">
        <v>1394</v>
      </c>
      <c r="BV232" s="110" t="s">
        <v>2603</v>
      </c>
      <c r="BW232" s="110">
        <v>0.998</v>
      </c>
      <c r="BZ232" s="110">
        <v>6.8599999999999994E-2</v>
      </c>
      <c r="CB232" s="110">
        <v>10.1</v>
      </c>
      <c r="CC232" s="110" t="b">
        <v>0</v>
      </c>
      <c r="CD232" s="110">
        <v>14.299999999999997</v>
      </c>
      <c r="CE232" s="110" t="s">
        <v>2256</v>
      </c>
      <c r="CF232" s="110" t="s">
        <v>2256</v>
      </c>
      <c r="CG232" s="110" t="s">
        <v>174</v>
      </c>
      <c r="CH232" s="110" t="s">
        <v>263</v>
      </c>
      <c r="CI232" s="110" t="s">
        <v>259</v>
      </c>
    </row>
    <row r="233" spans="1:88">
      <c r="A233" s="110" t="s">
        <v>1252</v>
      </c>
      <c r="B233" s="110">
        <v>53</v>
      </c>
      <c r="C233" s="110">
        <v>1</v>
      </c>
      <c r="D233" s="110">
        <v>2</v>
      </c>
      <c r="E233" s="110">
        <v>232</v>
      </c>
      <c r="F233" s="110">
        <v>1990</v>
      </c>
      <c r="G233" s="110" t="s">
        <v>161</v>
      </c>
      <c r="H233" s="110" t="s">
        <v>2441</v>
      </c>
      <c r="I233" s="110" t="s">
        <v>182</v>
      </c>
      <c r="J233" s="110" t="s">
        <v>246</v>
      </c>
      <c r="K233" s="110" t="s">
        <v>999</v>
      </c>
      <c r="L233" s="110" t="s">
        <v>999</v>
      </c>
      <c r="R233" s="110" t="s">
        <v>1976</v>
      </c>
      <c r="S233" s="110" t="s">
        <v>446</v>
      </c>
      <c r="T233" s="110" t="s">
        <v>1221</v>
      </c>
      <c r="U233" s="110" t="s">
        <v>2188</v>
      </c>
      <c r="V233" s="110">
        <v>54.18320482</v>
      </c>
      <c r="W233" s="110">
        <v>54.18320482</v>
      </c>
      <c r="X233" s="110">
        <v>7.8837679969999996</v>
      </c>
      <c r="Y233" s="110" t="s">
        <v>1718</v>
      </c>
      <c r="Z233" s="110" t="s">
        <v>155</v>
      </c>
      <c r="AA233" s="110" t="s">
        <v>1788</v>
      </c>
      <c r="AB233" s="110" t="s">
        <v>1729</v>
      </c>
      <c r="AC233" s="110" t="s">
        <v>182</v>
      </c>
      <c r="AD233" s="110" t="s">
        <v>1256</v>
      </c>
      <c r="AE233" s="110" t="s">
        <v>218</v>
      </c>
      <c r="AF233" s="110" t="s">
        <v>190</v>
      </c>
      <c r="AG233" s="110">
        <v>6</v>
      </c>
      <c r="AI233" s="110" t="s">
        <v>246</v>
      </c>
      <c r="AJ233" s="110" t="s">
        <v>246</v>
      </c>
      <c r="AK233" s="110" t="s">
        <v>1765</v>
      </c>
      <c r="AL233" s="110" t="s">
        <v>190</v>
      </c>
      <c r="AO233" s="110">
        <v>0.18</v>
      </c>
      <c r="AP233" s="110" t="s">
        <v>190</v>
      </c>
      <c r="AQ233" s="110" t="s">
        <v>176</v>
      </c>
      <c r="AR233" s="110">
        <v>1985</v>
      </c>
      <c r="AS233" s="110" t="s">
        <v>743</v>
      </c>
      <c r="AT233" s="110" t="s">
        <v>385</v>
      </c>
      <c r="AU233" s="110">
        <v>1</v>
      </c>
      <c r="AW233" s="110">
        <v>9.5</v>
      </c>
      <c r="AX233" s="110">
        <v>8.6999999999999993</v>
      </c>
      <c r="AZ233" s="110" t="s">
        <v>174</v>
      </c>
      <c r="BA233" s="110">
        <v>8.1</v>
      </c>
      <c r="BB233" s="110">
        <v>8.1</v>
      </c>
      <c r="BC233" s="110">
        <v>8.1</v>
      </c>
      <c r="BD233" s="110">
        <v>0</v>
      </c>
      <c r="BE233" s="110" t="s">
        <v>182</v>
      </c>
      <c r="BF233" s="110" t="s">
        <v>412</v>
      </c>
      <c r="BH233" s="110" t="s">
        <v>190</v>
      </c>
      <c r="BI233" s="110" t="s">
        <v>182</v>
      </c>
      <c r="BJ233" s="110" t="s">
        <v>412</v>
      </c>
      <c r="BK233" s="110" t="s">
        <v>1766</v>
      </c>
      <c r="BL233" s="110">
        <v>2</v>
      </c>
      <c r="BM233" s="110" t="s">
        <v>174</v>
      </c>
      <c r="BN233" s="110" t="s">
        <v>174</v>
      </c>
      <c r="BO233" s="110" t="s">
        <v>174</v>
      </c>
      <c r="BP233" s="110" t="s">
        <v>174</v>
      </c>
      <c r="BQ233" s="110" t="s">
        <v>174</v>
      </c>
      <c r="BR233" s="110" t="s">
        <v>174</v>
      </c>
      <c r="BS233" s="110">
        <v>30</v>
      </c>
      <c r="BT233" s="110" t="s">
        <v>1396</v>
      </c>
      <c r="BU233" s="110" t="s">
        <v>1396</v>
      </c>
      <c r="BV233" s="110" t="s">
        <v>1396</v>
      </c>
      <c r="BW233" s="110">
        <v>0.99</v>
      </c>
      <c r="CA233" s="110">
        <v>2.4222000000000001</v>
      </c>
      <c r="CB233" s="110">
        <v>20.64239121</v>
      </c>
      <c r="CC233" s="110" t="b">
        <v>0</v>
      </c>
      <c r="CD233" s="110">
        <v>27.799999999999997</v>
      </c>
      <c r="CE233" s="110" t="s">
        <v>2256</v>
      </c>
      <c r="CF233" s="110" t="s">
        <v>2256</v>
      </c>
      <c r="CG233" s="110">
        <v>41.28478243</v>
      </c>
      <c r="CH233" s="110" t="s">
        <v>263</v>
      </c>
      <c r="CI233" s="110" t="s">
        <v>259</v>
      </c>
    </row>
    <row r="234" spans="1:88">
      <c r="A234" s="110" t="s">
        <v>1252</v>
      </c>
      <c r="B234" s="110">
        <v>53</v>
      </c>
      <c r="C234" s="110">
        <v>1</v>
      </c>
      <c r="D234" s="110">
        <v>2</v>
      </c>
      <c r="E234" s="110">
        <v>233</v>
      </c>
      <c r="F234" s="110">
        <v>1990</v>
      </c>
      <c r="G234" s="110" t="s">
        <v>161</v>
      </c>
      <c r="H234" s="110" t="s">
        <v>2441</v>
      </c>
      <c r="I234" s="110" t="s">
        <v>182</v>
      </c>
      <c r="J234" s="110" t="s">
        <v>246</v>
      </c>
      <c r="K234" s="110" t="s">
        <v>999</v>
      </c>
      <c r="L234" s="110" t="s">
        <v>999</v>
      </c>
      <c r="R234" s="110" t="s">
        <v>2611</v>
      </c>
      <c r="S234" s="110" t="s">
        <v>446</v>
      </c>
      <c r="T234" s="110" t="s">
        <v>1017</v>
      </c>
      <c r="U234" s="110" t="s">
        <v>1018</v>
      </c>
      <c r="V234" s="110">
        <v>54.18320482</v>
      </c>
      <c r="W234" s="110">
        <v>54.18320482</v>
      </c>
      <c r="X234" s="110">
        <v>7.8837679969999996</v>
      </c>
      <c r="Y234" s="110" t="s">
        <v>1718</v>
      </c>
      <c r="Z234" s="110" t="s">
        <v>155</v>
      </c>
      <c r="AA234" s="110" t="s">
        <v>1788</v>
      </c>
      <c r="AB234" s="110" t="s">
        <v>1729</v>
      </c>
      <c r="AC234" s="110" t="s">
        <v>182</v>
      </c>
      <c r="AD234" s="110" t="s">
        <v>1256</v>
      </c>
      <c r="AE234" s="110" t="s">
        <v>218</v>
      </c>
      <c r="AF234" s="110" t="s">
        <v>190</v>
      </c>
      <c r="AG234" s="110">
        <v>6</v>
      </c>
      <c r="AI234" s="110" t="s">
        <v>246</v>
      </c>
      <c r="AJ234" s="110" t="s">
        <v>246</v>
      </c>
      <c r="AK234" s="110" t="s">
        <v>1765</v>
      </c>
      <c r="AL234" s="110" t="s">
        <v>190</v>
      </c>
      <c r="AO234" s="110">
        <v>0.18</v>
      </c>
      <c r="AP234" s="110" t="s">
        <v>190</v>
      </c>
      <c r="AQ234" s="110" t="s">
        <v>176</v>
      </c>
      <c r="AR234" s="110">
        <v>1985</v>
      </c>
      <c r="AS234" s="110" t="s">
        <v>743</v>
      </c>
      <c r="AT234" s="110" t="s">
        <v>385</v>
      </c>
      <c r="AU234" s="110">
        <v>1</v>
      </c>
      <c r="AW234" s="110">
        <v>10.7</v>
      </c>
      <c r="AX234" s="110">
        <v>7.2</v>
      </c>
      <c r="AZ234" s="110" t="s">
        <v>174</v>
      </c>
      <c r="BA234" s="110">
        <v>8.1</v>
      </c>
      <c r="BB234" s="110">
        <v>8.1</v>
      </c>
      <c r="BC234" s="110">
        <v>8.1</v>
      </c>
      <c r="BD234" s="110">
        <v>0</v>
      </c>
      <c r="BE234" s="110" t="s">
        <v>182</v>
      </c>
      <c r="BF234" s="110" t="s">
        <v>412</v>
      </c>
      <c r="BH234" s="110" t="s">
        <v>190</v>
      </c>
      <c r="BI234" s="110" t="s">
        <v>182</v>
      </c>
      <c r="BJ234" s="110" t="s">
        <v>412</v>
      </c>
      <c r="BK234" s="110" t="s">
        <v>1766</v>
      </c>
      <c r="BL234" s="110">
        <v>2</v>
      </c>
      <c r="BM234" s="110" t="s">
        <v>174</v>
      </c>
      <c r="BN234" s="110" t="s">
        <v>174</v>
      </c>
      <c r="BO234" s="110" t="s">
        <v>174</v>
      </c>
      <c r="BP234" s="110" t="s">
        <v>174</v>
      </c>
      <c r="BQ234" s="110" t="s">
        <v>174</v>
      </c>
      <c r="BR234" s="110" t="s">
        <v>174</v>
      </c>
      <c r="BS234" s="110">
        <v>30</v>
      </c>
      <c r="BT234" s="110" t="s">
        <v>2347</v>
      </c>
      <c r="BU234" s="110" t="s">
        <v>1394</v>
      </c>
      <c r="BV234" s="110" t="s">
        <v>2603</v>
      </c>
      <c r="BW234" s="110">
        <v>0.997</v>
      </c>
      <c r="BZ234" s="110">
        <v>3.8600000000000002E-2</v>
      </c>
      <c r="CB234" s="110">
        <v>18</v>
      </c>
      <c r="CC234" s="110" t="b">
        <v>0</v>
      </c>
      <c r="CD234" s="110">
        <v>32.5</v>
      </c>
      <c r="CE234" s="110" t="s">
        <v>2256</v>
      </c>
      <c r="CF234" s="110" t="s">
        <v>2256</v>
      </c>
      <c r="CG234" s="110" t="s">
        <v>174</v>
      </c>
      <c r="CH234" s="110" t="s">
        <v>263</v>
      </c>
      <c r="CI234" s="110" t="s">
        <v>259</v>
      </c>
    </row>
    <row r="235" spans="1:88">
      <c r="A235" s="110" t="s">
        <v>1252</v>
      </c>
      <c r="B235" s="110">
        <v>53</v>
      </c>
      <c r="C235" s="110">
        <v>1</v>
      </c>
      <c r="D235" s="110">
        <v>3</v>
      </c>
      <c r="E235" s="110">
        <v>234</v>
      </c>
      <c r="F235" s="110">
        <v>1990</v>
      </c>
      <c r="G235" s="110" t="s">
        <v>161</v>
      </c>
      <c r="H235" s="110" t="s">
        <v>2441</v>
      </c>
      <c r="I235" s="110" t="s">
        <v>182</v>
      </c>
      <c r="J235" s="110" t="s">
        <v>246</v>
      </c>
      <c r="K235" s="110" t="s">
        <v>999</v>
      </c>
      <c r="L235" s="110" t="s">
        <v>999</v>
      </c>
      <c r="R235" s="110" t="s">
        <v>1976</v>
      </c>
      <c r="S235" s="110" t="s">
        <v>446</v>
      </c>
      <c r="T235" s="110" t="s">
        <v>1221</v>
      </c>
      <c r="U235" s="110" t="s">
        <v>2188</v>
      </c>
      <c r="V235" s="110">
        <v>54.18320482</v>
      </c>
      <c r="W235" s="110">
        <v>54.18320482</v>
      </c>
      <c r="X235" s="110">
        <v>7.8837679969999996</v>
      </c>
      <c r="Y235" s="110" t="s">
        <v>1718</v>
      </c>
      <c r="Z235" s="110" t="s">
        <v>155</v>
      </c>
      <c r="AA235" s="110" t="s">
        <v>1788</v>
      </c>
      <c r="AB235" s="110" t="s">
        <v>1729</v>
      </c>
      <c r="AC235" s="110" t="s">
        <v>182</v>
      </c>
      <c r="AD235" s="110" t="s">
        <v>1256</v>
      </c>
      <c r="AE235" s="110" t="s">
        <v>218</v>
      </c>
      <c r="AF235" s="110" t="s">
        <v>190</v>
      </c>
      <c r="AG235" s="110">
        <v>6</v>
      </c>
      <c r="AI235" s="110" t="s">
        <v>246</v>
      </c>
      <c r="AJ235" s="110" t="s">
        <v>246</v>
      </c>
      <c r="AK235" s="110" t="s">
        <v>1765</v>
      </c>
      <c r="AL235" s="110" t="s">
        <v>190</v>
      </c>
      <c r="AO235" s="110">
        <v>0.18</v>
      </c>
      <c r="AP235" s="110" t="s">
        <v>190</v>
      </c>
      <c r="AQ235" s="110" t="s">
        <v>176</v>
      </c>
      <c r="AR235" s="110">
        <v>1986</v>
      </c>
      <c r="AS235" s="110" t="s">
        <v>319</v>
      </c>
      <c r="AT235" s="110" t="s">
        <v>298</v>
      </c>
      <c r="AU235" s="110">
        <v>1</v>
      </c>
      <c r="AW235" s="110">
        <v>8.5</v>
      </c>
      <c r="AX235" s="110">
        <v>8.9</v>
      </c>
      <c r="AZ235" s="110" t="s">
        <v>174</v>
      </c>
      <c r="BA235" s="110">
        <v>3.4</v>
      </c>
      <c r="BB235" s="110">
        <v>3.4</v>
      </c>
      <c r="BC235" s="110">
        <v>3.4</v>
      </c>
      <c r="BD235" s="110">
        <v>0</v>
      </c>
      <c r="BE235" s="110" t="s">
        <v>182</v>
      </c>
      <c r="BF235" s="110" t="s">
        <v>412</v>
      </c>
      <c r="BH235" s="110" t="s">
        <v>190</v>
      </c>
      <c r="BI235" s="110" t="s">
        <v>182</v>
      </c>
      <c r="BJ235" s="110" t="s">
        <v>412</v>
      </c>
      <c r="BK235" s="110" t="s">
        <v>1766</v>
      </c>
      <c r="BL235" s="110">
        <v>2</v>
      </c>
      <c r="BM235" s="110" t="s">
        <v>174</v>
      </c>
      <c r="BN235" s="110" t="s">
        <v>174</v>
      </c>
      <c r="BO235" s="110" t="s">
        <v>174</v>
      </c>
      <c r="BP235" s="110" t="s">
        <v>174</v>
      </c>
      <c r="BQ235" s="110" t="s">
        <v>174</v>
      </c>
      <c r="BR235" s="110" t="s">
        <v>174</v>
      </c>
      <c r="BS235" s="110">
        <v>30</v>
      </c>
      <c r="BT235" s="110" t="s">
        <v>2347</v>
      </c>
      <c r="BU235" s="110" t="s">
        <v>1394</v>
      </c>
      <c r="BV235" s="110" t="s">
        <v>2603</v>
      </c>
      <c r="BW235" s="110">
        <v>0.99</v>
      </c>
      <c r="BZ235" s="110">
        <v>2.7900000000000001E-2</v>
      </c>
      <c r="CB235" s="110">
        <v>24.8</v>
      </c>
      <c r="CC235" s="110" t="b">
        <v>0</v>
      </c>
      <c r="CD235" s="110">
        <v>28.5</v>
      </c>
      <c r="CE235" s="110" t="s">
        <v>2256</v>
      </c>
      <c r="CF235" s="110" t="s">
        <v>2256</v>
      </c>
      <c r="CG235" s="110" t="s">
        <v>174</v>
      </c>
      <c r="CH235" s="110" t="s">
        <v>263</v>
      </c>
      <c r="CI235" s="110" t="s">
        <v>259</v>
      </c>
    </row>
    <row r="236" spans="1:88">
      <c r="A236" s="110" t="s">
        <v>1252</v>
      </c>
      <c r="B236" s="110">
        <v>53</v>
      </c>
      <c r="C236" s="110">
        <v>1</v>
      </c>
      <c r="D236" s="110">
        <v>3</v>
      </c>
      <c r="E236" s="110">
        <v>235</v>
      </c>
      <c r="F236" s="110">
        <v>1990</v>
      </c>
      <c r="G236" s="110" t="s">
        <v>161</v>
      </c>
      <c r="H236" s="110" t="s">
        <v>2441</v>
      </c>
      <c r="I236" s="110" t="s">
        <v>182</v>
      </c>
      <c r="J236" s="110" t="s">
        <v>246</v>
      </c>
      <c r="K236" s="110" t="s">
        <v>999</v>
      </c>
      <c r="L236" s="110" t="s">
        <v>999</v>
      </c>
      <c r="R236" s="110" t="s">
        <v>2611</v>
      </c>
      <c r="S236" s="110" t="s">
        <v>446</v>
      </c>
      <c r="T236" s="110" t="s">
        <v>1017</v>
      </c>
      <c r="U236" s="110" t="s">
        <v>1018</v>
      </c>
      <c r="V236" s="110">
        <v>54.18320482</v>
      </c>
      <c r="W236" s="110">
        <v>54.18320482</v>
      </c>
      <c r="X236" s="110">
        <v>7.8837679969999996</v>
      </c>
      <c r="Y236" s="110" t="s">
        <v>1718</v>
      </c>
      <c r="Z236" s="110" t="s">
        <v>155</v>
      </c>
      <c r="AA236" s="110" t="s">
        <v>1788</v>
      </c>
      <c r="AB236" s="110" t="s">
        <v>1729</v>
      </c>
      <c r="AC236" s="110" t="s">
        <v>182</v>
      </c>
      <c r="AD236" s="110" t="s">
        <v>1256</v>
      </c>
      <c r="AE236" s="110" t="s">
        <v>218</v>
      </c>
      <c r="AF236" s="110" t="s">
        <v>190</v>
      </c>
      <c r="AG236" s="110">
        <v>6</v>
      </c>
      <c r="AI236" s="110" t="s">
        <v>246</v>
      </c>
      <c r="AJ236" s="110" t="s">
        <v>246</v>
      </c>
      <c r="AK236" s="110" t="s">
        <v>1765</v>
      </c>
      <c r="AL236" s="110" t="s">
        <v>190</v>
      </c>
      <c r="AO236" s="110">
        <v>0.18</v>
      </c>
      <c r="AP236" s="110" t="s">
        <v>190</v>
      </c>
      <c r="AQ236" s="110" t="s">
        <v>176</v>
      </c>
      <c r="AR236" s="110">
        <v>1986</v>
      </c>
      <c r="AS236" s="110" t="s">
        <v>319</v>
      </c>
      <c r="AT236" s="110" t="s">
        <v>298</v>
      </c>
      <c r="AU236" s="110">
        <v>1</v>
      </c>
      <c r="AW236" s="110">
        <v>13</v>
      </c>
      <c r="AX236" s="110">
        <v>7.1</v>
      </c>
      <c r="AZ236" s="110" t="s">
        <v>174</v>
      </c>
      <c r="BA236" s="110">
        <v>3.4</v>
      </c>
      <c r="BB236" s="110">
        <v>3.4</v>
      </c>
      <c r="BC236" s="110">
        <v>3.4</v>
      </c>
      <c r="BD236" s="110">
        <v>0</v>
      </c>
      <c r="BE236" s="110" t="s">
        <v>182</v>
      </c>
      <c r="BF236" s="110" t="s">
        <v>412</v>
      </c>
      <c r="BH236" s="110" t="s">
        <v>190</v>
      </c>
      <c r="BI236" s="110" t="s">
        <v>182</v>
      </c>
      <c r="BJ236" s="110" t="s">
        <v>412</v>
      </c>
      <c r="BK236" s="110" t="s">
        <v>1766</v>
      </c>
      <c r="BL236" s="110">
        <v>2</v>
      </c>
      <c r="BM236" s="110" t="s">
        <v>174</v>
      </c>
      <c r="BN236" s="110" t="s">
        <v>174</v>
      </c>
      <c r="BO236" s="110" t="s">
        <v>174</v>
      </c>
      <c r="BP236" s="110" t="s">
        <v>174</v>
      </c>
      <c r="BQ236" s="110" t="s">
        <v>174</v>
      </c>
      <c r="BR236" s="110" t="s">
        <v>174</v>
      </c>
      <c r="BS236" s="110">
        <v>43</v>
      </c>
      <c r="BT236" s="110" t="s">
        <v>1396</v>
      </c>
      <c r="BU236" s="110" t="s">
        <v>1396</v>
      </c>
      <c r="BV236" s="110" t="s">
        <v>1396</v>
      </c>
      <c r="BW236" s="110">
        <v>0.998</v>
      </c>
      <c r="CA236" s="110">
        <v>1.7806999999999999</v>
      </c>
      <c r="CB236" s="110">
        <v>28.078845399999999</v>
      </c>
      <c r="CC236" s="110" t="b">
        <v>0</v>
      </c>
      <c r="CD236" s="110">
        <v>23.099999999999994</v>
      </c>
      <c r="CE236" s="110">
        <v>0</v>
      </c>
      <c r="CF236" s="110" t="s">
        <v>246</v>
      </c>
      <c r="CG236" s="110">
        <v>56.157690799999997</v>
      </c>
      <c r="CH236" s="110" t="s">
        <v>263</v>
      </c>
      <c r="CI236" s="110" t="s">
        <v>259</v>
      </c>
    </row>
    <row r="237" spans="1:88">
      <c r="A237" s="110" t="s">
        <v>1252</v>
      </c>
      <c r="B237" s="110">
        <v>53</v>
      </c>
      <c r="C237" s="110">
        <v>1</v>
      </c>
      <c r="D237" s="110">
        <v>3</v>
      </c>
      <c r="E237" s="110">
        <v>236</v>
      </c>
      <c r="F237" s="110">
        <v>1990</v>
      </c>
      <c r="G237" s="110" t="s">
        <v>161</v>
      </c>
      <c r="H237" s="110" t="s">
        <v>2441</v>
      </c>
      <c r="I237" s="110" t="s">
        <v>182</v>
      </c>
      <c r="J237" s="110" t="s">
        <v>246</v>
      </c>
      <c r="K237" s="110" t="s">
        <v>999</v>
      </c>
      <c r="L237" s="110" t="s">
        <v>999</v>
      </c>
      <c r="R237" s="110" t="s">
        <v>152</v>
      </c>
      <c r="S237" s="110" t="s">
        <v>443</v>
      </c>
      <c r="T237" s="110" t="s">
        <v>156</v>
      </c>
      <c r="U237" s="110" t="s">
        <v>552</v>
      </c>
      <c r="V237" s="110">
        <v>54.18320482</v>
      </c>
      <c r="W237" s="110">
        <v>54.18320482</v>
      </c>
      <c r="X237" s="110">
        <v>7.8837679969999996</v>
      </c>
      <c r="Y237" s="110" t="s">
        <v>1718</v>
      </c>
      <c r="Z237" s="110" t="s">
        <v>155</v>
      </c>
      <c r="AA237" s="110" t="s">
        <v>1788</v>
      </c>
      <c r="AB237" s="110" t="s">
        <v>1729</v>
      </c>
      <c r="AC237" s="110" t="s">
        <v>182</v>
      </c>
      <c r="AD237" s="110" t="s">
        <v>1256</v>
      </c>
      <c r="AE237" s="110" t="s">
        <v>218</v>
      </c>
      <c r="AF237" s="110" t="s">
        <v>190</v>
      </c>
      <c r="AG237" s="110">
        <v>6</v>
      </c>
      <c r="AI237" s="110" t="s">
        <v>246</v>
      </c>
      <c r="AJ237" s="110" t="s">
        <v>246</v>
      </c>
      <c r="AK237" s="110" t="s">
        <v>1765</v>
      </c>
      <c r="AL237" s="110" t="s">
        <v>190</v>
      </c>
      <c r="AO237" s="110">
        <v>0.18</v>
      </c>
      <c r="AP237" s="110" t="s">
        <v>190</v>
      </c>
      <c r="AQ237" s="110" t="s">
        <v>176</v>
      </c>
      <c r="AR237" s="110">
        <v>1986</v>
      </c>
      <c r="AS237" s="110" t="s">
        <v>319</v>
      </c>
      <c r="AT237" s="110" t="s">
        <v>298</v>
      </c>
      <c r="AU237" s="110">
        <v>1</v>
      </c>
      <c r="AW237" s="110">
        <v>9.4</v>
      </c>
      <c r="AX237" s="110">
        <v>7.1</v>
      </c>
      <c r="AZ237" s="110" t="s">
        <v>174</v>
      </c>
      <c r="BA237" s="110">
        <v>3.4</v>
      </c>
      <c r="BB237" s="110">
        <v>3.4</v>
      </c>
      <c r="BC237" s="110">
        <v>3.4</v>
      </c>
      <c r="BD237" s="110">
        <v>0</v>
      </c>
      <c r="BE237" s="110" t="s">
        <v>182</v>
      </c>
      <c r="BF237" s="110" t="s">
        <v>412</v>
      </c>
      <c r="BH237" s="110" t="s">
        <v>190</v>
      </c>
      <c r="BI237" s="110" t="s">
        <v>182</v>
      </c>
      <c r="BJ237" s="110" t="s">
        <v>412</v>
      </c>
      <c r="BK237" s="110" t="s">
        <v>1766</v>
      </c>
      <c r="BL237" s="110">
        <v>2</v>
      </c>
      <c r="BM237" s="110" t="s">
        <v>174</v>
      </c>
      <c r="BN237" s="110" t="s">
        <v>174</v>
      </c>
      <c r="BO237" s="110" t="s">
        <v>174</v>
      </c>
      <c r="BP237" s="110" t="s">
        <v>174</v>
      </c>
      <c r="BQ237" s="110" t="s">
        <v>174</v>
      </c>
      <c r="BR237" s="110" t="s">
        <v>174</v>
      </c>
      <c r="BS237" s="110">
        <v>43</v>
      </c>
      <c r="BT237" s="110" t="s">
        <v>2347</v>
      </c>
      <c r="BU237" s="110" t="s">
        <v>1394</v>
      </c>
      <c r="BV237" s="110" t="s">
        <v>2603</v>
      </c>
      <c r="BW237" s="110">
        <v>0.999</v>
      </c>
      <c r="BZ237" s="110">
        <v>7.0400000000000004E-2</v>
      </c>
      <c r="CB237" s="110">
        <v>9.8000000000000007</v>
      </c>
      <c r="CC237" s="110" t="b">
        <v>0</v>
      </c>
      <c r="CD237" s="110">
        <v>3.5</v>
      </c>
      <c r="CE237" s="110">
        <v>0</v>
      </c>
      <c r="CF237" s="110" t="s">
        <v>246</v>
      </c>
      <c r="CG237" s="110" t="s">
        <v>174</v>
      </c>
      <c r="CH237" s="110" t="s">
        <v>263</v>
      </c>
      <c r="CI237" s="110" t="s">
        <v>259</v>
      </c>
    </row>
    <row r="238" spans="1:88">
      <c r="A238" s="110" t="s">
        <v>1252</v>
      </c>
      <c r="B238" s="110">
        <v>53</v>
      </c>
      <c r="C238" s="110">
        <v>1</v>
      </c>
      <c r="D238" s="110">
        <v>3</v>
      </c>
      <c r="E238" s="110">
        <v>237</v>
      </c>
      <c r="F238" s="110">
        <v>1990</v>
      </c>
      <c r="G238" s="110" t="s">
        <v>161</v>
      </c>
      <c r="H238" s="110" t="s">
        <v>2441</v>
      </c>
      <c r="I238" s="110" t="s">
        <v>182</v>
      </c>
      <c r="J238" s="110" t="s">
        <v>246</v>
      </c>
      <c r="K238" s="110" t="s">
        <v>999</v>
      </c>
      <c r="L238" s="110" t="s">
        <v>999</v>
      </c>
      <c r="R238" s="110" t="s">
        <v>2611</v>
      </c>
      <c r="S238" s="110" t="s">
        <v>443</v>
      </c>
      <c r="T238" s="110" t="s">
        <v>540</v>
      </c>
      <c r="U238" s="110" t="s">
        <v>1019</v>
      </c>
      <c r="V238" s="110">
        <v>54.18320482</v>
      </c>
      <c r="W238" s="110">
        <v>54.18320482</v>
      </c>
      <c r="X238" s="110">
        <v>7.8837679969999996</v>
      </c>
      <c r="Y238" s="110" t="s">
        <v>1718</v>
      </c>
      <c r="Z238" s="110" t="s">
        <v>155</v>
      </c>
      <c r="AA238" s="110" t="s">
        <v>1788</v>
      </c>
      <c r="AB238" s="110" t="s">
        <v>1729</v>
      </c>
      <c r="AC238" s="110" t="s">
        <v>182</v>
      </c>
      <c r="AD238" s="110" t="s">
        <v>1256</v>
      </c>
      <c r="AE238" s="110" t="s">
        <v>218</v>
      </c>
      <c r="AF238" s="110" t="s">
        <v>190</v>
      </c>
      <c r="AG238" s="110">
        <v>6</v>
      </c>
      <c r="AI238" s="110" t="s">
        <v>246</v>
      </c>
      <c r="AJ238" s="110" t="s">
        <v>246</v>
      </c>
      <c r="AK238" s="110" t="s">
        <v>1765</v>
      </c>
      <c r="AL238" s="110" t="s">
        <v>190</v>
      </c>
      <c r="AO238" s="110">
        <v>0.18</v>
      </c>
      <c r="AP238" s="110" t="s">
        <v>190</v>
      </c>
      <c r="AQ238" s="110" t="s">
        <v>176</v>
      </c>
      <c r="AR238" s="110">
        <v>1986</v>
      </c>
      <c r="AS238" s="110" t="s">
        <v>319</v>
      </c>
      <c r="AT238" s="110" t="s">
        <v>298</v>
      </c>
      <c r="AU238" s="110">
        <v>1</v>
      </c>
      <c r="AW238" s="110">
        <v>16.5</v>
      </c>
      <c r="AX238" s="110">
        <v>16.2</v>
      </c>
      <c r="AZ238" s="110" t="s">
        <v>174</v>
      </c>
      <c r="BA238" s="110">
        <v>3.4</v>
      </c>
      <c r="BB238" s="110">
        <v>3.4</v>
      </c>
      <c r="BC238" s="110">
        <v>3.4</v>
      </c>
      <c r="BD238" s="110">
        <v>0</v>
      </c>
      <c r="BE238" s="110" t="s">
        <v>182</v>
      </c>
      <c r="BF238" s="110" t="s">
        <v>412</v>
      </c>
      <c r="BH238" s="110" t="s">
        <v>190</v>
      </c>
      <c r="BI238" s="110" t="s">
        <v>182</v>
      </c>
      <c r="BJ238" s="110" t="s">
        <v>412</v>
      </c>
      <c r="BK238" s="110" t="s">
        <v>1766</v>
      </c>
      <c r="BL238" s="110">
        <v>2</v>
      </c>
      <c r="BM238" s="110" t="s">
        <v>174</v>
      </c>
      <c r="BN238" s="110" t="s">
        <v>174</v>
      </c>
      <c r="BO238" s="110" t="s">
        <v>174</v>
      </c>
      <c r="BP238" s="110" t="s">
        <v>174</v>
      </c>
      <c r="BQ238" s="110" t="s">
        <v>174</v>
      </c>
      <c r="BR238" s="110" t="s">
        <v>174</v>
      </c>
      <c r="BS238" s="110">
        <v>43</v>
      </c>
      <c r="BT238" s="110" t="s">
        <v>2347</v>
      </c>
      <c r="BU238" s="110" t="s">
        <v>1394</v>
      </c>
      <c r="BV238" s="110" t="s">
        <v>2603</v>
      </c>
      <c r="BW238" s="110">
        <v>0.96</v>
      </c>
      <c r="BZ238" s="110">
        <v>6.0000000000000001E-3</v>
      </c>
      <c r="CB238" s="110">
        <v>115.5</v>
      </c>
      <c r="CC238" s="110" t="b">
        <v>0</v>
      </c>
      <c r="CD238" s="110">
        <v>77.400000000000006</v>
      </c>
      <c r="CE238" s="110">
        <v>0</v>
      </c>
      <c r="CF238" s="110" t="s">
        <v>246</v>
      </c>
      <c r="CG238" s="110" t="s">
        <v>174</v>
      </c>
      <c r="CH238" s="110" t="s">
        <v>263</v>
      </c>
      <c r="CI238" s="110" t="s">
        <v>259</v>
      </c>
    </row>
    <row r="239" spans="1:88">
      <c r="A239" s="110" t="s">
        <v>1252</v>
      </c>
      <c r="B239" s="110">
        <v>53</v>
      </c>
      <c r="C239" s="110">
        <v>1</v>
      </c>
      <c r="D239" s="110">
        <v>4</v>
      </c>
      <c r="E239" s="110">
        <v>238</v>
      </c>
      <c r="F239" s="110">
        <v>1990</v>
      </c>
      <c r="G239" s="110" t="s">
        <v>161</v>
      </c>
      <c r="H239" s="110" t="s">
        <v>2441</v>
      </c>
      <c r="I239" s="110" t="s">
        <v>182</v>
      </c>
      <c r="J239" s="110" t="s">
        <v>246</v>
      </c>
      <c r="K239" s="110" t="s">
        <v>999</v>
      </c>
      <c r="L239" s="110" t="s">
        <v>999</v>
      </c>
      <c r="R239" s="110" t="s">
        <v>2611</v>
      </c>
      <c r="S239" s="110" t="s">
        <v>446</v>
      </c>
      <c r="T239" s="110" t="s">
        <v>1021</v>
      </c>
      <c r="U239" s="110" t="s">
        <v>1220</v>
      </c>
      <c r="V239" s="110">
        <v>54.18320482</v>
      </c>
      <c r="W239" s="110">
        <v>54.18320482</v>
      </c>
      <c r="X239" s="110">
        <v>7.8837679969999996</v>
      </c>
      <c r="Y239" s="110" t="s">
        <v>1718</v>
      </c>
      <c r="Z239" s="110" t="s">
        <v>155</v>
      </c>
      <c r="AA239" s="110" t="s">
        <v>1788</v>
      </c>
      <c r="AB239" s="110" t="s">
        <v>1729</v>
      </c>
      <c r="AC239" s="110" t="s">
        <v>182</v>
      </c>
      <c r="AD239" s="110" t="s">
        <v>1256</v>
      </c>
      <c r="AE239" s="110" t="s">
        <v>218</v>
      </c>
      <c r="AF239" s="110" t="s">
        <v>190</v>
      </c>
      <c r="AG239" s="110">
        <v>6</v>
      </c>
      <c r="AI239" s="110" t="s">
        <v>246</v>
      </c>
      <c r="AJ239" s="110" t="s">
        <v>246</v>
      </c>
      <c r="AK239" s="110" t="s">
        <v>1765</v>
      </c>
      <c r="AL239" s="110" t="s">
        <v>190</v>
      </c>
      <c r="AO239" s="110">
        <v>0.18</v>
      </c>
      <c r="AP239" s="110" t="s">
        <v>190</v>
      </c>
      <c r="AQ239" s="110" t="s">
        <v>176</v>
      </c>
      <c r="AR239" s="110">
        <v>1986</v>
      </c>
      <c r="AS239" s="110" t="s">
        <v>475</v>
      </c>
      <c r="AT239" s="110" t="s">
        <v>420</v>
      </c>
      <c r="AU239" s="110">
        <v>1</v>
      </c>
      <c r="AW239" s="110">
        <v>7.7</v>
      </c>
      <c r="AX239" s="110">
        <v>6.9</v>
      </c>
      <c r="AZ239" s="110" t="s">
        <v>174</v>
      </c>
      <c r="BA239" s="110">
        <v>15.9</v>
      </c>
      <c r="BB239" s="110">
        <v>15.9</v>
      </c>
      <c r="BC239" s="110">
        <v>15.9</v>
      </c>
      <c r="BD239" s="110">
        <v>0</v>
      </c>
      <c r="BE239" s="110" t="s">
        <v>182</v>
      </c>
      <c r="BF239" s="110" t="s">
        <v>412</v>
      </c>
      <c r="BH239" s="110" t="s">
        <v>190</v>
      </c>
      <c r="BI239" s="110" t="s">
        <v>182</v>
      </c>
      <c r="BJ239" s="110" t="s">
        <v>412</v>
      </c>
      <c r="BK239" s="110" t="s">
        <v>1766</v>
      </c>
      <c r="BL239" s="110">
        <v>2</v>
      </c>
      <c r="BM239" s="110" t="s">
        <v>174</v>
      </c>
      <c r="BN239" s="110" t="s">
        <v>174</v>
      </c>
      <c r="BO239" s="110" t="s">
        <v>174</v>
      </c>
      <c r="BP239" s="110" t="s">
        <v>174</v>
      </c>
      <c r="BQ239" s="110" t="s">
        <v>174</v>
      </c>
      <c r="BR239" s="110" t="s">
        <v>174</v>
      </c>
      <c r="BS239" s="110">
        <v>21</v>
      </c>
      <c r="BT239" s="110" t="s">
        <v>2347</v>
      </c>
      <c r="BU239" s="110" t="s">
        <v>1394</v>
      </c>
      <c r="BV239" s="110" t="s">
        <v>2603</v>
      </c>
      <c r="BW239" s="110">
        <v>0.999</v>
      </c>
      <c r="BZ239" s="110">
        <v>0.2021</v>
      </c>
      <c r="CB239" s="110">
        <v>3.4</v>
      </c>
      <c r="CC239" s="110" t="b">
        <v>0</v>
      </c>
      <c r="CD239" s="110">
        <v>2.7000000000000028</v>
      </c>
      <c r="CE239" s="110" t="s">
        <v>2256</v>
      </c>
      <c r="CF239" s="110" t="s">
        <v>2256</v>
      </c>
      <c r="CG239" s="110" t="s">
        <v>174</v>
      </c>
      <c r="CH239" s="110" t="s">
        <v>263</v>
      </c>
      <c r="CI239" s="110" t="s">
        <v>259</v>
      </c>
    </row>
    <row r="240" spans="1:88">
      <c r="A240" s="110" t="s">
        <v>1252</v>
      </c>
      <c r="B240" s="110">
        <v>53</v>
      </c>
      <c r="C240" s="110">
        <v>1</v>
      </c>
      <c r="D240" s="110">
        <v>4</v>
      </c>
      <c r="E240" s="110">
        <v>239</v>
      </c>
      <c r="F240" s="110">
        <v>1990</v>
      </c>
      <c r="G240" s="110" t="s">
        <v>161</v>
      </c>
      <c r="H240" s="110" t="s">
        <v>2441</v>
      </c>
      <c r="I240" s="110" t="s">
        <v>182</v>
      </c>
      <c r="J240" s="110" t="s">
        <v>246</v>
      </c>
      <c r="K240" s="110" t="s">
        <v>999</v>
      </c>
      <c r="L240" s="110" t="s">
        <v>999</v>
      </c>
      <c r="R240" s="110" t="s">
        <v>1976</v>
      </c>
      <c r="S240" s="110" t="s">
        <v>446</v>
      </c>
      <c r="T240" s="110" t="s">
        <v>1221</v>
      </c>
      <c r="U240" s="110" t="s">
        <v>2188</v>
      </c>
      <c r="V240" s="110">
        <v>54.18320482</v>
      </c>
      <c r="W240" s="110">
        <v>54.18320482</v>
      </c>
      <c r="X240" s="110">
        <v>7.8837679969999996</v>
      </c>
      <c r="Y240" s="110" t="s">
        <v>1718</v>
      </c>
      <c r="Z240" s="110" t="s">
        <v>155</v>
      </c>
      <c r="AA240" s="110" t="s">
        <v>1788</v>
      </c>
      <c r="AB240" s="110" t="s">
        <v>1729</v>
      </c>
      <c r="AC240" s="110" t="s">
        <v>182</v>
      </c>
      <c r="AD240" s="110" t="s">
        <v>1256</v>
      </c>
      <c r="AE240" s="110" t="s">
        <v>218</v>
      </c>
      <c r="AF240" s="110" t="s">
        <v>190</v>
      </c>
      <c r="AG240" s="110">
        <v>6</v>
      </c>
      <c r="AI240" s="110" t="s">
        <v>246</v>
      </c>
      <c r="AJ240" s="110" t="s">
        <v>246</v>
      </c>
      <c r="AK240" s="110" t="s">
        <v>1765</v>
      </c>
      <c r="AL240" s="110" t="s">
        <v>190</v>
      </c>
      <c r="AO240" s="110">
        <v>0.18</v>
      </c>
      <c r="AP240" s="110" t="s">
        <v>190</v>
      </c>
      <c r="AQ240" s="110" t="s">
        <v>176</v>
      </c>
      <c r="AR240" s="110">
        <v>1986</v>
      </c>
      <c r="AS240" s="110" t="s">
        <v>475</v>
      </c>
      <c r="AT240" s="110" t="s">
        <v>420</v>
      </c>
      <c r="AU240" s="110">
        <v>1</v>
      </c>
      <c r="AW240" s="110">
        <v>8.5</v>
      </c>
      <c r="AX240" s="110">
        <v>6.4</v>
      </c>
      <c r="AZ240" s="110" t="s">
        <v>174</v>
      </c>
      <c r="BA240" s="110">
        <v>15.9</v>
      </c>
      <c r="BB240" s="110">
        <v>15.9</v>
      </c>
      <c r="BC240" s="110">
        <v>15.9</v>
      </c>
      <c r="BD240" s="110">
        <v>0</v>
      </c>
      <c r="BE240" s="110" t="s">
        <v>182</v>
      </c>
      <c r="BF240" s="110" t="s">
        <v>412</v>
      </c>
      <c r="BH240" s="110" t="s">
        <v>190</v>
      </c>
      <c r="BI240" s="110" t="s">
        <v>182</v>
      </c>
      <c r="BJ240" s="110" t="s">
        <v>412</v>
      </c>
      <c r="BK240" s="110" t="s">
        <v>1766</v>
      </c>
      <c r="BL240" s="110">
        <v>2</v>
      </c>
      <c r="BM240" s="110" t="s">
        <v>174</v>
      </c>
      <c r="BN240" s="110" t="s">
        <v>174</v>
      </c>
      <c r="BO240" s="110" t="s">
        <v>174</v>
      </c>
      <c r="BP240" s="110" t="s">
        <v>174</v>
      </c>
      <c r="BQ240" s="110" t="s">
        <v>174</v>
      </c>
      <c r="BR240" s="110" t="s">
        <v>174</v>
      </c>
      <c r="BS240" s="110">
        <v>21</v>
      </c>
      <c r="BT240" s="110" t="s">
        <v>2347</v>
      </c>
      <c r="BU240" s="110" t="s">
        <v>1394</v>
      </c>
      <c r="BV240" s="110" t="s">
        <v>2603</v>
      </c>
      <c r="BW240" s="110">
        <v>1</v>
      </c>
      <c r="BZ240" s="110">
        <v>0.1426</v>
      </c>
      <c r="CB240" s="110">
        <v>4.9000000000000004</v>
      </c>
      <c r="CC240" s="110" t="b">
        <v>0</v>
      </c>
      <c r="CD240" s="110">
        <v>5.5</v>
      </c>
      <c r="CE240" s="110" t="s">
        <v>2256</v>
      </c>
      <c r="CF240" s="110" t="s">
        <v>2256</v>
      </c>
      <c r="CG240" s="110" t="s">
        <v>174</v>
      </c>
      <c r="CH240" s="110" t="s">
        <v>263</v>
      </c>
      <c r="CI240" s="110" t="s">
        <v>259</v>
      </c>
    </row>
    <row r="241" spans="1:88">
      <c r="A241" s="110" t="s">
        <v>1252</v>
      </c>
      <c r="B241" s="110">
        <v>53</v>
      </c>
      <c r="C241" s="110">
        <v>1</v>
      </c>
      <c r="D241" s="110">
        <v>4</v>
      </c>
      <c r="E241" s="110">
        <v>240</v>
      </c>
      <c r="F241" s="110">
        <v>1990</v>
      </c>
      <c r="G241" s="110" t="s">
        <v>161</v>
      </c>
      <c r="H241" s="110" t="s">
        <v>2441</v>
      </c>
      <c r="I241" s="110" t="s">
        <v>182</v>
      </c>
      <c r="J241" s="110" t="s">
        <v>246</v>
      </c>
      <c r="K241" s="110" t="s">
        <v>999</v>
      </c>
      <c r="L241" s="110" t="s">
        <v>999</v>
      </c>
      <c r="R241" s="110" t="s">
        <v>2611</v>
      </c>
      <c r="S241" s="110" t="s">
        <v>446</v>
      </c>
      <c r="T241" s="110" t="s">
        <v>1017</v>
      </c>
      <c r="U241" s="110" t="s">
        <v>1018</v>
      </c>
      <c r="V241" s="110">
        <v>54.18320482</v>
      </c>
      <c r="W241" s="110">
        <v>54.18320482</v>
      </c>
      <c r="X241" s="110">
        <v>7.8837679969999996</v>
      </c>
      <c r="Y241" s="110" t="s">
        <v>1718</v>
      </c>
      <c r="Z241" s="110" t="s">
        <v>155</v>
      </c>
      <c r="AA241" s="110" t="s">
        <v>1788</v>
      </c>
      <c r="AB241" s="110" t="s">
        <v>1729</v>
      </c>
      <c r="AC241" s="110" t="s">
        <v>182</v>
      </c>
      <c r="AD241" s="110" t="s">
        <v>1256</v>
      </c>
      <c r="AE241" s="110" t="s">
        <v>218</v>
      </c>
      <c r="AF241" s="110" t="s">
        <v>190</v>
      </c>
      <c r="AG241" s="110">
        <v>6</v>
      </c>
      <c r="AI241" s="110" t="s">
        <v>246</v>
      </c>
      <c r="AJ241" s="110" t="s">
        <v>246</v>
      </c>
      <c r="AK241" s="110" t="s">
        <v>1765</v>
      </c>
      <c r="AL241" s="110" t="s">
        <v>190</v>
      </c>
      <c r="AO241" s="110">
        <v>0.18</v>
      </c>
      <c r="AP241" s="110" t="s">
        <v>190</v>
      </c>
      <c r="AQ241" s="110" t="s">
        <v>176</v>
      </c>
      <c r="AR241" s="110">
        <v>1986</v>
      </c>
      <c r="AS241" s="110" t="s">
        <v>475</v>
      </c>
      <c r="AT241" s="110" t="s">
        <v>420</v>
      </c>
      <c r="AU241" s="110">
        <v>1</v>
      </c>
      <c r="AW241" s="110">
        <v>11.7</v>
      </c>
      <c r="AX241" s="110">
        <v>6.7</v>
      </c>
      <c r="AZ241" s="110" t="s">
        <v>174</v>
      </c>
      <c r="BA241" s="110">
        <v>15.9</v>
      </c>
      <c r="BB241" s="110">
        <v>15.9</v>
      </c>
      <c r="BC241" s="110">
        <v>15.9</v>
      </c>
      <c r="BD241" s="110">
        <v>0</v>
      </c>
      <c r="BE241" s="110" t="s">
        <v>182</v>
      </c>
      <c r="BF241" s="110" t="s">
        <v>412</v>
      </c>
      <c r="BH241" s="110" t="s">
        <v>190</v>
      </c>
      <c r="BI241" s="110" t="s">
        <v>182</v>
      </c>
      <c r="BJ241" s="110" t="s">
        <v>412</v>
      </c>
      <c r="BK241" s="110" t="s">
        <v>1766</v>
      </c>
      <c r="BL241" s="110">
        <v>2</v>
      </c>
      <c r="BM241" s="110" t="s">
        <v>174</v>
      </c>
      <c r="BN241" s="110" t="s">
        <v>174</v>
      </c>
      <c r="BO241" s="110" t="s">
        <v>174</v>
      </c>
      <c r="BP241" s="110" t="s">
        <v>174</v>
      </c>
      <c r="BQ241" s="110" t="s">
        <v>174</v>
      </c>
      <c r="BR241" s="110" t="s">
        <v>174</v>
      </c>
      <c r="BS241" s="110">
        <v>21</v>
      </c>
      <c r="BT241" s="110" t="s">
        <v>2347</v>
      </c>
      <c r="BU241" s="110" t="s">
        <v>1394</v>
      </c>
      <c r="BV241" s="110" t="s">
        <v>2603</v>
      </c>
      <c r="BW241" s="110">
        <v>0.998</v>
      </c>
      <c r="BZ241" s="110">
        <v>9.1800000000000007E-2</v>
      </c>
      <c r="CB241" s="110">
        <v>7.6</v>
      </c>
      <c r="CC241" s="110" t="b">
        <v>0</v>
      </c>
      <c r="CD241" s="110">
        <v>13.099999999999994</v>
      </c>
      <c r="CE241" s="110" t="s">
        <v>2256</v>
      </c>
      <c r="CF241" s="110" t="s">
        <v>2256</v>
      </c>
      <c r="CG241" s="110" t="s">
        <v>174</v>
      </c>
      <c r="CH241" s="110" t="s">
        <v>263</v>
      </c>
      <c r="CI241" s="110" t="s">
        <v>259</v>
      </c>
    </row>
    <row r="242" spans="1:88">
      <c r="A242" s="110" t="s">
        <v>1252</v>
      </c>
      <c r="B242" s="110">
        <v>53</v>
      </c>
      <c r="C242" s="110">
        <v>1</v>
      </c>
      <c r="D242" s="110">
        <v>4</v>
      </c>
      <c r="E242" s="110">
        <v>241</v>
      </c>
      <c r="F242" s="110">
        <v>1990</v>
      </c>
      <c r="G242" s="110" t="s">
        <v>161</v>
      </c>
      <c r="H242" s="110" t="s">
        <v>2441</v>
      </c>
      <c r="I242" s="110" t="s">
        <v>182</v>
      </c>
      <c r="J242" s="110" t="s">
        <v>246</v>
      </c>
      <c r="K242" s="110" t="s">
        <v>999</v>
      </c>
      <c r="L242" s="110" t="s">
        <v>999</v>
      </c>
      <c r="R242" s="110" t="s">
        <v>152</v>
      </c>
      <c r="S242" s="110" t="s">
        <v>443</v>
      </c>
      <c r="T242" s="110" t="s">
        <v>156</v>
      </c>
      <c r="U242" s="110" t="s">
        <v>552</v>
      </c>
      <c r="V242" s="110">
        <v>54.18320482</v>
      </c>
      <c r="W242" s="110">
        <v>54.18320482</v>
      </c>
      <c r="X242" s="110">
        <v>7.8837679969999996</v>
      </c>
      <c r="Y242" s="110" t="s">
        <v>1718</v>
      </c>
      <c r="Z242" s="110" t="s">
        <v>155</v>
      </c>
      <c r="AA242" s="110" t="s">
        <v>1788</v>
      </c>
      <c r="AB242" s="110" t="s">
        <v>1729</v>
      </c>
      <c r="AC242" s="110" t="s">
        <v>182</v>
      </c>
      <c r="AD242" s="110" t="s">
        <v>1256</v>
      </c>
      <c r="AE242" s="110" t="s">
        <v>218</v>
      </c>
      <c r="AF242" s="110" t="s">
        <v>190</v>
      </c>
      <c r="AG242" s="110">
        <v>6</v>
      </c>
      <c r="AI242" s="110" t="s">
        <v>246</v>
      </c>
      <c r="AJ242" s="110" t="s">
        <v>246</v>
      </c>
      <c r="AK242" s="110" t="s">
        <v>1765</v>
      </c>
      <c r="AL242" s="110" t="s">
        <v>190</v>
      </c>
      <c r="AO242" s="110">
        <v>0.18</v>
      </c>
      <c r="AP242" s="110" t="s">
        <v>190</v>
      </c>
      <c r="AQ242" s="110" t="s">
        <v>176</v>
      </c>
      <c r="AR242" s="110">
        <v>1986</v>
      </c>
      <c r="AS242" s="110" t="s">
        <v>475</v>
      </c>
      <c r="AT242" s="110" t="s">
        <v>420</v>
      </c>
      <c r="AU242" s="110">
        <v>1</v>
      </c>
      <c r="AW242" s="110">
        <v>9.6999999999999993</v>
      </c>
      <c r="AX242" s="110">
        <v>7.7</v>
      </c>
      <c r="AZ242" s="110" t="s">
        <v>174</v>
      </c>
      <c r="BA242" s="110">
        <v>15.9</v>
      </c>
      <c r="BB242" s="110">
        <v>15.9</v>
      </c>
      <c r="BC242" s="110">
        <v>15.9</v>
      </c>
      <c r="BD242" s="110">
        <v>0</v>
      </c>
      <c r="BE242" s="110" t="s">
        <v>182</v>
      </c>
      <c r="BF242" s="110" t="s">
        <v>412</v>
      </c>
      <c r="BH242" s="110" t="s">
        <v>190</v>
      </c>
      <c r="BI242" s="110" t="s">
        <v>182</v>
      </c>
      <c r="BJ242" s="110" t="s">
        <v>412</v>
      </c>
      <c r="BK242" s="110" t="s">
        <v>1766</v>
      </c>
      <c r="BL242" s="110">
        <v>2</v>
      </c>
      <c r="BM242" s="110" t="s">
        <v>174</v>
      </c>
      <c r="BN242" s="110" t="s">
        <v>174</v>
      </c>
      <c r="BO242" s="110" t="s">
        <v>174</v>
      </c>
      <c r="BP242" s="110" t="s">
        <v>174</v>
      </c>
      <c r="BQ242" s="110" t="s">
        <v>174</v>
      </c>
      <c r="BR242" s="110" t="s">
        <v>174</v>
      </c>
      <c r="BS242" s="110">
        <v>21</v>
      </c>
      <c r="BT242" s="110" t="s">
        <v>2347</v>
      </c>
      <c r="BU242" s="110" t="s">
        <v>1394</v>
      </c>
      <c r="BV242" s="110" t="s">
        <v>2603</v>
      </c>
      <c r="BW242" s="110">
        <v>1</v>
      </c>
      <c r="BZ242" s="110">
        <v>0.20280000000000001</v>
      </c>
      <c r="CB242" s="110">
        <v>3.4</v>
      </c>
      <c r="CC242" s="110" t="b">
        <v>0</v>
      </c>
      <c r="CD242" s="110">
        <v>2.4000000000000057</v>
      </c>
      <c r="CE242" s="110" t="s">
        <v>2256</v>
      </c>
      <c r="CF242" s="110" t="s">
        <v>2256</v>
      </c>
      <c r="CG242" s="110" t="s">
        <v>174</v>
      </c>
      <c r="CH242" s="110" t="s">
        <v>263</v>
      </c>
      <c r="CI242" s="110" t="s">
        <v>259</v>
      </c>
    </row>
    <row r="243" spans="1:88">
      <c r="A243" s="110" t="s">
        <v>1252</v>
      </c>
      <c r="B243" s="110">
        <v>53</v>
      </c>
      <c r="C243" s="110">
        <v>1</v>
      </c>
      <c r="D243" s="110">
        <v>4</v>
      </c>
      <c r="E243" s="110">
        <v>242</v>
      </c>
      <c r="F243" s="110">
        <v>1990</v>
      </c>
      <c r="G243" s="110" t="s">
        <v>161</v>
      </c>
      <c r="H243" s="110" t="s">
        <v>2441</v>
      </c>
      <c r="I243" s="110" t="s">
        <v>182</v>
      </c>
      <c r="J243" s="110" t="s">
        <v>246</v>
      </c>
      <c r="K243" s="110" t="s">
        <v>999</v>
      </c>
      <c r="L243" s="110" t="s">
        <v>999</v>
      </c>
      <c r="R243" s="110" t="s">
        <v>2611</v>
      </c>
      <c r="S243" s="110" t="s">
        <v>443</v>
      </c>
      <c r="T243" s="110" t="s">
        <v>540</v>
      </c>
      <c r="U243" s="110" t="s">
        <v>1019</v>
      </c>
      <c r="V243" s="110">
        <v>54.18320482</v>
      </c>
      <c r="W243" s="110">
        <v>54.18320482</v>
      </c>
      <c r="X243" s="110">
        <v>7.8837679969999996</v>
      </c>
      <c r="Y243" s="110" t="s">
        <v>1718</v>
      </c>
      <c r="Z243" s="110" t="s">
        <v>155</v>
      </c>
      <c r="AA243" s="110" t="s">
        <v>1788</v>
      </c>
      <c r="AB243" s="110" t="s">
        <v>1729</v>
      </c>
      <c r="AC243" s="110" t="s">
        <v>182</v>
      </c>
      <c r="AD243" s="110" t="s">
        <v>1256</v>
      </c>
      <c r="AE243" s="110" t="s">
        <v>218</v>
      </c>
      <c r="AF243" s="110" t="s">
        <v>190</v>
      </c>
      <c r="AG243" s="110">
        <v>6</v>
      </c>
      <c r="AI243" s="110" t="s">
        <v>246</v>
      </c>
      <c r="AJ243" s="110" t="s">
        <v>246</v>
      </c>
      <c r="AK243" s="110" t="s">
        <v>1765</v>
      </c>
      <c r="AL243" s="110" t="s">
        <v>190</v>
      </c>
      <c r="AO243" s="110">
        <v>0.18</v>
      </c>
      <c r="AP243" s="110" t="s">
        <v>190</v>
      </c>
      <c r="AQ243" s="110" t="s">
        <v>176</v>
      </c>
      <c r="AR243" s="110">
        <v>1986</v>
      </c>
      <c r="AS243" s="110" t="s">
        <v>475</v>
      </c>
      <c r="AT243" s="110" t="s">
        <v>420</v>
      </c>
      <c r="AU243" s="110">
        <v>1</v>
      </c>
      <c r="AW243" s="110" t="s">
        <v>174</v>
      </c>
      <c r="AX243" s="110">
        <v>12.2</v>
      </c>
      <c r="AZ243" s="110" t="s">
        <v>174</v>
      </c>
      <c r="BA243" s="110">
        <v>15.9</v>
      </c>
      <c r="BB243" s="110">
        <v>15.9</v>
      </c>
      <c r="BC243" s="110">
        <v>15.9</v>
      </c>
      <c r="BD243" s="110">
        <v>0</v>
      </c>
      <c r="BE243" s="110" t="s">
        <v>182</v>
      </c>
      <c r="BF243" s="110" t="s">
        <v>412</v>
      </c>
      <c r="BH243" s="110" t="s">
        <v>190</v>
      </c>
      <c r="BI243" s="110" t="s">
        <v>182</v>
      </c>
      <c r="BJ243" s="110" t="s">
        <v>412</v>
      </c>
      <c r="BK243" s="110" t="s">
        <v>1766</v>
      </c>
      <c r="BL243" s="110">
        <v>1</v>
      </c>
      <c r="BM243" s="110" t="s">
        <v>174</v>
      </c>
      <c r="BN243" s="110" t="s">
        <v>174</v>
      </c>
      <c r="BO243" s="110">
        <v>1.8</v>
      </c>
      <c r="BP243" s="110" t="s">
        <v>174</v>
      </c>
      <c r="BQ243" s="110" t="s">
        <v>174</v>
      </c>
      <c r="BR243" s="110" t="s">
        <v>174</v>
      </c>
      <c r="BS243" s="110">
        <v>21</v>
      </c>
      <c r="BT243" s="110" t="s">
        <v>2256</v>
      </c>
      <c r="BU243" s="110" t="s">
        <v>2606</v>
      </c>
      <c r="BV243" s="110" t="s">
        <v>2256</v>
      </c>
      <c r="CA243" s="110">
        <v>1.8</v>
      </c>
      <c r="CB243" s="110">
        <v>27.777777780000001</v>
      </c>
      <c r="CC243" s="110" t="b">
        <v>0</v>
      </c>
      <c r="CD243" s="110" t="s">
        <v>2256</v>
      </c>
      <c r="CE243" s="110" t="s">
        <v>2256</v>
      </c>
      <c r="CF243" s="110" t="s">
        <v>2256</v>
      </c>
      <c r="CG243" s="110">
        <v>55.555555560000002</v>
      </c>
      <c r="CI243" s="110" t="s">
        <v>259</v>
      </c>
    </row>
    <row r="244" spans="1:88">
      <c r="A244" s="110" t="s">
        <v>1252</v>
      </c>
      <c r="B244" s="110">
        <v>53</v>
      </c>
      <c r="C244" s="110">
        <v>1</v>
      </c>
      <c r="D244" s="110">
        <v>4</v>
      </c>
      <c r="E244" s="110">
        <v>243</v>
      </c>
      <c r="F244" s="110">
        <v>1990</v>
      </c>
      <c r="G244" s="110" t="s">
        <v>161</v>
      </c>
      <c r="H244" s="110" t="s">
        <v>2441</v>
      </c>
      <c r="I244" s="110" t="s">
        <v>182</v>
      </c>
      <c r="J244" s="110" t="s">
        <v>246</v>
      </c>
      <c r="K244" s="110" t="s">
        <v>999</v>
      </c>
      <c r="L244" s="110" t="s">
        <v>999</v>
      </c>
      <c r="R244" s="110" t="s">
        <v>1976</v>
      </c>
      <c r="S244" s="110" t="s">
        <v>444</v>
      </c>
      <c r="T244" s="110" t="s">
        <v>445</v>
      </c>
      <c r="U244" s="110" t="s">
        <v>704</v>
      </c>
      <c r="V244" s="110">
        <v>54.18320482</v>
      </c>
      <c r="W244" s="110">
        <v>54.18320482</v>
      </c>
      <c r="X244" s="110">
        <v>7.8837679969999996</v>
      </c>
      <c r="Y244" s="110" t="s">
        <v>1718</v>
      </c>
      <c r="Z244" s="110" t="s">
        <v>155</v>
      </c>
      <c r="AA244" s="110" t="s">
        <v>1788</v>
      </c>
      <c r="AB244" s="110" t="s">
        <v>1729</v>
      </c>
      <c r="AC244" s="110" t="s">
        <v>182</v>
      </c>
      <c r="AD244" s="110" t="s">
        <v>1256</v>
      </c>
      <c r="AE244" s="110" t="s">
        <v>218</v>
      </c>
      <c r="AF244" s="110" t="s">
        <v>190</v>
      </c>
      <c r="AG244" s="110">
        <v>6</v>
      </c>
      <c r="AI244" s="110" t="s">
        <v>246</v>
      </c>
      <c r="AJ244" s="110" t="s">
        <v>246</v>
      </c>
      <c r="AK244" s="110" t="s">
        <v>1765</v>
      </c>
      <c r="AL244" s="110" t="s">
        <v>190</v>
      </c>
      <c r="AO244" s="110">
        <v>0.18</v>
      </c>
      <c r="AP244" s="110" t="s">
        <v>190</v>
      </c>
      <c r="AQ244" s="110" t="s">
        <v>176</v>
      </c>
      <c r="AR244" s="110">
        <v>1986</v>
      </c>
      <c r="AS244" s="110" t="s">
        <v>475</v>
      </c>
      <c r="AT244" s="110" t="s">
        <v>420</v>
      </c>
      <c r="AU244" s="110">
        <v>1</v>
      </c>
      <c r="AW244" s="110" t="s">
        <v>174</v>
      </c>
      <c r="AX244" s="110" t="s">
        <v>174</v>
      </c>
      <c r="AZ244" s="110" t="s">
        <v>174</v>
      </c>
      <c r="BA244" s="110">
        <v>15.9</v>
      </c>
      <c r="BB244" s="110">
        <v>15.9</v>
      </c>
      <c r="BC244" s="110">
        <v>15.9</v>
      </c>
      <c r="BD244" s="110">
        <v>0</v>
      </c>
      <c r="BE244" s="110" t="s">
        <v>182</v>
      </c>
      <c r="BF244" s="110" t="s">
        <v>412</v>
      </c>
      <c r="BH244" s="110" t="s">
        <v>190</v>
      </c>
      <c r="BI244" s="110" t="s">
        <v>182</v>
      </c>
      <c r="BJ244" s="110" t="s">
        <v>412</v>
      </c>
      <c r="BK244" s="110" t="s">
        <v>1766</v>
      </c>
      <c r="BL244" s="110">
        <v>1</v>
      </c>
      <c r="BM244" s="110" t="s">
        <v>174</v>
      </c>
      <c r="BN244" s="110" t="s">
        <v>174</v>
      </c>
      <c r="BO244" s="110">
        <v>3.081</v>
      </c>
      <c r="BP244" s="110" t="s">
        <v>174</v>
      </c>
      <c r="BQ244" s="110" t="s">
        <v>174</v>
      </c>
      <c r="BR244" s="110" t="s">
        <v>174</v>
      </c>
      <c r="BS244" s="110">
        <v>11</v>
      </c>
      <c r="BT244" s="110" t="s">
        <v>2256</v>
      </c>
      <c r="BU244" s="110" t="s">
        <v>2606</v>
      </c>
      <c r="BV244" s="110" t="s">
        <v>2256</v>
      </c>
      <c r="CA244" s="110">
        <v>3.081</v>
      </c>
      <c r="CB244" s="110">
        <v>16.228497239999999</v>
      </c>
      <c r="CC244" s="110" t="b">
        <v>0</v>
      </c>
      <c r="CD244" s="110" t="s">
        <v>2256</v>
      </c>
      <c r="CE244" s="110" t="s">
        <v>2256</v>
      </c>
      <c r="CF244" s="110" t="s">
        <v>2256</v>
      </c>
      <c r="CG244" s="110">
        <v>32.456994479999999</v>
      </c>
      <c r="CI244" s="110" t="s">
        <v>259</v>
      </c>
    </row>
    <row r="245" spans="1:88">
      <c r="A245" s="110" t="s">
        <v>1252</v>
      </c>
      <c r="B245" s="110">
        <v>53</v>
      </c>
      <c r="C245" s="110">
        <v>1</v>
      </c>
      <c r="D245" s="110">
        <v>5</v>
      </c>
      <c r="E245" s="110">
        <v>244</v>
      </c>
      <c r="F245" s="110">
        <v>1990</v>
      </c>
      <c r="G245" s="110" t="s">
        <v>187</v>
      </c>
      <c r="H245" s="110" t="s">
        <v>2441</v>
      </c>
      <c r="I245" s="110" t="s">
        <v>182</v>
      </c>
      <c r="J245" s="110" t="s">
        <v>246</v>
      </c>
      <c r="K245" s="110" t="s">
        <v>999</v>
      </c>
      <c r="L245" s="110" t="s">
        <v>999</v>
      </c>
      <c r="R245" s="110" t="s">
        <v>2606</v>
      </c>
      <c r="S245" s="110" t="s">
        <v>2606</v>
      </c>
      <c r="T245" s="110" t="s">
        <v>258</v>
      </c>
      <c r="U245" s="110" t="s">
        <v>174</v>
      </c>
      <c r="V245" s="110">
        <v>54.18320482</v>
      </c>
      <c r="W245" s="110">
        <v>54.18320482</v>
      </c>
      <c r="X245" s="110">
        <v>7.8837679969999996</v>
      </c>
      <c r="Y245" s="110" t="s">
        <v>1718</v>
      </c>
      <c r="Z245" s="110" t="s">
        <v>155</v>
      </c>
      <c r="AA245" s="110" t="s">
        <v>1788</v>
      </c>
      <c r="AB245" s="110" t="s">
        <v>1729</v>
      </c>
      <c r="AC245" s="110" t="s">
        <v>182</v>
      </c>
      <c r="AD245" s="110" t="s">
        <v>1256</v>
      </c>
      <c r="AE245" s="110" t="s">
        <v>187</v>
      </c>
      <c r="AF245" s="110" t="s">
        <v>190</v>
      </c>
      <c r="AG245" s="110" t="s">
        <v>190</v>
      </c>
      <c r="AI245" s="110" t="s">
        <v>246</v>
      </c>
      <c r="AJ245" s="110" t="s">
        <v>246</v>
      </c>
      <c r="AK245" s="110" t="s">
        <v>717</v>
      </c>
      <c r="AL245" s="110" t="s">
        <v>724</v>
      </c>
      <c r="AN245" s="110" t="s">
        <v>2514</v>
      </c>
      <c r="AO245" s="110">
        <v>4.4999999999999999E-4</v>
      </c>
      <c r="AP245" s="110" t="s">
        <v>190</v>
      </c>
      <c r="AQ245" s="110" t="s">
        <v>175</v>
      </c>
      <c r="AR245" s="110">
        <v>1988</v>
      </c>
      <c r="AS245" s="110" t="s">
        <v>174</v>
      </c>
      <c r="AT245" s="110" t="s">
        <v>174</v>
      </c>
      <c r="AU245" s="110">
        <v>0.1</v>
      </c>
      <c r="AV245" s="110" t="s">
        <v>1255</v>
      </c>
      <c r="AW245" s="110" t="s">
        <v>174</v>
      </c>
      <c r="AX245" s="110">
        <v>0</v>
      </c>
      <c r="AZ245" s="110" t="s">
        <v>174</v>
      </c>
      <c r="BA245" s="110">
        <v>18</v>
      </c>
      <c r="BB245" s="110">
        <v>18</v>
      </c>
      <c r="BC245" s="110">
        <v>18</v>
      </c>
      <c r="BD245" s="110">
        <v>0</v>
      </c>
      <c r="BE245" s="110" t="s">
        <v>246</v>
      </c>
      <c r="BF245" s="110" t="s">
        <v>188</v>
      </c>
      <c r="BG245" s="110">
        <v>0</v>
      </c>
      <c r="BH245" s="110" t="s">
        <v>190</v>
      </c>
      <c r="BI245" s="110" t="s">
        <v>182</v>
      </c>
      <c r="BJ245" s="110" t="s">
        <v>720</v>
      </c>
      <c r="BK245" s="110">
        <v>5</v>
      </c>
      <c r="BL245" s="110">
        <v>1</v>
      </c>
      <c r="BM245" s="110" t="s">
        <v>174</v>
      </c>
      <c r="BN245" s="110" t="s">
        <v>174</v>
      </c>
      <c r="BO245" s="110">
        <v>4.22</v>
      </c>
      <c r="BP245" s="110" t="s">
        <v>174</v>
      </c>
      <c r="BQ245" s="110" t="s">
        <v>174</v>
      </c>
      <c r="BR245" s="110" t="s">
        <v>174</v>
      </c>
      <c r="BS245" s="110">
        <v>14</v>
      </c>
      <c r="BT245" s="110" t="s">
        <v>2256</v>
      </c>
      <c r="BU245" s="110" t="s">
        <v>2606</v>
      </c>
      <c r="BV245" s="110" t="s">
        <v>2256</v>
      </c>
      <c r="CA245" s="110">
        <v>4.22</v>
      </c>
      <c r="CB245" s="110">
        <v>11.848341230000001</v>
      </c>
      <c r="CC245" s="110" t="b">
        <v>0</v>
      </c>
      <c r="CD245" s="110">
        <v>87.477668987905105</v>
      </c>
      <c r="CE245" s="110" t="s">
        <v>2256</v>
      </c>
      <c r="CF245" s="110" t="s">
        <v>2256</v>
      </c>
      <c r="CG245" s="110">
        <v>23.696682460000002</v>
      </c>
      <c r="CH245" s="110" t="s">
        <v>726</v>
      </c>
      <c r="CI245" s="110" t="s">
        <v>721</v>
      </c>
      <c r="CJ245" s="110" t="s">
        <v>719</v>
      </c>
    </row>
    <row r="246" spans="1:88">
      <c r="A246" s="110" t="s">
        <v>1252</v>
      </c>
      <c r="B246" s="110">
        <v>53</v>
      </c>
      <c r="C246" s="110">
        <v>1</v>
      </c>
      <c r="D246" s="110">
        <v>5</v>
      </c>
      <c r="E246" s="110">
        <v>245</v>
      </c>
      <c r="F246" s="110">
        <v>1990</v>
      </c>
      <c r="G246" s="110" t="s">
        <v>187</v>
      </c>
      <c r="H246" s="110" t="s">
        <v>2441</v>
      </c>
      <c r="I246" s="110" t="s">
        <v>182</v>
      </c>
      <c r="J246" s="110" t="s">
        <v>246</v>
      </c>
      <c r="K246" s="110" t="s">
        <v>999</v>
      </c>
      <c r="L246" s="110" t="s">
        <v>999</v>
      </c>
      <c r="R246" s="110" t="s">
        <v>2606</v>
      </c>
      <c r="S246" s="110" t="s">
        <v>2606</v>
      </c>
      <c r="T246" s="110" t="s">
        <v>258</v>
      </c>
      <c r="U246" s="110" t="s">
        <v>174</v>
      </c>
      <c r="V246" s="110">
        <v>54.18320482</v>
      </c>
      <c r="W246" s="110">
        <v>54.18320482</v>
      </c>
      <c r="X246" s="110">
        <v>7.8837679969999996</v>
      </c>
      <c r="Y246" s="110" t="s">
        <v>1718</v>
      </c>
      <c r="Z246" s="110" t="s">
        <v>155</v>
      </c>
      <c r="AA246" s="110" t="s">
        <v>1788</v>
      </c>
      <c r="AB246" s="110" t="s">
        <v>1729</v>
      </c>
      <c r="AC246" s="110" t="s">
        <v>182</v>
      </c>
      <c r="AD246" s="110" t="s">
        <v>1256</v>
      </c>
      <c r="AE246" s="110" t="s">
        <v>187</v>
      </c>
      <c r="AF246" s="110" t="s">
        <v>190</v>
      </c>
      <c r="AG246" s="110" t="s">
        <v>190</v>
      </c>
      <c r="AI246" s="110" t="s">
        <v>246</v>
      </c>
      <c r="AJ246" s="110" t="s">
        <v>246</v>
      </c>
      <c r="AK246" s="110" t="s">
        <v>717</v>
      </c>
      <c r="AL246" s="110" t="s">
        <v>724</v>
      </c>
      <c r="AN246" s="110" t="s">
        <v>2514</v>
      </c>
      <c r="AO246" s="110">
        <v>4.4999999999999999E-4</v>
      </c>
      <c r="AP246" s="110" t="s">
        <v>190</v>
      </c>
      <c r="AQ246" s="110" t="s">
        <v>175</v>
      </c>
      <c r="AR246" s="110">
        <v>1988</v>
      </c>
      <c r="AS246" s="110" t="s">
        <v>174</v>
      </c>
      <c r="AT246" s="110" t="s">
        <v>174</v>
      </c>
      <c r="AU246" s="110">
        <v>0.1</v>
      </c>
      <c r="AV246" s="110" t="s">
        <v>1255</v>
      </c>
      <c r="AW246" s="110" t="s">
        <v>174</v>
      </c>
      <c r="AX246" s="110">
        <v>0</v>
      </c>
      <c r="AZ246" s="110" t="s">
        <v>174</v>
      </c>
      <c r="BA246" s="110">
        <v>18</v>
      </c>
      <c r="BB246" s="110">
        <v>18</v>
      </c>
      <c r="BC246" s="110">
        <v>18</v>
      </c>
      <c r="BD246" s="110">
        <v>0</v>
      </c>
      <c r="BE246" s="110" t="s">
        <v>246</v>
      </c>
      <c r="BF246" s="110" t="s">
        <v>188</v>
      </c>
      <c r="BG246" s="110">
        <v>0</v>
      </c>
      <c r="BH246" s="110" t="s">
        <v>190</v>
      </c>
      <c r="BI246" s="110" t="s">
        <v>182</v>
      </c>
      <c r="BJ246" s="110" t="s">
        <v>720</v>
      </c>
      <c r="BK246" s="110">
        <v>5</v>
      </c>
      <c r="BL246" s="110">
        <v>1</v>
      </c>
      <c r="BM246" s="110" t="s">
        <v>174</v>
      </c>
      <c r="BN246" s="110" t="s">
        <v>174</v>
      </c>
      <c r="BO246" s="110">
        <v>4.07</v>
      </c>
      <c r="BP246" s="110" t="s">
        <v>174</v>
      </c>
      <c r="BQ246" s="110" t="s">
        <v>174</v>
      </c>
      <c r="BR246" s="110" t="s">
        <v>174</v>
      </c>
      <c r="BS246" s="110">
        <v>14</v>
      </c>
      <c r="BT246" s="110" t="s">
        <v>2256</v>
      </c>
      <c r="BU246" s="110" t="s">
        <v>2606</v>
      </c>
      <c r="BV246" s="110" t="s">
        <v>2256</v>
      </c>
      <c r="CA246" s="110">
        <v>4.07</v>
      </c>
      <c r="CB246" s="110">
        <v>12.285012289999999</v>
      </c>
      <c r="CC246" s="110" t="b">
        <v>0</v>
      </c>
      <c r="CD246" s="110">
        <v>67.5679354940049</v>
      </c>
      <c r="CE246" s="110" t="s">
        <v>2256</v>
      </c>
      <c r="CF246" s="110" t="s">
        <v>2256</v>
      </c>
      <c r="CG246" s="110">
        <v>24.570024570000001</v>
      </c>
      <c r="CH246" s="110" t="s">
        <v>727</v>
      </c>
      <c r="CI246" s="110" t="s">
        <v>721</v>
      </c>
      <c r="CJ246" s="110" t="s">
        <v>719</v>
      </c>
    </row>
    <row r="247" spans="1:88">
      <c r="A247" s="110" t="s">
        <v>1252</v>
      </c>
      <c r="B247" s="110">
        <v>53</v>
      </c>
      <c r="C247" s="110">
        <v>1</v>
      </c>
      <c r="D247" s="110">
        <v>5</v>
      </c>
      <c r="E247" s="110">
        <v>246</v>
      </c>
      <c r="F247" s="110">
        <v>1990</v>
      </c>
      <c r="G247" s="110" t="s">
        <v>187</v>
      </c>
      <c r="H247" s="110" t="s">
        <v>2441</v>
      </c>
      <c r="I247" s="110" t="s">
        <v>182</v>
      </c>
      <c r="J247" s="110" t="s">
        <v>246</v>
      </c>
      <c r="K247" s="110" t="s">
        <v>999</v>
      </c>
      <c r="L247" s="110" t="s">
        <v>999</v>
      </c>
      <c r="R247" s="110" t="s">
        <v>2606</v>
      </c>
      <c r="S247" s="110" t="s">
        <v>2606</v>
      </c>
      <c r="T247" s="110" t="s">
        <v>258</v>
      </c>
      <c r="U247" s="110" t="s">
        <v>174</v>
      </c>
      <c r="V247" s="110">
        <v>54.18320482</v>
      </c>
      <c r="W247" s="110">
        <v>54.18320482</v>
      </c>
      <c r="X247" s="110">
        <v>7.8837679969999996</v>
      </c>
      <c r="Y247" s="110" t="s">
        <v>1718</v>
      </c>
      <c r="Z247" s="110" t="s">
        <v>155</v>
      </c>
      <c r="AA247" s="110" t="s">
        <v>1788</v>
      </c>
      <c r="AB247" s="110" t="s">
        <v>1729</v>
      </c>
      <c r="AC247" s="110" t="s">
        <v>182</v>
      </c>
      <c r="AD247" s="110" t="s">
        <v>1256</v>
      </c>
      <c r="AE247" s="110" t="s">
        <v>187</v>
      </c>
      <c r="AF247" s="110" t="s">
        <v>190</v>
      </c>
      <c r="AG247" s="110" t="s">
        <v>190</v>
      </c>
      <c r="AI247" s="110" t="s">
        <v>246</v>
      </c>
      <c r="AJ247" s="110" t="s">
        <v>246</v>
      </c>
      <c r="AK247" s="110" t="s">
        <v>717</v>
      </c>
      <c r="AL247" s="110" t="s">
        <v>724</v>
      </c>
      <c r="AN247" s="110" t="s">
        <v>2514</v>
      </c>
      <c r="AO247" s="110">
        <v>4.4999999999999999E-4</v>
      </c>
      <c r="AP247" s="110" t="s">
        <v>190</v>
      </c>
      <c r="AQ247" s="110" t="s">
        <v>175</v>
      </c>
      <c r="AR247" s="110">
        <v>1988</v>
      </c>
      <c r="AS247" s="110" t="s">
        <v>174</v>
      </c>
      <c r="AT247" s="110" t="s">
        <v>174</v>
      </c>
      <c r="AU247" s="110">
        <v>0.1</v>
      </c>
      <c r="AV247" s="110" t="s">
        <v>1255</v>
      </c>
      <c r="AW247" s="110" t="s">
        <v>174</v>
      </c>
      <c r="AX247" s="110" t="s">
        <v>174</v>
      </c>
      <c r="AZ247" s="110" t="s">
        <v>174</v>
      </c>
      <c r="BA247" s="110">
        <v>18</v>
      </c>
      <c r="BB247" s="110">
        <v>18</v>
      </c>
      <c r="BC247" s="110">
        <v>18</v>
      </c>
      <c r="BD247" s="110">
        <v>0</v>
      </c>
      <c r="BE247" s="110" t="s">
        <v>246</v>
      </c>
      <c r="BF247" s="110" t="s">
        <v>188</v>
      </c>
      <c r="BG247" s="110">
        <v>0</v>
      </c>
      <c r="BH247" s="110" t="s">
        <v>190</v>
      </c>
      <c r="BI247" s="110" t="s">
        <v>182</v>
      </c>
      <c r="BJ247" s="110" t="s">
        <v>720</v>
      </c>
      <c r="BK247" s="110">
        <v>5</v>
      </c>
      <c r="BL247" s="110">
        <v>1</v>
      </c>
      <c r="BM247" s="110" t="s">
        <v>174</v>
      </c>
      <c r="BN247" s="110" t="s">
        <v>174</v>
      </c>
      <c r="BO247" s="110">
        <v>4.7300000000000004</v>
      </c>
      <c r="BP247" s="110" t="s">
        <v>174</v>
      </c>
      <c r="BQ247" s="110" t="s">
        <v>174</v>
      </c>
      <c r="BR247" s="110" t="s">
        <v>174</v>
      </c>
      <c r="BS247" s="110">
        <v>14</v>
      </c>
      <c r="BT247" s="110" t="s">
        <v>2256</v>
      </c>
      <c r="BU247" s="110" t="s">
        <v>2606</v>
      </c>
      <c r="BV247" s="110" t="s">
        <v>2256</v>
      </c>
      <c r="CA247" s="110">
        <v>4.7300000000000004</v>
      </c>
      <c r="CB247" s="110">
        <v>10.57082452</v>
      </c>
      <c r="CC247" s="110" t="b">
        <v>0</v>
      </c>
      <c r="CD247" s="110" t="s">
        <v>2256</v>
      </c>
      <c r="CE247" s="110" t="s">
        <v>2256</v>
      </c>
      <c r="CF247" s="110" t="s">
        <v>2256</v>
      </c>
      <c r="CG247" s="110">
        <v>21.141649050000002</v>
      </c>
      <c r="CH247" s="110" t="s">
        <v>728</v>
      </c>
      <c r="CI247" s="110" t="s">
        <v>721</v>
      </c>
      <c r="CJ247" s="110" t="s">
        <v>719</v>
      </c>
    </row>
    <row r="248" spans="1:88">
      <c r="A248" s="110" t="s">
        <v>1252</v>
      </c>
      <c r="B248" s="110">
        <v>53</v>
      </c>
      <c r="C248" s="110">
        <v>1</v>
      </c>
      <c r="D248" s="110">
        <v>5</v>
      </c>
      <c r="E248" s="110">
        <v>247</v>
      </c>
      <c r="F248" s="110">
        <v>1990</v>
      </c>
      <c r="G248" s="110" t="s">
        <v>187</v>
      </c>
      <c r="H248" s="110" t="s">
        <v>2441</v>
      </c>
      <c r="I248" s="110" t="s">
        <v>182</v>
      </c>
      <c r="J248" s="110" t="s">
        <v>246</v>
      </c>
      <c r="K248" s="110" t="s">
        <v>999</v>
      </c>
      <c r="L248" s="110" t="s">
        <v>999</v>
      </c>
      <c r="R248" s="110" t="s">
        <v>2606</v>
      </c>
      <c r="S248" s="110" t="s">
        <v>2606</v>
      </c>
      <c r="T248" s="110" t="s">
        <v>258</v>
      </c>
      <c r="U248" s="110" t="s">
        <v>174</v>
      </c>
      <c r="V248" s="110">
        <v>54.18320482</v>
      </c>
      <c r="W248" s="110">
        <v>54.18320482</v>
      </c>
      <c r="X248" s="110">
        <v>7.8837679969999996</v>
      </c>
      <c r="Y248" s="110" t="s">
        <v>1718</v>
      </c>
      <c r="Z248" s="110" t="s">
        <v>155</v>
      </c>
      <c r="AA248" s="110" t="s">
        <v>1788</v>
      </c>
      <c r="AB248" s="110" t="s">
        <v>1729</v>
      </c>
      <c r="AC248" s="110" t="s">
        <v>182</v>
      </c>
      <c r="AD248" s="110" t="s">
        <v>1256</v>
      </c>
      <c r="AE248" s="110" t="s">
        <v>187</v>
      </c>
      <c r="AF248" s="110" t="s">
        <v>190</v>
      </c>
      <c r="AG248" s="110" t="s">
        <v>190</v>
      </c>
      <c r="AI248" s="110" t="s">
        <v>246</v>
      </c>
      <c r="AJ248" s="110" t="s">
        <v>246</v>
      </c>
      <c r="AK248" s="110" t="s">
        <v>717</v>
      </c>
      <c r="AL248" s="110" t="s">
        <v>724</v>
      </c>
      <c r="AN248" s="110" t="s">
        <v>2514</v>
      </c>
      <c r="AO248" s="110">
        <v>4.4999999999999999E-4</v>
      </c>
      <c r="AP248" s="110" t="s">
        <v>190</v>
      </c>
      <c r="AQ248" s="110" t="s">
        <v>175</v>
      </c>
      <c r="AR248" s="110">
        <v>1988</v>
      </c>
      <c r="AS248" s="110" t="s">
        <v>174</v>
      </c>
      <c r="AT248" s="110" t="s">
        <v>174</v>
      </c>
      <c r="AU248" s="110">
        <v>0.1</v>
      </c>
      <c r="AV248" s="110" t="s">
        <v>1255</v>
      </c>
      <c r="AW248" s="110" t="s">
        <v>174</v>
      </c>
      <c r="AX248" s="110" t="s">
        <v>174</v>
      </c>
      <c r="AY248" s="110" t="s">
        <v>174</v>
      </c>
      <c r="AZ248" s="110" t="s">
        <v>174</v>
      </c>
      <c r="BA248" s="110">
        <v>18</v>
      </c>
      <c r="BB248" s="110">
        <v>18</v>
      </c>
      <c r="BC248" s="110">
        <v>18</v>
      </c>
      <c r="BD248" s="110">
        <v>0</v>
      </c>
      <c r="BE248" s="110" t="s">
        <v>246</v>
      </c>
      <c r="BF248" s="110" t="s">
        <v>188</v>
      </c>
      <c r="BG248" s="110">
        <v>0</v>
      </c>
      <c r="BH248" s="110" t="s">
        <v>190</v>
      </c>
      <c r="BI248" s="110" t="s">
        <v>182</v>
      </c>
      <c r="BJ248" s="110" t="s">
        <v>720</v>
      </c>
      <c r="BK248" s="110">
        <v>5</v>
      </c>
      <c r="BL248" s="110">
        <v>1</v>
      </c>
      <c r="BM248" s="110" t="s">
        <v>174</v>
      </c>
      <c r="BN248" s="110" t="s">
        <v>174</v>
      </c>
      <c r="BO248" s="110">
        <v>5.22</v>
      </c>
      <c r="BP248" s="110" t="s">
        <v>174</v>
      </c>
      <c r="BQ248" s="110" t="s">
        <v>174</v>
      </c>
      <c r="BR248" s="110" t="s">
        <v>174</v>
      </c>
      <c r="BS248" s="110">
        <v>14</v>
      </c>
      <c r="BT248" s="110" t="s">
        <v>2256</v>
      </c>
      <c r="BU248" s="110" t="s">
        <v>2606</v>
      </c>
      <c r="BV248" s="110" t="s">
        <v>2256</v>
      </c>
      <c r="CA248" s="110">
        <v>5.22</v>
      </c>
      <c r="CB248" s="110">
        <v>9.5785440610000006</v>
      </c>
      <c r="CC248" s="110" t="b">
        <v>0</v>
      </c>
      <c r="CD248" s="110" t="s">
        <v>2256</v>
      </c>
      <c r="CE248" s="110" t="s">
        <v>2256</v>
      </c>
      <c r="CF248" s="110" t="s">
        <v>2256</v>
      </c>
      <c r="CG248" s="110">
        <v>19.157088120000001</v>
      </c>
      <c r="CH248" s="110" t="s">
        <v>729</v>
      </c>
      <c r="CI248" s="110" t="s">
        <v>721</v>
      </c>
      <c r="CJ248" s="110" t="s">
        <v>719</v>
      </c>
    </row>
    <row r="249" spans="1:88">
      <c r="A249" s="110" t="s">
        <v>1252</v>
      </c>
      <c r="B249" s="110">
        <v>53</v>
      </c>
      <c r="C249" s="110">
        <v>1</v>
      </c>
      <c r="D249" s="110">
        <v>5</v>
      </c>
      <c r="E249" s="110">
        <v>248</v>
      </c>
      <c r="F249" s="110">
        <v>1990</v>
      </c>
      <c r="G249" s="110" t="s">
        <v>187</v>
      </c>
      <c r="H249" s="110" t="s">
        <v>2441</v>
      </c>
      <c r="I249" s="110" t="s">
        <v>182</v>
      </c>
      <c r="J249" s="110" t="s">
        <v>246</v>
      </c>
      <c r="K249" s="110" t="s">
        <v>999</v>
      </c>
      <c r="L249" s="110" t="s">
        <v>999</v>
      </c>
      <c r="R249" s="110" t="s">
        <v>2606</v>
      </c>
      <c r="S249" s="110" t="s">
        <v>2606</v>
      </c>
      <c r="T249" s="110" t="s">
        <v>258</v>
      </c>
      <c r="U249" s="110" t="s">
        <v>174</v>
      </c>
      <c r="V249" s="110">
        <v>54.18320482</v>
      </c>
      <c r="W249" s="110">
        <v>54.18320482</v>
      </c>
      <c r="X249" s="110">
        <v>7.8837679969999996</v>
      </c>
      <c r="Y249" s="110" t="s">
        <v>1718</v>
      </c>
      <c r="Z249" s="110" t="s">
        <v>155</v>
      </c>
      <c r="AA249" s="110" t="s">
        <v>1788</v>
      </c>
      <c r="AB249" s="110" t="s">
        <v>1729</v>
      </c>
      <c r="AC249" s="110" t="s">
        <v>182</v>
      </c>
      <c r="AD249" s="110" t="s">
        <v>1256</v>
      </c>
      <c r="AE249" s="110" t="s">
        <v>187</v>
      </c>
      <c r="AF249" s="110" t="s">
        <v>190</v>
      </c>
      <c r="AG249" s="110" t="s">
        <v>190</v>
      </c>
      <c r="AI249" s="110" t="s">
        <v>246</v>
      </c>
      <c r="AJ249" s="110" t="s">
        <v>246</v>
      </c>
      <c r="AK249" s="110" t="s">
        <v>717</v>
      </c>
      <c r="AL249" s="110" t="s">
        <v>724</v>
      </c>
      <c r="AN249" s="110" t="s">
        <v>2514</v>
      </c>
      <c r="AO249" s="110">
        <v>4.4999999999999999E-4</v>
      </c>
      <c r="AP249" s="110" t="s">
        <v>190</v>
      </c>
      <c r="AQ249" s="110" t="s">
        <v>175</v>
      </c>
      <c r="AR249" s="110">
        <v>1988</v>
      </c>
      <c r="AS249" s="110" t="s">
        <v>174</v>
      </c>
      <c r="AT249" s="110" t="s">
        <v>174</v>
      </c>
      <c r="AU249" s="110">
        <v>0.1</v>
      </c>
      <c r="AV249" s="110" t="s">
        <v>1255</v>
      </c>
      <c r="AW249" s="110" t="s">
        <v>174</v>
      </c>
      <c r="AX249" s="110" t="s">
        <v>174</v>
      </c>
      <c r="AY249" s="110" t="s">
        <v>174</v>
      </c>
      <c r="AZ249" s="110" t="s">
        <v>174</v>
      </c>
      <c r="BA249" s="110">
        <v>18</v>
      </c>
      <c r="BB249" s="110">
        <v>18</v>
      </c>
      <c r="BC249" s="110">
        <v>18</v>
      </c>
      <c r="BD249" s="110">
        <v>0</v>
      </c>
      <c r="BE249" s="110" t="s">
        <v>246</v>
      </c>
      <c r="BF249" s="110" t="s">
        <v>188</v>
      </c>
      <c r="BG249" s="110">
        <v>0</v>
      </c>
      <c r="BH249" s="110" t="s">
        <v>190</v>
      </c>
      <c r="BI249" s="110" t="s">
        <v>182</v>
      </c>
      <c r="BJ249" s="110" t="s">
        <v>720</v>
      </c>
      <c r="BK249" s="110">
        <v>5</v>
      </c>
      <c r="BL249" s="110">
        <v>1</v>
      </c>
      <c r="BM249" s="110" t="s">
        <v>174</v>
      </c>
      <c r="BN249" s="110" t="s">
        <v>174</v>
      </c>
      <c r="BO249" s="110">
        <v>5.39</v>
      </c>
      <c r="BP249" s="110" t="s">
        <v>174</v>
      </c>
      <c r="BQ249" s="110" t="s">
        <v>174</v>
      </c>
      <c r="BR249" s="110" t="s">
        <v>174</v>
      </c>
      <c r="BS249" s="110">
        <v>14</v>
      </c>
      <c r="BT249" s="110" t="s">
        <v>2256</v>
      </c>
      <c r="BU249" s="110" t="s">
        <v>2606</v>
      </c>
      <c r="BV249" s="110" t="s">
        <v>2256</v>
      </c>
      <c r="CA249" s="110">
        <v>5.39</v>
      </c>
      <c r="CB249" s="110">
        <v>9.2764378480000005</v>
      </c>
      <c r="CC249" s="110" t="b">
        <v>0</v>
      </c>
      <c r="CD249" s="110" t="s">
        <v>2256</v>
      </c>
      <c r="CE249" s="110" t="s">
        <v>2256</v>
      </c>
      <c r="CF249" s="110" t="s">
        <v>2256</v>
      </c>
      <c r="CG249" s="110">
        <v>18.552875700000001</v>
      </c>
      <c r="CH249" s="110" t="s">
        <v>730</v>
      </c>
      <c r="CI249" s="110" t="s">
        <v>721</v>
      </c>
      <c r="CJ249" s="110" t="s">
        <v>719</v>
      </c>
    </row>
    <row r="250" spans="1:88">
      <c r="A250" s="110" t="s">
        <v>1252</v>
      </c>
      <c r="B250" s="110">
        <v>53</v>
      </c>
      <c r="C250" s="110">
        <v>1</v>
      </c>
      <c r="D250" s="110">
        <v>5</v>
      </c>
      <c r="E250" s="110">
        <v>249</v>
      </c>
      <c r="F250" s="110">
        <v>1990</v>
      </c>
      <c r="G250" s="110" t="s">
        <v>187</v>
      </c>
      <c r="H250" s="110" t="s">
        <v>2441</v>
      </c>
      <c r="I250" s="110" t="s">
        <v>182</v>
      </c>
      <c r="J250" s="110" t="s">
        <v>246</v>
      </c>
      <c r="K250" s="110" t="s">
        <v>999</v>
      </c>
      <c r="L250" s="110" t="s">
        <v>999</v>
      </c>
      <c r="R250" s="110" t="s">
        <v>2606</v>
      </c>
      <c r="S250" s="110" t="s">
        <v>2606</v>
      </c>
      <c r="T250" s="110" t="s">
        <v>258</v>
      </c>
      <c r="U250" s="110" t="s">
        <v>174</v>
      </c>
      <c r="V250" s="110">
        <v>54.18320482</v>
      </c>
      <c r="W250" s="110">
        <v>54.18320482</v>
      </c>
      <c r="X250" s="110">
        <v>7.8837679969999996</v>
      </c>
      <c r="Y250" s="110" t="s">
        <v>1718</v>
      </c>
      <c r="Z250" s="110" t="s">
        <v>155</v>
      </c>
      <c r="AA250" s="110" t="s">
        <v>1788</v>
      </c>
      <c r="AB250" s="110" t="s">
        <v>1729</v>
      </c>
      <c r="AC250" s="110" t="s">
        <v>182</v>
      </c>
      <c r="AD250" s="110" t="s">
        <v>1256</v>
      </c>
      <c r="AE250" s="110" t="s">
        <v>187</v>
      </c>
      <c r="AF250" s="110" t="s">
        <v>190</v>
      </c>
      <c r="AG250" s="110" t="s">
        <v>190</v>
      </c>
      <c r="AI250" s="110" t="s">
        <v>246</v>
      </c>
      <c r="AJ250" s="110" t="s">
        <v>246</v>
      </c>
      <c r="AK250" s="110" t="s">
        <v>717</v>
      </c>
      <c r="AL250" s="110" t="s">
        <v>724</v>
      </c>
      <c r="AN250" s="110" t="s">
        <v>2514</v>
      </c>
      <c r="AO250" s="110">
        <v>4.4999999999999999E-4</v>
      </c>
      <c r="AP250" s="110" t="s">
        <v>190</v>
      </c>
      <c r="AQ250" s="110" t="s">
        <v>175</v>
      </c>
      <c r="AR250" s="110">
        <v>1988</v>
      </c>
      <c r="AS250" s="110" t="s">
        <v>174</v>
      </c>
      <c r="AT250" s="110" t="s">
        <v>174</v>
      </c>
      <c r="AU250" s="110">
        <v>0.1</v>
      </c>
      <c r="AV250" s="110" t="s">
        <v>1255</v>
      </c>
      <c r="AW250" s="110" t="s">
        <v>174</v>
      </c>
      <c r="AX250" s="110" t="s">
        <v>174</v>
      </c>
      <c r="AY250" s="110" t="s">
        <v>174</v>
      </c>
      <c r="AZ250" s="110" t="s">
        <v>174</v>
      </c>
      <c r="BA250" s="110">
        <v>18</v>
      </c>
      <c r="BB250" s="110">
        <v>18</v>
      </c>
      <c r="BC250" s="110">
        <v>18</v>
      </c>
      <c r="BD250" s="110">
        <v>0</v>
      </c>
      <c r="BE250" s="110" t="s">
        <v>246</v>
      </c>
      <c r="BF250" s="110" t="s">
        <v>188</v>
      </c>
      <c r="BG250" s="110">
        <v>0</v>
      </c>
      <c r="BH250" s="110" t="s">
        <v>190</v>
      </c>
      <c r="BI250" s="110" t="s">
        <v>182</v>
      </c>
      <c r="BJ250" s="110" t="s">
        <v>720</v>
      </c>
      <c r="BK250" s="110">
        <v>5</v>
      </c>
      <c r="BL250" s="110">
        <v>1</v>
      </c>
      <c r="BM250" s="110" t="s">
        <v>174</v>
      </c>
      <c r="BN250" s="110" t="s">
        <v>174</v>
      </c>
      <c r="BO250" s="110">
        <v>5.62</v>
      </c>
      <c r="BP250" s="110" t="s">
        <v>174</v>
      </c>
      <c r="BQ250" s="110" t="s">
        <v>174</v>
      </c>
      <c r="BR250" s="110" t="s">
        <v>174</v>
      </c>
      <c r="BS250" s="110">
        <v>14</v>
      </c>
      <c r="BT250" s="110" t="s">
        <v>2256</v>
      </c>
      <c r="BU250" s="110" t="s">
        <v>2606</v>
      </c>
      <c r="BV250" s="110" t="s">
        <v>2256</v>
      </c>
      <c r="CA250" s="110">
        <v>5.62</v>
      </c>
      <c r="CB250" s="110">
        <v>8.8967971529999996</v>
      </c>
      <c r="CC250" s="110" t="b">
        <v>0</v>
      </c>
      <c r="CD250" s="110" t="s">
        <v>2256</v>
      </c>
      <c r="CE250" s="110" t="s">
        <v>2256</v>
      </c>
      <c r="CF250" s="110" t="s">
        <v>2256</v>
      </c>
      <c r="CG250" s="110">
        <v>17.79359431</v>
      </c>
      <c r="CH250" s="110" t="s">
        <v>731</v>
      </c>
      <c r="CI250" s="110" t="s">
        <v>721</v>
      </c>
      <c r="CJ250" s="110" t="s">
        <v>719</v>
      </c>
    </row>
    <row r="251" spans="1:88">
      <c r="A251" s="110" t="s">
        <v>1252</v>
      </c>
      <c r="B251" s="110">
        <v>53</v>
      </c>
      <c r="C251" s="110">
        <v>1</v>
      </c>
      <c r="D251" s="110">
        <v>5</v>
      </c>
      <c r="E251" s="110">
        <v>250</v>
      </c>
      <c r="F251" s="110">
        <v>1990</v>
      </c>
      <c r="G251" s="110" t="s">
        <v>187</v>
      </c>
      <c r="H251" s="110" t="s">
        <v>2441</v>
      </c>
      <c r="I251" s="110" t="s">
        <v>182</v>
      </c>
      <c r="J251" s="110" t="s">
        <v>246</v>
      </c>
      <c r="K251" s="110" t="s">
        <v>999</v>
      </c>
      <c r="L251" s="110" t="s">
        <v>999</v>
      </c>
      <c r="R251" s="110" t="s">
        <v>2606</v>
      </c>
      <c r="S251" s="110" t="s">
        <v>2606</v>
      </c>
      <c r="T251" s="110" t="s">
        <v>258</v>
      </c>
      <c r="U251" s="110" t="s">
        <v>174</v>
      </c>
      <c r="V251" s="110">
        <v>54.18320482</v>
      </c>
      <c r="W251" s="110">
        <v>54.18320482</v>
      </c>
      <c r="X251" s="110">
        <v>7.8837679969999996</v>
      </c>
      <c r="Y251" s="110" t="s">
        <v>1718</v>
      </c>
      <c r="Z251" s="110" t="s">
        <v>155</v>
      </c>
      <c r="AA251" s="110" t="s">
        <v>1788</v>
      </c>
      <c r="AB251" s="110" t="s">
        <v>1729</v>
      </c>
      <c r="AC251" s="110" t="s">
        <v>182</v>
      </c>
      <c r="AD251" s="110" t="s">
        <v>1256</v>
      </c>
      <c r="AE251" s="110" t="s">
        <v>187</v>
      </c>
      <c r="AF251" s="110" t="s">
        <v>190</v>
      </c>
      <c r="AG251" s="110" t="s">
        <v>190</v>
      </c>
      <c r="AI251" s="110" t="s">
        <v>246</v>
      </c>
      <c r="AJ251" s="110" t="s">
        <v>246</v>
      </c>
      <c r="AK251" s="110" t="s">
        <v>717</v>
      </c>
      <c r="AL251" s="110" t="s">
        <v>724</v>
      </c>
      <c r="AN251" s="110" t="s">
        <v>2514</v>
      </c>
      <c r="AO251" s="110">
        <v>4.4999999999999999E-4</v>
      </c>
      <c r="AP251" s="110" t="s">
        <v>190</v>
      </c>
      <c r="AQ251" s="110" t="s">
        <v>176</v>
      </c>
      <c r="AR251" s="110">
        <v>1989</v>
      </c>
      <c r="AS251" s="110" t="s">
        <v>174</v>
      </c>
      <c r="AT251" s="110" t="s">
        <v>174</v>
      </c>
      <c r="AU251" s="110">
        <v>0.1</v>
      </c>
      <c r="AV251" s="110" t="s">
        <v>1255</v>
      </c>
      <c r="AW251" s="110" t="s">
        <v>174</v>
      </c>
      <c r="AX251" s="110" t="s">
        <v>174</v>
      </c>
      <c r="AY251" s="110" t="s">
        <v>174</v>
      </c>
      <c r="AZ251" s="110" t="s">
        <v>174</v>
      </c>
      <c r="BA251" s="110">
        <v>18</v>
      </c>
      <c r="BB251" s="110">
        <v>18</v>
      </c>
      <c r="BC251" s="110">
        <v>18</v>
      </c>
      <c r="BD251" s="110">
        <v>0</v>
      </c>
      <c r="BE251" s="110" t="s">
        <v>246</v>
      </c>
      <c r="BF251" s="110" t="s">
        <v>188</v>
      </c>
      <c r="BG251" s="110">
        <v>0</v>
      </c>
      <c r="BH251" s="110" t="s">
        <v>190</v>
      </c>
      <c r="BI251" s="110" t="s">
        <v>182</v>
      </c>
      <c r="BJ251" s="110" t="s">
        <v>720</v>
      </c>
      <c r="BK251" s="110">
        <v>5</v>
      </c>
      <c r="BL251" s="110">
        <v>1</v>
      </c>
      <c r="BM251" s="110" t="s">
        <v>174</v>
      </c>
      <c r="BN251" s="110" t="s">
        <v>174</v>
      </c>
      <c r="BO251" s="110">
        <v>5.16</v>
      </c>
      <c r="BP251" s="110" t="s">
        <v>174</v>
      </c>
      <c r="BQ251" s="110" t="s">
        <v>174</v>
      </c>
      <c r="BR251" s="110" t="s">
        <v>174</v>
      </c>
      <c r="BS251" s="110">
        <v>14</v>
      </c>
      <c r="BT251" s="110" t="s">
        <v>2256</v>
      </c>
      <c r="BU251" s="110" t="s">
        <v>2606</v>
      </c>
      <c r="BV251" s="110" t="s">
        <v>2256</v>
      </c>
      <c r="CA251" s="110">
        <v>5.16</v>
      </c>
      <c r="CB251" s="110">
        <v>9.689922481</v>
      </c>
      <c r="CC251" s="110" t="b">
        <v>0</v>
      </c>
      <c r="CD251" s="110" t="s">
        <v>2256</v>
      </c>
      <c r="CE251" s="110" t="s">
        <v>2256</v>
      </c>
      <c r="CF251" s="110" t="s">
        <v>2256</v>
      </c>
      <c r="CG251" s="110">
        <v>19.37984496</v>
      </c>
      <c r="CH251" s="110" t="s">
        <v>722</v>
      </c>
      <c r="CI251" s="110" t="s">
        <v>721</v>
      </c>
      <c r="CJ251" s="110" t="s">
        <v>719</v>
      </c>
    </row>
    <row r="252" spans="1:88">
      <c r="A252" s="110" t="s">
        <v>1252</v>
      </c>
      <c r="B252" s="110">
        <v>53</v>
      </c>
      <c r="C252" s="110">
        <v>1</v>
      </c>
      <c r="D252" s="110">
        <v>5</v>
      </c>
      <c r="E252" s="110">
        <v>251</v>
      </c>
      <c r="F252" s="110">
        <v>1990</v>
      </c>
      <c r="G252" s="110" t="s">
        <v>187</v>
      </c>
      <c r="H252" s="110" t="s">
        <v>2441</v>
      </c>
      <c r="I252" s="110" t="s">
        <v>182</v>
      </c>
      <c r="J252" s="110" t="s">
        <v>246</v>
      </c>
      <c r="K252" s="110" t="s">
        <v>999</v>
      </c>
      <c r="L252" s="110" t="s">
        <v>999</v>
      </c>
      <c r="R252" s="110" t="s">
        <v>2606</v>
      </c>
      <c r="S252" s="110" t="s">
        <v>2606</v>
      </c>
      <c r="T252" s="110" t="s">
        <v>258</v>
      </c>
      <c r="U252" s="110" t="s">
        <v>174</v>
      </c>
      <c r="V252" s="110">
        <v>54.18320482</v>
      </c>
      <c r="W252" s="110">
        <v>54.18320482</v>
      </c>
      <c r="X252" s="110">
        <v>7.8837679969999996</v>
      </c>
      <c r="Y252" s="110" t="s">
        <v>1718</v>
      </c>
      <c r="Z252" s="110" t="s">
        <v>155</v>
      </c>
      <c r="AA252" s="110" t="s">
        <v>1788</v>
      </c>
      <c r="AB252" s="110" t="s">
        <v>1729</v>
      </c>
      <c r="AC252" s="110" t="s">
        <v>182</v>
      </c>
      <c r="AD252" s="110" t="s">
        <v>1256</v>
      </c>
      <c r="AE252" s="110" t="s">
        <v>187</v>
      </c>
      <c r="AF252" s="110" t="s">
        <v>190</v>
      </c>
      <c r="AG252" s="110" t="s">
        <v>190</v>
      </c>
      <c r="AI252" s="110" t="s">
        <v>246</v>
      </c>
      <c r="AJ252" s="110" t="s">
        <v>246</v>
      </c>
      <c r="AK252" s="110" t="s">
        <v>717</v>
      </c>
      <c r="AL252" s="110" t="s">
        <v>724</v>
      </c>
      <c r="AN252" s="110" t="s">
        <v>2514</v>
      </c>
      <c r="AO252" s="110">
        <v>4.4999999999999999E-4</v>
      </c>
      <c r="AP252" s="110" t="s">
        <v>190</v>
      </c>
      <c r="AQ252" s="110" t="s">
        <v>176</v>
      </c>
      <c r="AR252" s="110">
        <v>1989</v>
      </c>
      <c r="AS252" s="110" t="s">
        <v>174</v>
      </c>
      <c r="AT252" s="110" t="s">
        <v>174</v>
      </c>
      <c r="AU252" s="110">
        <v>0.1</v>
      </c>
      <c r="AV252" s="110" t="s">
        <v>1255</v>
      </c>
      <c r="AW252" s="110" t="s">
        <v>174</v>
      </c>
      <c r="AX252" s="110" t="s">
        <v>174</v>
      </c>
      <c r="AY252" s="110" t="s">
        <v>174</v>
      </c>
      <c r="AZ252" s="110" t="s">
        <v>174</v>
      </c>
      <c r="BA252" s="110">
        <v>18</v>
      </c>
      <c r="BB252" s="110">
        <v>18</v>
      </c>
      <c r="BC252" s="110">
        <v>18</v>
      </c>
      <c r="BD252" s="110">
        <v>0</v>
      </c>
      <c r="BE252" s="110" t="s">
        <v>246</v>
      </c>
      <c r="BF252" s="110" t="s">
        <v>188</v>
      </c>
      <c r="BG252" s="110">
        <v>0</v>
      </c>
      <c r="BH252" s="110" t="s">
        <v>190</v>
      </c>
      <c r="BI252" s="110" t="s">
        <v>182</v>
      </c>
      <c r="BJ252" s="110" t="s">
        <v>720</v>
      </c>
      <c r="BK252" s="110">
        <v>5</v>
      </c>
      <c r="BL252" s="110">
        <v>1</v>
      </c>
      <c r="BM252" s="110" t="s">
        <v>174</v>
      </c>
      <c r="BN252" s="110" t="s">
        <v>174</v>
      </c>
      <c r="BO252" s="110">
        <v>4.3600000000000003</v>
      </c>
      <c r="BP252" s="110" t="s">
        <v>174</v>
      </c>
      <c r="BQ252" s="110" t="s">
        <v>174</v>
      </c>
      <c r="BR252" s="110" t="s">
        <v>174</v>
      </c>
      <c r="BS252" s="110">
        <v>14</v>
      </c>
      <c r="BT252" s="110" t="s">
        <v>2256</v>
      </c>
      <c r="BU252" s="110" t="s">
        <v>2606</v>
      </c>
      <c r="BV252" s="110" t="s">
        <v>2256</v>
      </c>
      <c r="CA252" s="110">
        <v>4.3600000000000003</v>
      </c>
      <c r="CB252" s="110">
        <v>11.46788991</v>
      </c>
      <c r="CC252" s="110" t="b">
        <v>0</v>
      </c>
      <c r="CD252" s="110" t="s">
        <v>2256</v>
      </c>
      <c r="CE252" s="110" t="s">
        <v>2256</v>
      </c>
      <c r="CF252" s="110" t="s">
        <v>2256</v>
      </c>
      <c r="CG252" s="110">
        <v>22.93577982</v>
      </c>
      <c r="CH252" s="110" t="s">
        <v>723</v>
      </c>
      <c r="CI252" s="110" t="s">
        <v>721</v>
      </c>
      <c r="CJ252" s="110" t="s">
        <v>719</v>
      </c>
    </row>
    <row r="253" spans="1:88">
      <c r="A253" s="110" t="s">
        <v>1252</v>
      </c>
      <c r="B253" s="110">
        <v>53</v>
      </c>
      <c r="C253" s="110">
        <v>1</v>
      </c>
      <c r="D253" s="110">
        <v>5</v>
      </c>
      <c r="E253" s="110">
        <v>252</v>
      </c>
      <c r="F253" s="110">
        <v>1990</v>
      </c>
      <c r="G253" s="110" t="s">
        <v>187</v>
      </c>
      <c r="H253" s="110" t="s">
        <v>2441</v>
      </c>
      <c r="I253" s="110" t="s">
        <v>182</v>
      </c>
      <c r="J253" s="110" t="s">
        <v>246</v>
      </c>
      <c r="K253" s="110" t="s">
        <v>999</v>
      </c>
      <c r="L253" s="110" t="s">
        <v>999</v>
      </c>
      <c r="R253" s="110" t="s">
        <v>2606</v>
      </c>
      <c r="S253" s="110" t="s">
        <v>2606</v>
      </c>
      <c r="T253" s="110" t="s">
        <v>258</v>
      </c>
      <c r="U253" s="110" t="s">
        <v>174</v>
      </c>
      <c r="V253" s="110">
        <v>54.18320482</v>
      </c>
      <c r="W253" s="110">
        <v>54.18320482</v>
      </c>
      <c r="X253" s="110">
        <v>7.8837679969999996</v>
      </c>
      <c r="Y253" s="110" t="s">
        <v>1718</v>
      </c>
      <c r="Z253" s="110" t="s">
        <v>155</v>
      </c>
      <c r="AA253" s="110" t="s">
        <v>1788</v>
      </c>
      <c r="AB253" s="110" t="s">
        <v>1729</v>
      </c>
      <c r="AC253" s="110" t="s">
        <v>182</v>
      </c>
      <c r="AD253" s="110" t="s">
        <v>1256</v>
      </c>
      <c r="AE253" s="110" t="s">
        <v>187</v>
      </c>
      <c r="AF253" s="110" t="s">
        <v>190</v>
      </c>
      <c r="AG253" s="110" t="s">
        <v>190</v>
      </c>
      <c r="AI253" s="110" t="s">
        <v>246</v>
      </c>
      <c r="AJ253" s="110" t="s">
        <v>246</v>
      </c>
      <c r="AK253" s="110" t="s">
        <v>717</v>
      </c>
      <c r="AL253" s="110" t="s">
        <v>724</v>
      </c>
      <c r="AN253" s="110" t="s">
        <v>2514</v>
      </c>
      <c r="AO253" s="110">
        <v>4.4999999999999999E-4</v>
      </c>
      <c r="AP253" s="110" t="s">
        <v>190</v>
      </c>
      <c r="AQ253" s="110" t="s">
        <v>176</v>
      </c>
      <c r="AR253" s="110">
        <v>1989</v>
      </c>
      <c r="AS253" s="110" t="s">
        <v>174</v>
      </c>
      <c r="AT253" s="110" t="s">
        <v>174</v>
      </c>
      <c r="AU253" s="110">
        <v>0.1</v>
      </c>
      <c r="AV253" s="110" t="s">
        <v>1255</v>
      </c>
      <c r="AW253" s="110" t="s">
        <v>174</v>
      </c>
      <c r="AX253" s="110" t="s">
        <v>174</v>
      </c>
      <c r="AY253" s="110" t="s">
        <v>174</v>
      </c>
      <c r="AZ253" s="110" t="s">
        <v>174</v>
      </c>
      <c r="BA253" s="110">
        <v>18</v>
      </c>
      <c r="BB253" s="110">
        <v>18</v>
      </c>
      <c r="BC253" s="110">
        <v>18</v>
      </c>
      <c r="BD253" s="110">
        <v>0</v>
      </c>
      <c r="BE253" s="110" t="s">
        <v>246</v>
      </c>
      <c r="BF253" s="110" t="s">
        <v>188</v>
      </c>
      <c r="BG253" s="110">
        <v>0</v>
      </c>
      <c r="BH253" s="110" t="s">
        <v>190</v>
      </c>
      <c r="BI253" s="110" t="s">
        <v>182</v>
      </c>
      <c r="BJ253" s="110" t="s">
        <v>720</v>
      </c>
      <c r="BK253" s="110">
        <v>5</v>
      </c>
      <c r="BL253" s="110">
        <v>1</v>
      </c>
      <c r="BM253" s="110" t="s">
        <v>174</v>
      </c>
      <c r="BN253" s="110" t="s">
        <v>174</v>
      </c>
      <c r="BO253" s="110">
        <v>3.93</v>
      </c>
      <c r="BP253" s="110" t="s">
        <v>174</v>
      </c>
      <c r="BQ253" s="110" t="s">
        <v>174</v>
      </c>
      <c r="BR253" s="110" t="s">
        <v>174</v>
      </c>
      <c r="BS253" s="110">
        <v>14</v>
      </c>
      <c r="BT253" s="110" t="s">
        <v>2256</v>
      </c>
      <c r="BU253" s="110" t="s">
        <v>2606</v>
      </c>
      <c r="BV253" s="110" t="s">
        <v>2256</v>
      </c>
      <c r="CA253" s="110">
        <v>3.93</v>
      </c>
      <c r="CB253" s="110">
        <v>12.72264631</v>
      </c>
      <c r="CC253" s="110" t="b">
        <v>0</v>
      </c>
      <c r="CD253" s="110" t="s">
        <v>2256</v>
      </c>
      <c r="CE253" s="110" t="s">
        <v>2256</v>
      </c>
      <c r="CF253" s="110" t="s">
        <v>2256</v>
      </c>
      <c r="CG253" s="110">
        <v>25.44529262</v>
      </c>
      <c r="CH253" s="110" t="s">
        <v>724</v>
      </c>
      <c r="CI253" s="110" t="s">
        <v>721</v>
      </c>
      <c r="CJ253" s="110" t="s">
        <v>719</v>
      </c>
    </row>
    <row r="254" spans="1:88">
      <c r="A254" s="110" t="s">
        <v>1252</v>
      </c>
      <c r="B254" s="110">
        <v>53</v>
      </c>
      <c r="C254" s="110">
        <v>1</v>
      </c>
      <c r="D254" s="110">
        <v>5</v>
      </c>
      <c r="E254" s="110">
        <v>253</v>
      </c>
      <c r="F254" s="110">
        <v>1990</v>
      </c>
      <c r="G254" s="110" t="s">
        <v>187</v>
      </c>
      <c r="H254" s="110" t="s">
        <v>2441</v>
      </c>
      <c r="I254" s="110" t="s">
        <v>182</v>
      </c>
      <c r="J254" s="110" t="s">
        <v>246</v>
      </c>
      <c r="K254" s="110" t="s">
        <v>999</v>
      </c>
      <c r="L254" s="110" t="s">
        <v>999</v>
      </c>
      <c r="R254" s="110" t="s">
        <v>2606</v>
      </c>
      <c r="S254" s="110" t="s">
        <v>2606</v>
      </c>
      <c r="T254" s="110" t="s">
        <v>258</v>
      </c>
      <c r="U254" s="110" t="s">
        <v>174</v>
      </c>
      <c r="V254" s="110">
        <v>54.18320482</v>
      </c>
      <c r="W254" s="110">
        <v>54.18320482</v>
      </c>
      <c r="X254" s="110">
        <v>7.8837679969999996</v>
      </c>
      <c r="Y254" s="110" t="s">
        <v>1718</v>
      </c>
      <c r="Z254" s="110" t="s">
        <v>155</v>
      </c>
      <c r="AA254" s="110" t="s">
        <v>1788</v>
      </c>
      <c r="AB254" s="110" t="s">
        <v>1729</v>
      </c>
      <c r="AC254" s="110" t="s">
        <v>182</v>
      </c>
      <c r="AD254" s="110" t="s">
        <v>1256</v>
      </c>
      <c r="AE254" s="110" t="s">
        <v>187</v>
      </c>
      <c r="AF254" s="110" t="s">
        <v>190</v>
      </c>
      <c r="AG254" s="110" t="s">
        <v>190</v>
      </c>
      <c r="AI254" s="110" t="s">
        <v>246</v>
      </c>
      <c r="AJ254" s="110" t="s">
        <v>246</v>
      </c>
      <c r="AK254" s="110" t="s">
        <v>717</v>
      </c>
      <c r="AL254" s="110" t="s">
        <v>724</v>
      </c>
      <c r="AN254" s="110" t="s">
        <v>2514</v>
      </c>
      <c r="AO254" s="110">
        <v>4.4999999999999999E-4</v>
      </c>
      <c r="AP254" s="110" t="s">
        <v>190</v>
      </c>
      <c r="AQ254" s="110" t="s">
        <v>176</v>
      </c>
      <c r="AR254" s="110">
        <v>1989</v>
      </c>
      <c r="AS254" s="110" t="s">
        <v>174</v>
      </c>
      <c r="AT254" s="110" t="s">
        <v>174</v>
      </c>
      <c r="AU254" s="110">
        <v>0.1</v>
      </c>
      <c r="AV254" s="110" t="s">
        <v>1255</v>
      </c>
      <c r="AW254" s="110" t="s">
        <v>174</v>
      </c>
      <c r="AX254" s="110" t="s">
        <v>174</v>
      </c>
      <c r="AY254" s="110" t="s">
        <v>174</v>
      </c>
      <c r="AZ254" s="110" t="s">
        <v>174</v>
      </c>
      <c r="BA254" s="110">
        <v>18</v>
      </c>
      <c r="BB254" s="110">
        <v>18</v>
      </c>
      <c r="BC254" s="110">
        <v>18</v>
      </c>
      <c r="BD254" s="110">
        <v>0</v>
      </c>
      <c r="BE254" s="110" t="s">
        <v>246</v>
      </c>
      <c r="BF254" s="110" t="s">
        <v>188</v>
      </c>
      <c r="BG254" s="110">
        <v>0</v>
      </c>
      <c r="BH254" s="110" t="s">
        <v>190</v>
      </c>
      <c r="BI254" s="110" t="s">
        <v>182</v>
      </c>
      <c r="BJ254" s="110" t="s">
        <v>720</v>
      </c>
      <c r="BK254" s="110">
        <v>3</v>
      </c>
      <c r="BL254" s="110">
        <v>1</v>
      </c>
      <c r="BM254" s="110" t="s">
        <v>174</v>
      </c>
      <c r="BN254" s="110" t="s">
        <v>174</v>
      </c>
      <c r="BO254" s="110">
        <v>2.9</v>
      </c>
      <c r="BP254" s="110" t="s">
        <v>174</v>
      </c>
      <c r="BQ254" s="110" t="s">
        <v>174</v>
      </c>
      <c r="BR254" s="110" t="s">
        <v>174</v>
      </c>
      <c r="BS254" s="110">
        <v>27</v>
      </c>
      <c r="BT254" s="110" t="s">
        <v>2256</v>
      </c>
      <c r="BU254" s="110" t="s">
        <v>2606</v>
      </c>
      <c r="BV254" s="110" t="s">
        <v>2256</v>
      </c>
      <c r="CA254" s="110">
        <v>2.9</v>
      </c>
      <c r="CB254" s="110">
        <v>17.241379309999999</v>
      </c>
      <c r="CC254" s="110" t="b">
        <v>0</v>
      </c>
      <c r="CD254" s="110" t="s">
        <v>2256</v>
      </c>
      <c r="CE254" s="110" t="s">
        <v>2256</v>
      </c>
      <c r="CF254" s="110" t="s">
        <v>2256</v>
      </c>
      <c r="CG254" s="110">
        <v>34.482758619999998</v>
      </c>
      <c r="CH254" s="110" t="s">
        <v>735</v>
      </c>
      <c r="CI254" s="110" t="s">
        <v>721</v>
      </c>
      <c r="CJ254" s="110" t="s">
        <v>719</v>
      </c>
    </row>
    <row r="255" spans="1:88">
      <c r="A255" s="110" t="s">
        <v>1252</v>
      </c>
      <c r="B255" s="110">
        <v>53</v>
      </c>
      <c r="C255" s="110">
        <v>1</v>
      </c>
      <c r="D255" s="110">
        <v>5</v>
      </c>
      <c r="E255" s="110">
        <v>254</v>
      </c>
      <c r="F255" s="110">
        <v>1990</v>
      </c>
      <c r="G255" s="110" t="s">
        <v>187</v>
      </c>
      <c r="H255" s="110" t="s">
        <v>2441</v>
      </c>
      <c r="I255" s="110" t="s">
        <v>182</v>
      </c>
      <c r="J255" s="110" t="s">
        <v>246</v>
      </c>
      <c r="K255" s="110" t="s">
        <v>999</v>
      </c>
      <c r="L255" s="110" t="s">
        <v>999</v>
      </c>
      <c r="R255" s="110" t="s">
        <v>2606</v>
      </c>
      <c r="S255" s="110" t="s">
        <v>2606</v>
      </c>
      <c r="T255" s="110" t="s">
        <v>258</v>
      </c>
      <c r="U255" s="110" t="s">
        <v>174</v>
      </c>
      <c r="V255" s="110">
        <v>54.18320482</v>
      </c>
      <c r="W255" s="110">
        <v>54.18320482</v>
      </c>
      <c r="X255" s="110">
        <v>7.8837679969999996</v>
      </c>
      <c r="Y255" s="110" t="s">
        <v>1718</v>
      </c>
      <c r="Z255" s="110" t="s">
        <v>155</v>
      </c>
      <c r="AA255" s="110" t="s">
        <v>1788</v>
      </c>
      <c r="AB255" s="110" t="s">
        <v>1729</v>
      </c>
      <c r="AC255" s="110" t="s">
        <v>182</v>
      </c>
      <c r="AD255" s="110" t="s">
        <v>1256</v>
      </c>
      <c r="AE255" s="110" t="s">
        <v>187</v>
      </c>
      <c r="AF255" s="110" t="s">
        <v>190</v>
      </c>
      <c r="AG255" s="110" t="s">
        <v>190</v>
      </c>
      <c r="AI255" s="110" t="s">
        <v>246</v>
      </c>
      <c r="AJ255" s="110" t="s">
        <v>246</v>
      </c>
      <c r="AK255" s="110" t="s">
        <v>717</v>
      </c>
      <c r="AL255" s="110" t="s">
        <v>724</v>
      </c>
      <c r="AN255" s="110" t="s">
        <v>2514</v>
      </c>
      <c r="AO255" s="110">
        <v>4.4999999999999999E-4</v>
      </c>
      <c r="AP255" s="110" t="s">
        <v>190</v>
      </c>
      <c r="AQ255" s="110" t="s">
        <v>176</v>
      </c>
      <c r="AR255" s="110">
        <v>1989</v>
      </c>
      <c r="AS255" s="110" t="s">
        <v>174</v>
      </c>
      <c r="AT255" s="110" t="s">
        <v>174</v>
      </c>
      <c r="AU255" s="110">
        <v>0.1</v>
      </c>
      <c r="AV255" s="110" t="s">
        <v>1255</v>
      </c>
      <c r="AW255" s="110" t="s">
        <v>174</v>
      </c>
      <c r="AX255" s="110" t="s">
        <v>174</v>
      </c>
      <c r="AY255" s="110" t="s">
        <v>174</v>
      </c>
      <c r="AZ255" s="110" t="s">
        <v>174</v>
      </c>
      <c r="BA255" s="110">
        <v>19</v>
      </c>
      <c r="BB255" s="110">
        <v>19</v>
      </c>
      <c r="BC255" s="110">
        <v>19</v>
      </c>
      <c r="BD255" s="110">
        <v>0</v>
      </c>
      <c r="BE255" s="110" t="s">
        <v>246</v>
      </c>
      <c r="BF255" s="110" t="s">
        <v>188</v>
      </c>
      <c r="BG255" s="110">
        <v>0</v>
      </c>
      <c r="BH255" s="110" t="s">
        <v>190</v>
      </c>
      <c r="BI255" s="110" t="s">
        <v>182</v>
      </c>
      <c r="BJ255" s="110" t="s">
        <v>720</v>
      </c>
      <c r="BK255" s="110">
        <v>3</v>
      </c>
      <c r="BL255" s="110">
        <v>1</v>
      </c>
      <c r="BM255" s="110" t="s">
        <v>174</v>
      </c>
      <c r="BN255" s="110" t="s">
        <v>174</v>
      </c>
      <c r="BO255" s="110">
        <v>2.97</v>
      </c>
      <c r="BP255" s="110" t="s">
        <v>174</v>
      </c>
      <c r="BQ255" s="110" t="s">
        <v>174</v>
      </c>
      <c r="BR255" s="110" t="s">
        <v>174</v>
      </c>
      <c r="BS255" s="110">
        <v>27</v>
      </c>
      <c r="BT255" s="110" t="s">
        <v>2256</v>
      </c>
      <c r="BU255" s="110" t="s">
        <v>2606</v>
      </c>
      <c r="BV255" s="110" t="s">
        <v>2256</v>
      </c>
      <c r="CA255" s="110">
        <v>2.97</v>
      </c>
      <c r="CB255" s="110">
        <v>16.835016840000002</v>
      </c>
      <c r="CC255" s="110" t="b">
        <v>0</v>
      </c>
      <c r="CD255" s="110" t="s">
        <v>2256</v>
      </c>
      <c r="CE255" s="110" t="s">
        <v>2256</v>
      </c>
      <c r="CF255" s="110" t="s">
        <v>2256</v>
      </c>
      <c r="CG255" s="110">
        <v>33.670033670000002</v>
      </c>
      <c r="CH255" s="110" t="s">
        <v>736</v>
      </c>
      <c r="CI255" s="110" t="s">
        <v>721</v>
      </c>
      <c r="CJ255" s="110" t="s">
        <v>719</v>
      </c>
    </row>
    <row r="256" spans="1:88">
      <c r="A256" s="110" t="s">
        <v>1252</v>
      </c>
      <c r="B256" s="110">
        <v>53</v>
      </c>
      <c r="C256" s="110">
        <v>1</v>
      </c>
      <c r="D256" s="110">
        <v>5</v>
      </c>
      <c r="E256" s="110">
        <v>255</v>
      </c>
      <c r="F256" s="110">
        <v>1990</v>
      </c>
      <c r="G256" s="110" t="s">
        <v>187</v>
      </c>
      <c r="H256" s="110" t="s">
        <v>2441</v>
      </c>
      <c r="I256" s="110" t="s">
        <v>182</v>
      </c>
      <c r="J256" s="110" t="s">
        <v>246</v>
      </c>
      <c r="K256" s="110" t="s">
        <v>999</v>
      </c>
      <c r="L256" s="110" t="s">
        <v>999</v>
      </c>
      <c r="R256" s="110" t="s">
        <v>2606</v>
      </c>
      <c r="S256" s="110" t="s">
        <v>2606</v>
      </c>
      <c r="T256" s="110" t="s">
        <v>258</v>
      </c>
      <c r="U256" s="110" t="s">
        <v>174</v>
      </c>
      <c r="V256" s="110">
        <v>54.18320482</v>
      </c>
      <c r="W256" s="110">
        <v>54.18320482</v>
      </c>
      <c r="X256" s="110">
        <v>7.8837679969999996</v>
      </c>
      <c r="Y256" s="110" t="s">
        <v>1718</v>
      </c>
      <c r="Z256" s="110" t="s">
        <v>155</v>
      </c>
      <c r="AA256" s="110" t="s">
        <v>1788</v>
      </c>
      <c r="AB256" s="110" t="s">
        <v>1729</v>
      </c>
      <c r="AC256" s="110" t="s">
        <v>182</v>
      </c>
      <c r="AD256" s="110" t="s">
        <v>1256</v>
      </c>
      <c r="AE256" s="110" t="s">
        <v>187</v>
      </c>
      <c r="AF256" s="110" t="s">
        <v>190</v>
      </c>
      <c r="AG256" s="110" t="s">
        <v>190</v>
      </c>
      <c r="AI256" s="110" t="s">
        <v>246</v>
      </c>
      <c r="AJ256" s="110" t="s">
        <v>246</v>
      </c>
      <c r="AK256" s="110" t="s">
        <v>717</v>
      </c>
      <c r="AL256" s="110" t="s">
        <v>724</v>
      </c>
      <c r="AN256" s="110" t="s">
        <v>2514</v>
      </c>
      <c r="AO256" s="110">
        <v>4.4999999999999999E-4</v>
      </c>
      <c r="AP256" s="110" t="s">
        <v>190</v>
      </c>
      <c r="AQ256" s="110" t="s">
        <v>176</v>
      </c>
      <c r="AR256" s="110">
        <v>1989</v>
      </c>
      <c r="AS256" s="110" t="s">
        <v>174</v>
      </c>
      <c r="AT256" s="110" t="s">
        <v>174</v>
      </c>
      <c r="AU256" s="110">
        <v>0.1</v>
      </c>
      <c r="AV256" s="110" t="s">
        <v>1255</v>
      </c>
      <c r="AW256" s="110" t="s">
        <v>174</v>
      </c>
      <c r="AX256" s="110" t="s">
        <v>174</v>
      </c>
      <c r="AY256" s="110" t="s">
        <v>174</v>
      </c>
      <c r="AZ256" s="110" t="s">
        <v>174</v>
      </c>
      <c r="BA256" s="110">
        <v>20</v>
      </c>
      <c r="BB256" s="110">
        <v>20</v>
      </c>
      <c r="BC256" s="110">
        <v>20</v>
      </c>
      <c r="BD256" s="110">
        <v>0</v>
      </c>
      <c r="BE256" s="110" t="s">
        <v>246</v>
      </c>
      <c r="BF256" s="110" t="s">
        <v>188</v>
      </c>
      <c r="BG256" s="110">
        <v>0</v>
      </c>
      <c r="BH256" s="110" t="s">
        <v>190</v>
      </c>
      <c r="BI256" s="110" t="s">
        <v>182</v>
      </c>
      <c r="BJ256" s="110" t="s">
        <v>720</v>
      </c>
      <c r="BK256" s="110">
        <v>3</v>
      </c>
      <c r="BL256" s="110">
        <v>1</v>
      </c>
      <c r="BM256" s="110" t="s">
        <v>174</v>
      </c>
      <c r="BN256" s="110" t="s">
        <v>174</v>
      </c>
      <c r="BO256" s="110">
        <v>3.0190000000000001</v>
      </c>
      <c r="BP256" s="110" t="s">
        <v>174</v>
      </c>
      <c r="BQ256" s="110" t="s">
        <v>174</v>
      </c>
      <c r="BR256" s="110" t="s">
        <v>174</v>
      </c>
      <c r="BS256" s="110">
        <v>27</v>
      </c>
      <c r="BT256" s="110" t="s">
        <v>2256</v>
      </c>
      <c r="BU256" s="110" t="s">
        <v>2606</v>
      </c>
      <c r="BV256" s="110" t="s">
        <v>2256</v>
      </c>
      <c r="CA256" s="110">
        <v>3.0190000000000001</v>
      </c>
      <c r="CB256" s="110">
        <v>16.56177542</v>
      </c>
      <c r="CC256" s="110" t="b">
        <v>0</v>
      </c>
      <c r="CD256" s="110" t="s">
        <v>2256</v>
      </c>
      <c r="CE256" s="110" t="s">
        <v>2256</v>
      </c>
      <c r="CF256" s="110" t="s">
        <v>2256</v>
      </c>
      <c r="CG256" s="110">
        <v>33.12355084</v>
      </c>
      <c r="CH256" s="110" t="s">
        <v>737</v>
      </c>
      <c r="CI256" s="110" t="s">
        <v>721</v>
      </c>
      <c r="CJ256" s="110" t="s">
        <v>719</v>
      </c>
    </row>
    <row r="257" spans="1:88">
      <c r="A257" s="110" t="s">
        <v>1133</v>
      </c>
      <c r="B257" s="110">
        <v>54</v>
      </c>
      <c r="C257" s="110">
        <v>1</v>
      </c>
      <c r="D257" s="110">
        <v>1</v>
      </c>
      <c r="E257" s="110">
        <v>256</v>
      </c>
      <c r="F257" s="110">
        <v>2008</v>
      </c>
      <c r="G257" s="110" t="s">
        <v>161</v>
      </c>
      <c r="H257" s="110" t="s">
        <v>2437</v>
      </c>
      <c r="I257" s="110" t="s">
        <v>246</v>
      </c>
      <c r="J257" s="110" t="s">
        <v>246</v>
      </c>
      <c r="K257" s="110" t="s">
        <v>999</v>
      </c>
      <c r="L257" s="110" t="s">
        <v>999</v>
      </c>
      <c r="R257" s="110" t="s">
        <v>272</v>
      </c>
      <c r="S257" s="110" t="s">
        <v>443</v>
      </c>
      <c r="T257" s="110" t="s">
        <v>256</v>
      </c>
      <c r="U257" s="110" t="s">
        <v>257</v>
      </c>
      <c r="V257" s="110">
        <v>42.575833330000002</v>
      </c>
      <c r="W257" s="110">
        <v>42.575833330000002</v>
      </c>
      <c r="X257" s="110">
        <v>-9.0544444399999993</v>
      </c>
      <c r="Y257" s="110" t="s">
        <v>419</v>
      </c>
      <c r="Z257" s="110" t="s">
        <v>155</v>
      </c>
      <c r="AA257" s="110" t="s">
        <v>424</v>
      </c>
      <c r="AB257" s="110" t="s">
        <v>333</v>
      </c>
      <c r="AC257" s="110" t="s">
        <v>246</v>
      </c>
      <c r="AD257" s="110" t="s">
        <v>333</v>
      </c>
      <c r="AE257" s="110" t="s">
        <v>1306</v>
      </c>
      <c r="AF257" s="110" t="s">
        <v>1745</v>
      </c>
      <c r="AH257" s="110" t="s">
        <v>1135</v>
      </c>
      <c r="AI257" s="110" t="s">
        <v>246</v>
      </c>
      <c r="AJ257" s="110" t="s">
        <v>246</v>
      </c>
      <c r="AK257" s="110" t="s">
        <v>333</v>
      </c>
      <c r="AL257" s="110" t="s">
        <v>190</v>
      </c>
      <c r="AM257" s="110" t="s">
        <v>174</v>
      </c>
      <c r="AO257" s="110" t="s">
        <v>190</v>
      </c>
      <c r="AP257" s="110" t="s">
        <v>190</v>
      </c>
      <c r="AQ257" s="110" t="s">
        <v>176</v>
      </c>
      <c r="AR257" s="110">
        <v>2006</v>
      </c>
      <c r="AS257" s="110" t="s">
        <v>236</v>
      </c>
      <c r="AT257" s="110" t="s">
        <v>420</v>
      </c>
      <c r="AU257" s="110">
        <v>2500</v>
      </c>
      <c r="AV257" s="110" t="s">
        <v>1256</v>
      </c>
      <c r="AW257" s="110" t="s">
        <v>174</v>
      </c>
      <c r="AX257" s="110" t="s">
        <v>174</v>
      </c>
      <c r="AY257" s="110" t="s">
        <v>174</v>
      </c>
      <c r="AZ257" s="110" t="s">
        <v>174</v>
      </c>
      <c r="BA257" s="110" t="s">
        <v>1766</v>
      </c>
      <c r="BB257" s="110" t="s">
        <v>1766</v>
      </c>
      <c r="BC257" s="110">
        <v>30.6</v>
      </c>
      <c r="BE257" s="110" t="s">
        <v>182</v>
      </c>
      <c r="BF257" s="110" t="s">
        <v>412</v>
      </c>
      <c r="BH257" s="110" t="s">
        <v>174</v>
      </c>
      <c r="BI257" s="110" t="s">
        <v>182</v>
      </c>
      <c r="BJ257" s="110" t="s">
        <v>412</v>
      </c>
      <c r="BK257" s="110">
        <v>3</v>
      </c>
      <c r="BL257" s="110">
        <v>4</v>
      </c>
      <c r="BM257" s="110" t="s">
        <v>1394</v>
      </c>
      <c r="BN257" s="110">
        <v>2.1000000000000001E-2</v>
      </c>
      <c r="BO257" s="110">
        <v>2.06</v>
      </c>
      <c r="BP257" s="110" t="s">
        <v>174</v>
      </c>
      <c r="BQ257" s="110" t="s">
        <v>174</v>
      </c>
      <c r="BR257" s="110" t="s">
        <v>174</v>
      </c>
      <c r="BS257" s="110">
        <v>21</v>
      </c>
      <c r="BT257" s="110" t="s">
        <v>1385</v>
      </c>
      <c r="BU257" s="110" t="s">
        <v>3207</v>
      </c>
      <c r="BV257" s="110" t="s">
        <v>2603</v>
      </c>
      <c r="BW257" s="110">
        <v>0.97</v>
      </c>
      <c r="BZ257" s="110">
        <v>0.92200000000000004</v>
      </c>
      <c r="CB257" s="110" t="s">
        <v>190</v>
      </c>
      <c r="CC257" s="110" t="b">
        <v>0</v>
      </c>
      <c r="CD257" s="110">
        <v>58.5</v>
      </c>
      <c r="CE257" s="110">
        <v>58.5</v>
      </c>
      <c r="CF257" s="110" t="s">
        <v>182</v>
      </c>
      <c r="CG257" s="110" t="s">
        <v>174</v>
      </c>
      <c r="CH257" s="110" t="s">
        <v>1137</v>
      </c>
      <c r="CI257" s="110" t="s">
        <v>174</v>
      </c>
    </row>
    <row r="258" spans="1:88">
      <c r="A258" s="110" t="s">
        <v>1133</v>
      </c>
      <c r="B258" s="110">
        <v>54</v>
      </c>
      <c r="C258" s="110">
        <v>1</v>
      </c>
      <c r="D258" s="110">
        <v>1</v>
      </c>
      <c r="E258" s="110">
        <v>257</v>
      </c>
      <c r="F258" s="110">
        <v>2008</v>
      </c>
      <c r="G258" s="110" t="s">
        <v>161</v>
      </c>
      <c r="H258" s="110" t="s">
        <v>2437</v>
      </c>
      <c r="I258" s="110" t="s">
        <v>246</v>
      </c>
      <c r="J258" s="110" t="s">
        <v>246</v>
      </c>
      <c r="K258" s="110" t="s">
        <v>999</v>
      </c>
      <c r="L258" s="110" t="s">
        <v>999</v>
      </c>
      <c r="R258" s="110" t="s">
        <v>272</v>
      </c>
      <c r="S258" s="110" t="s">
        <v>443</v>
      </c>
      <c r="T258" s="110" t="s">
        <v>273</v>
      </c>
      <c r="U258" s="110" t="s">
        <v>1134</v>
      </c>
      <c r="V258" s="110">
        <v>42.575833330000002</v>
      </c>
      <c r="W258" s="110">
        <v>42.575833330000002</v>
      </c>
      <c r="X258" s="110">
        <v>-9.0544444399999993</v>
      </c>
      <c r="Y258" s="110" t="s">
        <v>419</v>
      </c>
      <c r="Z258" s="110" t="s">
        <v>155</v>
      </c>
      <c r="AA258" s="110" t="s">
        <v>424</v>
      </c>
      <c r="AB258" s="110" t="s">
        <v>333</v>
      </c>
      <c r="AC258" s="110" t="s">
        <v>246</v>
      </c>
      <c r="AD258" s="110" t="s">
        <v>333</v>
      </c>
      <c r="AE258" s="110" t="s">
        <v>1306</v>
      </c>
      <c r="AF258" s="110" t="s">
        <v>1745</v>
      </c>
      <c r="AH258" s="110" t="s">
        <v>1135</v>
      </c>
      <c r="AI258" s="110" t="s">
        <v>246</v>
      </c>
      <c r="AJ258" s="110" t="s">
        <v>246</v>
      </c>
      <c r="AK258" s="110" t="s">
        <v>333</v>
      </c>
      <c r="AL258" s="110" t="s">
        <v>190</v>
      </c>
      <c r="AM258" s="110" t="s">
        <v>174</v>
      </c>
      <c r="AO258" s="110" t="s">
        <v>190</v>
      </c>
      <c r="AP258" s="110" t="s">
        <v>190</v>
      </c>
      <c r="AQ258" s="110" t="s">
        <v>176</v>
      </c>
      <c r="AR258" s="110">
        <v>2006</v>
      </c>
      <c r="AS258" s="110" t="s">
        <v>236</v>
      </c>
      <c r="AT258" s="110" t="s">
        <v>420</v>
      </c>
      <c r="AU258" s="110">
        <v>2500</v>
      </c>
      <c r="AV258" s="110" t="s">
        <v>1256</v>
      </c>
      <c r="AW258" s="110" t="s">
        <v>174</v>
      </c>
      <c r="AX258" s="110" t="s">
        <v>174</v>
      </c>
      <c r="AY258" s="110" t="s">
        <v>174</v>
      </c>
      <c r="AZ258" s="110" t="s">
        <v>174</v>
      </c>
      <c r="BA258" s="110" t="s">
        <v>1766</v>
      </c>
      <c r="BB258" s="110" t="s">
        <v>1766</v>
      </c>
      <c r="BC258" s="110">
        <v>30.6</v>
      </c>
      <c r="BE258" s="110" t="s">
        <v>182</v>
      </c>
      <c r="BF258" s="110" t="s">
        <v>412</v>
      </c>
      <c r="BH258" s="110" t="s">
        <v>174</v>
      </c>
      <c r="BI258" s="110" t="s">
        <v>182</v>
      </c>
      <c r="BJ258" s="110" t="s">
        <v>412</v>
      </c>
      <c r="BK258" s="110">
        <v>3</v>
      </c>
      <c r="BL258" s="110">
        <v>4</v>
      </c>
      <c r="BM258" s="110" t="s">
        <v>1394</v>
      </c>
      <c r="BN258" s="110">
        <v>8.0000000000000002E-3</v>
      </c>
      <c r="BO258" s="110">
        <v>1.07</v>
      </c>
      <c r="BP258" s="110" t="s">
        <v>174</v>
      </c>
      <c r="BQ258" s="110" t="s">
        <v>174</v>
      </c>
      <c r="BR258" s="110" t="s">
        <v>174</v>
      </c>
      <c r="BS258" s="110">
        <v>21</v>
      </c>
      <c r="BT258" s="110" t="s">
        <v>1385</v>
      </c>
      <c r="BU258" s="110" t="s">
        <v>3207</v>
      </c>
      <c r="BV258" s="110" t="s">
        <v>2603</v>
      </c>
      <c r="BW258" s="110">
        <v>0.98</v>
      </c>
      <c r="BZ258" s="110">
        <v>0.99029999999999996</v>
      </c>
      <c r="CB258" s="110" t="s">
        <v>190</v>
      </c>
      <c r="CC258" s="110" t="b">
        <v>0</v>
      </c>
      <c r="CD258" s="110">
        <v>79</v>
      </c>
      <c r="CE258" s="110">
        <v>79</v>
      </c>
      <c r="CF258" s="110" t="s">
        <v>182</v>
      </c>
      <c r="CG258" s="110" t="s">
        <v>174</v>
      </c>
      <c r="CH258" s="110" t="s">
        <v>1137</v>
      </c>
      <c r="CI258" s="110" t="s">
        <v>174</v>
      </c>
    </row>
    <row r="259" spans="1:88">
      <c r="A259" s="110" t="s">
        <v>1133</v>
      </c>
      <c r="B259" s="110">
        <v>54</v>
      </c>
      <c r="C259" s="110">
        <v>1</v>
      </c>
      <c r="D259" s="110">
        <v>1</v>
      </c>
      <c r="E259" s="110">
        <v>258</v>
      </c>
      <c r="F259" s="110">
        <v>2008</v>
      </c>
      <c r="G259" s="110" t="s">
        <v>161</v>
      </c>
      <c r="H259" s="110" t="s">
        <v>2437</v>
      </c>
      <c r="I259" s="110" t="s">
        <v>246</v>
      </c>
      <c r="J259" s="110" t="s">
        <v>246</v>
      </c>
      <c r="K259" s="110" t="s">
        <v>999</v>
      </c>
      <c r="L259" s="110" t="s">
        <v>999</v>
      </c>
      <c r="R259" s="110" t="s">
        <v>272</v>
      </c>
      <c r="S259" s="110" t="s">
        <v>443</v>
      </c>
      <c r="T259" s="110" t="s">
        <v>256</v>
      </c>
      <c r="U259" s="110" t="s">
        <v>257</v>
      </c>
      <c r="V259" s="110">
        <v>42.575833330000002</v>
      </c>
      <c r="W259" s="110">
        <v>42.575833330000002</v>
      </c>
      <c r="X259" s="110">
        <v>-9.0544444399999993</v>
      </c>
      <c r="Y259" s="110" t="s">
        <v>419</v>
      </c>
      <c r="Z259" s="110" t="s">
        <v>155</v>
      </c>
      <c r="AA259" s="110" t="s">
        <v>424</v>
      </c>
      <c r="AB259" s="110" t="s">
        <v>333</v>
      </c>
      <c r="AC259" s="110" t="s">
        <v>246</v>
      </c>
      <c r="AD259" s="110" t="s">
        <v>333</v>
      </c>
      <c r="AE259" s="110" t="s">
        <v>1306</v>
      </c>
      <c r="AF259" s="110" t="s">
        <v>1745</v>
      </c>
      <c r="AH259" s="110" t="s">
        <v>1136</v>
      </c>
      <c r="AI259" s="110" t="s">
        <v>246</v>
      </c>
      <c r="AJ259" s="110" t="s">
        <v>246</v>
      </c>
      <c r="AK259" s="110" t="s">
        <v>333</v>
      </c>
      <c r="AL259" s="110" t="s">
        <v>190</v>
      </c>
      <c r="AM259" s="110" t="s">
        <v>174</v>
      </c>
      <c r="AO259" s="110" t="s">
        <v>190</v>
      </c>
      <c r="AP259" s="110" t="s">
        <v>190</v>
      </c>
      <c r="AQ259" s="110" t="s">
        <v>176</v>
      </c>
      <c r="AR259" s="110">
        <v>2006</v>
      </c>
      <c r="AS259" s="110" t="s">
        <v>236</v>
      </c>
      <c r="AT259" s="110" t="s">
        <v>420</v>
      </c>
      <c r="AU259" s="110">
        <v>2500</v>
      </c>
      <c r="AV259" s="110" t="s">
        <v>1256</v>
      </c>
      <c r="AW259" s="110" t="s">
        <v>174</v>
      </c>
      <c r="AX259" s="110" t="s">
        <v>174</v>
      </c>
      <c r="AY259" s="110" t="s">
        <v>174</v>
      </c>
      <c r="AZ259" s="110" t="s">
        <v>174</v>
      </c>
      <c r="BA259" s="110" t="s">
        <v>1766</v>
      </c>
      <c r="BB259" s="110" t="s">
        <v>1766</v>
      </c>
      <c r="BE259" s="110" t="s">
        <v>182</v>
      </c>
      <c r="BF259" s="110" t="s">
        <v>412</v>
      </c>
      <c r="BH259" s="110" t="s">
        <v>174</v>
      </c>
      <c r="BI259" s="110" t="s">
        <v>182</v>
      </c>
      <c r="BJ259" s="110" t="s">
        <v>412</v>
      </c>
      <c r="BK259" s="110">
        <v>3</v>
      </c>
      <c r="BL259" s="110">
        <v>4</v>
      </c>
      <c r="BM259" s="110" t="s">
        <v>1394</v>
      </c>
      <c r="BN259" s="110">
        <v>2.5999999999999999E-2</v>
      </c>
      <c r="BO259" s="110">
        <v>2.0299999999999998</v>
      </c>
      <c r="BP259" s="110" t="s">
        <v>174</v>
      </c>
      <c r="BQ259" s="110" t="s">
        <v>174</v>
      </c>
      <c r="BR259" s="110" t="s">
        <v>174</v>
      </c>
      <c r="BS259" s="110">
        <v>21</v>
      </c>
      <c r="BT259" s="110" t="s">
        <v>1385</v>
      </c>
      <c r="BU259" s="110" t="s">
        <v>3207</v>
      </c>
      <c r="BV259" s="110" t="s">
        <v>2603</v>
      </c>
      <c r="BW259" s="110">
        <v>0.996</v>
      </c>
      <c r="BZ259" s="110">
        <v>0.28960000000000002</v>
      </c>
      <c r="CB259" s="110" t="s">
        <v>190</v>
      </c>
      <c r="CC259" s="110" t="b">
        <v>0</v>
      </c>
      <c r="CD259" s="110">
        <v>58.9</v>
      </c>
      <c r="CE259" s="110">
        <v>58.9</v>
      </c>
      <c r="CF259" s="110" t="s">
        <v>182</v>
      </c>
      <c r="CG259" s="110" t="s">
        <v>174</v>
      </c>
      <c r="CH259" s="110" t="s">
        <v>1137</v>
      </c>
      <c r="CI259" s="110" t="s">
        <v>174</v>
      </c>
    </row>
    <row r="260" spans="1:88">
      <c r="A260" s="110" t="s">
        <v>1133</v>
      </c>
      <c r="B260" s="110">
        <v>54</v>
      </c>
      <c r="C260" s="110">
        <v>1</v>
      </c>
      <c r="D260" s="110">
        <v>1</v>
      </c>
      <c r="E260" s="110">
        <v>259</v>
      </c>
      <c r="F260" s="110">
        <v>2008</v>
      </c>
      <c r="G260" s="110" t="s">
        <v>161</v>
      </c>
      <c r="H260" s="110" t="s">
        <v>2437</v>
      </c>
      <c r="I260" s="110" t="s">
        <v>246</v>
      </c>
      <c r="J260" s="110" t="s">
        <v>246</v>
      </c>
      <c r="K260" s="110" t="s">
        <v>999</v>
      </c>
      <c r="L260" s="110" t="s">
        <v>999</v>
      </c>
      <c r="R260" s="110" t="s">
        <v>272</v>
      </c>
      <c r="S260" s="110" t="s">
        <v>443</v>
      </c>
      <c r="T260" s="110" t="s">
        <v>273</v>
      </c>
      <c r="U260" s="110" t="s">
        <v>1134</v>
      </c>
      <c r="V260" s="110">
        <v>42.575833330000002</v>
      </c>
      <c r="W260" s="110">
        <v>42.575833330000002</v>
      </c>
      <c r="X260" s="110">
        <v>-9.0544444399999993</v>
      </c>
      <c r="Y260" s="110" t="s">
        <v>419</v>
      </c>
      <c r="Z260" s="110" t="s">
        <v>155</v>
      </c>
      <c r="AA260" s="110" t="s">
        <v>424</v>
      </c>
      <c r="AB260" s="110" t="s">
        <v>333</v>
      </c>
      <c r="AC260" s="110" t="s">
        <v>246</v>
      </c>
      <c r="AD260" s="110" t="s">
        <v>333</v>
      </c>
      <c r="AE260" s="110" t="s">
        <v>1306</v>
      </c>
      <c r="AF260" s="110" t="s">
        <v>1745</v>
      </c>
      <c r="AH260" s="110" t="s">
        <v>1136</v>
      </c>
      <c r="AI260" s="110" t="s">
        <v>246</v>
      </c>
      <c r="AJ260" s="110" t="s">
        <v>246</v>
      </c>
      <c r="AK260" s="110" t="s">
        <v>333</v>
      </c>
      <c r="AL260" s="110" t="s">
        <v>190</v>
      </c>
      <c r="AM260" s="110" t="s">
        <v>174</v>
      </c>
      <c r="AO260" s="110" t="s">
        <v>190</v>
      </c>
      <c r="AP260" s="110" t="s">
        <v>190</v>
      </c>
      <c r="AQ260" s="110" t="s">
        <v>176</v>
      </c>
      <c r="AR260" s="110">
        <v>2006</v>
      </c>
      <c r="AS260" s="110" t="s">
        <v>236</v>
      </c>
      <c r="AT260" s="110" t="s">
        <v>420</v>
      </c>
      <c r="AU260" s="110">
        <v>2500</v>
      </c>
      <c r="AV260" s="110" t="s">
        <v>1256</v>
      </c>
      <c r="AW260" s="110" t="s">
        <v>174</v>
      </c>
      <c r="AX260" s="110" t="s">
        <v>174</v>
      </c>
      <c r="AY260" s="110" t="s">
        <v>174</v>
      </c>
      <c r="AZ260" s="110" t="s">
        <v>174</v>
      </c>
      <c r="BA260" s="110" t="s">
        <v>1766</v>
      </c>
      <c r="BB260" s="110" t="s">
        <v>1766</v>
      </c>
      <c r="BE260" s="110" t="s">
        <v>182</v>
      </c>
      <c r="BF260" s="110" t="s">
        <v>412</v>
      </c>
      <c r="BH260" s="110" t="s">
        <v>174</v>
      </c>
      <c r="BI260" s="110" t="s">
        <v>182</v>
      </c>
      <c r="BJ260" s="110" t="s">
        <v>412</v>
      </c>
      <c r="BK260" s="110">
        <v>3</v>
      </c>
      <c r="BL260" s="110">
        <v>4</v>
      </c>
      <c r="BM260" s="110" t="s">
        <v>1394</v>
      </c>
      <c r="BN260" s="110">
        <v>1.4999999999999999E-2</v>
      </c>
      <c r="BO260" s="110">
        <v>1.62</v>
      </c>
      <c r="BP260" s="110" t="s">
        <v>174</v>
      </c>
      <c r="BQ260" s="110" t="s">
        <v>174</v>
      </c>
      <c r="BR260" s="110" t="s">
        <v>174</v>
      </c>
      <c r="BS260" s="110">
        <v>21</v>
      </c>
      <c r="BT260" s="110" t="s">
        <v>1385</v>
      </c>
      <c r="BU260" s="110" t="s">
        <v>3207</v>
      </c>
      <c r="BV260" s="110" t="s">
        <v>2603</v>
      </c>
      <c r="BW260" s="110">
        <v>0.995</v>
      </c>
      <c r="BZ260" s="110">
        <v>0.77459999999999996</v>
      </c>
      <c r="CB260" s="110" t="s">
        <v>190</v>
      </c>
      <c r="CC260" s="110" t="b">
        <v>0</v>
      </c>
      <c r="CD260" s="110">
        <v>67</v>
      </c>
      <c r="CE260" s="110">
        <v>67</v>
      </c>
      <c r="CF260" s="110" t="s">
        <v>182</v>
      </c>
      <c r="CG260" s="110" t="s">
        <v>174</v>
      </c>
      <c r="CH260" s="110" t="s">
        <v>1137</v>
      </c>
      <c r="CI260" s="110" t="s">
        <v>174</v>
      </c>
    </row>
    <row r="261" spans="1:88">
      <c r="A261" s="110" t="s">
        <v>1133</v>
      </c>
      <c r="B261" s="110">
        <v>54</v>
      </c>
      <c r="C261" s="110">
        <v>1</v>
      </c>
      <c r="D261" s="110">
        <v>1</v>
      </c>
      <c r="E261" s="110">
        <v>260</v>
      </c>
      <c r="F261" s="110">
        <v>2008</v>
      </c>
      <c r="G261" s="110" t="s">
        <v>161</v>
      </c>
      <c r="H261" s="110" t="s">
        <v>2437</v>
      </c>
      <c r="I261" s="110" t="s">
        <v>246</v>
      </c>
      <c r="J261" s="110" t="s">
        <v>246</v>
      </c>
      <c r="K261" s="110" t="s">
        <v>999</v>
      </c>
      <c r="L261" s="110" t="s">
        <v>999</v>
      </c>
      <c r="R261" s="110" t="s">
        <v>272</v>
      </c>
      <c r="S261" s="110" t="s">
        <v>443</v>
      </c>
      <c r="T261" s="110" t="s">
        <v>256</v>
      </c>
      <c r="U261" s="110" t="s">
        <v>257</v>
      </c>
      <c r="V261" s="110">
        <v>42.575833330000002</v>
      </c>
      <c r="W261" s="110">
        <v>42.575833330000002</v>
      </c>
      <c r="X261" s="110">
        <v>-9.0544444399999993</v>
      </c>
      <c r="Y261" s="110" t="s">
        <v>419</v>
      </c>
      <c r="Z261" s="110" t="s">
        <v>155</v>
      </c>
      <c r="AA261" s="110" t="s">
        <v>424</v>
      </c>
      <c r="AB261" s="110" t="s">
        <v>333</v>
      </c>
      <c r="AC261" s="110" t="s">
        <v>246</v>
      </c>
      <c r="AD261" s="110" t="s">
        <v>333</v>
      </c>
      <c r="AE261" s="110" t="s">
        <v>1306</v>
      </c>
      <c r="AF261" s="110" t="s">
        <v>1745</v>
      </c>
      <c r="AH261" s="110" t="s">
        <v>1135</v>
      </c>
      <c r="AI261" s="110" t="s">
        <v>246</v>
      </c>
      <c r="AJ261" s="110" t="s">
        <v>246</v>
      </c>
      <c r="AK261" s="110" t="s">
        <v>333</v>
      </c>
      <c r="AL261" s="110" t="s">
        <v>190</v>
      </c>
      <c r="AM261" s="110" t="s">
        <v>174</v>
      </c>
      <c r="AO261" s="110" t="s">
        <v>190</v>
      </c>
      <c r="AP261" s="110" t="s">
        <v>190</v>
      </c>
      <c r="AQ261" s="110" t="s">
        <v>176</v>
      </c>
      <c r="AR261" s="110">
        <v>2006</v>
      </c>
      <c r="AS261" s="110" t="s">
        <v>236</v>
      </c>
      <c r="AT261" s="110" t="s">
        <v>420</v>
      </c>
      <c r="AU261" s="110">
        <v>2500</v>
      </c>
      <c r="AV261" s="110" t="s">
        <v>1256</v>
      </c>
      <c r="AW261" s="110" t="s">
        <v>174</v>
      </c>
      <c r="AX261" s="110" t="s">
        <v>174</v>
      </c>
      <c r="AY261" s="110" t="s">
        <v>174</v>
      </c>
      <c r="AZ261" s="110" t="s">
        <v>174</v>
      </c>
      <c r="BA261" s="110" t="s">
        <v>1766</v>
      </c>
      <c r="BB261" s="110" t="s">
        <v>1766</v>
      </c>
      <c r="BC261" s="110">
        <v>31.6</v>
      </c>
      <c r="BE261" s="110" t="s">
        <v>182</v>
      </c>
      <c r="BF261" s="110" t="s">
        <v>412</v>
      </c>
      <c r="BH261" s="110" t="s">
        <v>174</v>
      </c>
      <c r="BI261" s="110" t="s">
        <v>182</v>
      </c>
      <c r="BJ261" s="110" t="s">
        <v>412</v>
      </c>
      <c r="BK261" s="110">
        <v>3</v>
      </c>
      <c r="BL261" s="110">
        <v>4</v>
      </c>
      <c r="BM261" s="110" t="s">
        <v>1394</v>
      </c>
      <c r="BN261" s="110">
        <v>1.9E-2</v>
      </c>
      <c r="BO261" s="110">
        <v>2.0099999999999998</v>
      </c>
      <c r="BP261" s="110" t="s">
        <v>174</v>
      </c>
      <c r="BQ261" s="110" t="s">
        <v>174</v>
      </c>
      <c r="BR261" s="110" t="s">
        <v>174</v>
      </c>
      <c r="BS261" s="110">
        <v>21</v>
      </c>
      <c r="BT261" s="110" t="s">
        <v>1385</v>
      </c>
      <c r="BU261" s="110" t="s">
        <v>3207</v>
      </c>
      <c r="BV261" s="110" t="s">
        <v>2603</v>
      </c>
      <c r="BW261" s="110">
        <v>0.96</v>
      </c>
      <c r="BZ261" s="110">
        <v>1.2170000000000001</v>
      </c>
      <c r="CB261" s="110" t="s">
        <v>190</v>
      </c>
      <c r="CC261" s="110" t="b">
        <v>0</v>
      </c>
      <c r="CD261" s="110">
        <v>60.6</v>
      </c>
      <c r="CE261" s="110">
        <v>60.6</v>
      </c>
      <c r="CF261" s="110" t="s">
        <v>182</v>
      </c>
      <c r="CG261" s="110" t="s">
        <v>174</v>
      </c>
      <c r="CH261" s="110" t="s">
        <v>1138</v>
      </c>
      <c r="CI261" s="110" t="s">
        <v>174</v>
      </c>
    </row>
    <row r="262" spans="1:88">
      <c r="A262" s="110" t="s">
        <v>1133</v>
      </c>
      <c r="B262" s="110">
        <v>54</v>
      </c>
      <c r="C262" s="110">
        <v>1</v>
      </c>
      <c r="D262" s="110">
        <v>1</v>
      </c>
      <c r="E262" s="110">
        <v>261</v>
      </c>
      <c r="F262" s="110">
        <v>2008</v>
      </c>
      <c r="G262" s="110" t="s">
        <v>161</v>
      </c>
      <c r="H262" s="110" t="s">
        <v>2437</v>
      </c>
      <c r="I262" s="110" t="s">
        <v>246</v>
      </c>
      <c r="J262" s="110" t="s">
        <v>246</v>
      </c>
      <c r="K262" s="110" t="s">
        <v>999</v>
      </c>
      <c r="L262" s="110" t="s">
        <v>999</v>
      </c>
      <c r="R262" s="110" t="s">
        <v>272</v>
      </c>
      <c r="S262" s="110" t="s">
        <v>443</v>
      </c>
      <c r="T262" s="110" t="s">
        <v>273</v>
      </c>
      <c r="U262" s="110" t="s">
        <v>1134</v>
      </c>
      <c r="V262" s="110">
        <v>42.575833330000002</v>
      </c>
      <c r="W262" s="110">
        <v>42.575833330000002</v>
      </c>
      <c r="X262" s="110">
        <v>-9.0544444399999993</v>
      </c>
      <c r="Y262" s="110" t="s">
        <v>419</v>
      </c>
      <c r="Z262" s="110" t="s">
        <v>155</v>
      </c>
      <c r="AA262" s="110" t="s">
        <v>424</v>
      </c>
      <c r="AB262" s="110" t="s">
        <v>333</v>
      </c>
      <c r="AC262" s="110" t="s">
        <v>246</v>
      </c>
      <c r="AD262" s="110" t="s">
        <v>333</v>
      </c>
      <c r="AE262" s="110" t="s">
        <v>1306</v>
      </c>
      <c r="AF262" s="110" t="s">
        <v>1745</v>
      </c>
      <c r="AH262" s="110" t="s">
        <v>1135</v>
      </c>
      <c r="AI262" s="110" t="s">
        <v>246</v>
      </c>
      <c r="AJ262" s="110" t="s">
        <v>246</v>
      </c>
      <c r="AK262" s="110" t="s">
        <v>333</v>
      </c>
      <c r="AL262" s="110" t="s">
        <v>190</v>
      </c>
      <c r="AM262" s="110" t="s">
        <v>174</v>
      </c>
      <c r="AO262" s="110" t="s">
        <v>190</v>
      </c>
      <c r="AP262" s="110" t="s">
        <v>190</v>
      </c>
      <c r="AQ262" s="110" t="s">
        <v>176</v>
      </c>
      <c r="AR262" s="110">
        <v>2006</v>
      </c>
      <c r="AS262" s="110" t="s">
        <v>236</v>
      </c>
      <c r="AT262" s="110" t="s">
        <v>420</v>
      </c>
      <c r="AU262" s="110">
        <v>2500</v>
      </c>
      <c r="AV262" s="110" t="s">
        <v>1256</v>
      </c>
      <c r="AW262" s="110" t="s">
        <v>174</v>
      </c>
      <c r="AX262" s="110" t="s">
        <v>174</v>
      </c>
      <c r="AY262" s="110" t="s">
        <v>174</v>
      </c>
      <c r="AZ262" s="110" t="s">
        <v>174</v>
      </c>
      <c r="BA262" s="110" t="s">
        <v>1766</v>
      </c>
      <c r="BB262" s="110" t="s">
        <v>1766</v>
      </c>
      <c r="BC262" s="110">
        <v>31.6</v>
      </c>
      <c r="BE262" s="110" t="s">
        <v>182</v>
      </c>
      <c r="BF262" s="110" t="s">
        <v>412</v>
      </c>
      <c r="BH262" s="110" t="s">
        <v>174</v>
      </c>
      <c r="BI262" s="110" t="s">
        <v>182</v>
      </c>
      <c r="BJ262" s="110" t="s">
        <v>412</v>
      </c>
      <c r="BK262" s="110">
        <v>3</v>
      </c>
      <c r="BL262" s="110">
        <v>4</v>
      </c>
      <c r="BM262" s="110" t="s">
        <v>1394</v>
      </c>
      <c r="BN262" s="110">
        <v>1.4E-2</v>
      </c>
      <c r="BO262" s="110">
        <v>1.54</v>
      </c>
      <c r="BP262" s="110" t="s">
        <v>174</v>
      </c>
      <c r="BQ262" s="110" t="s">
        <v>174</v>
      </c>
      <c r="BR262" s="110" t="s">
        <v>174</v>
      </c>
      <c r="BS262" s="110">
        <v>21</v>
      </c>
      <c r="BT262" s="110" t="s">
        <v>1385</v>
      </c>
      <c r="BU262" s="110" t="s">
        <v>3207</v>
      </c>
      <c r="BV262" s="110" t="s">
        <v>2603</v>
      </c>
      <c r="BW262" s="110">
        <v>0.97</v>
      </c>
      <c r="BZ262" s="110">
        <v>0.85980000000000001</v>
      </c>
      <c r="CB262" s="110" t="s">
        <v>190</v>
      </c>
      <c r="CC262" s="110" t="b">
        <v>0</v>
      </c>
      <c r="CD262" s="110">
        <v>69.599999999999994</v>
      </c>
      <c r="CE262" s="110">
        <v>69.599999999999994</v>
      </c>
      <c r="CF262" s="110" t="s">
        <v>182</v>
      </c>
      <c r="CG262" s="110" t="s">
        <v>174</v>
      </c>
      <c r="CH262" s="110" t="s">
        <v>1138</v>
      </c>
      <c r="CI262" s="110" t="s">
        <v>174</v>
      </c>
    </row>
    <row r="263" spans="1:88">
      <c r="A263" s="110" t="s">
        <v>1133</v>
      </c>
      <c r="B263" s="110">
        <v>54</v>
      </c>
      <c r="C263" s="110">
        <v>1</v>
      </c>
      <c r="D263" s="110">
        <v>1</v>
      </c>
      <c r="E263" s="110">
        <v>262</v>
      </c>
      <c r="F263" s="110">
        <v>2008</v>
      </c>
      <c r="G263" s="110" t="s">
        <v>161</v>
      </c>
      <c r="H263" s="110" t="s">
        <v>2437</v>
      </c>
      <c r="I263" s="110" t="s">
        <v>246</v>
      </c>
      <c r="J263" s="110" t="s">
        <v>246</v>
      </c>
      <c r="K263" s="110" t="s">
        <v>999</v>
      </c>
      <c r="L263" s="110" t="s">
        <v>999</v>
      </c>
      <c r="R263" s="110" t="s">
        <v>272</v>
      </c>
      <c r="S263" s="110" t="s">
        <v>443</v>
      </c>
      <c r="T263" s="110" t="s">
        <v>256</v>
      </c>
      <c r="U263" s="110" t="s">
        <v>257</v>
      </c>
      <c r="V263" s="110">
        <v>42.575833330000002</v>
      </c>
      <c r="W263" s="110">
        <v>42.575833330000002</v>
      </c>
      <c r="X263" s="110">
        <v>-9.0544444399999993</v>
      </c>
      <c r="Y263" s="110" t="s">
        <v>419</v>
      </c>
      <c r="Z263" s="110" t="s">
        <v>155</v>
      </c>
      <c r="AA263" s="110" t="s">
        <v>424</v>
      </c>
      <c r="AB263" s="110" t="s">
        <v>333</v>
      </c>
      <c r="AC263" s="110" t="s">
        <v>246</v>
      </c>
      <c r="AD263" s="110" t="s">
        <v>333</v>
      </c>
      <c r="AE263" s="110" t="s">
        <v>1306</v>
      </c>
      <c r="AF263" s="110" t="s">
        <v>1745</v>
      </c>
      <c r="AH263" s="110" t="s">
        <v>1136</v>
      </c>
      <c r="AI263" s="110" t="s">
        <v>246</v>
      </c>
      <c r="AJ263" s="110" t="s">
        <v>246</v>
      </c>
      <c r="AK263" s="110" t="s">
        <v>333</v>
      </c>
      <c r="AL263" s="110" t="s">
        <v>190</v>
      </c>
      <c r="AM263" s="110" t="s">
        <v>174</v>
      </c>
      <c r="AO263" s="110" t="s">
        <v>190</v>
      </c>
      <c r="AP263" s="110" t="s">
        <v>190</v>
      </c>
      <c r="AQ263" s="110" t="s">
        <v>176</v>
      </c>
      <c r="AR263" s="110">
        <v>2006</v>
      </c>
      <c r="AS263" s="110" t="s">
        <v>236</v>
      </c>
      <c r="AT263" s="110" t="s">
        <v>420</v>
      </c>
      <c r="AU263" s="110">
        <v>2500</v>
      </c>
      <c r="AV263" s="110" t="s">
        <v>1256</v>
      </c>
      <c r="AW263" s="110" t="s">
        <v>174</v>
      </c>
      <c r="AX263" s="110" t="s">
        <v>174</v>
      </c>
      <c r="AY263" s="110" t="s">
        <v>174</v>
      </c>
      <c r="AZ263" s="110" t="s">
        <v>174</v>
      </c>
      <c r="BA263" s="110" t="s">
        <v>1766</v>
      </c>
      <c r="BB263" s="110" t="s">
        <v>1766</v>
      </c>
      <c r="BE263" s="110" t="s">
        <v>182</v>
      </c>
      <c r="BF263" s="110" t="s">
        <v>412</v>
      </c>
      <c r="BH263" s="110" t="s">
        <v>174</v>
      </c>
      <c r="BI263" s="110" t="s">
        <v>182</v>
      </c>
      <c r="BJ263" s="110" t="s">
        <v>412</v>
      </c>
      <c r="BK263" s="110">
        <v>3</v>
      </c>
      <c r="BL263" s="110">
        <v>4</v>
      </c>
      <c r="BM263" s="110" t="s">
        <v>1394</v>
      </c>
      <c r="BN263" s="110">
        <v>2.1999999999999999E-2</v>
      </c>
      <c r="BO263" s="110">
        <v>1.91</v>
      </c>
      <c r="BP263" s="110" t="s">
        <v>174</v>
      </c>
      <c r="BQ263" s="110" t="s">
        <v>174</v>
      </c>
      <c r="BR263" s="110" t="s">
        <v>174</v>
      </c>
      <c r="BS263" s="110">
        <v>21</v>
      </c>
      <c r="BT263" s="110" t="s">
        <v>1385</v>
      </c>
      <c r="BU263" s="110" t="s">
        <v>3207</v>
      </c>
      <c r="BV263" s="110" t="s">
        <v>2603</v>
      </c>
      <c r="BW263" s="110">
        <v>0.84</v>
      </c>
      <c r="BZ263" s="110">
        <v>0.4637</v>
      </c>
      <c r="CB263" s="110" t="s">
        <v>190</v>
      </c>
      <c r="CC263" s="110" t="b">
        <v>0</v>
      </c>
      <c r="CD263" s="110">
        <v>63.2</v>
      </c>
      <c r="CE263" s="110">
        <v>63.2</v>
      </c>
      <c r="CF263" s="110" t="s">
        <v>182</v>
      </c>
      <c r="CG263" s="110" t="s">
        <v>174</v>
      </c>
      <c r="CH263" s="110" t="s">
        <v>1138</v>
      </c>
      <c r="CI263" s="110" t="s">
        <v>174</v>
      </c>
    </row>
    <row r="264" spans="1:88">
      <c r="A264" s="110" t="s">
        <v>1133</v>
      </c>
      <c r="B264" s="110">
        <v>54</v>
      </c>
      <c r="C264" s="110">
        <v>1</v>
      </c>
      <c r="D264" s="110">
        <v>1</v>
      </c>
      <c r="E264" s="110">
        <v>263</v>
      </c>
      <c r="F264" s="110">
        <v>2008</v>
      </c>
      <c r="G264" s="110" t="s">
        <v>161</v>
      </c>
      <c r="H264" s="110" t="s">
        <v>2437</v>
      </c>
      <c r="I264" s="110" t="s">
        <v>246</v>
      </c>
      <c r="J264" s="110" t="s">
        <v>246</v>
      </c>
      <c r="K264" s="110" t="s">
        <v>999</v>
      </c>
      <c r="L264" s="110" t="s">
        <v>999</v>
      </c>
      <c r="R264" s="110" t="s">
        <v>272</v>
      </c>
      <c r="S264" s="110" t="s">
        <v>443</v>
      </c>
      <c r="T264" s="110" t="s">
        <v>273</v>
      </c>
      <c r="U264" s="110" t="s">
        <v>1134</v>
      </c>
      <c r="V264" s="110">
        <v>42.575833330000002</v>
      </c>
      <c r="W264" s="110">
        <v>42.575833330000002</v>
      </c>
      <c r="X264" s="110">
        <v>-9.0544444399999993</v>
      </c>
      <c r="Y264" s="110" t="s">
        <v>419</v>
      </c>
      <c r="Z264" s="110" t="s">
        <v>155</v>
      </c>
      <c r="AA264" s="110" t="s">
        <v>424</v>
      </c>
      <c r="AB264" s="110" t="s">
        <v>333</v>
      </c>
      <c r="AC264" s="110" t="s">
        <v>246</v>
      </c>
      <c r="AD264" s="110" t="s">
        <v>333</v>
      </c>
      <c r="AE264" s="110" t="s">
        <v>1306</v>
      </c>
      <c r="AF264" s="110" t="s">
        <v>1745</v>
      </c>
      <c r="AH264" s="110" t="s">
        <v>1136</v>
      </c>
      <c r="AI264" s="110" t="s">
        <v>246</v>
      </c>
      <c r="AJ264" s="110" t="s">
        <v>246</v>
      </c>
      <c r="AK264" s="110" t="s">
        <v>333</v>
      </c>
      <c r="AL264" s="110" t="s">
        <v>190</v>
      </c>
      <c r="AM264" s="110" t="s">
        <v>174</v>
      </c>
      <c r="AO264" s="110" t="s">
        <v>190</v>
      </c>
      <c r="AP264" s="110" t="s">
        <v>190</v>
      </c>
      <c r="AQ264" s="110" t="s">
        <v>176</v>
      </c>
      <c r="AR264" s="110">
        <v>2006</v>
      </c>
      <c r="AS264" s="110" t="s">
        <v>236</v>
      </c>
      <c r="AT264" s="110" t="s">
        <v>420</v>
      </c>
      <c r="AU264" s="110">
        <v>2500</v>
      </c>
      <c r="AV264" s="110" t="s">
        <v>1256</v>
      </c>
      <c r="AW264" s="110" t="s">
        <v>174</v>
      </c>
      <c r="AX264" s="110" t="s">
        <v>174</v>
      </c>
      <c r="AY264" s="110" t="s">
        <v>174</v>
      </c>
      <c r="AZ264" s="110" t="s">
        <v>174</v>
      </c>
      <c r="BA264" s="110" t="s">
        <v>1766</v>
      </c>
      <c r="BB264" s="110" t="s">
        <v>1766</v>
      </c>
      <c r="BE264" s="110" t="s">
        <v>182</v>
      </c>
      <c r="BF264" s="110" t="s">
        <v>412</v>
      </c>
      <c r="BH264" s="110" t="s">
        <v>174</v>
      </c>
      <c r="BI264" s="110" t="s">
        <v>182</v>
      </c>
      <c r="BJ264" s="110" t="s">
        <v>412</v>
      </c>
      <c r="BK264" s="110">
        <v>3</v>
      </c>
      <c r="BL264" s="110">
        <v>4</v>
      </c>
      <c r="BM264" s="110" t="s">
        <v>1394</v>
      </c>
      <c r="BN264" s="110">
        <v>1.2999999999999999E-2</v>
      </c>
      <c r="BO264" s="110">
        <v>1.61</v>
      </c>
      <c r="BP264" s="110" t="s">
        <v>174</v>
      </c>
      <c r="BQ264" s="110" t="s">
        <v>174</v>
      </c>
      <c r="BR264" s="110" t="s">
        <v>174</v>
      </c>
      <c r="BS264" s="110">
        <v>21</v>
      </c>
      <c r="BT264" s="110" t="s">
        <v>1385</v>
      </c>
      <c r="BU264" s="110" t="s">
        <v>3207</v>
      </c>
      <c r="BV264" s="110" t="s">
        <v>2603</v>
      </c>
      <c r="BW264" s="110">
        <v>0.99</v>
      </c>
      <c r="BZ264" s="110">
        <v>1.4303999999999999</v>
      </c>
      <c r="CB264" s="110" t="s">
        <v>190</v>
      </c>
      <c r="CC264" s="110" t="b">
        <v>0</v>
      </c>
      <c r="CD264" s="110">
        <v>68</v>
      </c>
      <c r="CE264" s="110">
        <v>68</v>
      </c>
      <c r="CF264" s="110" t="s">
        <v>182</v>
      </c>
      <c r="CG264" s="110" t="s">
        <v>174</v>
      </c>
      <c r="CH264" s="110" t="s">
        <v>1138</v>
      </c>
      <c r="CI264" s="110" t="s">
        <v>174</v>
      </c>
    </row>
    <row r="265" spans="1:88">
      <c r="A265" s="110" t="s">
        <v>609</v>
      </c>
      <c r="B265" s="110">
        <v>55</v>
      </c>
      <c r="C265" s="110">
        <v>1</v>
      </c>
      <c r="D265" s="110">
        <v>1</v>
      </c>
      <c r="E265" s="110">
        <v>264</v>
      </c>
      <c r="F265" s="110">
        <v>2012</v>
      </c>
      <c r="G265" s="110" t="s">
        <v>187</v>
      </c>
      <c r="H265" s="110" t="s">
        <v>2440</v>
      </c>
      <c r="I265" s="110" t="s">
        <v>182</v>
      </c>
      <c r="J265" s="110" t="s">
        <v>246</v>
      </c>
      <c r="K265" s="110" t="s">
        <v>999</v>
      </c>
      <c r="L265" s="110" t="s">
        <v>999</v>
      </c>
      <c r="R265" s="110" t="s">
        <v>272</v>
      </c>
      <c r="S265" s="110" t="s">
        <v>443</v>
      </c>
      <c r="T265" s="110" t="s">
        <v>611</v>
      </c>
      <c r="U265" s="110" t="s">
        <v>612</v>
      </c>
      <c r="V265" s="110">
        <v>48.722945600000003</v>
      </c>
      <c r="W265" s="110">
        <v>48.722945600000003</v>
      </c>
      <c r="X265" s="110">
        <v>-4.0070023170000004</v>
      </c>
      <c r="Y265" s="110" t="s">
        <v>310</v>
      </c>
      <c r="Z265" s="110" t="s">
        <v>155</v>
      </c>
      <c r="AA265" s="110" t="s">
        <v>1788</v>
      </c>
      <c r="AB265" s="110" t="s">
        <v>1733</v>
      </c>
      <c r="AC265" s="110" t="s">
        <v>182</v>
      </c>
      <c r="AD265" s="110" t="s">
        <v>333</v>
      </c>
      <c r="AE265" s="110" t="s">
        <v>187</v>
      </c>
      <c r="AF265" s="110" t="s">
        <v>1745</v>
      </c>
      <c r="AG265" s="110" t="s">
        <v>190</v>
      </c>
      <c r="AI265" s="110" t="s">
        <v>246</v>
      </c>
      <c r="AJ265" s="110" t="s">
        <v>246</v>
      </c>
      <c r="AK265" s="110" t="s">
        <v>1784</v>
      </c>
      <c r="AL265" s="110" t="s">
        <v>1783</v>
      </c>
      <c r="AO265" s="110" t="s">
        <v>190</v>
      </c>
      <c r="AP265" s="110" t="s">
        <v>190</v>
      </c>
      <c r="AQ265" s="110" t="s">
        <v>176</v>
      </c>
      <c r="AR265" s="110" t="s">
        <v>174</v>
      </c>
      <c r="AS265" s="110" t="s">
        <v>174</v>
      </c>
      <c r="AT265" s="110" t="s">
        <v>174</v>
      </c>
      <c r="AU265" s="110">
        <v>120</v>
      </c>
      <c r="AW265" s="110" t="s">
        <v>174</v>
      </c>
      <c r="AX265" s="110" t="s">
        <v>174</v>
      </c>
      <c r="AY265" s="110" t="s">
        <v>174</v>
      </c>
      <c r="AZ265" s="110" t="s">
        <v>174</v>
      </c>
      <c r="BA265" s="110" t="s">
        <v>1766</v>
      </c>
      <c r="BB265" s="110" t="s">
        <v>1766</v>
      </c>
      <c r="BE265" s="110" t="s">
        <v>182</v>
      </c>
      <c r="BF265" s="110" t="s">
        <v>412</v>
      </c>
      <c r="BH265" s="110" t="s">
        <v>174</v>
      </c>
      <c r="BI265" s="110" t="s">
        <v>182</v>
      </c>
      <c r="BJ265" s="110" t="s">
        <v>190</v>
      </c>
      <c r="BK265" s="110">
        <v>4</v>
      </c>
      <c r="BL265" s="110">
        <v>1</v>
      </c>
      <c r="BM265" s="110" t="s">
        <v>174</v>
      </c>
      <c r="BN265" s="110" t="s">
        <v>174</v>
      </c>
      <c r="BO265" s="110">
        <v>1.1458299999999999</v>
      </c>
      <c r="BP265" s="110">
        <v>43.63649058</v>
      </c>
      <c r="BQ265" s="110" t="s">
        <v>174</v>
      </c>
      <c r="BR265" s="110" t="s">
        <v>174</v>
      </c>
      <c r="BS265" s="110">
        <v>14</v>
      </c>
      <c r="BT265" s="110" t="s">
        <v>2256</v>
      </c>
      <c r="BU265" s="110" t="s">
        <v>2606</v>
      </c>
      <c r="BV265" s="110" t="s">
        <v>2256</v>
      </c>
      <c r="CA265" s="110">
        <v>1.1458299999999999</v>
      </c>
      <c r="CB265" s="110">
        <v>43.63649058</v>
      </c>
      <c r="CC265" s="110" t="b">
        <v>0</v>
      </c>
      <c r="CD265" s="110">
        <f>(120-19.25)/120*100</f>
        <v>83.958333333333329</v>
      </c>
      <c r="CE265" s="110" t="s">
        <v>2256</v>
      </c>
      <c r="CF265" s="110" t="s">
        <v>2256</v>
      </c>
      <c r="CG265" s="110">
        <v>87.272981160000001</v>
      </c>
      <c r="CH265" s="110" t="s">
        <v>2531</v>
      </c>
      <c r="CI265" s="110" t="s">
        <v>624</v>
      </c>
      <c r="CJ265" s="110" t="s">
        <v>610</v>
      </c>
    </row>
    <row r="266" spans="1:88">
      <c r="A266" s="110" t="s">
        <v>609</v>
      </c>
      <c r="B266" s="110">
        <v>55</v>
      </c>
      <c r="C266" s="110">
        <v>1</v>
      </c>
      <c r="D266" s="110">
        <v>1</v>
      </c>
      <c r="E266" s="110">
        <v>265</v>
      </c>
      <c r="F266" s="110">
        <v>2012</v>
      </c>
      <c r="G266" s="110" t="s">
        <v>187</v>
      </c>
      <c r="H266" s="110" t="s">
        <v>2440</v>
      </c>
      <c r="I266" s="110" t="s">
        <v>182</v>
      </c>
      <c r="J266" s="110" t="s">
        <v>246</v>
      </c>
      <c r="K266" s="110" t="s">
        <v>999</v>
      </c>
      <c r="L266" s="110" t="s">
        <v>999</v>
      </c>
      <c r="R266" s="110" t="s">
        <v>272</v>
      </c>
      <c r="S266" s="110" t="s">
        <v>443</v>
      </c>
      <c r="T266" s="110" t="s">
        <v>611</v>
      </c>
      <c r="U266" s="110" t="s">
        <v>613</v>
      </c>
      <c r="V266" s="110">
        <v>48.722945600000003</v>
      </c>
      <c r="W266" s="110">
        <v>48.722945600000003</v>
      </c>
      <c r="X266" s="110">
        <v>-4.0070023170000004</v>
      </c>
      <c r="Y266" s="110" t="s">
        <v>310</v>
      </c>
      <c r="Z266" s="110" t="s">
        <v>155</v>
      </c>
      <c r="AA266" s="110" t="s">
        <v>1788</v>
      </c>
      <c r="AB266" s="110" t="s">
        <v>1733</v>
      </c>
      <c r="AC266" s="110" t="s">
        <v>182</v>
      </c>
      <c r="AD266" s="110" t="s">
        <v>333</v>
      </c>
      <c r="AE266" s="110" t="s">
        <v>187</v>
      </c>
      <c r="AF266" s="110" t="s">
        <v>1745</v>
      </c>
      <c r="AG266" s="110" t="s">
        <v>190</v>
      </c>
      <c r="AI266" s="110" t="s">
        <v>246</v>
      </c>
      <c r="AJ266" s="110" t="s">
        <v>246</v>
      </c>
      <c r="AK266" s="110" t="s">
        <v>1784</v>
      </c>
      <c r="AL266" s="110" t="s">
        <v>1783</v>
      </c>
      <c r="AO266" s="110" t="s">
        <v>190</v>
      </c>
      <c r="AP266" s="110" t="s">
        <v>190</v>
      </c>
      <c r="AQ266" s="110" t="s">
        <v>176</v>
      </c>
      <c r="AR266" s="110" t="s">
        <v>174</v>
      </c>
      <c r="AS266" s="110" t="s">
        <v>174</v>
      </c>
      <c r="AT266" s="110" t="s">
        <v>174</v>
      </c>
      <c r="AU266" s="110">
        <v>120</v>
      </c>
      <c r="AW266" s="110" t="s">
        <v>174</v>
      </c>
      <c r="AX266" s="110" t="s">
        <v>174</v>
      </c>
      <c r="AY266" s="110" t="s">
        <v>174</v>
      </c>
      <c r="AZ266" s="110" t="s">
        <v>174</v>
      </c>
      <c r="BA266" s="110" t="s">
        <v>1766</v>
      </c>
      <c r="BB266" s="110" t="s">
        <v>1766</v>
      </c>
      <c r="BE266" s="110" t="s">
        <v>182</v>
      </c>
      <c r="BF266" s="110" t="s">
        <v>412</v>
      </c>
      <c r="BH266" s="110" t="s">
        <v>174</v>
      </c>
      <c r="BI266" s="110" t="s">
        <v>182</v>
      </c>
      <c r="BJ266" s="110" t="s">
        <v>190</v>
      </c>
      <c r="BK266" s="110">
        <v>4</v>
      </c>
      <c r="BL266" s="110">
        <v>1</v>
      </c>
      <c r="BM266" s="110" t="s">
        <v>174</v>
      </c>
      <c r="BN266" s="110" t="s">
        <v>174</v>
      </c>
      <c r="BO266" s="110">
        <v>1.8493999999999999</v>
      </c>
      <c r="BP266" s="110">
        <v>27.035795390000001</v>
      </c>
      <c r="BQ266" s="110" t="s">
        <v>174</v>
      </c>
      <c r="BR266" s="110" t="s">
        <v>174</v>
      </c>
      <c r="BS266" s="110">
        <v>14</v>
      </c>
      <c r="BT266" s="110" t="s">
        <v>2256</v>
      </c>
      <c r="BU266" s="110" t="s">
        <v>2606</v>
      </c>
      <c r="BV266" s="110" t="s">
        <v>2256</v>
      </c>
      <c r="CA266" s="110">
        <v>1.8493999999999999</v>
      </c>
      <c r="CB266" s="110">
        <v>27.035795390000001</v>
      </c>
      <c r="CC266" s="110" t="b">
        <v>0</v>
      </c>
      <c r="CD266" s="110">
        <f>(120-31.07)/120*100</f>
        <v>74.108333333333348</v>
      </c>
      <c r="CE266" s="110" t="s">
        <v>2256</v>
      </c>
      <c r="CF266" s="110" t="s">
        <v>2256</v>
      </c>
      <c r="CG266" s="110">
        <v>54.071590790000002</v>
      </c>
      <c r="CH266" s="110" t="s">
        <v>2533</v>
      </c>
      <c r="CI266" s="110" t="s">
        <v>624</v>
      </c>
      <c r="CJ266" s="110" t="s">
        <v>610</v>
      </c>
    </row>
    <row r="267" spans="1:88">
      <c r="A267" s="110" t="s">
        <v>609</v>
      </c>
      <c r="B267" s="110">
        <v>55</v>
      </c>
      <c r="C267" s="110">
        <v>1</v>
      </c>
      <c r="D267" s="110">
        <v>1</v>
      </c>
      <c r="E267" s="110">
        <v>266</v>
      </c>
      <c r="F267" s="110">
        <v>2012</v>
      </c>
      <c r="G267" s="110" t="s">
        <v>187</v>
      </c>
      <c r="H267" s="110" t="s">
        <v>2440</v>
      </c>
      <c r="I267" s="110" t="s">
        <v>182</v>
      </c>
      <c r="J267" s="110" t="s">
        <v>246</v>
      </c>
      <c r="K267" s="110" t="s">
        <v>999</v>
      </c>
      <c r="L267" s="110" t="s">
        <v>999</v>
      </c>
      <c r="R267" s="110" t="s">
        <v>1976</v>
      </c>
      <c r="S267" s="110" t="s">
        <v>444</v>
      </c>
      <c r="T267" s="110" t="s">
        <v>615</v>
      </c>
      <c r="U267" s="110" t="s">
        <v>552</v>
      </c>
      <c r="V267" s="110">
        <v>48.722945600000003</v>
      </c>
      <c r="W267" s="110">
        <v>48.722945600000003</v>
      </c>
      <c r="X267" s="110">
        <v>-4.0070023170000004</v>
      </c>
      <c r="Y267" s="110" t="s">
        <v>310</v>
      </c>
      <c r="Z267" s="110" t="s">
        <v>155</v>
      </c>
      <c r="AA267" s="110" t="s">
        <v>1788</v>
      </c>
      <c r="AB267" s="110" t="s">
        <v>1733</v>
      </c>
      <c r="AC267" s="110" t="s">
        <v>182</v>
      </c>
      <c r="AD267" s="110" t="s">
        <v>333</v>
      </c>
      <c r="AE267" s="110" t="s">
        <v>187</v>
      </c>
      <c r="AF267" s="110" t="s">
        <v>1745</v>
      </c>
      <c r="AG267" s="110" t="s">
        <v>190</v>
      </c>
      <c r="AI267" s="110" t="s">
        <v>246</v>
      </c>
      <c r="AJ267" s="110" t="s">
        <v>246</v>
      </c>
      <c r="AK267" s="110" t="s">
        <v>1784</v>
      </c>
      <c r="AL267" s="110" t="s">
        <v>1783</v>
      </c>
      <c r="AO267" s="110" t="s">
        <v>190</v>
      </c>
      <c r="AP267" s="110" t="s">
        <v>190</v>
      </c>
      <c r="AQ267" s="110" t="s">
        <v>176</v>
      </c>
      <c r="AR267" s="110" t="s">
        <v>174</v>
      </c>
      <c r="AS267" s="110" t="s">
        <v>174</v>
      </c>
      <c r="AT267" s="110" t="s">
        <v>174</v>
      </c>
      <c r="AU267" s="110">
        <v>120</v>
      </c>
      <c r="AW267" s="110" t="s">
        <v>174</v>
      </c>
      <c r="AX267" s="110" t="s">
        <v>174</v>
      </c>
      <c r="AY267" s="110" t="s">
        <v>174</v>
      </c>
      <c r="AZ267" s="110" t="s">
        <v>174</v>
      </c>
      <c r="BA267" s="110" t="s">
        <v>1766</v>
      </c>
      <c r="BB267" s="110" t="s">
        <v>1766</v>
      </c>
      <c r="BE267" s="110" t="s">
        <v>182</v>
      </c>
      <c r="BF267" s="110" t="s">
        <v>412</v>
      </c>
      <c r="BH267" s="110" t="s">
        <v>174</v>
      </c>
      <c r="BI267" s="110" t="s">
        <v>182</v>
      </c>
      <c r="BJ267" s="110" t="s">
        <v>190</v>
      </c>
      <c r="BK267" s="110">
        <v>4</v>
      </c>
      <c r="BL267" s="110">
        <v>1</v>
      </c>
      <c r="BM267" s="110" t="s">
        <v>174</v>
      </c>
      <c r="BN267" s="110" t="s">
        <v>174</v>
      </c>
      <c r="BO267" s="110">
        <v>0.7369</v>
      </c>
      <c r="BP267" s="110">
        <v>67.851811639999994</v>
      </c>
      <c r="BQ267" s="110" t="s">
        <v>174</v>
      </c>
      <c r="BR267" s="110" t="s">
        <v>174</v>
      </c>
      <c r="BS267" s="110">
        <v>14</v>
      </c>
      <c r="BT267" s="110" t="s">
        <v>2256</v>
      </c>
      <c r="BU267" s="110" t="s">
        <v>2606</v>
      </c>
      <c r="BV267" s="110" t="s">
        <v>2256</v>
      </c>
      <c r="CA267" s="110">
        <v>0.7369</v>
      </c>
      <c r="CB267" s="110">
        <v>67.851811639999994</v>
      </c>
      <c r="CC267" s="110" t="b">
        <v>0</v>
      </c>
      <c r="CD267" s="110">
        <f>(120-12.38)/120*100</f>
        <v>89.683333333333337</v>
      </c>
      <c r="CE267" s="110" t="s">
        <v>2256</v>
      </c>
      <c r="CF267" s="110" t="s">
        <v>2256</v>
      </c>
      <c r="CG267" s="110">
        <v>135.7036233</v>
      </c>
      <c r="CH267" s="110" t="s">
        <v>2623</v>
      </c>
      <c r="CI267" s="110" t="s">
        <v>624</v>
      </c>
      <c r="CJ267" s="110" t="s">
        <v>610</v>
      </c>
    </row>
    <row r="268" spans="1:88">
      <c r="A268" s="110" t="s">
        <v>609</v>
      </c>
      <c r="B268" s="110">
        <v>55</v>
      </c>
      <c r="C268" s="110">
        <v>1</v>
      </c>
      <c r="D268" s="110">
        <v>1</v>
      </c>
      <c r="E268" s="110">
        <v>267</v>
      </c>
      <c r="F268" s="110">
        <v>2012</v>
      </c>
      <c r="G268" s="110" t="s">
        <v>187</v>
      </c>
      <c r="H268" s="110" t="s">
        <v>2440</v>
      </c>
      <c r="I268" s="110" t="s">
        <v>182</v>
      </c>
      <c r="J268" s="110" t="s">
        <v>246</v>
      </c>
      <c r="K268" s="110" t="s">
        <v>999</v>
      </c>
      <c r="L268" s="110" t="s">
        <v>999</v>
      </c>
      <c r="R268" s="110" t="s">
        <v>272</v>
      </c>
      <c r="S268" s="110" t="s">
        <v>443</v>
      </c>
      <c r="T268" s="110" t="s">
        <v>616</v>
      </c>
      <c r="U268" s="110" t="s">
        <v>617</v>
      </c>
      <c r="V268" s="110">
        <v>48.722945600000003</v>
      </c>
      <c r="W268" s="110">
        <v>48.722945600000003</v>
      </c>
      <c r="X268" s="110">
        <v>-4.0070023170000004</v>
      </c>
      <c r="Y268" s="110" t="s">
        <v>310</v>
      </c>
      <c r="Z268" s="110" t="s">
        <v>155</v>
      </c>
      <c r="AA268" s="110" t="s">
        <v>1788</v>
      </c>
      <c r="AB268" s="110" t="s">
        <v>1733</v>
      </c>
      <c r="AC268" s="110" t="s">
        <v>182</v>
      </c>
      <c r="AD268" s="110" t="s">
        <v>333</v>
      </c>
      <c r="AE268" s="110" t="s">
        <v>187</v>
      </c>
      <c r="AF268" s="110" t="s">
        <v>1745</v>
      </c>
      <c r="AG268" s="110" t="s">
        <v>190</v>
      </c>
      <c r="AI268" s="110" t="s">
        <v>246</v>
      </c>
      <c r="AJ268" s="110" t="s">
        <v>246</v>
      </c>
      <c r="AK268" s="110" t="s">
        <v>1784</v>
      </c>
      <c r="AL268" s="110" t="s">
        <v>1783</v>
      </c>
      <c r="AO268" s="110" t="s">
        <v>190</v>
      </c>
      <c r="AP268" s="110" t="s">
        <v>190</v>
      </c>
      <c r="AQ268" s="110" t="s">
        <v>176</v>
      </c>
      <c r="AR268" s="110" t="s">
        <v>174</v>
      </c>
      <c r="AS268" s="110" t="s">
        <v>174</v>
      </c>
      <c r="AT268" s="110" t="s">
        <v>174</v>
      </c>
      <c r="AU268" s="110">
        <v>120</v>
      </c>
      <c r="AW268" s="110" t="s">
        <v>174</v>
      </c>
      <c r="AX268" s="110" t="s">
        <v>174</v>
      </c>
      <c r="AY268" s="110" t="s">
        <v>174</v>
      </c>
      <c r="AZ268" s="110" t="s">
        <v>174</v>
      </c>
      <c r="BA268" s="110" t="s">
        <v>1766</v>
      </c>
      <c r="BB268" s="110" t="s">
        <v>1766</v>
      </c>
      <c r="BE268" s="110" t="s">
        <v>182</v>
      </c>
      <c r="BF268" s="110" t="s">
        <v>412</v>
      </c>
      <c r="BH268" s="110" t="s">
        <v>174</v>
      </c>
      <c r="BI268" s="110" t="s">
        <v>182</v>
      </c>
      <c r="BJ268" s="110" t="s">
        <v>190</v>
      </c>
      <c r="BK268" s="110">
        <v>4</v>
      </c>
      <c r="BL268" s="110">
        <v>1</v>
      </c>
      <c r="BM268" s="110" t="s">
        <v>174</v>
      </c>
      <c r="BN268" s="110" t="s">
        <v>174</v>
      </c>
      <c r="BO268" s="110">
        <v>0.39463999999999999</v>
      </c>
      <c r="BP268" s="110">
        <v>126.6977498</v>
      </c>
      <c r="BQ268" s="110" t="s">
        <v>174</v>
      </c>
      <c r="BR268" s="110" t="s">
        <v>174</v>
      </c>
      <c r="BS268" s="110">
        <v>14</v>
      </c>
      <c r="BT268" s="110" t="s">
        <v>2256</v>
      </c>
      <c r="BU268" s="110" t="s">
        <v>2606</v>
      </c>
      <c r="BV268" s="110" t="s">
        <v>2256</v>
      </c>
      <c r="CA268" s="110">
        <v>0.39463999999999999</v>
      </c>
      <c r="CB268" s="110">
        <v>126.6977498</v>
      </c>
      <c r="CC268" s="110" t="b">
        <v>0</v>
      </c>
      <c r="CD268" s="110">
        <f>(120-6.63)/120*100</f>
        <v>94.475000000000009</v>
      </c>
      <c r="CE268" s="110" t="s">
        <v>2256</v>
      </c>
      <c r="CF268" s="110" t="s">
        <v>2256</v>
      </c>
      <c r="CG268" s="110">
        <v>253.39549969999999</v>
      </c>
      <c r="CH268" s="110" t="s">
        <v>622</v>
      </c>
      <c r="CI268" s="110" t="s">
        <v>624</v>
      </c>
      <c r="CJ268" s="110" t="s">
        <v>610</v>
      </c>
    </row>
    <row r="269" spans="1:88">
      <c r="A269" s="110" t="s">
        <v>609</v>
      </c>
      <c r="B269" s="110">
        <v>55</v>
      </c>
      <c r="C269" s="110">
        <v>1</v>
      </c>
      <c r="D269" s="110">
        <v>1</v>
      </c>
      <c r="E269" s="110">
        <v>268</v>
      </c>
      <c r="F269" s="110">
        <v>2012</v>
      </c>
      <c r="G269" s="110" t="s">
        <v>187</v>
      </c>
      <c r="H269" s="110" t="s">
        <v>2440</v>
      </c>
      <c r="I269" s="110" t="s">
        <v>182</v>
      </c>
      <c r="J269" s="110" t="s">
        <v>246</v>
      </c>
      <c r="K269" s="110" t="s">
        <v>999</v>
      </c>
      <c r="L269" s="110" t="s">
        <v>999</v>
      </c>
      <c r="R269" s="110" t="s">
        <v>1976</v>
      </c>
      <c r="S269" s="110" t="s">
        <v>444</v>
      </c>
      <c r="T269" s="110" t="s">
        <v>445</v>
      </c>
      <c r="U269" s="110" t="s">
        <v>552</v>
      </c>
      <c r="V269" s="110">
        <v>48.722945600000003</v>
      </c>
      <c r="W269" s="110">
        <v>48.722945600000003</v>
      </c>
      <c r="X269" s="110">
        <v>-4.0070023170000004</v>
      </c>
      <c r="Y269" s="110" t="s">
        <v>310</v>
      </c>
      <c r="Z269" s="110" t="s">
        <v>155</v>
      </c>
      <c r="AA269" s="110" t="s">
        <v>1788</v>
      </c>
      <c r="AB269" s="110" t="s">
        <v>1733</v>
      </c>
      <c r="AC269" s="110" t="s">
        <v>182</v>
      </c>
      <c r="AD269" s="110" t="s">
        <v>333</v>
      </c>
      <c r="AE269" s="110" t="s">
        <v>187</v>
      </c>
      <c r="AF269" s="110" t="s">
        <v>1745</v>
      </c>
      <c r="AG269" s="110" t="s">
        <v>190</v>
      </c>
      <c r="AI269" s="110" t="s">
        <v>246</v>
      </c>
      <c r="AJ269" s="110" t="s">
        <v>246</v>
      </c>
      <c r="AK269" s="110" t="s">
        <v>1784</v>
      </c>
      <c r="AL269" s="110" t="s">
        <v>1783</v>
      </c>
      <c r="AO269" s="110" t="s">
        <v>190</v>
      </c>
      <c r="AP269" s="110" t="s">
        <v>190</v>
      </c>
      <c r="AQ269" s="110" t="s">
        <v>176</v>
      </c>
      <c r="AR269" s="110" t="s">
        <v>174</v>
      </c>
      <c r="AS269" s="110" t="s">
        <v>174</v>
      </c>
      <c r="AT269" s="110" t="s">
        <v>174</v>
      </c>
      <c r="AU269" s="110">
        <v>120</v>
      </c>
      <c r="AW269" s="110" t="s">
        <v>174</v>
      </c>
      <c r="AX269" s="110" t="s">
        <v>174</v>
      </c>
      <c r="AY269" s="110" t="s">
        <v>174</v>
      </c>
      <c r="AZ269" s="110" t="s">
        <v>174</v>
      </c>
      <c r="BA269" s="110" t="s">
        <v>1766</v>
      </c>
      <c r="BB269" s="110" t="s">
        <v>1766</v>
      </c>
      <c r="BE269" s="110" t="s">
        <v>182</v>
      </c>
      <c r="BF269" s="110" t="s">
        <v>412</v>
      </c>
      <c r="BH269" s="110" t="s">
        <v>174</v>
      </c>
      <c r="BI269" s="110" t="s">
        <v>182</v>
      </c>
      <c r="BJ269" s="110" t="s">
        <v>190</v>
      </c>
      <c r="BK269" s="110">
        <v>4</v>
      </c>
      <c r="BL269" s="110">
        <v>1</v>
      </c>
      <c r="BM269" s="110" t="s">
        <v>174</v>
      </c>
      <c r="BN269" s="110" t="s">
        <v>174</v>
      </c>
      <c r="BO269" s="110">
        <v>2.60893</v>
      </c>
      <c r="BP269" s="110">
        <v>19.164945020000001</v>
      </c>
      <c r="BQ269" s="110" t="s">
        <v>174</v>
      </c>
      <c r="BR269" s="110" t="s">
        <v>174</v>
      </c>
      <c r="BS269" s="110">
        <v>14</v>
      </c>
      <c r="BT269" s="110" t="s">
        <v>2256</v>
      </c>
      <c r="BU269" s="110" t="s">
        <v>2606</v>
      </c>
      <c r="BV269" s="110" t="s">
        <v>2256</v>
      </c>
      <c r="CA269" s="110">
        <v>2.60893</v>
      </c>
      <c r="CB269" s="110">
        <v>19.164945020000001</v>
      </c>
      <c r="CC269" s="110" t="b">
        <v>0</v>
      </c>
      <c r="CD269" s="110">
        <f>(120-43.83)/120*100</f>
        <v>63.475000000000001</v>
      </c>
      <c r="CE269" s="110" t="s">
        <v>2256</v>
      </c>
      <c r="CF269" s="110" t="s">
        <v>2256</v>
      </c>
      <c r="CG269" s="110">
        <v>38.329890030000001</v>
      </c>
      <c r="CH269" s="110" t="s">
        <v>2630</v>
      </c>
      <c r="CI269" s="110" t="s">
        <v>624</v>
      </c>
      <c r="CJ269" s="110" t="s">
        <v>610</v>
      </c>
    </row>
    <row r="270" spans="1:88">
      <c r="A270" s="110" t="s">
        <v>240</v>
      </c>
      <c r="B270" s="110">
        <v>56</v>
      </c>
      <c r="C270" s="110">
        <v>1</v>
      </c>
      <c r="D270" s="110">
        <v>1</v>
      </c>
      <c r="E270" s="110">
        <v>269</v>
      </c>
      <c r="F270" s="110">
        <v>2022</v>
      </c>
      <c r="G270" s="110" t="s">
        <v>161</v>
      </c>
      <c r="H270" s="110" t="s">
        <v>1119</v>
      </c>
      <c r="I270" s="110" t="s">
        <v>182</v>
      </c>
      <c r="J270" s="110" t="s">
        <v>182</v>
      </c>
      <c r="K270" s="110" t="s">
        <v>999</v>
      </c>
      <c r="L270" s="110" t="s">
        <v>999</v>
      </c>
      <c r="R270" s="110" t="s">
        <v>152</v>
      </c>
      <c r="S270" s="110" t="s">
        <v>443</v>
      </c>
      <c r="T270" s="110" t="s">
        <v>156</v>
      </c>
      <c r="U270" s="110" t="s">
        <v>158</v>
      </c>
      <c r="V270" s="110">
        <v>59.097384329999997</v>
      </c>
      <c r="W270" s="110">
        <v>59.097384329999997</v>
      </c>
      <c r="X270" s="110">
        <v>-3.4531541950000002</v>
      </c>
      <c r="Y270" s="110" t="s">
        <v>160</v>
      </c>
      <c r="Z270" s="110" t="s">
        <v>155</v>
      </c>
      <c r="AA270" s="110" t="s">
        <v>1788</v>
      </c>
      <c r="AB270" s="110" t="s">
        <v>333</v>
      </c>
      <c r="AC270" s="110" t="s">
        <v>246</v>
      </c>
      <c r="AD270" s="110" t="s">
        <v>333</v>
      </c>
      <c r="AE270" s="110" t="s">
        <v>1123</v>
      </c>
      <c r="AF270" s="110" t="s">
        <v>173</v>
      </c>
      <c r="AG270" s="110">
        <v>3</v>
      </c>
      <c r="AI270" s="110" t="s">
        <v>246</v>
      </c>
      <c r="AJ270" s="110" t="s">
        <v>246</v>
      </c>
      <c r="AK270" s="110" t="s">
        <v>171</v>
      </c>
      <c r="AL270" s="110" t="s">
        <v>1167</v>
      </c>
      <c r="AM270" s="110" t="s">
        <v>174</v>
      </c>
      <c r="AN270" s="110" t="s">
        <v>412</v>
      </c>
      <c r="AO270" s="110">
        <v>2</v>
      </c>
      <c r="AP270" s="110" t="s">
        <v>190</v>
      </c>
      <c r="AQ270" s="110" t="s">
        <v>176</v>
      </c>
      <c r="AR270" s="110">
        <v>2016</v>
      </c>
      <c r="AS270" s="110" t="s">
        <v>234</v>
      </c>
      <c r="AT270" s="110" t="s">
        <v>298</v>
      </c>
      <c r="AU270" s="110">
        <v>500</v>
      </c>
      <c r="AY270" s="110" t="s">
        <v>174</v>
      </c>
      <c r="AZ270" s="110" t="s">
        <v>174</v>
      </c>
      <c r="BA270" s="110">
        <v>9.6999999999999993</v>
      </c>
      <c r="BB270" s="110">
        <v>9.6999999999999993</v>
      </c>
      <c r="BC270" s="110">
        <v>9.6999999999999993</v>
      </c>
      <c r="BD270" s="110">
        <v>0</v>
      </c>
      <c r="BE270" s="110" t="s">
        <v>182</v>
      </c>
      <c r="BF270" s="110" t="s">
        <v>412</v>
      </c>
      <c r="BH270" s="110" t="s">
        <v>190</v>
      </c>
      <c r="BI270" s="110" t="s">
        <v>182</v>
      </c>
      <c r="BJ270" s="110" t="s">
        <v>190</v>
      </c>
      <c r="BK270" s="110">
        <v>3</v>
      </c>
      <c r="BL270" s="110">
        <v>1</v>
      </c>
      <c r="BM270" s="110" t="s">
        <v>174</v>
      </c>
      <c r="BN270" s="110" t="s">
        <v>174</v>
      </c>
      <c r="BO270" s="110" t="s">
        <v>174</v>
      </c>
      <c r="BP270" s="110" t="s">
        <v>174</v>
      </c>
      <c r="BQ270" s="110" t="s">
        <v>174</v>
      </c>
      <c r="BR270" s="110" t="s">
        <v>174</v>
      </c>
      <c r="BS270" s="110">
        <v>109</v>
      </c>
      <c r="BT270" s="110" t="s">
        <v>2256</v>
      </c>
      <c r="BU270" s="110" t="s">
        <v>2606</v>
      </c>
      <c r="BV270" s="110" t="s">
        <v>2256</v>
      </c>
      <c r="CA270" s="110">
        <v>0.70091743100000004</v>
      </c>
      <c r="CB270" s="110">
        <v>71.335078530000004</v>
      </c>
      <c r="CC270" s="110" t="b">
        <v>0</v>
      </c>
      <c r="CD270" s="110">
        <v>21.8</v>
      </c>
      <c r="CE270" s="110" t="s">
        <v>2256</v>
      </c>
      <c r="CF270" s="110" t="s">
        <v>2256</v>
      </c>
      <c r="CG270" s="110">
        <v>142.67015710000001</v>
      </c>
      <c r="CH270" s="110" t="s">
        <v>2507</v>
      </c>
      <c r="CJ270" s="110" t="s">
        <v>244</v>
      </c>
    </row>
    <row r="271" spans="1:88">
      <c r="A271" s="110" t="s">
        <v>240</v>
      </c>
      <c r="B271" s="110">
        <v>56</v>
      </c>
      <c r="C271" s="110">
        <v>1</v>
      </c>
      <c r="D271" s="110">
        <v>1</v>
      </c>
      <c r="E271" s="110">
        <v>270</v>
      </c>
      <c r="F271" s="110">
        <v>2022</v>
      </c>
      <c r="G271" s="110" t="s">
        <v>161</v>
      </c>
      <c r="H271" s="110" t="s">
        <v>1119</v>
      </c>
      <c r="I271" s="110" t="s">
        <v>182</v>
      </c>
      <c r="J271" s="110" t="s">
        <v>182</v>
      </c>
      <c r="K271" s="110" t="s">
        <v>999</v>
      </c>
      <c r="L271" s="110" t="s">
        <v>999</v>
      </c>
      <c r="R271" s="110" t="s">
        <v>152</v>
      </c>
      <c r="S271" s="110" t="s">
        <v>443</v>
      </c>
      <c r="T271" s="110" t="s">
        <v>156</v>
      </c>
      <c r="U271" s="110" t="s">
        <v>158</v>
      </c>
      <c r="V271" s="110">
        <v>59.097384329999997</v>
      </c>
      <c r="W271" s="110">
        <v>59.097384329999997</v>
      </c>
      <c r="X271" s="110">
        <v>-3.4531541950000002</v>
      </c>
      <c r="Y271" s="110" t="s">
        <v>160</v>
      </c>
      <c r="Z271" s="110" t="s">
        <v>155</v>
      </c>
      <c r="AA271" s="110" t="s">
        <v>1788</v>
      </c>
      <c r="AB271" s="110" t="s">
        <v>333</v>
      </c>
      <c r="AC271" s="110" t="s">
        <v>246</v>
      </c>
      <c r="AD271" s="110" t="s">
        <v>333</v>
      </c>
      <c r="AE271" s="110" t="s">
        <v>1123</v>
      </c>
      <c r="AF271" s="110" t="s">
        <v>173</v>
      </c>
      <c r="AG271" s="110">
        <v>4</v>
      </c>
      <c r="AI271" s="110" t="s">
        <v>246</v>
      </c>
      <c r="AJ271" s="110" t="s">
        <v>246</v>
      </c>
      <c r="AK271" s="110" t="s">
        <v>171</v>
      </c>
      <c r="AL271" s="110" t="s">
        <v>1167</v>
      </c>
      <c r="AM271" s="110" t="s">
        <v>174</v>
      </c>
      <c r="AN271" s="110" t="s">
        <v>412</v>
      </c>
      <c r="AO271" s="110">
        <v>2</v>
      </c>
      <c r="AP271" s="110" t="s">
        <v>190</v>
      </c>
      <c r="AQ271" s="110" t="s">
        <v>176</v>
      </c>
      <c r="AR271" s="110">
        <v>2016</v>
      </c>
      <c r="AS271" s="110" t="s">
        <v>234</v>
      </c>
      <c r="AT271" s="110" t="s">
        <v>298</v>
      </c>
      <c r="AU271" s="110">
        <v>500</v>
      </c>
      <c r="AY271" s="110" t="s">
        <v>174</v>
      </c>
      <c r="AZ271" s="110" t="s">
        <v>174</v>
      </c>
      <c r="BA271" s="110">
        <v>9.8000000000000007</v>
      </c>
      <c r="BB271" s="110">
        <v>9.8000000000000007</v>
      </c>
      <c r="BC271" s="110">
        <v>9.8000000000000007</v>
      </c>
      <c r="BD271" s="110">
        <v>0</v>
      </c>
      <c r="BE271" s="110" t="s">
        <v>182</v>
      </c>
      <c r="BF271" s="110" t="s">
        <v>412</v>
      </c>
      <c r="BH271" s="110" t="s">
        <v>190</v>
      </c>
      <c r="BI271" s="110" t="s">
        <v>182</v>
      </c>
      <c r="BJ271" s="110" t="s">
        <v>190</v>
      </c>
      <c r="BK271" s="110">
        <v>3</v>
      </c>
      <c r="BL271" s="110">
        <v>1</v>
      </c>
      <c r="BM271" s="110" t="s">
        <v>174</v>
      </c>
      <c r="BN271" s="110" t="s">
        <v>174</v>
      </c>
      <c r="BO271" s="110" t="s">
        <v>174</v>
      </c>
      <c r="BP271" s="110" t="s">
        <v>174</v>
      </c>
      <c r="BQ271" s="110" t="s">
        <v>174</v>
      </c>
      <c r="BR271" s="110" t="s">
        <v>174</v>
      </c>
      <c r="BS271" s="110">
        <v>109</v>
      </c>
      <c r="BT271" s="110" t="s">
        <v>2256</v>
      </c>
      <c r="BU271" s="110" t="s">
        <v>2606</v>
      </c>
      <c r="BV271" s="110" t="s">
        <v>2256</v>
      </c>
      <c r="CA271" s="110">
        <v>0.91192660599999997</v>
      </c>
      <c r="CB271" s="110">
        <v>54.828973840000003</v>
      </c>
      <c r="CC271" s="110" t="b">
        <v>0</v>
      </c>
      <c r="CD271" s="110">
        <v>0</v>
      </c>
      <c r="CE271" s="110">
        <v>0</v>
      </c>
      <c r="CF271" s="110" t="s">
        <v>246</v>
      </c>
      <c r="CG271" s="110">
        <v>109.65794769999999</v>
      </c>
      <c r="CH271" s="110" t="s">
        <v>2507</v>
      </c>
    </row>
    <row r="272" spans="1:88">
      <c r="A272" s="110" t="s">
        <v>240</v>
      </c>
      <c r="B272" s="110">
        <v>56</v>
      </c>
      <c r="C272" s="110">
        <v>1</v>
      </c>
      <c r="D272" s="110">
        <v>1</v>
      </c>
      <c r="E272" s="110">
        <v>271</v>
      </c>
      <c r="F272" s="110">
        <v>2022</v>
      </c>
      <c r="G272" s="110" t="s">
        <v>161</v>
      </c>
      <c r="H272" s="110" t="s">
        <v>1119</v>
      </c>
      <c r="I272" s="110" t="s">
        <v>182</v>
      </c>
      <c r="J272" s="110" t="s">
        <v>182</v>
      </c>
      <c r="K272" s="110" t="s">
        <v>999</v>
      </c>
      <c r="L272" s="110" t="s">
        <v>999</v>
      </c>
      <c r="R272" s="110" t="s">
        <v>152</v>
      </c>
      <c r="S272" s="110" t="s">
        <v>443</v>
      </c>
      <c r="T272" s="110" t="s">
        <v>156</v>
      </c>
      <c r="U272" s="110" t="s">
        <v>158</v>
      </c>
      <c r="V272" s="110">
        <v>56.472661160000001</v>
      </c>
      <c r="W272" s="110">
        <v>56.472661160000001</v>
      </c>
      <c r="X272" s="110">
        <v>-5.695346561</v>
      </c>
      <c r="Y272" s="110" t="s">
        <v>160</v>
      </c>
      <c r="Z272" s="110" t="s">
        <v>155</v>
      </c>
      <c r="AA272" s="110" t="s">
        <v>1788</v>
      </c>
      <c r="AB272" s="110" t="s">
        <v>333</v>
      </c>
      <c r="AC272" s="110" t="s">
        <v>246</v>
      </c>
      <c r="AD272" s="110" t="s">
        <v>333</v>
      </c>
      <c r="AE272" s="110" t="s">
        <v>1123</v>
      </c>
      <c r="AF272" s="110" t="s">
        <v>173</v>
      </c>
      <c r="AG272" s="110">
        <v>5</v>
      </c>
      <c r="AI272" s="110" t="s">
        <v>246</v>
      </c>
      <c r="AJ272" s="110" t="s">
        <v>246</v>
      </c>
      <c r="AK272" s="110" t="s">
        <v>171</v>
      </c>
      <c r="AL272" s="110" t="s">
        <v>1167</v>
      </c>
      <c r="AM272" s="110" t="s">
        <v>174</v>
      </c>
      <c r="AN272" s="110" t="s">
        <v>412</v>
      </c>
      <c r="AO272" s="110">
        <v>2</v>
      </c>
      <c r="AP272" s="110" t="s">
        <v>190</v>
      </c>
      <c r="AQ272" s="110" t="s">
        <v>176</v>
      </c>
      <c r="AR272" s="110">
        <v>2016</v>
      </c>
      <c r="AS272" s="110" t="s">
        <v>234</v>
      </c>
      <c r="AT272" s="110" t="s">
        <v>298</v>
      </c>
      <c r="AU272" s="110">
        <v>500</v>
      </c>
      <c r="AY272" s="110" t="s">
        <v>174</v>
      </c>
      <c r="AZ272" s="110" t="s">
        <v>174</v>
      </c>
      <c r="BA272" s="110">
        <v>10.8</v>
      </c>
      <c r="BB272" s="110">
        <v>10.8</v>
      </c>
      <c r="BC272" s="110">
        <v>10.8</v>
      </c>
      <c r="BD272" s="110">
        <v>0</v>
      </c>
      <c r="BE272" s="110" t="s">
        <v>182</v>
      </c>
      <c r="BF272" s="110" t="s">
        <v>412</v>
      </c>
      <c r="BH272" s="110" t="s">
        <v>190</v>
      </c>
      <c r="BI272" s="110" t="s">
        <v>182</v>
      </c>
      <c r="BJ272" s="110" t="s">
        <v>190</v>
      </c>
      <c r="BK272" s="110">
        <v>3</v>
      </c>
      <c r="BL272" s="110">
        <v>1</v>
      </c>
      <c r="BM272" s="110" t="s">
        <v>174</v>
      </c>
      <c r="BN272" s="110" t="s">
        <v>174</v>
      </c>
      <c r="BO272" s="110" t="s">
        <v>174</v>
      </c>
      <c r="BP272" s="110" t="s">
        <v>174</v>
      </c>
      <c r="BQ272" s="110" t="s">
        <v>174</v>
      </c>
      <c r="BR272" s="110" t="s">
        <v>174</v>
      </c>
      <c r="BS272" s="110">
        <v>109</v>
      </c>
      <c r="BT272" s="110" t="s">
        <v>2256</v>
      </c>
      <c r="BU272" s="110" t="s">
        <v>2606</v>
      </c>
      <c r="BV272" s="110" t="s">
        <v>2256</v>
      </c>
      <c r="CA272" s="110">
        <v>0.90550458700000003</v>
      </c>
      <c r="CB272" s="110">
        <v>55.21783181</v>
      </c>
      <c r="CC272" s="110" t="b">
        <v>0</v>
      </c>
      <c r="CD272" s="110">
        <v>1.49</v>
      </c>
      <c r="CE272" s="110" t="s">
        <v>2256</v>
      </c>
      <c r="CF272" s="110" t="s">
        <v>2256</v>
      </c>
      <c r="CG272" s="110">
        <v>110.4356636</v>
      </c>
      <c r="CH272" s="110" t="s">
        <v>2507</v>
      </c>
    </row>
    <row r="273" spans="1:88">
      <c r="A273" s="110" t="s">
        <v>240</v>
      </c>
      <c r="B273" s="110">
        <v>56</v>
      </c>
      <c r="C273" s="110">
        <v>1</v>
      </c>
      <c r="D273" s="110">
        <v>1</v>
      </c>
      <c r="E273" s="110">
        <v>272</v>
      </c>
      <c r="F273" s="110">
        <v>2022</v>
      </c>
      <c r="G273" s="110" t="s">
        <v>161</v>
      </c>
      <c r="H273" s="110" t="s">
        <v>1119</v>
      </c>
      <c r="I273" s="110" t="s">
        <v>182</v>
      </c>
      <c r="J273" s="110" t="s">
        <v>182</v>
      </c>
      <c r="K273" s="110" t="s">
        <v>999</v>
      </c>
      <c r="L273" s="110" t="s">
        <v>999</v>
      </c>
      <c r="R273" s="110" t="s">
        <v>152</v>
      </c>
      <c r="S273" s="110" t="s">
        <v>443</v>
      </c>
      <c r="T273" s="110" t="s">
        <v>156</v>
      </c>
      <c r="U273" s="110" t="s">
        <v>158</v>
      </c>
      <c r="V273" s="110">
        <v>56.472661160000001</v>
      </c>
      <c r="W273" s="110">
        <v>56.472661160000001</v>
      </c>
      <c r="X273" s="110">
        <v>-5.695346561</v>
      </c>
      <c r="Y273" s="110" t="s">
        <v>160</v>
      </c>
      <c r="Z273" s="110" t="s">
        <v>155</v>
      </c>
      <c r="AA273" s="110" t="s">
        <v>1788</v>
      </c>
      <c r="AB273" s="110" t="s">
        <v>333</v>
      </c>
      <c r="AC273" s="110" t="s">
        <v>246</v>
      </c>
      <c r="AD273" s="110" t="s">
        <v>333</v>
      </c>
      <c r="AE273" s="110" t="s">
        <v>1123</v>
      </c>
      <c r="AF273" s="110" t="s">
        <v>173</v>
      </c>
      <c r="AG273" s="110">
        <v>4</v>
      </c>
      <c r="AI273" s="110" t="s">
        <v>246</v>
      </c>
      <c r="AJ273" s="110" t="s">
        <v>246</v>
      </c>
      <c r="AK273" s="110" t="s">
        <v>171</v>
      </c>
      <c r="AL273" s="110" t="s">
        <v>1167</v>
      </c>
      <c r="AM273" s="110" t="s">
        <v>174</v>
      </c>
      <c r="AN273" s="110" t="s">
        <v>412</v>
      </c>
      <c r="AO273" s="110">
        <v>2</v>
      </c>
      <c r="AP273" s="110" t="s">
        <v>190</v>
      </c>
      <c r="AQ273" s="110" t="s">
        <v>176</v>
      </c>
      <c r="AR273" s="110">
        <v>2016</v>
      </c>
      <c r="AS273" s="110" t="s">
        <v>234</v>
      </c>
      <c r="AT273" s="110" t="s">
        <v>298</v>
      </c>
      <c r="AU273" s="110">
        <v>500</v>
      </c>
      <c r="AY273" s="110" t="s">
        <v>174</v>
      </c>
      <c r="AZ273" s="110" t="s">
        <v>174</v>
      </c>
      <c r="BA273" s="110">
        <v>10.7</v>
      </c>
      <c r="BB273" s="110">
        <v>10.7</v>
      </c>
      <c r="BC273" s="110">
        <v>10.7</v>
      </c>
      <c r="BD273" s="110">
        <v>0</v>
      </c>
      <c r="BE273" s="110" t="s">
        <v>182</v>
      </c>
      <c r="BF273" s="110" t="s">
        <v>412</v>
      </c>
      <c r="BH273" s="110" t="s">
        <v>190</v>
      </c>
      <c r="BI273" s="110" t="s">
        <v>182</v>
      </c>
      <c r="BJ273" s="110" t="s">
        <v>190</v>
      </c>
      <c r="BK273" s="110">
        <v>3</v>
      </c>
      <c r="BL273" s="110">
        <v>1</v>
      </c>
      <c r="BM273" s="110" t="s">
        <v>174</v>
      </c>
      <c r="BN273" s="110" t="s">
        <v>174</v>
      </c>
      <c r="BO273" s="110" t="s">
        <v>174</v>
      </c>
      <c r="BP273" s="110" t="s">
        <v>174</v>
      </c>
      <c r="BQ273" s="110" t="s">
        <v>174</v>
      </c>
      <c r="BR273" s="110" t="s">
        <v>174</v>
      </c>
      <c r="BS273" s="110">
        <v>109</v>
      </c>
      <c r="BT273" s="110" t="s">
        <v>2256</v>
      </c>
      <c r="BU273" s="110" t="s">
        <v>2606</v>
      </c>
      <c r="BV273" s="110" t="s">
        <v>2256</v>
      </c>
      <c r="CA273" s="110">
        <v>0.88256880699999996</v>
      </c>
      <c r="CB273" s="110">
        <v>56.652806650000002</v>
      </c>
      <c r="CC273" s="110" t="b">
        <v>0</v>
      </c>
      <c r="CD273" s="110">
        <v>3.89</v>
      </c>
      <c r="CE273" s="110" t="s">
        <v>2256</v>
      </c>
      <c r="CF273" s="110" t="s">
        <v>2256</v>
      </c>
      <c r="CG273" s="110">
        <v>113.3056133</v>
      </c>
      <c r="CH273" s="110" t="s">
        <v>2507</v>
      </c>
    </row>
    <row r="274" spans="1:88">
      <c r="A274" s="110" t="s">
        <v>240</v>
      </c>
      <c r="B274" s="110">
        <v>56</v>
      </c>
      <c r="C274" s="110">
        <v>1</v>
      </c>
      <c r="D274" s="110">
        <v>1</v>
      </c>
      <c r="E274" s="110">
        <v>273</v>
      </c>
      <c r="F274" s="110">
        <v>2022</v>
      </c>
      <c r="G274" s="110" t="s">
        <v>161</v>
      </c>
      <c r="H274" s="110" t="s">
        <v>1119</v>
      </c>
      <c r="I274" s="110" t="s">
        <v>182</v>
      </c>
      <c r="J274" s="110" t="s">
        <v>182</v>
      </c>
      <c r="K274" s="110" t="s">
        <v>999</v>
      </c>
      <c r="L274" s="110" t="s">
        <v>999</v>
      </c>
      <c r="R274" s="110" t="s">
        <v>152</v>
      </c>
      <c r="S274" s="110" t="s">
        <v>443</v>
      </c>
      <c r="T274" s="110" t="s">
        <v>156</v>
      </c>
      <c r="U274" s="110" t="s">
        <v>158</v>
      </c>
      <c r="V274" s="110">
        <v>51.73108577</v>
      </c>
      <c r="W274" s="110">
        <v>51.73108577</v>
      </c>
      <c r="X274" s="110">
        <v>-5.6025574210000002</v>
      </c>
      <c r="Y274" s="110" t="s">
        <v>160</v>
      </c>
      <c r="Z274" s="110" t="s">
        <v>155</v>
      </c>
      <c r="AA274" s="110" t="s">
        <v>1788</v>
      </c>
      <c r="AB274" s="110" t="s">
        <v>333</v>
      </c>
      <c r="AC274" s="110" t="s">
        <v>246</v>
      </c>
      <c r="AD274" s="110" t="s">
        <v>333</v>
      </c>
      <c r="AE274" s="110" t="s">
        <v>1123</v>
      </c>
      <c r="AF274" s="110" t="s">
        <v>173</v>
      </c>
      <c r="AG274" s="110">
        <v>5</v>
      </c>
      <c r="AI274" s="110" t="s">
        <v>246</v>
      </c>
      <c r="AJ274" s="110" t="s">
        <v>246</v>
      </c>
      <c r="AK274" s="110" t="s">
        <v>171</v>
      </c>
      <c r="AL274" s="110" t="s">
        <v>1167</v>
      </c>
      <c r="AM274" s="110" t="s">
        <v>174</v>
      </c>
      <c r="AN274" s="110" t="s">
        <v>412</v>
      </c>
      <c r="AO274" s="110">
        <v>2</v>
      </c>
      <c r="AP274" s="110" t="s">
        <v>190</v>
      </c>
      <c r="AQ274" s="110" t="s">
        <v>176</v>
      </c>
      <c r="AR274" s="110">
        <v>2016</v>
      </c>
      <c r="AS274" s="110" t="s">
        <v>234</v>
      </c>
      <c r="AT274" s="110" t="s">
        <v>298</v>
      </c>
      <c r="AU274" s="110">
        <v>500</v>
      </c>
      <c r="AY274" s="110" t="s">
        <v>174</v>
      </c>
      <c r="AZ274" s="110" t="s">
        <v>174</v>
      </c>
      <c r="BA274" s="110">
        <v>11.7</v>
      </c>
      <c r="BB274" s="110">
        <v>11.7</v>
      </c>
      <c r="BC274" s="110">
        <v>11.7</v>
      </c>
      <c r="BD274" s="110">
        <v>0</v>
      </c>
      <c r="BE274" s="110" t="s">
        <v>182</v>
      </c>
      <c r="BF274" s="110" t="s">
        <v>412</v>
      </c>
      <c r="BH274" s="110" t="s">
        <v>190</v>
      </c>
      <c r="BI274" s="110" t="s">
        <v>182</v>
      </c>
      <c r="BJ274" s="110" t="s">
        <v>190</v>
      </c>
      <c r="BK274" s="110">
        <v>3</v>
      </c>
      <c r="BL274" s="110">
        <v>1</v>
      </c>
      <c r="BM274" s="110" t="s">
        <v>174</v>
      </c>
      <c r="BN274" s="110" t="s">
        <v>174</v>
      </c>
      <c r="BO274" s="110" t="s">
        <v>174</v>
      </c>
      <c r="BP274" s="110" t="s">
        <v>174</v>
      </c>
      <c r="BQ274" s="110" t="s">
        <v>174</v>
      </c>
      <c r="BR274" s="110" t="s">
        <v>174</v>
      </c>
      <c r="BS274" s="110">
        <v>109</v>
      </c>
      <c r="BT274" s="110" t="s">
        <v>2256</v>
      </c>
      <c r="BU274" s="110" t="s">
        <v>2606</v>
      </c>
      <c r="BV274" s="110" t="s">
        <v>2256</v>
      </c>
      <c r="CA274" s="110">
        <v>0.91743118300000004</v>
      </c>
      <c r="CB274" s="110">
        <v>54.500000550000003</v>
      </c>
      <c r="CC274" s="110" t="b">
        <v>0</v>
      </c>
      <c r="CD274" s="110">
        <v>0</v>
      </c>
      <c r="CE274" s="110">
        <v>0</v>
      </c>
      <c r="CF274" s="110" t="s">
        <v>246</v>
      </c>
      <c r="CG274" s="110">
        <v>109.00000110000001</v>
      </c>
      <c r="CH274" s="110" t="s">
        <v>2507</v>
      </c>
    </row>
    <row r="275" spans="1:88">
      <c r="A275" s="110" t="s">
        <v>240</v>
      </c>
      <c r="B275" s="110">
        <v>56</v>
      </c>
      <c r="C275" s="110">
        <v>1</v>
      </c>
      <c r="D275" s="110">
        <v>1</v>
      </c>
      <c r="E275" s="110">
        <v>274</v>
      </c>
      <c r="F275" s="110">
        <v>2022</v>
      </c>
      <c r="G275" s="110" t="s">
        <v>161</v>
      </c>
      <c r="H275" s="110" t="s">
        <v>1119</v>
      </c>
      <c r="I275" s="110" t="s">
        <v>182</v>
      </c>
      <c r="J275" s="110" t="s">
        <v>182</v>
      </c>
      <c r="K275" s="110" t="s">
        <v>999</v>
      </c>
      <c r="L275" s="110" t="s">
        <v>999</v>
      </c>
      <c r="R275" s="110" t="s">
        <v>152</v>
      </c>
      <c r="S275" s="110" t="s">
        <v>443</v>
      </c>
      <c r="T275" s="110" t="s">
        <v>156</v>
      </c>
      <c r="U275" s="110" t="s">
        <v>158</v>
      </c>
      <c r="V275" s="110">
        <v>51.73108577</v>
      </c>
      <c r="W275" s="110">
        <v>51.73108577</v>
      </c>
      <c r="X275" s="110">
        <v>-5.6025574210000002</v>
      </c>
      <c r="Y275" s="110" t="s">
        <v>160</v>
      </c>
      <c r="Z275" s="110" t="s">
        <v>155</v>
      </c>
      <c r="AA275" s="110" t="s">
        <v>1788</v>
      </c>
      <c r="AB275" s="110" t="s">
        <v>333</v>
      </c>
      <c r="AC275" s="110" t="s">
        <v>246</v>
      </c>
      <c r="AD275" s="110" t="s">
        <v>333</v>
      </c>
      <c r="AE275" s="110" t="s">
        <v>1123</v>
      </c>
      <c r="AF275" s="110" t="s">
        <v>173</v>
      </c>
      <c r="AG275" s="110">
        <v>4</v>
      </c>
      <c r="AI275" s="110" t="s">
        <v>246</v>
      </c>
      <c r="AJ275" s="110" t="s">
        <v>246</v>
      </c>
      <c r="AK275" s="110" t="s">
        <v>171</v>
      </c>
      <c r="AL275" s="110" t="s">
        <v>1167</v>
      </c>
      <c r="AM275" s="110" t="s">
        <v>174</v>
      </c>
      <c r="AN275" s="110" t="s">
        <v>412</v>
      </c>
      <c r="AO275" s="110">
        <v>2</v>
      </c>
      <c r="AP275" s="110" t="s">
        <v>190</v>
      </c>
      <c r="AQ275" s="110" t="s">
        <v>176</v>
      </c>
      <c r="AR275" s="110">
        <v>2016</v>
      </c>
      <c r="AS275" s="110" t="s">
        <v>234</v>
      </c>
      <c r="AT275" s="110" t="s">
        <v>298</v>
      </c>
      <c r="AU275" s="110">
        <v>500</v>
      </c>
      <c r="AY275" s="110" t="s">
        <v>174</v>
      </c>
      <c r="AZ275" s="110" t="s">
        <v>174</v>
      </c>
      <c r="BA275" s="110">
        <v>11.8</v>
      </c>
      <c r="BB275" s="110">
        <v>11.8</v>
      </c>
      <c r="BC275" s="110">
        <v>11.8</v>
      </c>
      <c r="BD275" s="110">
        <v>0</v>
      </c>
      <c r="BE275" s="110" t="s">
        <v>182</v>
      </c>
      <c r="BF275" s="110" t="s">
        <v>412</v>
      </c>
      <c r="BH275" s="110" t="s">
        <v>190</v>
      </c>
      <c r="BI275" s="110" t="s">
        <v>182</v>
      </c>
      <c r="BJ275" s="110" t="s">
        <v>190</v>
      </c>
      <c r="BK275" s="110">
        <v>3</v>
      </c>
      <c r="BL275" s="110">
        <v>1</v>
      </c>
      <c r="BM275" s="110" t="s">
        <v>174</v>
      </c>
      <c r="BN275" s="110" t="s">
        <v>174</v>
      </c>
      <c r="BO275" s="110" t="s">
        <v>174</v>
      </c>
      <c r="BP275" s="110" t="s">
        <v>174</v>
      </c>
      <c r="BQ275" s="110" t="s">
        <v>174</v>
      </c>
      <c r="BR275" s="110" t="s">
        <v>174</v>
      </c>
      <c r="BS275" s="110">
        <v>109</v>
      </c>
      <c r="BT275" s="110" t="s">
        <v>2256</v>
      </c>
      <c r="BU275" s="110" t="s">
        <v>2606</v>
      </c>
      <c r="BV275" s="110" t="s">
        <v>2256</v>
      </c>
      <c r="CA275" s="110">
        <v>0.86422018300000003</v>
      </c>
      <c r="CB275" s="110">
        <v>57.85562633</v>
      </c>
      <c r="CC275" s="110" t="b">
        <v>0</v>
      </c>
      <c r="CD275" s="110">
        <v>4.3899999999999997</v>
      </c>
      <c r="CE275" s="110" t="s">
        <v>2256</v>
      </c>
      <c r="CF275" s="110" t="s">
        <v>2256</v>
      </c>
      <c r="CG275" s="110">
        <v>115.7112527</v>
      </c>
      <c r="CH275" s="110" t="s">
        <v>2507</v>
      </c>
    </row>
    <row r="276" spans="1:88">
      <c r="A276" s="110" t="s">
        <v>240</v>
      </c>
      <c r="B276" s="110">
        <v>56</v>
      </c>
      <c r="C276" s="110">
        <v>1</v>
      </c>
      <c r="D276" s="110">
        <v>1</v>
      </c>
      <c r="E276" s="110">
        <v>275</v>
      </c>
      <c r="F276" s="110">
        <v>2022</v>
      </c>
      <c r="G276" s="110" t="s">
        <v>161</v>
      </c>
      <c r="H276" s="110" t="s">
        <v>1119</v>
      </c>
      <c r="I276" s="110" t="s">
        <v>182</v>
      </c>
      <c r="J276" s="110" t="s">
        <v>182</v>
      </c>
      <c r="K276" s="110" t="s">
        <v>999</v>
      </c>
      <c r="L276" s="110" t="s">
        <v>999</v>
      </c>
      <c r="R276" s="110" t="s">
        <v>152</v>
      </c>
      <c r="S276" s="110" t="s">
        <v>443</v>
      </c>
      <c r="T276" s="110" t="s">
        <v>156</v>
      </c>
      <c r="U276" s="110" t="s">
        <v>158</v>
      </c>
      <c r="V276" s="110">
        <v>50.24705213</v>
      </c>
      <c r="W276" s="110">
        <v>50.24705213</v>
      </c>
      <c r="X276" s="110">
        <v>-4.6142895279999996</v>
      </c>
      <c r="Y276" s="110" t="s">
        <v>160</v>
      </c>
      <c r="Z276" s="110" t="s">
        <v>155</v>
      </c>
      <c r="AA276" s="110" t="s">
        <v>1788</v>
      </c>
      <c r="AB276" s="110" t="s">
        <v>333</v>
      </c>
      <c r="AC276" s="110" t="s">
        <v>246</v>
      </c>
      <c r="AD276" s="110" t="s">
        <v>333</v>
      </c>
      <c r="AE276" s="110" t="s">
        <v>1123</v>
      </c>
      <c r="AF276" s="110" t="s">
        <v>173</v>
      </c>
      <c r="AG276" s="110">
        <v>3</v>
      </c>
      <c r="AI276" s="110" t="s">
        <v>246</v>
      </c>
      <c r="AJ276" s="110" t="s">
        <v>246</v>
      </c>
      <c r="AK276" s="110" t="s">
        <v>171</v>
      </c>
      <c r="AL276" s="110" t="s">
        <v>1167</v>
      </c>
      <c r="AM276" s="110" t="s">
        <v>174</v>
      </c>
      <c r="AN276" s="110" t="s">
        <v>412</v>
      </c>
      <c r="AO276" s="110">
        <v>2</v>
      </c>
      <c r="AP276" s="110" t="s">
        <v>190</v>
      </c>
      <c r="AQ276" s="110" t="s">
        <v>176</v>
      </c>
      <c r="AR276" s="110">
        <v>2016</v>
      </c>
      <c r="AS276" s="110" t="s">
        <v>234</v>
      </c>
      <c r="AT276" s="110" t="s">
        <v>298</v>
      </c>
      <c r="AU276" s="110">
        <v>500</v>
      </c>
      <c r="AY276" s="110" t="s">
        <v>174</v>
      </c>
      <c r="AZ276" s="110" t="s">
        <v>174</v>
      </c>
      <c r="BA276" s="110">
        <v>12.4</v>
      </c>
      <c r="BB276" s="110">
        <v>12.4</v>
      </c>
      <c r="BC276" s="110">
        <v>12.4</v>
      </c>
      <c r="BD276" s="110">
        <v>0</v>
      </c>
      <c r="BE276" s="110" t="s">
        <v>182</v>
      </c>
      <c r="BF276" s="110" t="s">
        <v>412</v>
      </c>
      <c r="BH276" s="110" t="s">
        <v>190</v>
      </c>
      <c r="BI276" s="110" t="s">
        <v>182</v>
      </c>
      <c r="BJ276" s="110" t="s">
        <v>190</v>
      </c>
      <c r="BK276" s="110">
        <v>3</v>
      </c>
      <c r="BL276" s="110">
        <v>1</v>
      </c>
      <c r="BM276" s="110" t="s">
        <v>174</v>
      </c>
      <c r="BN276" s="110" t="s">
        <v>174</v>
      </c>
      <c r="BO276" s="110" t="s">
        <v>174</v>
      </c>
      <c r="BP276" s="110" t="s">
        <v>174</v>
      </c>
      <c r="BQ276" s="110" t="s">
        <v>174</v>
      </c>
      <c r="BR276" s="110" t="s">
        <v>174</v>
      </c>
      <c r="BS276" s="110">
        <v>109</v>
      </c>
      <c r="BT276" s="110" t="s">
        <v>2256</v>
      </c>
      <c r="BU276" s="110" t="s">
        <v>2606</v>
      </c>
      <c r="BV276" s="110" t="s">
        <v>2256</v>
      </c>
      <c r="CA276" s="110">
        <v>0.486238532</v>
      </c>
      <c r="CB276" s="110">
        <v>102.83018869999999</v>
      </c>
      <c r="CC276" s="110" t="b">
        <v>0</v>
      </c>
      <c r="CD276" s="110">
        <v>47.316000000000003</v>
      </c>
      <c r="CE276" s="110" t="s">
        <v>2256</v>
      </c>
      <c r="CF276" s="110" t="s">
        <v>2256</v>
      </c>
      <c r="CG276" s="110">
        <v>205.66037739999999</v>
      </c>
      <c r="CH276" s="110" t="s">
        <v>2507</v>
      </c>
    </row>
    <row r="277" spans="1:88">
      <c r="A277" s="110" t="s">
        <v>240</v>
      </c>
      <c r="B277" s="110">
        <v>56</v>
      </c>
      <c r="C277" s="110">
        <v>1</v>
      </c>
      <c r="D277" s="110">
        <v>1</v>
      </c>
      <c r="E277" s="110">
        <v>276</v>
      </c>
      <c r="F277" s="110">
        <v>2022</v>
      </c>
      <c r="G277" s="110" t="s">
        <v>161</v>
      </c>
      <c r="H277" s="110" t="s">
        <v>1119</v>
      </c>
      <c r="I277" s="110" t="s">
        <v>182</v>
      </c>
      <c r="J277" s="110" t="s">
        <v>182</v>
      </c>
      <c r="K277" s="110" t="s">
        <v>999</v>
      </c>
      <c r="L277" s="110" t="s">
        <v>999</v>
      </c>
      <c r="R277" s="110" t="s">
        <v>152</v>
      </c>
      <c r="S277" s="110" t="s">
        <v>443</v>
      </c>
      <c r="T277" s="110" t="s">
        <v>156</v>
      </c>
      <c r="U277" s="110" t="s">
        <v>158</v>
      </c>
      <c r="V277" s="110">
        <v>50.24705213</v>
      </c>
      <c r="W277" s="110">
        <v>50.24705213</v>
      </c>
      <c r="X277" s="110">
        <v>-4.6142895279999996</v>
      </c>
      <c r="Y277" s="110" t="s">
        <v>160</v>
      </c>
      <c r="Z277" s="110" t="s">
        <v>155</v>
      </c>
      <c r="AA277" s="110" t="s">
        <v>1788</v>
      </c>
      <c r="AB277" s="110" t="s">
        <v>333</v>
      </c>
      <c r="AC277" s="110" t="s">
        <v>246</v>
      </c>
      <c r="AD277" s="110" t="s">
        <v>333</v>
      </c>
      <c r="AE277" s="110" t="s">
        <v>1123</v>
      </c>
      <c r="AF277" s="110" t="s">
        <v>173</v>
      </c>
      <c r="AG277" s="110">
        <v>4</v>
      </c>
      <c r="AI277" s="110" t="s">
        <v>246</v>
      </c>
      <c r="AJ277" s="110" t="s">
        <v>246</v>
      </c>
      <c r="AK277" s="110" t="s">
        <v>171</v>
      </c>
      <c r="AL277" s="110" t="s">
        <v>1167</v>
      </c>
      <c r="AM277" s="110" t="s">
        <v>174</v>
      </c>
      <c r="AN277" s="110" t="s">
        <v>412</v>
      </c>
      <c r="AO277" s="110">
        <v>2</v>
      </c>
      <c r="AP277" s="110" t="s">
        <v>190</v>
      </c>
      <c r="AQ277" s="110" t="s">
        <v>176</v>
      </c>
      <c r="AR277" s="110">
        <v>2016</v>
      </c>
      <c r="AS277" s="110" t="s">
        <v>234</v>
      </c>
      <c r="AT277" s="110" t="s">
        <v>298</v>
      </c>
      <c r="AU277" s="110">
        <v>500</v>
      </c>
      <c r="AY277" s="110" t="s">
        <v>174</v>
      </c>
      <c r="AZ277" s="110" t="s">
        <v>174</v>
      </c>
      <c r="BA277" s="110">
        <v>12.4</v>
      </c>
      <c r="BB277" s="110">
        <v>12.4</v>
      </c>
      <c r="BC277" s="110">
        <v>12.4</v>
      </c>
      <c r="BD277" s="110">
        <v>0</v>
      </c>
      <c r="BE277" s="110" t="s">
        <v>182</v>
      </c>
      <c r="BF277" s="110" t="s">
        <v>412</v>
      </c>
      <c r="BH277" s="110" t="s">
        <v>190</v>
      </c>
      <c r="BI277" s="110" t="s">
        <v>182</v>
      </c>
      <c r="BJ277" s="110" t="s">
        <v>190</v>
      </c>
      <c r="BK277" s="110">
        <v>3</v>
      </c>
      <c r="BL277" s="110">
        <v>1</v>
      </c>
      <c r="BM277" s="110" t="s">
        <v>174</v>
      </c>
      <c r="BN277" s="110" t="s">
        <v>174</v>
      </c>
      <c r="BO277" s="110" t="s">
        <v>174</v>
      </c>
      <c r="BP277" s="110" t="s">
        <v>174</v>
      </c>
      <c r="BQ277" s="110" t="s">
        <v>174</v>
      </c>
      <c r="BR277" s="110" t="s">
        <v>174</v>
      </c>
      <c r="BS277" s="110">
        <v>109</v>
      </c>
      <c r="BT277" s="110" t="s">
        <v>2256</v>
      </c>
      <c r="BU277" s="110" t="s">
        <v>2606</v>
      </c>
      <c r="BV277" s="110" t="s">
        <v>2256</v>
      </c>
      <c r="CA277" s="110">
        <v>0.44678899100000002</v>
      </c>
      <c r="CB277" s="110">
        <v>111.9096509</v>
      </c>
      <c r="CC277" s="110" t="b">
        <v>0</v>
      </c>
      <c r="CD277" s="110">
        <v>50.61</v>
      </c>
      <c r="CE277" s="110" t="s">
        <v>2256</v>
      </c>
      <c r="CF277" s="110" t="s">
        <v>2256</v>
      </c>
      <c r="CG277" s="110">
        <v>223.81930180000001</v>
      </c>
      <c r="CH277" s="110" t="s">
        <v>2507</v>
      </c>
    </row>
    <row r="278" spans="1:88">
      <c r="A278" s="110" t="s">
        <v>582</v>
      </c>
      <c r="B278" s="110">
        <v>57</v>
      </c>
      <c r="C278" s="110">
        <v>1</v>
      </c>
      <c r="D278" s="110">
        <v>1</v>
      </c>
      <c r="E278" s="110">
        <v>277</v>
      </c>
      <c r="F278" s="110">
        <v>1984</v>
      </c>
      <c r="G278" s="110" t="s">
        <v>161</v>
      </c>
      <c r="H278" s="110" t="s">
        <v>2437</v>
      </c>
      <c r="I278" s="110" t="s">
        <v>182</v>
      </c>
      <c r="J278" s="110" t="s">
        <v>246</v>
      </c>
      <c r="K278" s="110" t="s">
        <v>999</v>
      </c>
      <c r="L278" s="110" t="s">
        <v>999</v>
      </c>
      <c r="R278" s="110" t="s">
        <v>272</v>
      </c>
      <c r="S278" s="110" t="s">
        <v>443</v>
      </c>
      <c r="T278" s="110" t="s">
        <v>611</v>
      </c>
      <c r="U278" s="110" t="s">
        <v>931</v>
      </c>
      <c r="V278" s="110">
        <v>49.08</v>
      </c>
      <c r="W278" s="110">
        <v>49.08</v>
      </c>
      <c r="X278" s="110">
        <v>-123.4</v>
      </c>
      <c r="Y278" s="110" t="s">
        <v>585</v>
      </c>
      <c r="Z278" s="110" t="s">
        <v>275</v>
      </c>
      <c r="AA278" s="110" t="s">
        <v>1788</v>
      </c>
      <c r="AB278" s="110" t="s">
        <v>1736</v>
      </c>
      <c r="AC278" s="110" t="s">
        <v>182</v>
      </c>
      <c r="AD278" s="110" t="s">
        <v>333</v>
      </c>
      <c r="AE278" s="110" t="s">
        <v>1123</v>
      </c>
      <c r="AF278" s="110" t="s">
        <v>173</v>
      </c>
      <c r="AG278" s="110">
        <v>6</v>
      </c>
      <c r="AI278" s="110" t="s">
        <v>246</v>
      </c>
      <c r="AJ278" s="110" t="s">
        <v>246</v>
      </c>
      <c r="AK278" s="110" t="s">
        <v>2195</v>
      </c>
      <c r="AL278" s="110" t="s">
        <v>190</v>
      </c>
      <c r="AM278" s="110" t="s">
        <v>174</v>
      </c>
      <c r="AO278" s="110">
        <v>2</v>
      </c>
      <c r="AP278" s="110" t="s">
        <v>190</v>
      </c>
      <c r="AQ278" s="110" t="s">
        <v>176</v>
      </c>
      <c r="AR278" s="110">
        <v>1976</v>
      </c>
      <c r="AS278" s="110" t="s">
        <v>237</v>
      </c>
      <c r="AT278" s="110" t="s">
        <v>420</v>
      </c>
      <c r="AU278" s="110">
        <v>40</v>
      </c>
      <c r="AV278" s="110" t="s">
        <v>1256</v>
      </c>
      <c r="BA278" s="110">
        <v>13.4</v>
      </c>
      <c r="BB278" s="110">
        <v>13.4</v>
      </c>
      <c r="BC278" s="110">
        <v>13.4</v>
      </c>
      <c r="BD278" s="110">
        <v>0</v>
      </c>
      <c r="BE278" s="110" t="s">
        <v>182</v>
      </c>
      <c r="BF278" s="110" t="s">
        <v>412</v>
      </c>
      <c r="BH278" s="110" t="s">
        <v>174</v>
      </c>
      <c r="BI278" s="110" t="s">
        <v>182</v>
      </c>
      <c r="BJ278" s="110" t="s">
        <v>412</v>
      </c>
      <c r="BK278" s="110">
        <v>3</v>
      </c>
      <c r="BL278" s="110">
        <v>3</v>
      </c>
      <c r="BM278" s="110" t="s">
        <v>2208</v>
      </c>
      <c r="BN278" s="110">
        <v>5.8999999999999997E-2</v>
      </c>
      <c r="BO278" s="110" t="s">
        <v>174</v>
      </c>
      <c r="BP278" s="110" t="s">
        <v>174</v>
      </c>
      <c r="BQ278" s="110" t="s">
        <v>174</v>
      </c>
      <c r="BR278" s="110">
        <v>70</v>
      </c>
      <c r="BS278" s="110">
        <v>30</v>
      </c>
      <c r="BT278" s="110" t="s">
        <v>2458</v>
      </c>
      <c r="BU278" s="110" t="s">
        <v>2606</v>
      </c>
      <c r="BV278" s="110" t="s">
        <v>2458</v>
      </c>
      <c r="BZ278" s="110">
        <v>5.8999999999999997E-2</v>
      </c>
      <c r="CA278" s="110">
        <v>1.428571429</v>
      </c>
      <c r="CB278" s="110">
        <v>11.748257300000001</v>
      </c>
      <c r="CC278" s="110" t="b">
        <v>0</v>
      </c>
      <c r="CD278" s="110" t="s">
        <v>2256</v>
      </c>
      <c r="CE278" s="110" t="s">
        <v>2256</v>
      </c>
      <c r="CF278" s="110" t="s">
        <v>2256</v>
      </c>
      <c r="CG278" s="110" t="s">
        <v>174</v>
      </c>
      <c r="CH278" s="110" t="s">
        <v>611</v>
      </c>
      <c r="CI278" s="110" t="s">
        <v>1063</v>
      </c>
      <c r="CJ278" s="110" t="s">
        <v>1051</v>
      </c>
    </row>
    <row r="279" spans="1:88">
      <c r="A279" s="110" t="s">
        <v>2886</v>
      </c>
      <c r="B279" s="110">
        <v>57</v>
      </c>
      <c r="C279" s="110">
        <v>1</v>
      </c>
      <c r="D279" s="110">
        <v>1</v>
      </c>
      <c r="E279" s="110">
        <v>278</v>
      </c>
      <c r="F279" s="110">
        <v>1984</v>
      </c>
      <c r="G279" s="110" t="s">
        <v>161</v>
      </c>
      <c r="H279" s="110" t="s">
        <v>2437</v>
      </c>
      <c r="I279" s="110" t="s">
        <v>182</v>
      </c>
      <c r="J279" s="110" t="s">
        <v>246</v>
      </c>
      <c r="K279" s="110" t="s">
        <v>999</v>
      </c>
      <c r="L279" s="110" t="s">
        <v>999</v>
      </c>
      <c r="R279" s="110" t="s">
        <v>2611</v>
      </c>
      <c r="S279" s="110" t="s">
        <v>446</v>
      </c>
      <c r="T279" s="110" t="s">
        <v>1027</v>
      </c>
      <c r="U279" s="110" t="s">
        <v>1028</v>
      </c>
      <c r="V279" s="110">
        <v>49.08</v>
      </c>
      <c r="W279" s="110">
        <v>49.08</v>
      </c>
      <c r="X279" s="110">
        <v>-123.4</v>
      </c>
      <c r="Y279" s="110" t="s">
        <v>585</v>
      </c>
      <c r="Z279" s="110" t="s">
        <v>275</v>
      </c>
      <c r="AA279" s="110" t="s">
        <v>1788</v>
      </c>
      <c r="AB279" s="110" t="s">
        <v>1736</v>
      </c>
      <c r="AC279" s="110" t="s">
        <v>182</v>
      </c>
      <c r="AD279" s="110" t="s">
        <v>333</v>
      </c>
      <c r="AE279" s="110" t="s">
        <v>1123</v>
      </c>
      <c r="AF279" s="110" t="s">
        <v>173</v>
      </c>
      <c r="AG279" s="110">
        <v>6</v>
      </c>
      <c r="AI279" s="110" t="s">
        <v>246</v>
      </c>
      <c r="AJ279" s="110" t="s">
        <v>246</v>
      </c>
      <c r="AK279" s="110" t="s">
        <v>2195</v>
      </c>
      <c r="AL279" s="110" t="s">
        <v>190</v>
      </c>
      <c r="AM279" s="110" t="s">
        <v>174</v>
      </c>
      <c r="AO279" s="110">
        <v>2</v>
      </c>
      <c r="AP279" s="110" t="s">
        <v>190</v>
      </c>
      <c r="AQ279" s="110" t="s">
        <v>176</v>
      </c>
      <c r="AR279" s="110">
        <v>1976</v>
      </c>
      <c r="AS279" s="110" t="s">
        <v>237</v>
      </c>
      <c r="AT279" s="110" t="s">
        <v>420</v>
      </c>
      <c r="AU279" s="110">
        <v>40</v>
      </c>
      <c r="AV279" s="110" t="s">
        <v>1256</v>
      </c>
      <c r="BA279" s="110">
        <v>13.4</v>
      </c>
      <c r="BB279" s="110">
        <v>13.4</v>
      </c>
      <c r="BC279" s="110">
        <v>13.4</v>
      </c>
      <c r="BD279" s="110">
        <v>0</v>
      </c>
      <c r="BE279" s="110" t="s">
        <v>182</v>
      </c>
      <c r="BF279" s="110" t="s">
        <v>412</v>
      </c>
      <c r="BH279" s="110" t="s">
        <v>174</v>
      </c>
      <c r="BI279" s="110" t="s">
        <v>182</v>
      </c>
      <c r="BJ279" s="110" t="s">
        <v>412</v>
      </c>
      <c r="BK279" s="110">
        <v>3</v>
      </c>
      <c r="BL279" s="110">
        <v>3</v>
      </c>
      <c r="BM279" s="110" t="s">
        <v>181</v>
      </c>
      <c r="BO279" s="110">
        <v>3.72</v>
      </c>
      <c r="BP279" s="110" t="s">
        <v>174</v>
      </c>
      <c r="BQ279" s="110" t="s">
        <v>174</v>
      </c>
      <c r="BR279" s="110">
        <v>46</v>
      </c>
      <c r="BS279" s="110">
        <v>30</v>
      </c>
      <c r="BT279" s="110" t="s">
        <v>2458</v>
      </c>
      <c r="BU279" s="110" t="s">
        <v>2606</v>
      </c>
      <c r="BV279" s="110" t="s">
        <v>2458</v>
      </c>
      <c r="CA279" s="110">
        <v>2.1739130430000002</v>
      </c>
      <c r="CB279" s="110">
        <v>23</v>
      </c>
      <c r="CC279" s="110" t="b">
        <v>0</v>
      </c>
      <c r="CD279" s="110" t="s">
        <v>2256</v>
      </c>
      <c r="CE279" s="110" t="s">
        <v>2256</v>
      </c>
      <c r="CF279" s="110" t="s">
        <v>2256</v>
      </c>
      <c r="CH279" s="110" t="s">
        <v>1027</v>
      </c>
      <c r="CI279" s="110" t="s">
        <v>1063</v>
      </c>
      <c r="CJ279" s="110" t="s">
        <v>1052</v>
      </c>
    </row>
    <row r="280" spans="1:88">
      <c r="A280" s="110" t="s">
        <v>2887</v>
      </c>
      <c r="B280" s="110">
        <v>57</v>
      </c>
      <c r="C280" s="110">
        <v>1</v>
      </c>
      <c r="D280" s="110">
        <v>1</v>
      </c>
      <c r="E280" s="110">
        <v>279</v>
      </c>
      <c r="F280" s="110">
        <v>1984</v>
      </c>
      <c r="G280" s="110" t="s">
        <v>161</v>
      </c>
      <c r="H280" s="110" t="s">
        <v>2437</v>
      </c>
      <c r="I280" s="110" t="s">
        <v>182</v>
      </c>
      <c r="J280" s="110" t="s">
        <v>246</v>
      </c>
      <c r="K280" s="110" t="s">
        <v>999</v>
      </c>
      <c r="L280" s="110" t="s">
        <v>999</v>
      </c>
      <c r="R280" s="110" t="s">
        <v>1976</v>
      </c>
      <c r="S280" s="110" t="s">
        <v>446</v>
      </c>
      <c r="T280" s="110" t="s">
        <v>2192</v>
      </c>
      <c r="U280" s="110" t="s">
        <v>1029</v>
      </c>
      <c r="V280" s="110">
        <v>49.08</v>
      </c>
      <c r="W280" s="110">
        <v>49.08</v>
      </c>
      <c r="X280" s="110">
        <v>-123.4</v>
      </c>
      <c r="Y280" s="110" t="s">
        <v>585</v>
      </c>
      <c r="Z280" s="110" t="s">
        <v>275</v>
      </c>
      <c r="AA280" s="110" t="s">
        <v>1788</v>
      </c>
      <c r="AB280" s="110" t="s">
        <v>1736</v>
      </c>
      <c r="AC280" s="110" t="s">
        <v>182</v>
      </c>
      <c r="AD280" s="110" t="s">
        <v>333</v>
      </c>
      <c r="AE280" s="110" t="s">
        <v>1123</v>
      </c>
      <c r="AF280" s="110" t="s">
        <v>173</v>
      </c>
      <c r="AG280" s="110">
        <v>6</v>
      </c>
      <c r="AI280" s="110" t="s">
        <v>246</v>
      </c>
      <c r="AJ280" s="110" t="s">
        <v>246</v>
      </c>
      <c r="AK280" s="110" t="s">
        <v>2195</v>
      </c>
      <c r="AL280" s="110" t="s">
        <v>190</v>
      </c>
      <c r="AM280" s="110" t="s">
        <v>174</v>
      </c>
      <c r="AO280" s="110">
        <v>2</v>
      </c>
      <c r="AP280" s="110" t="s">
        <v>190</v>
      </c>
      <c r="AQ280" s="110" t="s">
        <v>176</v>
      </c>
      <c r="AR280" s="110">
        <v>1976</v>
      </c>
      <c r="AS280" s="110" t="s">
        <v>237</v>
      </c>
      <c r="AT280" s="110" t="s">
        <v>420</v>
      </c>
      <c r="AU280" s="110">
        <v>40</v>
      </c>
      <c r="AV280" s="110" t="s">
        <v>1256</v>
      </c>
      <c r="BA280" s="110">
        <v>13.4</v>
      </c>
      <c r="BB280" s="110">
        <v>13.4</v>
      </c>
      <c r="BC280" s="110">
        <v>13.4</v>
      </c>
      <c r="BD280" s="110">
        <v>0</v>
      </c>
      <c r="BE280" s="110" t="s">
        <v>182</v>
      </c>
      <c r="BF280" s="110" t="s">
        <v>412</v>
      </c>
      <c r="BH280" s="110" t="s">
        <v>174</v>
      </c>
      <c r="BI280" s="110" t="s">
        <v>182</v>
      </c>
      <c r="BJ280" s="110" t="s">
        <v>412</v>
      </c>
      <c r="BK280" s="110">
        <v>3</v>
      </c>
      <c r="BL280" s="110">
        <v>3</v>
      </c>
      <c r="BM280" s="110" t="s">
        <v>2435</v>
      </c>
      <c r="BO280" s="110" t="s">
        <v>174</v>
      </c>
      <c r="BP280" s="110" t="s">
        <v>174</v>
      </c>
      <c r="BQ280" s="110" t="s">
        <v>174</v>
      </c>
      <c r="BR280" s="110">
        <v>27</v>
      </c>
      <c r="BS280" s="110">
        <v>30</v>
      </c>
      <c r="BT280" s="110" t="s">
        <v>2256</v>
      </c>
      <c r="BU280" s="110" t="s">
        <v>2606</v>
      </c>
      <c r="BV280" s="110" t="s">
        <v>2256</v>
      </c>
      <c r="CA280" s="110">
        <v>3.703703704</v>
      </c>
      <c r="CB280" s="110">
        <v>13.5</v>
      </c>
      <c r="CC280" s="110" t="b">
        <v>0</v>
      </c>
      <c r="CD280" s="110">
        <v>0</v>
      </c>
      <c r="CE280" s="110">
        <v>0</v>
      </c>
      <c r="CF280" s="110" t="s">
        <v>246</v>
      </c>
      <c r="CG280" s="110" t="s">
        <v>174</v>
      </c>
      <c r="CH280" s="110" t="s">
        <v>2192</v>
      </c>
      <c r="CI280" s="110" t="s">
        <v>1063</v>
      </c>
      <c r="CJ280" s="110" t="s">
        <v>1053</v>
      </c>
    </row>
    <row r="281" spans="1:88">
      <c r="A281" s="110" t="s">
        <v>2888</v>
      </c>
      <c r="B281" s="110">
        <v>57</v>
      </c>
      <c r="C281" s="110">
        <v>1</v>
      </c>
      <c r="D281" s="110">
        <v>1</v>
      </c>
      <c r="E281" s="110">
        <v>280</v>
      </c>
      <c r="F281" s="110">
        <v>1984</v>
      </c>
      <c r="G281" s="110" t="s">
        <v>161</v>
      </c>
      <c r="H281" s="110" t="s">
        <v>2437</v>
      </c>
      <c r="I281" s="110" t="s">
        <v>182</v>
      </c>
      <c r="J281" s="110" t="s">
        <v>246</v>
      </c>
      <c r="K281" s="110" t="s">
        <v>999</v>
      </c>
      <c r="L281" s="110" t="s">
        <v>999</v>
      </c>
      <c r="R281" s="110" t="s">
        <v>2611</v>
      </c>
      <c r="S281" s="110" t="s">
        <v>446</v>
      </c>
      <c r="T281" s="110" t="s">
        <v>1030</v>
      </c>
      <c r="U281" s="110" t="s">
        <v>1031</v>
      </c>
      <c r="V281" s="110">
        <v>49.08</v>
      </c>
      <c r="W281" s="110">
        <v>49.08</v>
      </c>
      <c r="X281" s="110">
        <v>-123.4</v>
      </c>
      <c r="Y281" s="110" t="s">
        <v>585</v>
      </c>
      <c r="Z281" s="110" t="s">
        <v>275</v>
      </c>
      <c r="AA281" s="110" t="s">
        <v>1788</v>
      </c>
      <c r="AB281" s="110" t="s">
        <v>1736</v>
      </c>
      <c r="AC281" s="110" t="s">
        <v>182</v>
      </c>
      <c r="AD281" s="110" t="s">
        <v>333</v>
      </c>
      <c r="AE281" s="110" t="s">
        <v>1123</v>
      </c>
      <c r="AF281" s="110" t="s">
        <v>173</v>
      </c>
      <c r="AG281" s="110">
        <v>6</v>
      </c>
      <c r="AI281" s="110" t="s">
        <v>246</v>
      </c>
      <c r="AJ281" s="110" t="s">
        <v>246</v>
      </c>
      <c r="AK281" s="110" t="s">
        <v>2195</v>
      </c>
      <c r="AL281" s="110" t="s">
        <v>190</v>
      </c>
      <c r="AM281" s="110" t="s">
        <v>174</v>
      </c>
      <c r="AO281" s="110">
        <v>2</v>
      </c>
      <c r="AP281" s="110" t="s">
        <v>190</v>
      </c>
      <c r="AQ281" s="110" t="s">
        <v>176</v>
      </c>
      <c r="AR281" s="110">
        <v>1976</v>
      </c>
      <c r="AS281" s="110" t="s">
        <v>237</v>
      </c>
      <c r="AT281" s="110" t="s">
        <v>420</v>
      </c>
      <c r="AU281" s="110">
        <v>40</v>
      </c>
      <c r="AV281" s="110" t="s">
        <v>1256</v>
      </c>
      <c r="BA281" s="110">
        <v>13.4</v>
      </c>
      <c r="BB281" s="110">
        <v>13.4</v>
      </c>
      <c r="BC281" s="110">
        <v>13.4</v>
      </c>
      <c r="BD281" s="110">
        <v>0</v>
      </c>
      <c r="BE281" s="110" t="s">
        <v>182</v>
      </c>
      <c r="BF281" s="110" t="s">
        <v>412</v>
      </c>
      <c r="BH281" s="110" t="s">
        <v>174</v>
      </c>
      <c r="BI281" s="110" t="s">
        <v>182</v>
      </c>
      <c r="BJ281" s="110" t="s">
        <v>412</v>
      </c>
      <c r="BK281" s="110">
        <v>3</v>
      </c>
      <c r="BL281" s="110">
        <v>3</v>
      </c>
      <c r="BM281" s="110" t="s">
        <v>2435</v>
      </c>
      <c r="BO281" s="110" t="s">
        <v>174</v>
      </c>
      <c r="BP281" s="110" t="s">
        <v>174</v>
      </c>
      <c r="BQ281" s="110" t="s">
        <v>174</v>
      </c>
      <c r="BR281" s="110">
        <v>49</v>
      </c>
      <c r="BS281" s="110">
        <v>30</v>
      </c>
      <c r="BT281" s="110" t="s">
        <v>2256</v>
      </c>
      <c r="BU281" s="110" t="s">
        <v>2606</v>
      </c>
      <c r="BV281" s="110" t="s">
        <v>2256</v>
      </c>
      <c r="CA281" s="110">
        <v>2.0408163269999999</v>
      </c>
      <c r="CB281" s="110">
        <v>24.5</v>
      </c>
      <c r="CC281" s="110" t="b">
        <v>0</v>
      </c>
      <c r="CD281" s="110" t="s">
        <v>2256</v>
      </c>
      <c r="CE281" s="110" t="s">
        <v>2256</v>
      </c>
      <c r="CF281" s="110" t="s">
        <v>2256</v>
      </c>
      <c r="CH281" s="110" t="s">
        <v>1030</v>
      </c>
      <c r="CI281" s="110" t="s">
        <v>1063</v>
      </c>
      <c r="CJ281" s="110" t="s">
        <v>1054</v>
      </c>
    </row>
    <row r="282" spans="1:88">
      <c r="A282" s="110" t="s">
        <v>2889</v>
      </c>
      <c r="B282" s="110">
        <v>57</v>
      </c>
      <c r="C282" s="110">
        <v>1</v>
      </c>
      <c r="D282" s="110">
        <v>1</v>
      </c>
      <c r="E282" s="110">
        <v>281</v>
      </c>
      <c r="F282" s="110">
        <v>1984</v>
      </c>
      <c r="G282" s="110" t="s">
        <v>161</v>
      </c>
      <c r="H282" s="110" t="s">
        <v>2437</v>
      </c>
      <c r="I282" s="110" t="s">
        <v>182</v>
      </c>
      <c r="J282" s="110" t="s">
        <v>246</v>
      </c>
      <c r="K282" s="110" t="s">
        <v>999</v>
      </c>
      <c r="L282" s="110" t="s">
        <v>999</v>
      </c>
      <c r="R282" s="110" t="s">
        <v>2611</v>
      </c>
      <c r="S282" s="110" t="s">
        <v>446</v>
      </c>
      <c r="T282" s="110" t="s">
        <v>1025</v>
      </c>
      <c r="U282" s="110" t="s">
        <v>1026</v>
      </c>
      <c r="V282" s="110">
        <v>49.08</v>
      </c>
      <c r="W282" s="110">
        <v>49.08</v>
      </c>
      <c r="X282" s="110">
        <v>-123.4</v>
      </c>
      <c r="Y282" s="110" t="s">
        <v>585</v>
      </c>
      <c r="Z282" s="110" t="s">
        <v>275</v>
      </c>
      <c r="AA282" s="110" t="s">
        <v>1788</v>
      </c>
      <c r="AB282" s="110" t="s">
        <v>1736</v>
      </c>
      <c r="AC282" s="110" t="s">
        <v>182</v>
      </c>
      <c r="AD282" s="110" t="s">
        <v>333</v>
      </c>
      <c r="AE282" s="110" t="s">
        <v>1123</v>
      </c>
      <c r="AF282" s="110" t="s">
        <v>173</v>
      </c>
      <c r="AG282" s="110">
        <v>6</v>
      </c>
      <c r="AI282" s="110" t="s">
        <v>246</v>
      </c>
      <c r="AJ282" s="110" t="s">
        <v>246</v>
      </c>
      <c r="AK282" s="110" t="s">
        <v>2195</v>
      </c>
      <c r="AL282" s="110" t="s">
        <v>190</v>
      </c>
      <c r="AM282" s="110" t="s">
        <v>174</v>
      </c>
      <c r="AO282" s="110">
        <v>2</v>
      </c>
      <c r="AP282" s="110" t="s">
        <v>190</v>
      </c>
      <c r="AQ282" s="110" t="s">
        <v>176</v>
      </c>
      <c r="AR282" s="110">
        <v>1976</v>
      </c>
      <c r="AS282" s="110" t="s">
        <v>237</v>
      </c>
      <c r="AT282" s="110" t="s">
        <v>420</v>
      </c>
      <c r="AU282" s="110">
        <v>40</v>
      </c>
      <c r="AV282" s="110" t="s">
        <v>1256</v>
      </c>
      <c r="BA282" s="110">
        <v>13.4</v>
      </c>
      <c r="BB282" s="110">
        <v>13.4</v>
      </c>
      <c r="BC282" s="110">
        <v>13.4</v>
      </c>
      <c r="BD282" s="110">
        <v>0</v>
      </c>
      <c r="BE282" s="110" t="s">
        <v>182</v>
      </c>
      <c r="BF282" s="110" t="s">
        <v>412</v>
      </c>
      <c r="BH282" s="110" t="s">
        <v>174</v>
      </c>
      <c r="BI282" s="110" t="s">
        <v>182</v>
      </c>
      <c r="BJ282" s="110" t="s">
        <v>412</v>
      </c>
      <c r="BK282" s="110">
        <v>3</v>
      </c>
      <c r="BL282" s="110">
        <v>3</v>
      </c>
      <c r="BM282" s="110" t="s">
        <v>2208</v>
      </c>
      <c r="BN282" s="110">
        <v>0.27700000000000002</v>
      </c>
      <c r="BO282" s="110" t="s">
        <v>174</v>
      </c>
      <c r="BP282" s="110" t="s">
        <v>174</v>
      </c>
      <c r="BQ282" s="110" t="s">
        <v>174</v>
      </c>
      <c r="BR282" s="110">
        <v>43</v>
      </c>
      <c r="BS282" s="110">
        <v>30</v>
      </c>
      <c r="BT282" s="110" t="s">
        <v>2458</v>
      </c>
      <c r="BU282" s="110" t="s">
        <v>2606</v>
      </c>
      <c r="BV282" s="110" t="s">
        <v>2458</v>
      </c>
      <c r="BZ282" s="110">
        <v>0.27700000000000002</v>
      </c>
      <c r="CA282" s="110">
        <v>2.3255813949999999</v>
      </c>
      <c r="CB282" s="110">
        <v>2.5023363920000001</v>
      </c>
      <c r="CC282" s="110" t="b">
        <v>0</v>
      </c>
      <c r="CD282" s="110" t="s">
        <v>2256</v>
      </c>
      <c r="CE282" s="110" t="s">
        <v>2256</v>
      </c>
      <c r="CF282" s="110" t="s">
        <v>2256</v>
      </c>
      <c r="CH282" s="110" t="s">
        <v>1025</v>
      </c>
      <c r="CI282" s="110" t="s">
        <v>1063</v>
      </c>
      <c r="CJ282" s="110" t="s">
        <v>1055</v>
      </c>
    </row>
    <row r="283" spans="1:88">
      <c r="A283" s="110" t="s">
        <v>2890</v>
      </c>
      <c r="B283" s="110">
        <v>57</v>
      </c>
      <c r="C283" s="110">
        <v>1</v>
      </c>
      <c r="D283" s="110">
        <v>1</v>
      </c>
      <c r="E283" s="110">
        <v>282</v>
      </c>
      <c r="F283" s="110">
        <v>1984</v>
      </c>
      <c r="G283" s="110" t="s">
        <v>161</v>
      </c>
      <c r="H283" s="110" t="s">
        <v>2437</v>
      </c>
      <c r="I283" s="110" t="s">
        <v>182</v>
      </c>
      <c r="J283" s="110" t="s">
        <v>246</v>
      </c>
      <c r="K283" s="110" t="s">
        <v>999</v>
      </c>
      <c r="L283" s="110" t="s">
        <v>999</v>
      </c>
      <c r="R283" s="110" t="s">
        <v>2611</v>
      </c>
      <c r="S283" s="110" t="s">
        <v>446</v>
      </c>
      <c r="T283" s="110" t="s">
        <v>2189</v>
      </c>
      <c r="U283" s="110" t="s">
        <v>2190</v>
      </c>
      <c r="V283" s="110">
        <v>49.08</v>
      </c>
      <c r="W283" s="110">
        <v>49.08</v>
      </c>
      <c r="X283" s="110">
        <v>-123.4</v>
      </c>
      <c r="Y283" s="110" t="s">
        <v>585</v>
      </c>
      <c r="Z283" s="110" t="s">
        <v>275</v>
      </c>
      <c r="AA283" s="110" t="s">
        <v>1788</v>
      </c>
      <c r="AB283" s="110" t="s">
        <v>1736</v>
      </c>
      <c r="AC283" s="110" t="s">
        <v>182</v>
      </c>
      <c r="AD283" s="110" t="s">
        <v>333</v>
      </c>
      <c r="AE283" s="110" t="s">
        <v>1123</v>
      </c>
      <c r="AF283" s="110" t="s">
        <v>173</v>
      </c>
      <c r="AG283" s="110">
        <v>6</v>
      </c>
      <c r="AI283" s="110" t="s">
        <v>246</v>
      </c>
      <c r="AJ283" s="110" t="s">
        <v>246</v>
      </c>
      <c r="AK283" s="110" t="s">
        <v>2195</v>
      </c>
      <c r="AL283" s="110" t="s">
        <v>190</v>
      </c>
      <c r="AM283" s="110" t="s">
        <v>174</v>
      </c>
      <c r="AO283" s="110">
        <v>2</v>
      </c>
      <c r="AP283" s="110" t="s">
        <v>190</v>
      </c>
      <c r="AQ283" s="110" t="s">
        <v>176</v>
      </c>
      <c r="AR283" s="110">
        <v>1976</v>
      </c>
      <c r="AS283" s="110" t="s">
        <v>237</v>
      </c>
      <c r="AT283" s="110" t="s">
        <v>420</v>
      </c>
      <c r="AU283" s="110">
        <v>40</v>
      </c>
      <c r="AV283" s="110" t="s">
        <v>1256</v>
      </c>
      <c r="BA283" s="110">
        <v>13.4</v>
      </c>
      <c r="BB283" s="110">
        <v>13.4</v>
      </c>
      <c r="BC283" s="110">
        <v>13.4</v>
      </c>
      <c r="BD283" s="110">
        <v>0</v>
      </c>
      <c r="BE283" s="110" t="s">
        <v>182</v>
      </c>
      <c r="BF283" s="110" t="s">
        <v>412</v>
      </c>
      <c r="BH283" s="110" t="s">
        <v>174</v>
      </c>
      <c r="BI283" s="110" t="s">
        <v>182</v>
      </c>
      <c r="BJ283" s="110" t="s">
        <v>412</v>
      </c>
      <c r="BK283" s="110">
        <v>3</v>
      </c>
      <c r="BL283" s="110">
        <v>3</v>
      </c>
      <c r="BM283" s="110" t="s">
        <v>2208</v>
      </c>
      <c r="BN283" s="110">
        <v>0.27700000000000002</v>
      </c>
      <c r="BP283" s="110" t="s">
        <v>174</v>
      </c>
      <c r="BQ283" s="110" t="s">
        <v>174</v>
      </c>
      <c r="BR283" s="110">
        <v>27</v>
      </c>
      <c r="BS283" s="110">
        <v>30</v>
      </c>
      <c r="BT283" s="110" t="s">
        <v>2458</v>
      </c>
      <c r="BU283" s="110" t="s">
        <v>2606</v>
      </c>
      <c r="BV283" s="110" t="s">
        <v>2458</v>
      </c>
      <c r="BZ283" s="110">
        <v>0.27700000000000002</v>
      </c>
      <c r="CA283" s="110">
        <v>3.703703704</v>
      </c>
      <c r="CB283" s="110">
        <v>2.5023363920000001</v>
      </c>
      <c r="CC283" s="110" t="b">
        <v>0</v>
      </c>
      <c r="CD283" s="110" t="s">
        <v>2256</v>
      </c>
      <c r="CE283" s="110" t="s">
        <v>2256</v>
      </c>
      <c r="CF283" s="110" t="s">
        <v>2256</v>
      </c>
      <c r="CG283" s="110" t="s">
        <v>174</v>
      </c>
      <c r="CH283" s="110" t="s">
        <v>2189</v>
      </c>
      <c r="CI283" s="110" t="s">
        <v>1063</v>
      </c>
      <c r="CJ283" s="110" t="s">
        <v>1056</v>
      </c>
    </row>
    <row r="284" spans="1:88">
      <c r="A284" s="110" t="s">
        <v>2891</v>
      </c>
      <c r="B284" s="110">
        <v>57</v>
      </c>
      <c r="C284" s="110">
        <v>1</v>
      </c>
      <c r="D284" s="110">
        <v>1</v>
      </c>
      <c r="E284" s="110">
        <v>283</v>
      </c>
      <c r="F284" s="110">
        <v>1984</v>
      </c>
      <c r="G284" s="110" t="s">
        <v>161</v>
      </c>
      <c r="H284" s="110" t="s">
        <v>2437</v>
      </c>
      <c r="I284" s="110" t="s">
        <v>182</v>
      </c>
      <c r="J284" s="110" t="s">
        <v>246</v>
      </c>
      <c r="K284" s="110" t="s">
        <v>999</v>
      </c>
      <c r="L284" s="110" t="s">
        <v>999</v>
      </c>
      <c r="R284" s="110" t="s">
        <v>152</v>
      </c>
      <c r="S284" s="110" t="s">
        <v>443</v>
      </c>
      <c r="T284" s="110" t="s">
        <v>1032</v>
      </c>
      <c r="U284" s="110" t="s">
        <v>919</v>
      </c>
      <c r="V284" s="110">
        <v>49.08</v>
      </c>
      <c r="W284" s="110">
        <v>49.08</v>
      </c>
      <c r="X284" s="110">
        <v>-123.4</v>
      </c>
      <c r="Y284" s="110" t="s">
        <v>585</v>
      </c>
      <c r="Z284" s="110" t="s">
        <v>275</v>
      </c>
      <c r="AA284" s="110" t="s">
        <v>1788</v>
      </c>
      <c r="AB284" s="110" t="s">
        <v>1736</v>
      </c>
      <c r="AC284" s="110" t="s">
        <v>182</v>
      </c>
      <c r="AD284" s="110" t="s">
        <v>333</v>
      </c>
      <c r="AE284" s="110" t="s">
        <v>1123</v>
      </c>
      <c r="AF284" s="110" t="s">
        <v>173</v>
      </c>
      <c r="AG284" s="110">
        <v>6</v>
      </c>
      <c r="AI284" s="110" t="s">
        <v>246</v>
      </c>
      <c r="AJ284" s="110" t="s">
        <v>246</v>
      </c>
      <c r="AK284" s="110" t="s">
        <v>2195</v>
      </c>
      <c r="AL284" s="110" t="s">
        <v>190</v>
      </c>
      <c r="AM284" s="110" t="s">
        <v>174</v>
      </c>
      <c r="AO284" s="110">
        <v>2</v>
      </c>
      <c r="AP284" s="110" t="s">
        <v>190</v>
      </c>
      <c r="AQ284" s="110" t="s">
        <v>176</v>
      </c>
      <c r="AR284" s="110">
        <v>1976</v>
      </c>
      <c r="AS284" s="110" t="s">
        <v>237</v>
      </c>
      <c r="AT284" s="110" t="s">
        <v>420</v>
      </c>
      <c r="AU284" s="110">
        <v>40</v>
      </c>
      <c r="AV284" s="110" t="s">
        <v>1256</v>
      </c>
      <c r="BA284" s="110">
        <v>13.4</v>
      </c>
      <c r="BB284" s="110">
        <v>13.4</v>
      </c>
      <c r="BC284" s="110">
        <v>13.4</v>
      </c>
      <c r="BD284" s="110">
        <v>0</v>
      </c>
      <c r="BE284" s="110" t="s">
        <v>182</v>
      </c>
      <c r="BF284" s="110" t="s">
        <v>412</v>
      </c>
      <c r="BH284" s="110" t="s">
        <v>174</v>
      </c>
      <c r="BI284" s="110" t="s">
        <v>182</v>
      </c>
      <c r="BJ284" s="110" t="s">
        <v>412</v>
      </c>
      <c r="BK284" s="110">
        <v>3</v>
      </c>
      <c r="BL284" s="110">
        <v>3</v>
      </c>
      <c r="BM284" s="110" t="s">
        <v>2208</v>
      </c>
      <c r="BN284" s="110">
        <v>0.21</v>
      </c>
      <c r="BP284" s="110" t="s">
        <v>174</v>
      </c>
      <c r="BQ284" s="110" t="s">
        <v>174</v>
      </c>
      <c r="BR284" s="110">
        <v>14</v>
      </c>
      <c r="BS284" s="110">
        <v>30</v>
      </c>
      <c r="BT284" s="110" t="s">
        <v>2458</v>
      </c>
      <c r="BU284" s="110" t="s">
        <v>2606</v>
      </c>
      <c r="BV284" s="110" t="s">
        <v>2458</v>
      </c>
      <c r="BZ284" s="110">
        <v>0.21</v>
      </c>
      <c r="CA284" s="110">
        <v>7.1428571429999996</v>
      </c>
      <c r="CB284" s="110">
        <v>11.748257000000001</v>
      </c>
      <c r="CC284" s="110" t="b">
        <v>0</v>
      </c>
      <c r="CD284" s="110" t="s">
        <v>2256</v>
      </c>
      <c r="CE284" s="110" t="s">
        <v>2256</v>
      </c>
      <c r="CF284" s="110" t="s">
        <v>2256</v>
      </c>
      <c r="CG284" s="110" t="s">
        <v>174</v>
      </c>
      <c r="CH284" s="110" t="s">
        <v>1032</v>
      </c>
      <c r="CI284" s="110" t="s">
        <v>1063</v>
      </c>
      <c r="CJ284" s="110" t="s">
        <v>1057</v>
      </c>
    </row>
    <row r="285" spans="1:88">
      <c r="A285" s="110" t="s">
        <v>2892</v>
      </c>
      <c r="B285" s="110">
        <v>57</v>
      </c>
      <c r="C285" s="110">
        <v>1</v>
      </c>
      <c r="D285" s="110">
        <v>1</v>
      </c>
      <c r="E285" s="110">
        <v>284</v>
      </c>
      <c r="F285" s="110">
        <v>1984</v>
      </c>
      <c r="G285" s="110" t="s">
        <v>161</v>
      </c>
      <c r="H285" s="110" t="s">
        <v>2437</v>
      </c>
      <c r="I285" s="110" t="s">
        <v>182</v>
      </c>
      <c r="J285" s="110" t="s">
        <v>246</v>
      </c>
      <c r="K285" s="110" t="s">
        <v>999</v>
      </c>
      <c r="L285" s="110" t="s">
        <v>999</v>
      </c>
      <c r="R285" s="110" t="s">
        <v>152</v>
      </c>
      <c r="S285" s="110" t="s">
        <v>443</v>
      </c>
      <c r="T285" s="110" t="s">
        <v>156</v>
      </c>
      <c r="U285" s="110" t="s">
        <v>1033</v>
      </c>
      <c r="V285" s="110">
        <v>49.08</v>
      </c>
      <c r="W285" s="110">
        <v>49.08</v>
      </c>
      <c r="X285" s="110">
        <v>-123.4</v>
      </c>
      <c r="Y285" s="110" t="s">
        <v>585</v>
      </c>
      <c r="Z285" s="110" t="s">
        <v>275</v>
      </c>
      <c r="AA285" s="110" t="s">
        <v>1788</v>
      </c>
      <c r="AB285" s="110" t="s">
        <v>1736</v>
      </c>
      <c r="AC285" s="110" t="s">
        <v>182</v>
      </c>
      <c r="AD285" s="110" t="s">
        <v>333</v>
      </c>
      <c r="AE285" s="110" t="s">
        <v>1123</v>
      </c>
      <c r="AF285" s="110" t="s">
        <v>173</v>
      </c>
      <c r="AG285" s="110">
        <v>6</v>
      </c>
      <c r="AI285" s="110" t="s">
        <v>246</v>
      </c>
      <c r="AJ285" s="110" t="s">
        <v>246</v>
      </c>
      <c r="AK285" s="110" t="s">
        <v>2195</v>
      </c>
      <c r="AL285" s="110" t="s">
        <v>190</v>
      </c>
      <c r="AM285" s="110" t="s">
        <v>174</v>
      </c>
      <c r="AO285" s="110">
        <v>2</v>
      </c>
      <c r="AP285" s="110" t="s">
        <v>190</v>
      </c>
      <c r="AQ285" s="110" t="s">
        <v>176</v>
      </c>
      <c r="AR285" s="110">
        <v>1976</v>
      </c>
      <c r="AS285" s="110" t="s">
        <v>237</v>
      </c>
      <c r="AT285" s="110" t="s">
        <v>420</v>
      </c>
      <c r="AU285" s="110">
        <v>40</v>
      </c>
      <c r="AV285" s="110" t="s">
        <v>1256</v>
      </c>
      <c r="BA285" s="110">
        <v>13.4</v>
      </c>
      <c r="BB285" s="110">
        <v>13.4</v>
      </c>
      <c r="BC285" s="110">
        <v>13.4</v>
      </c>
      <c r="BD285" s="110">
        <v>0</v>
      </c>
      <c r="BE285" s="110" t="s">
        <v>182</v>
      </c>
      <c r="BF285" s="110" t="s">
        <v>412</v>
      </c>
      <c r="BH285" s="110" t="s">
        <v>174</v>
      </c>
      <c r="BI285" s="110" t="s">
        <v>182</v>
      </c>
      <c r="BJ285" s="110" t="s">
        <v>412</v>
      </c>
      <c r="BK285" s="110">
        <v>3</v>
      </c>
      <c r="BL285" s="110">
        <v>3</v>
      </c>
      <c r="BM285" s="110" t="s">
        <v>2435</v>
      </c>
      <c r="BP285" s="110" t="s">
        <v>174</v>
      </c>
      <c r="BQ285" s="110" t="s">
        <v>174</v>
      </c>
      <c r="BR285" s="110">
        <v>14</v>
      </c>
      <c r="BS285" s="110">
        <v>30</v>
      </c>
      <c r="BT285" s="110" t="s">
        <v>2256</v>
      </c>
      <c r="BU285" s="110" t="s">
        <v>2606</v>
      </c>
      <c r="BV285" s="110" t="s">
        <v>2256</v>
      </c>
      <c r="CA285" s="110">
        <v>7.1428571429999996</v>
      </c>
      <c r="CB285" s="110">
        <v>7</v>
      </c>
      <c r="CC285" s="110" t="b">
        <v>0</v>
      </c>
      <c r="CD285" s="110" t="s">
        <v>2256</v>
      </c>
      <c r="CE285" s="110" t="s">
        <v>2256</v>
      </c>
      <c r="CF285" s="110" t="s">
        <v>2256</v>
      </c>
      <c r="CG285" s="110" t="s">
        <v>174</v>
      </c>
      <c r="CH285" s="110" t="s">
        <v>156</v>
      </c>
      <c r="CI285" s="110" t="s">
        <v>1063</v>
      </c>
      <c r="CJ285" s="110" t="s">
        <v>1057</v>
      </c>
    </row>
    <row r="286" spans="1:88">
      <c r="A286" s="110" t="s">
        <v>2893</v>
      </c>
      <c r="B286" s="110">
        <v>57</v>
      </c>
      <c r="C286" s="110">
        <v>1</v>
      </c>
      <c r="D286" s="110">
        <v>1</v>
      </c>
      <c r="E286" s="110">
        <v>285</v>
      </c>
      <c r="F286" s="110">
        <v>1984</v>
      </c>
      <c r="G286" s="110" t="s">
        <v>161</v>
      </c>
      <c r="H286" s="110" t="s">
        <v>2437</v>
      </c>
      <c r="I286" s="110" t="s">
        <v>182</v>
      </c>
      <c r="J286" s="110" t="s">
        <v>246</v>
      </c>
      <c r="K286" s="110" t="s">
        <v>999</v>
      </c>
      <c r="L286" s="110" t="s">
        <v>999</v>
      </c>
      <c r="R286" s="110" t="s">
        <v>152</v>
      </c>
      <c r="S286" s="110" t="s">
        <v>443</v>
      </c>
      <c r="T286" s="110" t="s">
        <v>506</v>
      </c>
      <c r="U286" s="110" t="s">
        <v>507</v>
      </c>
      <c r="V286" s="110">
        <v>49.08</v>
      </c>
      <c r="W286" s="110">
        <v>49.08</v>
      </c>
      <c r="X286" s="110">
        <v>-123.4</v>
      </c>
      <c r="Y286" s="110" t="s">
        <v>585</v>
      </c>
      <c r="Z286" s="110" t="s">
        <v>275</v>
      </c>
      <c r="AA286" s="110" t="s">
        <v>1788</v>
      </c>
      <c r="AB286" s="110" t="s">
        <v>1736</v>
      </c>
      <c r="AC286" s="110" t="s">
        <v>182</v>
      </c>
      <c r="AD286" s="110" t="s">
        <v>333</v>
      </c>
      <c r="AE286" s="110" t="s">
        <v>1123</v>
      </c>
      <c r="AF286" s="110" t="s">
        <v>173</v>
      </c>
      <c r="AG286" s="110">
        <v>6</v>
      </c>
      <c r="AI286" s="110" t="s">
        <v>246</v>
      </c>
      <c r="AJ286" s="110" t="s">
        <v>246</v>
      </c>
      <c r="AK286" s="110" t="s">
        <v>2195</v>
      </c>
      <c r="AL286" s="110" t="s">
        <v>190</v>
      </c>
      <c r="AM286" s="110" t="s">
        <v>174</v>
      </c>
      <c r="AO286" s="110">
        <v>2</v>
      </c>
      <c r="AP286" s="110" t="s">
        <v>190</v>
      </c>
      <c r="AQ286" s="110" t="s">
        <v>176</v>
      </c>
      <c r="AR286" s="110">
        <v>1976</v>
      </c>
      <c r="AS286" s="110" t="s">
        <v>237</v>
      </c>
      <c r="AT286" s="110" t="s">
        <v>420</v>
      </c>
      <c r="AU286" s="110">
        <v>40</v>
      </c>
      <c r="AV286" s="110" t="s">
        <v>1256</v>
      </c>
      <c r="BA286" s="110">
        <v>13.4</v>
      </c>
      <c r="BB286" s="110">
        <v>13.4</v>
      </c>
      <c r="BC286" s="110">
        <v>13.4</v>
      </c>
      <c r="BD286" s="110">
        <v>0</v>
      </c>
      <c r="BE286" s="110" t="s">
        <v>182</v>
      </c>
      <c r="BF286" s="110" t="s">
        <v>412</v>
      </c>
      <c r="BH286" s="110" t="s">
        <v>174</v>
      </c>
      <c r="BI286" s="110" t="s">
        <v>182</v>
      </c>
      <c r="BJ286" s="110" t="s">
        <v>412</v>
      </c>
      <c r="BK286" s="110">
        <v>3</v>
      </c>
      <c r="BL286" s="110">
        <v>3</v>
      </c>
      <c r="BM286" s="110" t="s">
        <v>2435</v>
      </c>
      <c r="BP286" s="110" t="s">
        <v>174</v>
      </c>
      <c r="BQ286" s="110" t="s">
        <v>174</v>
      </c>
      <c r="BR286" s="110">
        <v>6</v>
      </c>
      <c r="BS286" s="110">
        <v>30</v>
      </c>
      <c r="BT286" s="110" t="s">
        <v>2256</v>
      </c>
      <c r="BU286" s="110" t="s">
        <v>2606</v>
      </c>
      <c r="BV286" s="110" t="s">
        <v>2256</v>
      </c>
      <c r="CA286" s="110">
        <v>16.666666670000001</v>
      </c>
      <c r="CB286" s="110">
        <v>3</v>
      </c>
      <c r="CC286" s="110" t="b">
        <v>0</v>
      </c>
      <c r="CD286" s="110">
        <v>0</v>
      </c>
      <c r="CE286" s="110">
        <v>0</v>
      </c>
      <c r="CF286" s="110" t="s">
        <v>246</v>
      </c>
      <c r="CG286" s="110" t="s">
        <v>174</v>
      </c>
      <c r="CH286" s="110" t="s">
        <v>506</v>
      </c>
      <c r="CI286" s="110" t="s">
        <v>1063</v>
      </c>
      <c r="CJ286" s="110" t="s">
        <v>1058</v>
      </c>
    </row>
    <row r="287" spans="1:88">
      <c r="A287" s="110" t="s">
        <v>2894</v>
      </c>
      <c r="B287" s="110">
        <v>57</v>
      </c>
      <c r="C287" s="110">
        <v>1</v>
      </c>
      <c r="D287" s="110">
        <v>1</v>
      </c>
      <c r="E287" s="110">
        <v>286</v>
      </c>
      <c r="F287" s="110">
        <v>1984</v>
      </c>
      <c r="G287" s="110" t="s">
        <v>161</v>
      </c>
      <c r="H287" s="110" t="s">
        <v>2437</v>
      </c>
      <c r="I287" s="110" t="s">
        <v>182</v>
      </c>
      <c r="J287" s="110" t="s">
        <v>246</v>
      </c>
      <c r="K287" s="110" t="s">
        <v>999</v>
      </c>
      <c r="L287" s="110" t="s">
        <v>999</v>
      </c>
      <c r="R287" s="110" t="s">
        <v>152</v>
      </c>
      <c r="S287" s="110" t="s">
        <v>443</v>
      </c>
      <c r="T287" s="110" t="s">
        <v>506</v>
      </c>
      <c r="U287" s="110" t="s">
        <v>507</v>
      </c>
      <c r="V287" s="110">
        <v>49.08</v>
      </c>
      <c r="W287" s="110">
        <v>49.08</v>
      </c>
      <c r="X287" s="110">
        <v>-123.4</v>
      </c>
      <c r="Y287" s="110" t="s">
        <v>585</v>
      </c>
      <c r="Z287" s="110" t="s">
        <v>275</v>
      </c>
      <c r="AA287" s="110" t="s">
        <v>1788</v>
      </c>
      <c r="AB287" s="110" t="s">
        <v>1736</v>
      </c>
      <c r="AC287" s="110" t="s">
        <v>182</v>
      </c>
      <c r="AD287" s="110" t="s">
        <v>333</v>
      </c>
      <c r="AE287" s="110" t="s">
        <v>1123</v>
      </c>
      <c r="AF287" s="110" t="s">
        <v>173</v>
      </c>
      <c r="AG287" s="110">
        <v>6</v>
      </c>
      <c r="AI287" s="110" t="s">
        <v>246</v>
      </c>
      <c r="AJ287" s="110" t="s">
        <v>246</v>
      </c>
      <c r="AK287" s="110" t="s">
        <v>2195</v>
      </c>
      <c r="AL287" s="110" t="s">
        <v>190</v>
      </c>
      <c r="AM287" s="110" t="s">
        <v>174</v>
      </c>
      <c r="AO287" s="110">
        <v>2</v>
      </c>
      <c r="AP287" s="110" t="s">
        <v>190</v>
      </c>
      <c r="AQ287" s="110" t="s">
        <v>176</v>
      </c>
      <c r="AR287" s="110">
        <v>1976</v>
      </c>
      <c r="AS287" s="110" t="s">
        <v>237</v>
      </c>
      <c r="AT287" s="110" t="s">
        <v>420</v>
      </c>
      <c r="AU287" s="110">
        <v>40</v>
      </c>
      <c r="AV287" s="110" t="s">
        <v>1256</v>
      </c>
      <c r="BA287" s="110">
        <v>13.4</v>
      </c>
      <c r="BB287" s="110">
        <v>13.4</v>
      </c>
      <c r="BC287" s="110">
        <v>13.4</v>
      </c>
      <c r="BD287" s="110">
        <v>0</v>
      </c>
      <c r="BE287" s="110" t="s">
        <v>182</v>
      </c>
      <c r="BF287" s="110" t="s">
        <v>412</v>
      </c>
      <c r="BH287" s="110" t="s">
        <v>174</v>
      </c>
      <c r="BI287" s="110" t="s">
        <v>182</v>
      </c>
      <c r="BJ287" s="110" t="s">
        <v>412</v>
      </c>
      <c r="BK287" s="110">
        <v>3</v>
      </c>
      <c r="BL287" s="110">
        <v>3</v>
      </c>
      <c r="BM287" s="110" t="s">
        <v>2435</v>
      </c>
      <c r="BP287" s="110" t="s">
        <v>174</v>
      </c>
      <c r="BQ287" s="110" t="s">
        <v>174</v>
      </c>
      <c r="BR287" s="110">
        <v>14</v>
      </c>
      <c r="BS287" s="110">
        <v>30</v>
      </c>
      <c r="BT287" s="110" t="s">
        <v>2256</v>
      </c>
      <c r="BU287" s="110" t="s">
        <v>2606</v>
      </c>
      <c r="BV287" s="110" t="s">
        <v>2256</v>
      </c>
      <c r="CA287" s="110">
        <v>7.1428571429999996</v>
      </c>
      <c r="CB287" s="110">
        <v>7</v>
      </c>
      <c r="CC287" s="110" t="b">
        <v>0</v>
      </c>
      <c r="CD287" s="110">
        <v>0</v>
      </c>
      <c r="CE287" s="110">
        <v>0</v>
      </c>
      <c r="CF287" s="110" t="s">
        <v>246</v>
      </c>
      <c r="CG287" s="110" t="s">
        <v>174</v>
      </c>
      <c r="CH287" s="110" t="s">
        <v>506</v>
      </c>
      <c r="CI287" s="110" t="s">
        <v>1063</v>
      </c>
      <c r="CJ287" s="110" t="s">
        <v>1059</v>
      </c>
    </row>
    <row r="288" spans="1:88">
      <c r="A288" s="110" t="s">
        <v>2895</v>
      </c>
      <c r="B288" s="110">
        <v>57</v>
      </c>
      <c r="C288" s="110">
        <v>1</v>
      </c>
      <c r="D288" s="110">
        <v>1</v>
      </c>
      <c r="E288" s="110">
        <v>287</v>
      </c>
      <c r="F288" s="110">
        <v>1984</v>
      </c>
      <c r="G288" s="110" t="s">
        <v>161</v>
      </c>
      <c r="H288" s="110" t="s">
        <v>2437</v>
      </c>
      <c r="I288" s="110" t="s">
        <v>182</v>
      </c>
      <c r="J288" s="110" t="s">
        <v>246</v>
      </c>
      <c r="K288" s="110" t="s">
        <v>999</v>
      </c>
      <c r="L288" s="110" t="s">
        <v>999</v>
      </c>
      <c r="R288" s="110" t="s">
        <v>2611</v>
      </c>
      <c r="S288" s="110" t="s">
        <v>446</v>
      </c>
      <c r="T288" s="110" t="s">
        <v>1034</v>
      </c>
      <c r="U288" s="110" t="s">
        <v>1024</v>
      </c>
      <c r="V288" s="110">
        <v>49.08</v>
      </c>
      <c r="W288" s="110">
        <v>49.08</v>
      </c>
      <c r="X288" s="110">
        <v>-123.4</v>
      </c>
      <c r="Y288" s="110" t="s">
        <v>585</v>
      </c>
      <c r="Z288" s="110" t="s">
        <v>275</v>
      </c>
      <c r="AA288" s="110" t="s">
        <v>1788</v>
      </c>
      <c r="AB288" s="110" t="s">
        <v>1736</v>
      </c>
      <c r="AC288" s="110" t="s">
        <v>182</v>
      </c>
      <c r="AD288" s="110" t="s">
        <v>333</v>
      </c>
      <c r="AE288" s="110" t="s">
        <v>1123</v>
      </c>
      <c r="AF288" s="110" t="s">
        <v>173</v>
      </c>
      <c r="AG288" s="110">
        <v>6</v>
      </c>
      <c r="AI288" s="110" t="s">
        <v>246</v>
      </c>
      <c r="AJ288" s="110" t="s">
        <v>246</v>
      </c>
      <c r="AK288" s="110" t="s">
        <v>2195</v>
      </c>
      <c r="AL288" s="110" t="s">
        <v>190</v>
      </c>
      <c r="AM288" s="110" t="s">
        <v>174</v>
      </c>
      <c r="AO288" s="110">
        <v>2</v>
      </c>
      <c r="AP288" s="110" t="s">
        <v>190</v>
      </c>
      <c r="AQ288" s="110" t="s">
        <v>176</v>
      </c>
      <c r="AR288" s="110">
        <v>1976</v>
      </c>
      <c r="AS288" s="110" t="s">
        <v>237</v>
      </c>
      <c r="AT288" s="110" t="s">
        <v>420</v>
      </c>
      <c r="AU288" s="110">
        <v>40</v>
      </c>
      <c r="AV288" s="110" t="s">
        <v>1256</v>
      </c>
      <c r="BA288" s="110">
        <v>13.4</v>
      </c>
      <c r="BB288" s="110">
        <v>13.4</v>
      </c>
      <c r="BC288" s="110">
        <v>13.4</v>
      </c>
      <c r="BD288" s="110">
        <v>0</v>
      </c>
      <c r="BE288" s="110" t="s">
        <v>182</v>
      </c>
      <c r="BF288" s="110" t="s">
        <v>412</v>
      </c>
      <c r="BH288" s="110" t="s">
        <v>174</v>
      </c>
      <c r="BI288" s="110" t="s">
        <v>182</v>
      </c>
      <c r="BJ288" s="110" t="s">
        <v>412</v>
      </c>
      <c r="BK288" s="110">
        <v>3</v>
      </c>
      <c r="BL288" s="110">
        <v>3</v>
      </c>
      <c r="BM288" s="110" t="s">
        <v>2435</v>
      </c>
      <c r="BP288" s="110" t="s">
        <v>174</v>
      </c>
      <c r="BQ288" s="110" t="s">
        <v>174</v>
      </c>
      <c r="BR288" s="110">
        <v>13</v>
      </c>
      <c r="BS288" s="110">
        <v>30</v>
      </c>
      <c r="BT288" s="110" t="s">
        <v>2256</v>
      </c>
      <c r="BU288" s="110" t="s">
        <v>2606</v>
      </c>
      <c r="BV288" s="110" t="s">
        <v>2256</v>
      </c>
      <c r="CA288" s="110">
        <v>7.692307692</v>
      </c>
      <c r="CB288" s="110">
        <v>6.5</v>
      </c>
      <c r="CC288" s="110" t="b">
        <v>0</v>
      </c>
      <c r="CD288" s="110">
        <v>0</v>
      </c>
      <c r="CE288" s="110">
        <v>0</v>
      </c>
      <c r="CF288" s="110" t="s">
        <v>246</v>
      </c>
      <c r="CG288" s="110" t="s">
        <v>174</v>
      </c>
      <c r="CH288" s="110" t="s">
        <v>1034</v>
      </c>
      <c r="CI288" s="110" t="s">
        <v>1063</v>
      </c>
      <c r="CJ288" s="110" t="s">
        <v>1060</v>
      </c>
    </row>
    <row r="289" spans="1:88">
      <c r="A289" s="110" t="s">
        <v>2896</v>
      </c>
      <c r="B289" s="110">
        <v>57</v>
      </c>
      <c r="C289" s="110">
        <v>1</v>
      </c>
      <c r="D289" s="110">
        <v>2</v>
      </c>
      <c r="E289" s="110">
        <v>288</v>
      </c>
      <c r="F289" s="110">
        <v>1984</v>
      </c>
      <c r="G289" s="110" t="s">
        <v>187</v>
      </c>
      <c r="H289" s="110" t="s">
        <v>2437</v>
      </c>
      <c r="I289" s="110" t="s">
        <v>182</v>
      </c>
      <c r="J289" s="110" t="s">
        <v>246</v>
      </c>
      <c r="K289" s="110" t="s">
        <v>184</v>
      </c>
      <c r="L289" s="110" t="s">
        <v>184</v>
      </c>
      <c r="M289" s="110" t="s">
        <v>3175</v>
      </c>
      <c r="P289" s="110" t="s">
        <v>3184</v>
      </c>
      <c r="R289" s="110" t="s">
        <v>272</v>
      </c>
      <c r="S289" s="110" t="s">
        <v>443</v>
      </c>
      <c r="T289" s="110" t="s">
        <v>611</v>
      </c>
      <c r="U289" s="110" t="s">
        <v>931</v>
      </c>
      <c r="V289" s="110">
        <v>49.08</v>
      </c>
      <c r="W289" s="110">
        <v>49.08</v>
      </c>
      <c r="X289" s="110">
        <v>-123.4</v>
      </c>
      <c r="Y289" s="110" t="s">
        <v>585</v>
      </c>
      <c r="Z289" s="110" t="s">
        <v>275</v>
      </c>
      <c r="AA289" s="110" t="s">
        <v>1788</v>
      </c>
      <c r="AB289" s="110" t="s">
        <v>1910</v>
      </c>
      <c r="AC289" s="110" t="s">
        <v>182</v>
      </c>
      <c r="AD289" s="110" t="s">
        <v>1256</v>
      </c>
      <c r="AE289" s="110" t="s">
        <v>187</v>
      </c>
      <c r="AF289" s="110" t="s">
        <v>190</v>
      </c>
      <c r="AG289" s="110" t="s">
        <v>190</v>
      </c>
      <c r="AI289" s="110" t="s">
        <v>246</v>
      </c>
      <c r="AK289" s="110" t="s">
        <v>439</v>
      </c>
      <c r="AL289" s="110" t="s">
        <v>1167</v>
      </c>
      <c r="AM289" s="110">
        <v>100</v>
      </c>
      <c r="AN289" s="110" t="s">
        <v>412</v>
      </c>
      <c r="AO289" s="110" t="s">
        <v>190</v>
      </c>
      <c r="AP289" s="110" t="s">
        <v>190</v>
      </c>
      <c r="AQ289" s="110" t="s">
        <v>176</v>
      </c>
      <c r="AR289" s="110" t="s">
        <v>1766</v>
      </c>
      <c r="AS289" s="110" t="s">
        <v>1766</v>
      </c>
      <c r="AT289" s="110" t="s">
        <v>1766</v>
      </c>
      <c r="AU289" s="110">
        <v>0.1</v>
      </c>
      <c r="AV289" s="110" t="s">
        <v>174</v>
      </c>
      <c r="BA289" s="110">
        <v>15</v>
      </c>
      <c r="BB289" s="110">
        <v>15</v>
      </c>
      <c r="BC289" s="110">
        <v>15</v>
      </c>
      <c r="BD289" s="110">
        <v>0</v>
      </c>
      <c r="BE289" s="110" t="s">
        <v>182</v>
      </c>
      <c r="BF289" s="110" t="s">
        <v>412</v>
      </c>
      <c r="BH289" s="110" t="s">
        <v>174</v>
      </c>
      <c r="BI289" s="110" t="s">
        <v>246</v>
      </c>
      <c r="BJ289" s="110" t="s">
        <v>412</v>
      </c>
      <c r="BK289" s="110" t="s">
        <v>174</v>
      </c>
      <c r="BL289" s="110">
        <v>3</v>
      </c>
      <c r="BM289" s="110" t="s">
        <v>174</v>
      </c>
      <c r="BN289" s="110" t="s">
        <v>174</v>
      </c>
      <c r="BO289" s="110" t="s">
        <v>174</v>
      </c>
      <c r="BP289" s="110" t="s">
        <v>174</v>
      </c>
      <c r="BQ289" s="110">
        <v>100</v>
      </c>
      <c r="BS289" s="110">
        <v>30</v>
      </c>
      <c r="BT289" s="110" t="s">
        <v>1387</v>
      </c>
      <c r="BU289" s="110" t="s">
        <v>2606</v>
      </c>
      <c r="BV289" s="110" t="s">
        <v>1387</v>
      </c>
      <c r="BZ289" s="110" t="s">
        <v>174</v>
      </c>
      <c r="CB289" s="110" t="s">
        <v>190</v>
      </c>
      <c r="CC289" s="110" t="b">
        <v>0</v>
      </c>
      <c r="CD289" s="110">
        <v>100</v>
      </c>
      <c r="CE289" s="110" t="s">
        <v>2256</v>
      </c>
      <c r="CF289" s="110" t="s">
        <v>2256</v>
      </c>
      <c r="CG289" s="110" t="s">
        <v>174</v>
      </c>
      <c r="CH289" s="110" t="s">
        <v>611</v>
      </c>
      <c r="CI289" s="110" t="s">
        <v>1063</v>
      </c>
      <c r="CJ289" s="110" t="s">
        <v>1061</v>
      </c>
    </row>
    <row r="290" spans="1:88">
      <c r="A290" s="110" t="s">
        <v>2897</v>
      </c>
      <c r="B290" s="110">
        <v>57</v>
      </c>
      <c r="C290" s="110">
        <v>1</v>
      </c>
      <c r="D290" s="110">
        <v>2</v>
      </c>
      <c r="E290" s="110">
        <v>289</v>
      </c>
      <c r="F290" s="110">
        <v>1984</v>
      </c>
      <c r="G290" s="110" t="s">
        <v>187</v>
      </c>
      <c r="H290" s="110" t="s">
        <v>2437</v>
      </c>
      <c r="I290" s="110" t="s">
        <v>182</v>
      </c>
      <c r="J290" s="110" t="s">
        <v>246</v>
      </c>
      <c r="K290" s="110" t="s">
        <v>184</v>
      </c>
      <c r="L290" s="110" t="s">
        <v>184</v>
      </c>
      <c r="M290" s="110" t="s">
        <v>3175</v>
      </c>
      <c r="P290" s="110" t="s">
        <v>3184</v>
      </c>
      <c r="R290" s="110" t="s">
        <v>2611</v>
      </c>
      <c r="S290" s="110" t="s">
        <v>446</v>
      </c>
      <c r="T290" s="110" t="s">
        <v>1027</v>
      </c>
      <c r="U290" s="110" t="s">
        <v>1028</v>
      </c>
      <c r="V290" s="110">
        <v>49.08</v>
      </c>
      <c r="W290" s="110">
        <v>49.08</v>
      </c>
      <c r="X290" s="110">
        <v>-123.4</v>
      </c>
      <c r="Y290" s="110" t="s">
        <v>585</v>
      </c>
      <c r="Z290" s="110" t="s">
        <v>275</v>
      </c>
      <c r="AA290" s="110" t="s">
        <v>1788</v>
      </c>
      <c r="AB290" s="110" t="s">
        <v>1910</v>
      </c>
      <c r="AC290" s="110" t="s">
        <v>182</v>
      </c>
      <c r="AD290" s="110" t="s">
        <v>1256</v>
      </c>
      <c r="AE290" s="110" t="s">
        <v>187</v>
      </c>
      <c r="AF290" s="110" t="s">
        <v>190</v>
      </c>
      <c r="AG290" s="110" t="s">
        <v>190</v>
      </c>
      <c r="AI290" s="110" t="s">
        <v>246</v>
      </c>
      <c r="AK290" s="110" t="s">
        <v>439</v>
      </c>
      <c r="AL290" s="110" t="s">
        <v>1167</v>
      </c>
      <c r="AM290" s="110">
        <v>100</v>
      </c>
      <c r="AN290" s="110" t="s">
        <v>412</v>
      </c>
      <c r="AO290" s="110" t="s">
        <v>190</v>
      </c>
      <c r="AP290" s="110" t="s">
        <v>190</v>
      </c>
      <c r="AQ290" s="110" t="s">
        <v>176</v>
      </c>
      <c r="AR290" s="110" t="s">
        <v>1766</v>
      </c>
      <c r="AS290" s="110" t="s">
        <v>1766</v>
      </c>
      <c r="AT290" s="110" t="s">
        <v>1766</v>
      </c>
      <c r="AU290" s="110">
        <v>0.1</v>
      </c>
      <c r="AV290" s="110" t="s">
        <v>174</v>
      </c>
      <c r="BA290" s="110">
        <v>15</v>
      </c>
      <c r="BB290" s="110">
        <v>15</v>
      </c>
      <c r="BC290" s="110">
        <v>15</v>
      </c>
      <c r="BD290" s="110">
        <v>0</v>
      </c>
      <c r="BE290" s="110" t="s">
        <v>182</v>
      </c>
      <c r="BF290" s="110" t="s">
        <v>412</v>
      </c>
      <c r="BH290" s="110" t="s">
        <v>174</v>
      </c>
      <c r="BI290" s="110" t="s">
        <v>246</v>
      </c>
      <c r="BJ290" s="110" t="s">
        <v>412</v>
      </c>
      <c r="BK290" s="110" t="s">
        <v>174</v>
      </c>
      <c r="BL290" s="110">
        <v>3</v>
      </c>
      <c r="BM290" s="110" t="s">
        <v>174</v>
      </c>
      <c r="BN290" s="110" t="s">
        <v>174</v>
      </c>
      <c r="BO290" s="110" t="s">
        <v>174</v>
      </c>
      <c r="BP290" s="110" t="s">
        <v>174</v>
      </c>
      <c r="BQ290" s="110">
        <v>100</v>
      </c>
      <c r="BS290" s="110">
        <v>30</v>
      </c>
      <c r="BT290" s="110" t="s">
        <v>1387</v>
      </c>
      <c r="BU290" s="110" t="s">
        <v>2606</v>
      </c>
      <c r="BV290" s="110" t="s">
        <v>1387</v>
      </c>
      <c r="BZ290" s="110" t="s">
        <v>174</v>
      </c>
      <c r="CB290" s="110" t="s">
        <v>190</v>
      </c>
      <c r="CC290" s="110" t="b">
        <v>0</v>
      </c>
      <c r="CD290" s="110">
        <v>100</v>
      </c>
      <c r="CE290" s="110" t="s">
        <v>2256</v>
      </c>
      <c r="CF290" s="110" t="s">
        <v>2256</v>
      </c>
      <c r="CG290" s="110" t="s">
        <v>174</v>
      </c>
      <c r="CH290" s="110" t="s">
        <v>1027</v>
      </c>
      <c r="CI290" s="110" t="s">
        <v>1063</v>
      </c>
      <c r="CJ290" s="110" t="s">
        <v>1062</v>
      </c>
    </row>
    <row r="291" spans="1:88">
      <c r="A291" s="110" t="s">
        <v>2898</v>
      </c>
      <c r="B291" s="110">
        <v>57</v>
      </c>
      <c r="C291" s="110">
        <v>1</v>
      </c>
      <c r="D291" s="110">
        <v>2</v>
      </c>
      <c r="E291" s="110">
        <v>290</v>
      </c>
      <c r="F291" s="110">
        <v>1984</v>
      </c>
      <c r="G291" s="110" t="s">
        <v>187</v>
      </c>
      <c r="H291" s="110" t="s">
        <v>2437</v>
      </c>
      <c r="I291" s="110" t="s">
        <v>182</v>
      </c>
      <c r="J291" s="110" t="s">
        <v>246</v>
      </c>
      <c r="K291" s="110" t="s">
        <v>184</v>
      </c>
      <c r="L291" s="110" t="s">
        <v>184</v>
      </c>
      <c r="M291" s="110" t="s">
        <v>3175</v>
      </c>
      <c r="P291" s="110" t="s">
        <v>3184</v>
      </c>
      <c r="R291" s="110" t="s">
        <v>1976</v>
      </c>
      <c r="S291" s="110" t="s">
        <v>446</v>
      </c>
      <c r="T291" s="110" t="s">
        <v>2192</v>
      </c>
      <c r="U291" s="110" t="s">
        <v>1029</v>
      </c>
      <c r="V291" s="110">
        <v>49.08</v>
      </c>
      <c r="W291" s="110">
        <v>49.08</v>
      </c>
      <c r="X291" s="110">
        <v>-123.4</v>
      </c>
      <c r="Y291" s="110" t="s">
        <v>585</v>
      </c>
      <c r="Z291" s="110" t="s">
        <v>275</v>
      </c>
      <c r="AA291" s="110" t="s">
        <v>1788</v>
      </c>
      <c r="AB291" s="110" t="s">
        <v>1910</v>
      </c>
      <c r="AC291" s="110" t="s">
        <v>182</v>
      </c>
      <c r="AD291" s="110" t="s">
        <v>1256</v>
      </c>
      <c r="AE291" s="110" t="s">
        <v>187</v>
      </c>
      <c r="AF291" s="110" t="s">
        <v>190</v>
      </c>
      <c r="AG291" s="110" t="s">
        <v>190</v>
      </c>
      <c r="AI291" s="110" t="s">
        <v>246</v>
      </c>
      <c r="AK291" s="110" t="s">
        <v>439</v>
      </c>
      <c r="AL291" s="110" t="s">
        <v>1167</v>
      </c>
      <c r="AM291" s="110">
        <v>100</v>
      </c>
      <c r="AN291" s="110" t="s">
        <v>412</v>
      </c>
      <c r="AO291" s="110" t="s">
        <v>190</v>
      </c>
      <c r="AP291" s="110" t="s">
        <v>190</v>
      </c>
      <c r="AQ291" s="110" t="s">
        <v>176</v>
      </c>
      <c r="AR291" s="110" t="s">
        <v>1766</v>
      </c>
      <c r="AS291" s="110" t="s">
        <v>1766</v>
      </c>
      <c r="AT291" s="110" t="s">
        <v>1766</v>
      </c>
      <c r="AU291" s="110">
        <v>0.1</v>
      </c>
      <c r="AV291" s="110" t="s">
        <v>174</v>
      </c>
      <c r="BA291" s="110">
        <v>15</v>
      </c>
      <c r="BB291" s="110">
        <v>15</v>
      </c>
      <c r="BC291" s="110">
        <v>15</v>
      </c>
      <c r="BD291" s="110">
        <v>0</v>
      </c>
      <c r="BE291" s="110" t="s">
        <v>182</v>
      </c>
      <c r="BF291" s="110" t="s">
        <v>412</v>
      </c>
      <c r="BH291" s="110" t="s">
        <v>174</v>
      </c>
      <c r="BI291" s="110" t="s">
        <v>246</v>
      </c>
      <c r="BJ291" s="110" t="s">
        <v>412</v>
      </c>
      <c r="BK291" s="110" t="s">
        <v>174</v>
      </c>
      <c r="BL291" s="110">
        <v>3</v>
      </c>
      <c r="BM291" s="110" t="s">
        <v>174</v>
      </c>
      <c r="BN291" s="110" t="s">
        <v>174</v>
      </c>
      <c r="BO291" s="110" t="s">
        <v>174</v>
      </c>
      <c r="BP291" s="110" t="s">
        <v>174</v>
      </c>
      <c r="BQ291" s="110">
        <v>100</v>
      </c>
      <c r="BS291" s="110">
        <v>30</v>
      </c>
      <c r="BT291" s="110" t="s">
        <v>1387</v>
      </c>
      <c r="BU291" s="110" t="s">
        <v>2606</v>
      </c>
      <c r="BV291" s="110" t="s">
        <v>1387</v>
      </c>
      <c r="BZ291" s="110" t="s">
        <v>174</v>
      </c>
      <c r="CB291" s="110" t="s">
        <v>190</v>
      </c>
      <c r="CC291" s="110" t="b">
        <v>0</v>
      </c>
      <c r="CD291" s="110">
        <v>98</v>
      </c>
      <c r="CE291" s="110" t="s">
        <v>2256</v>
      </c>
      <c r="CF291" s="110" t="s">
        <v>2256</v>
      </c>
      <c r="CG291" s="110" t="s">
        <v>174</v>
      </c>
      <c r="CH291" s="110" t="s">
        <v>2192</v>
      </c>
      <c r="CI291" s="110" t="s">
        <v>1063</v>
      </c>
      <c r="CJ291" s="110" t="s">
        <v>1049</v>
      </c>
    </row>
    <row r="292" spans="1:88">
      <c r="A292" s="110" t="s">
        <v>2899</v>
      </c>
      <c r="B292" s="110">
        <v>57</v>
      </c>
      <c r="C292" s="110">
        <v>1</v>
      </c>
      <c r="D292" s="110">
        <v>2</v>
      </c>
      <c r="E292" s="110">
        <v>291</v>
      </c>
      <c r="F292" s="110">
        <v>1984</v>
      </c>
      <c r="G292" s="110" t="s">
        <v>187</v>
      </c>
      <c r="H292" s="110" t="s">
        <v>2437</v>
      </c>
      <c r="I292" s="110" t="s">
        <v>182</v>
      </c>
      <c r="J292" s="110" t="s">
        <v>246</v>
      </c>
      <c r="K292" s="110" t="s">
        <v>184</v>
      </c>
      <c r="L292" s="110" t="s">
        <v>184</v>
      </c>
      <c r="M292" s="110" t="s">
        <v>3175</v>
      </c>
      <c r="P292" s="110" t="s">
        <v>3184</v>
      </c>
      <c r="R292" s="110" t="s">
        <v>2611</v>
      </c>
      <c r="S292" s="110" t="s">
        <v>446</v>
      </c>
      <c r="T292" s="110" t="s">
        <v>1030</v>
      </c>
      <c r="U292" s="110" t="s">
        <v>1031</v>
      </c>
      <c r="V292" s="110">
        <v>49.08</v>
      </c>
      <c r="W292" s="110">
        <v>49.08</v>
      </c>
      <c r="X292" s="110">
        <v>-123.4</v>
      </c>
      <c r="Y292" s="110" t="s">
        <v>585</v>
      </c>
      <c r="Z292" s="110" t="s">
        <v>275</v>
      </c>
      <c r="AA292" s="110" t="s">
        <v>1788</v>
      </c>
      <c r="AB292" s="110" t="s">
        <v>1910</v>
      </c>
      <c r="AC292" s="110" t="s">
        <v>182</v>
      </c>
      <c r="AD292" s="110" t="s">
        <v>1256</v>
      </c>
      <c r="AE292" s="110" t="s">
        <v>187</v>
      </c>
      <c r="AF292" s="110" t="s">
        <v>190</v>
      </c>
      <c r="AG292" s="110" t="s">
        <v>190</v>
      </c>
      <c r="AI292" s="110" t="s">
        <v>246</v>
      </c>
      <c r="AK292" s="110" t="s">
        <v>439</v>
      </c>
      <c r="AL292" s="110" t="s">
        <v>1167</v>
      </c>
      <c r="AM292" s="110">
        <v>100</v>
      </c>
      <c r="AN292" s="110" t="s">
        <v>412</v>
      </c>
      <c r="AO292" s="110" t="s">
        <v>190</v>
      </c>
      <c r="AP292" s="110" t="s">
        <v>190</v>
      </c>
      <c r="AQ292" s="110" t="s">
        <v>176</v>
      </c>
      <c r="AR292" s="110" t="s">
        <v>1766</v>
      </c>
      <c r="AS292" s="110" t="s">
        <v>1766</v>
      </c>
      <c r="AT292" s="110" t="s">
        <v>1766</v>
      </c>
      <c r="AU292" s="110">
        <v>0.1</v>
      </c>
      <c r="AV292" s="110" t="s">
        <v>174</v>
      </c>
      <c r="BA292" s="110">
        <v>15</v>
      </c>
      <c r="BB292" s="110">
        <v>15</v>
      </c>
      <c r="BC292" s="110">
        <v>15</v>
      </c>
      <c r="BD292" s="110">
        <v>0</v>
      </c>
      <c r="BE292" s="110" t="s">
        <v>182</v>
      </c>
      <c r="BF292" s="110" t="s">
        <v>412</v>
      </c>
      <c r="BH292" s="110" t="s">
        <v>174</v>
      </c>
      <c r="BI292" s="110" t="s">
        <v>246</v>
      </c>
      <c r="BJ292" s="110" t="s">
        <v>412</v>
      </c>
      <c r="BK292" s="110" t="s">
        <v>174</v>
      </c>
      <c r="BL292" s="110">
        <v>3</v>
      </c>
      <c r="BM292" s="110" t="s">
        <v>174</v>
      </c>
      <c r="BN292" s="110" t="s">
        <v>174</v>
      </c>
      <c r="BO292" s="110" t="s">
        <v>174</v>
      </c>
      <c r="BP292" s="110" t="s">
        <v>174</v>
      </c>
      <c r="BQ292" s="110" t="s">
        <v>174</v>
      </c>
      <c r="BS292" s="110">
        <v>30</v>
      </c>
      <c r="BT292" s="110" t="s">
        <v>1387</v>
      </c>
      <c r="BU292" s="110" t="s">
        <v>2606</v>
      </c>
      <c r="BV292" s="110" t="s">
        <v>1387</v>
      </c>
      <c r="BZ292" s="110" t="s">
        <v>174</v>
      </c>
      <c r="CB292" s="110" t="s">
        <v>190</v>
      </c>
      <c r="CC292" s="110" t="b">
        <v>0</v>
      </c>
      <c r="CD292" s="110">
        <v>91</v>
      </c>
      <c r="CE292" s="110" t="s">
        <v>2256</v>
      </c>
      <c r="CF292" s="110" t="s">
        <v>2256</v>
      </c>
      <c r="CG292" s="110">
        <v>333</v>
      </c>
      <c r="CH292" s="110" t="s">
        <v>1030</v>
      </c>
      <c r="CI292" s="110" t="s">
        <v>1063</v>
      </c>
      <c r="CJ292" s="110" t="s">
        <v>1047</v>
      </c>
    </row>
    <row r="293" spans="1:88">
      <c r="A293" s="110" t="s">
        <v>2900</v>
      </c>
      <c r="B293" s="110">
        <v>57</v>
      </c>
      <c r="C293" s="110">
        <v>1</v>
      </c>
      <c r="D293" s="110">
        <v>2</v>
      </c>
      <c r="E293" s="110">
        <v>292</v>
      </c>
      <c r="F293" s="110">
        <v>1984</v>
      </c>
      <c r="G293" s="110" t="s">
        <v>187</v>
      </c>
      <c r="H293" s="110" t="s">
        <v>2437</v>
      </c>
      <c r="I293" s="110" t="s">
        <v>182</v>
      </c>
      <c r="J293" s="110" t="s">
        <v>246</v>
      </c>
      <c r="K293" s="110" t="s">
        <v>184</v>
      </c>
      <c r="L293" s="110" t="s">
        <v>184</v>
      </c>
      <c r="M293" s="110" t="s">
        <v>3175</v>
      </c>
      <c r="P293" s="110" t="s">
        <v>3184</v>
      </c>
      <c r="R293" s="110" t="s">
        <v>2611</v>
      </c>
      <c r="S293" s="110" t="s">
        <v>446</v>
      </c>
      <c r="T293" s="110" t="s">
        <v>1025</v>
      </c>
      <c r="U293" s="110" t="s">
        <v>1026</v>
      </c>
      <c r="V293" s="110">
        <v>49.08</v>
      </c>
      <c r="W293" s="110">
        <v>49.08</v>
      </c>
      <c r="X293" s="110">
        <v>-123.4</v>
      </c>
      <c r="Y293" s="110" t="s">
        <v>585</v>
      </c>
      <c r="Z293" s="110" t="s">
        <v>275</v>
      </c>
      <c r="AA293" s="110" t="s">
        <v>1788</v>
      </c>
      <c r="AB293" s="110" t="s">
        <v>1910</v>
      </c>
      <c r="AC293" s="110" t="s">
        <v>182</v>
      </c>
      <c r="AD293" s="110" t="s">
        <v>1256</v>
      </c>
      <c r="AE293" s="110" t="s">
        <v>187</v>
      </c>
      <c r="AF293" s="110" t="s">
        <v>190</v>
      </c>
      <c r="AG293" s="110" t="s">
        <v>190</v>
      </c>
      <c r="AI293" s="110" t="s">
        <v>246</v>
      </c>
      <c r="AK293" s="110" t="s">
        <v>439</v>
      </c>
      <c r="AL293" s="110" t="s">
        <v>1167</v>
      </c>
      <c r="AM293" s="110">
        <v>100</v>
      </c>
      <c r="AN293" s="110" t="s">
        <v>412</v>
      </c>
      <c r="AO293" s="110" t="s">
        <v>190</v>
      </c>
      <c r="AP293" s="110" t="s">
        <v>190</v>
      </c>
      <c r="AQ293" s="110" t="s">
        <v>176</v>
      </c>
      <c r="AR293" s="110" t="s">
        <v>1766</v>
      </c>
      <c r="AS293" s="110" t="s">
        <v>1766</v>
      </c>
      <c r="AT293" s="110" t="s">
        <v>1766</v>
      </c>
      <c r="AU293" s="110">
        <v>0.1</v>
      </c>
      <c r="AV293" s="110" t="s">
        <v>174</v>
      </c>
      <c r="BA293" s="110">
        <v>15</v>
      </c>
      <c r="BB293" s="110">
        <v>15</v>
      </c>
      <c r="BC293" s="110">
        <v>15</v>
      </c>
      <c r="BD293" s="110">
        <v>0</v>
      </c>
      <c r="BE293" s="110" t="s">
        <v>182</v>
      </c>
      <c r="BF293" s="110" t="s">
        <v>412</v>
      </c>
      <c r="BH293" s="110" t="s">
        <v>174</v>
      </c>
      <c r="BI293" s="110" t="s">
        <v>246</v>
      </c>
      <c r="BJ293" s="110" t="s">
        <v>412</v>
      </c>
      <c r="BK293" s="110" t="s">
        <v>174</v>
      </c>
      <c r="BL293" s="110">
        <v>3</v>
      </c>
      <c r="BM293" s="110" t="s">
        <v>174</v>
      </c>
      <c r="BN293" s="110" t="s">
        <v>174</v>
      </c>
      <c r="BO293" s="110" t="s">
        <v>174</v>
      </c>
      <c r="BP293" s="110" t="s">
        <v>174</v>
      </c>
      <c r="BQ293" s="110" t="s">
        <v>174</v>
      </c>
      <c r="BS293" s="110">
        <v>30</v>
      </c>
      <c r="BT293" s="110" t="s">
        <v>1387</v>
      </c>
      <c r="BU293" s="110" t="s">
        <v>2606</v>
      </c>
      <c r="BV293" s="110" t="s">
        <v>1387</v>
      </c>
      <c r="BZ293" s="110" t="s">
        <v>174</v>
      </c>
      <c r="CB293" s="110" t="s">
        <v>190</v>
      </c>
      <c r="CC293" s="110" t="b">
        <v>0</v>
      </c>
      <c r="CD293" s="110">
        <v>85</v>
      </c>
      <c r="CE293" s="110" t="s">
        <v>2256</v>
      </c>
      <c r="CF293" s="110" t="s">
        <v>2256</v>
      </c>
      <c r="CG293" s="110">
        <v>200</v>
      </c>
      <c r="CH293" s="110" t="s">
        <v>1025</v>
      </c>
      <c r="CI293" s="110" t="s">
        <v>1063</v>
      </c>
      <c r="CJ293" s="110" t="s">
        <v>1048</v>
      </c>
    </row>
    <row r="294" spans="1:88">
      <c r="A294" s="110" t="s">
        <v>2901</v>
      </c>
      <c r="B294" s="110">
        <v>57</v>
      </c>
      <c r="C294" s="110">
        <v>1</v>
      </c>
      <c r="D294" s="110">
        <v>2</v>
      </c>
      <c r="E294" s="110">
        <v>293</v>
      </c>
      <c r="F294" s="110">
        <v>1984</v>
      </c>
      <c r="G294" s="110" t="s">
        <v>187</v>
      </c>
      <c r="H294" s="110" t="s">
        <v>2437</v>
      </c>
      <c r="I294" s="110" t="s">
        <v>182</v>
      </c>
      <c r="J294" s="110" t="s">
        <v>246</v>
      </c>
      <c r="K294" s="110" t="s">
        <v>184</v>
      </c>
      <c r="L294" s="110" t="s">
        <v>184</v>
      </c>
      <c r="M294" s="110" t="s">
        <v>3175</v>
      </c>
      <c r="P294" s="110" t="s">
        <v>3184</v>
      </c>
      <c r="R294" s="110" t="s">
        <v>2611</v>
      </c>
      <c r="S294" s="110" t="s">
        <v>446</v>
      </c>
      <c r="T294" s="110" t="s">
        <v>2189</v>
      </c>
      <c r="U294" s="110" t="s">
        <v>2190</v>
      </c>
      <c r="V294" s="110">
        <v>49.08</v>
      </c>
      <c r="W294" s="110">
        <v>49.08</v>
      </c>
      <c r="X294" s="110">
        <v>-123.4</v>
      </c>
      <c r="Y294" s="110" t="s">
        <v>585</v>
      </c>
      <c r="Z294" s="110" t="s">
        <v>275</v>
      </c>
      <c r="AA294" s="110" t="s">
        <v>1788</v>
      </c>
      <c r="AB294" s="110" t="s">
        <v>1910</v>
      </c>
      <c r="AC294" s="110" t="s">
        <v>182</v>
      </c>
      <c r="AD294" s="110" t="s">
        <v>1256</v>
      </c>
      <c r="AE294" s="110" t="s">
        <v>187</v>
      </c>
      <c r="AF294" s="110" t="s">
        <v>190</v>
      </c>
      <c r="AG294" s="110" t="s">
        <v>190</v>
      </c>
      <c r="AI294" s="110" t="s">
        <v>246</v>
      </c>
      <c r="AK294" s="110" t="s">
        <v>439</v>
      </c>
      <c r="AL294" s="110" t="s">
        <v>1167</v>
      </c>
      <c r="AM294" s="110">
        <v>100</v>
      </c>
      <c r="AN294" s="110" t="s">
        <v>412</v>
      </c>
      <c r="AO294" s="110" t="s">
        <v>190</v>
      </c>
      <c r="AP294" s="110" t="s">
        <v>190</v>
      </c>
      <c r="AQ294" s="110" t="s">
        <v>176</v>
      </c>
      <c r="AR294" s="110" t="s">
        <v>1766</v>
      </c>
      <c r="AS294" s="110" t="s">
        <v>1766</v>
      </c>
      <c r="AT294" s="110" t="s">
        <v>1766</v>
      </c>
      <c r="AU294" s="110">
        <v>0.1</v>
      </c>
      <c r="AV294" s="110" t="s">
        <v>174</v>
      </c>
      <c r="BA294" s="110">
        <v>15</v>
      </c>
      <c r="BB294" s="110">
        <v>15</v>
      </c>
      <c r="BC294" s="110">
        <v>15</v>
      </c>
      <c r="BD294" s="110">
        <v>0</v>
      </c>
      <c r="BE294" s="110" t="s">
        <v>182</v>
      </c>
      <c r="BF294" s="110" t="s">
        <v>412</v>
      </c>
      <c r="BH294" s="110" t="s">
        <v>174</v>
      </c>
      <c r="BI294" s="110" t="s">
        <v>246</v>
      </c>
      <c r="BJ294" s="110" t="s">
        <v>412</v>
      </c>
      <c r="BK294" s="110" t="s">
        <v>174</v>
      </c>
      <c r="BL294" s="110">
        <v>3</v>
      </c>
      <c r="BM294" s="110" t="s">
        <v>174</v>
      </c>
      <c r="BN294" s="110" t="s">
        <v>174</v>
      </c>
      <c r="BO294" s="110" t="s">
        <v>174</v>
      </c>
      <c r="BP294" s="110" t="s">
        <v>174</v>
      </c>
      <c r="BS294" s="110">
        <v>30</v>
      </c>
      <c r="BT294" s="110" t="s">
        <v>1385</v>
      </c>
      <c r="BU294" s="110" t="s">
        <v>3207</v>
      </c>
      <c r="BV294" s="110" t="s">
        <v>2603</v>
      </c>
      <c r="BW294" s="110">
        <v>0.87</v>
      </c>
      <c r="BZ294" s="110">
        <v>0.1411</v>
      </c>
      <c r="CB294" s="110" t="s">
        <v>190</v>
      </c>
      <c r="CC294" s="110" t="b">
        <v>0</v>
      </c>
      <c r="CD294" s="110">
        <v>77.69</v>
      </c>
      <c r="CE294" s="110">
        <v>77.69</v>
      </c>
      <c r="CF294" s="110" t="s">
        <v>182</v>
      </c>
      <c r="CG294" s="110">
        <v>125</v>
      </c>
      <c r="CH294" s="110" t="s">
        <v>2189</v>
      </c>
      <c r="CI294" s="110" t="s">
        <v>1063</v>
      </c>
      <c r="CJ294" s="110" t="s">
        <v>1064</v>
      </c>
    </row>
    <row r="295" spans="1:88">
      <c r="A295" s="110" t="s">
        <v>2902</v>
      </c>
      <c r="B295" s="110">
        <v>57</v>
      </c>
      <c r="C295" s="110">
        <v>1</v>
      </c>
      <c r="D295" s="110">
        <v>2</v>
      </c>
      <c r="E295" s="110">
        <v>294</v>
      </c>
      <c r="F295" s="110">
        <v>1984</v>
      </c>
      <c r="G295" s="110" t="s">
        <v>187</v>
      </c>
      <c r="H295" s="110" t="s">
        <v>2437</v>
      </c>
      <c r="I295" s="110" t="s">
        <v>182</v>
      </c>
      <c r="J295" s="110" t="s">
        <v>246</v>
      </c>
      <c r="K295" s="110" t="s">
        <v>184</v>
      </c>
      <c r="L295" s="110" t="s">
        <v>184</v>
      </c>
      <c r="M295" s="110" t="s">
        <v>3175</v>
      </c>
      <c r="P295" s="110" t="s">
        <v>3184</v>
      </c>
      <c r="R295" s="110" t="s">
        <v>152</v>
      </c>
      <c r="S295" s="110" t="s">
        <v>443</v>
      </c>
      <c r="T295" s="110" t="s">
        <v>1032</v>
      </c>
      <c r="U295" s="110" t="s">
        <v>919</v>
      </c>
      <c r="V295" s="110">
        <v>49.08</v>
      </c>
      <c r="W295" s="110">
        <v>49.08</v>
      </c>
      <c r="X295" s="110">
        <v>-123.4</v>
      </c>
      <c r="Y295" s="110" t="s">
        <v>585</v>
      </c>
      <c r="Z295" s="110" t="s">
        <v>275</v>
      </c>
      <c r="AA295" s="110" t="s">
        <v>1788</v>
      </c>
      <c r="AB295" s="110" t="s">
        <v>1910</v>
      </c>
      <c r="AC295" s="110" t="s">
        <v>182</v>
      </c>
      <c r="AD295" s="110" t="s">
        <v>1256</v>
      </c>
      <c r="AE295" s="110" t="s">
        <v>187</v>
      </c>
      <c r="AF295" s="110" t="s">
        <v>190</v>
      </c>
      <c r="AG295" s="110" t="s">
        <v>190</v>
      </c>
      <c r="AI295" s="110" t="s">
        <v>246</v>
      </c>
      <c r="AK295" s="110" t="s">
        <v>439</v>
      </c>
      <c r="AL295" s="110" t="s">
        <v>1167</v>
      </c>
      <c r="AM295" s="110">
        <v>100</v>
      </c>
      <c r="AN295" s="110" t="s">
        <v>412</v>
      </c>
      <c r="AO295" s="110" t="s">
        <v>190</v>
      </c>
      <c r="AP295" s="110" t="s">
        <v>190</v>
      </c>
      <c r="AQ295" s="110" t="s">
        <v>176</v>
      </c>
      <c r="AR295" s="110" t="s">
        <v>1766</v>
      </c>
      <c r="AS295" s="110" t="s">
        <v>1766</v>
      </c>
      <c r="AT295" s="110" t="s">
        <v>1766</v>
      </c>
      <c r="AU295" s="110">
        <v>0.1</v>
      </c>
      <c r="AV295" s="110" t="s">
        <v>174</v>
      </c>
      <c r="BA295" s="110">
        <v>15</v>
      </c>
      <c r="BB295" s="110">
        <v>15</v>
      </c>
      <c r="BC295" s="110">
        <v>15</v>
      </c>
      <c r="BD295" s="110">
        <v>0</v>
      </c>
      <c r="BE295" s="110" t="s">
        <v>182</v>
      </c>
      <c r="BF295" s="110" t="s">
        <v>412</v>
      </c>
      <c r="BH295" s="110" t="s">
        <v>174</v>
      </c>
      <c r="BI295" s="110" t="s">
        <v>246</v>
      </c>
      <c r="BJ295" s="110" t="s">
        <v>412</v>
      </c>
      <c r="BK295" s="110" t="s">
        <v>174</v>
      </c>
      <c r="BL295" s="110">
        <v>3</v>
      </c>
      <c r="BM295" s="110" t="s">
        <v>174</v>
      </c>
      <c r="BN295" s="110" t="s">
        <v>174</v>
      </c>
      <c r="BO295" s="110" t="s">
        <v>174</v>
      </c>
      <c r="BP295" s="110" t="s">
        <v>174</v>
      </c>
      <c r="BS295" s="110">
        <v>30</v>
      </c>
      <c r="BT295" s="110" t="s">
        <v>1385</v>
      </c>
      <c r="BU295" s="110" t="s">
        <v>3207</v>
      </c>
      <c r="BV295" s="110" t="s">
        <v>2603</v>
      </c>
      <c r="BW295" s="110">
        <v>0.99</v>
      </c>
      <c r="BZ295" s="110">
        <v>8.2400000000000001E-2</v>
      </c>
      <c r="CB295" s="110" t="s">
        <v>190</v>
      </c>
      <c r="CC295" s="110" t="b">
        <v>0</v>
      </c>
      <c r="CD295" s="110">
        <v>60.25</v>
      </c>
      <c r="CE295" s="110">
        <v>60.25</v>
      </c>
      <c r="CF295" s="110" t="s">
        <v>182</v>
      </c>
      <c r="CG295" s="110">
        <v>81.099999999999994</v>
      </c>
      <c r="CH295" s="110" t="s">
        <v>1032</v>
      </c>
      <c r="CI295" s="110" t="s">
        <v>1063</v>
      </c>
      <c r="CJ295" s="110" t="s">
        <v>1064</v>
      </c>
    </row>
    <row r="296" spans="1:88">
      <c r="A296" s="110" t="s">
        <v>2903</v>
      </c>
      <c r="B296" s="110">
        <v>57</v>
      </c>
      <c r="C296" s="110">
        <v>1</v>
      </c>
      <c r="D296" s="110">
        <v>2</v>
      </c>
      <c r="E296" s="110">
        <v>295</v>
      </c>
      <c r="F296" s="110">
        <v>1984</v>
      </c>
      <c r="G296" s="110" t="s">
        <v>187</v>
      </c>
      <c r="H296" s="110" t="s">
        <v>2437</v>
      </c>
      <c r="I296" s="110" t="s">
        <v>182</v>
      </c>
      <c r="J296" s="110" t="s">
        <v>246</v>
      </c>
      <c r="K296" s="110" t="s">
        <v>184</v>
      </c>
      <c r="L296" s="110" t="s">
        <v>184</v>
      </c>
      <c r="M296" s="110" t="s">
        <v>3175</v>
      </c>
      <c r="P296" s="110" t="s">
        <v>3184</v>
      </c>
      <c r="R296" s="110" t="s">
        <v>152</v>
      </c>
      <c r="S296" s="110" t="s">
        <v>443</v>
      </c>
      <c r="T296" s="110" t="s">
        <v>156</v>
      </c>
      <c r="U296" s="110" t="s">
        <v>1033</v>
      </c>
      <c r="V296" s="110">
        <v>49.08</v>
      </c>
      <c r="W296" s="110">
        <v>49.08</v>
      </c>
      <c r="X296" s="110">
        <v>-123.4</v>
      </c>
      <c r="Y296" s="110" t="s">
        <v>585</v>
      </c>
      <c r="Z296" s="110" t="s">
        <v>275</v>
      </c>
      <c r="AA296" s="110" t="s">
        <v>1788</v>
      </c>
      <c r="AB296" s="110" t="s">
        <v>1910</v>
      </c>
      <c r="AC296" s="110" t="s">
        <v>182</v>
      </c>
      <c r="AD296" s="110" t="s">
        <v>1256</v>
      </c>
      <c r="AE296" s="110" t="s">
        <v>187</v>
      </c>
      <c r="AF296" s="110" t="s">
        <v>190</v>
      </c>
      <c r="AG296" s="110" t="s">
        <v>190</v>
      </c>
      <c r="AI296" s="110" t="s">
        <v>246</v>
      </c>
      <c r="AK296" s="110" t="s">
        <v>439</v>
      </c>
      <c r="AL296" s="110" t="s">
        <v>1167</v>
      </c>
      <c r="AM296" s="110">
        <v>100</v>
      </c>
      <c r="AN296" s="110" t="s">
        <v>412</v>
      </c>
      <c r="AO296" s="110" t="s">
        <v>190</v>
      </c>
      <c r="AP296" s="110" t="s">
        <v>190</v>
      </c>
      <c r="AQ296" s="110" t="s">
        <v>176</v>
      </c>
      <c r="AR296" s="110" t="s">
        <v>1766</v>
      </c>
      <c r="AS296" s="110" t="s">
        <v>1766</v>
      </c>
      <c r="AT296" s="110" t="s">
        <v>1766</v>
      </c>
      <c r="AU296" s="110">
        <v>0.1</v>
      </c>
      <c r="AV296" s="110" t="s">
        <v>174</v>
      </c>
      <c r="BA296" s="110">
        <v>15</v>
      </c>
      <c r="BB296" s="110">
        <v>15</v>
      </c>
      <c r="BC296" s="110">
        <v>15</v>
      </c>
      <c r="BD296" s="110">
        <v>0</v>
      </c>
      <c r="BE296" s="110" t="s">
        <v>182</v>
      </c>
      <c r="BF296" s="110" t="s">
        <v>412</v>
      </c>
      <c r="BH296" s="110" t="s">
        <v>174</v>
      </c>
      <c r="BI296" s="110" t="s">
        <v>246</v>
      </c>
      <c r="BJ296" s="110" t="s">
        <v>412</v>
      </c>
      <c r="BK296" s="110" t="s">
        <v>174</v>
      </c>
      <c r="BL296" s="110">
        <v>3</v>
      </c>
      <c r="BM296" s="110" t="s">
        <v>174</v>
      </c>
      <c r="BN296" s="110" t="s">
        <v>174</v>
      </c>
      <c r="BO296" s="110" t="s">
        <v>174</v>
      </c>
      <c r="BP296" s="110" t="s">
        <v>174</v>
      </c>
      <c r="BQ296" s="110">
        <v>63</v>
      </c>
      <c r="BS296" s="110">
        <v>30</v>
      </c>
      <c r="BT296" s="110" t="s">
        <v>1385</v>
      </c>
      <c r="BU296" s="110" t="s">
        <v>3207</v>
      </c>
      <c r="BV296" s="110" t="s">
        <v>2603</v>
      </c>
      <c r="BW296" s="110">
        <v>1</v>
      </c>
      <c r="BZ296" s="110">
        <v>2.2311000000000001</v>
      </c>
      <c r="CB296" s="110" t="s">
        <v>190</v>
      </c>
      <c r="CC296" s="110" t="b">
        <v>0</v>
      </c>
      <c r="CD296" s="110">
        <v>77.69</v>
      </c>
      <c r="CE296" s="110">
        <v>77.69</v>
      </c>
      <c r="CF296" s="110" t="s">
        <v>182</v>
      </c>
      <c r="CG296" s="110">
        <v>81.099999999999994</v>
      </c>
      <c r="CH296" s="110" t="s">
        <v>156</v>
      </c>
      <c r="CI296" s="110" t="s">
        <v>1063</v>
      </c>
      <c r="CJ296" s="110" t="s">
        <v>1064</v>
      </c>
    </row>
    <row r="297" spans="1:88">
      <c r="A297" s="110" t="s">
        <v>2904</v>
      </c>
      <c r="B297" s="110">
        <v>57</v>
      </c>
      <c r="C297" s="110">
        <v>1</v>
      </c>
      <c r="D297" s="110">
        <v>2</v>
      </c>
      <c r="E297" s="110">
        <v>296</v>
      </c>
      <c r="F297" s="110">
        <v>1984</v>
      </c>
      <c r="G297" s="110" t="s">
        <v>187</v>
      </c>
      <c r="H297" s="110" t="s">
        <v>2437</v>
      </c>
      <c r="I297" s="110" t="s">
        <v>182</v>
      </c>
      <c r="J297" s="110" t="s">
        <v>246</v>
      </c>
      <c r="K297" s="110" t="s">
        <v>184</v>
      </c>
      <c r="L297" s="110" t="s">
        <v>184</v>
      </c>
      <c r="M297" s="110" t="s">
        <v>3175</v>
      </c>
      <c r="P297" s="110" t="s">
        <v>3184</v>
      </c>
      <c r="R297" s="110" t="s">
        <v>152</v>
      </c>
      <c r="S297" s="110" t="s">
        <v>443</v>
      </c>
      <c r="T297" s="110" t="s">
        <v>506</v>
      </c>
      <c r="U297" s="110" t="s">
        <v>507</v>
      </c>
      <c r="V297" s="110">
        <v>49.08</v>
      </c>
      <c r="W297" s="110">
        <v>49.08</v>
      </c>
      <c r="X297" s="110">
        <v>-123.4</v>
      </c>
      <c r="Y297" s="110" t="s">
        <v>585</v>
      </c>
      <c r="Z297" s="110" t="s">
        <v>275</v>
      </c>
      <c r="AA297" s="110" t="s">
        <v>1788</v>
      </c>
      <c r="AB297" s="110" t="s">
        <v>1910</v>
      </c>
      <c r="AC297" s="110" t="s">
        <v>182</v>
      </c>
      <c r="AD297" s="110" t="s">
        <v>1256</v>
      </c>
      <c r="AE297" s="110" t="s">
        <v>187</v>
      </c>
      <c r="AF297" s="110" t="s">
        <v>190</v>
      </c>
      <c r="AG297" s="110" t="s">
        <v>190</v>
      </c>
      <c r="AI297" s="110" t="s">
        <v>246</v>
      </c>
      <c r="AK297" s="110" t="s">
        <v>439</v>
      </c>
      <c r="AL297" s="110" t="s">
        <v>1167</v>
      </c>
      <c r="AM297" s="110">
        <v>100</v>
      </c>
      <c r="AN297" s="110" t="s">
        <v>412</v>
      </c>
      <c r="AO297" s="110" t="s">
        <v>190</v>
      </c>
      <c r="AP297" s="110" t="s">
        <v>190</v>
      </c>
      <c r="AQ297" s="110" t="s">
        <v>176</v>
      </c>
      <c r="AR297" s="110" t="s">
        <v>1766</v>
      </c>
      <c r="AS297" s="110" t="s">
        <v>1766</v>
      </c>
      <c r="AT297" s="110" t="s">
        <v>1766</v>
      </c>
      <c r="AU297" s="110">
        <v>0.1</v>
      </c>
      <c r="AV297" s="110" t="s">
        <v>174</v>
      </c>
      <c r="BA297" s="110">
        <v>15</v>
      </c>
      <c r="BB297" s="110">
        <v>15</v>
      </c>
      <c r="BC297" s="110">
        <v>15</v>
      </c>
      <c r="BD297" s="110">
        <v>0</v>
      </c>
      <c r="BE297" s="110" t="s">
        <v>182</v>
      </c>
      <c r="BF297" s="110" t="s">
        <v>412</v>
      </c>
      <c r="BH297" s="110" t="s">
        <v>174</v>
      </c>
      <c r="BI297" s="110" t="s">
        <v>246</v>
      </c>
      <c r="BJ297" s="110" t="s">
        <v>412</v>
      </c>
      <c r="BK297" s="110" t="s">
        <v>174</v>
      </c>
      <c r="BL297" s="110">
        <v>3</v>
      </c>
      <c r="BM297" s="110" t="s">
        <v>174</v>
      </c>
      <c r="BN297" s="110" t="s">
        <v>174</v>
      </c>
      <c r="BO297" s="110" t="s">
        <v>174</v>
      </c>
      <c r="BP297" s="110" t="s">
        <v>174</v>
      </c>
      <c r="BS297" s="110">
        <v>30</v>
      </c>
      <c r="BT297" s="110" t="s">
        <v>1385</v>
      </c>
      <c r="BU297" s="110" t="s">
        <v>3207</v>
      </c>
      <c r="BV297" s="110" t="s">
        <v>2603</v>
      </c>
      <c r="BW297" s="110">
        <v>0.99</v>
      </c>
      <c r="BZ297" s="110">
        <v>7.3899999999999993E-2</v>
      </c>
      <c r="CB297" s="110">
        <v>25.27</v>
      </c>
      <c r="CC297" s="110" t="b">
        <v>0</v>
      </c>
      <c r="CD297" s="110">
        <v>40.83</v>
      </c>
      <c r="CE297" s="110">
        <v>40.83</v>
      </c>
      <c r="CF297" s="110" t="s">
        <v>182</v>
      </c>
      <c r="CG297" s="110">
        <v>57.7</v>
      </c>
      <c r="CH297" s="110" t="s">
        <v>506</v>
      </c>
      <c r="CI297" s="110" t="s">
        <v>1063</v>
      </c>
      <c r="CJ297" s="110" t="s">
        <v>1064</v>
      </c>
    </row>
    <row r="298" spans="1:88">
      <c r="A298" s="110" t="s">
        <v>2905</v>
      </c>
      <c r="B298" s="110">
        <v>57</v>
      </c>
      <c r="C298" s="110">
        <v>1</v>
      </c>
      <c r="D298" s="110">
        <v>2</v>
      </c>
      <c r="E298" s="110">
        <v>297</v>
      </c>
      <c r="F298" s="110">
        <v>1984</v>
      </c>
      <c r="G298" s="110" t="s">
        <v>187</v>
      </c>
      <c r="H298" s="110" t="s">
        <v>2437</v>
      </c>
      <c r="I298" s="110" t="s">
        <v>182</v>
      </c>
      <c r="J298" s="110" t="s">
        <v>246</v>
      </c>
      <c r="K298" s="110" t="s">
        <v>184</v>
      </c>
      <c r="L298" s="110" t="s">
        <v>184</v>
      </c>
      <c r="M298" s="110" t="s">
        <v>3175</v>
      </c>
      <c r="P298" s="110" t="s">
        <v>3184</v>
      </c>
      <c r="R298" s="110" t="s">
        <v>152</v>
      </c>
      <c r="S298" s="110" t="s">
        <v>443</v>
      </c>
      <c r="T298" s="110" t="s">
        <v>506</v>
      </c>
      <c r="U298" s="110" t="s">
        <v>507</v>
      </c>
      <c r="V298" s="110">
        <v>49.08</v>
      </c>
      <c r="W298" s="110">
        <v>49.08</v>
      </c>
      <c r="X298" s="110">
        <v>-123.4</v>
      </c>
      <c r="Y298" s="110" t="s">
        <v>585</v>
      </c>
      <c r="Z298" s="110" t="s">
        <v>275</v>
      </c>
      <c r="AA298" s="110" t="s">
        <v>1788</v>
      </c>
      <c r="AB298" s="110" t="s">
        <v>1910</v>
      </c>
      <c r="AC298" s="110" t="s">
        <v>182</v>
      </c>
      <c r="AD298" s="110" t="s">
        <v>1256</v>
      </c>
      <c r="AE298" s="110" t="s">
        <v>187</v>
      </c>
      <c r="AF298" s="110" t="s">
        <v>190</v>
      </c>
      <c r="AG298" s="110" t="s">
        <v>190</v>
      </c>
      <c r="AI298" s="110" t="s">
        <v>246</v>
      </c>
      <c r="AK298" s="110" t="s">
        <v>439</v>
      </c>
      <c r="AL298" s="110" t="s">
        <v>1167</v>
      </c>
      <c r="AM298" s="110">
        <v>100</v>
      </c>
      <c r="AN298" s="110" t="s">
        <v>412</v>
      </c>
      <c r="AO298" s="110" t="s">
        <v>190</v>
      </c>
      <c r="AP298" s="110" t="s">
        <v>190</v>
      </c>
      <c r="AQ298" s="110" t="s">
        <v>176</v>
      </c>
      <c r="AR298" s="110" t="s">
        <v>1766</v>
      </c>
      <c r="AS298" s="110" t="s">
        <v>1766</v>
      </c>
      <c r="AT298" s="110" t="s">
        <v>1766</v>
      </c>
      <c r="AU298" s="110">
        <v>0.1</v>
      </c>
      <c r="AV298" s="110" t="s">
        <v>174</v>
      </c>
      <c r="BA298" s="110">
        <v>15</v>
      </c>
      <c r="BB298" s="110">
        <v>15</v>
      </c>
      <c r="BC298" s="110">
        <v>15</v>
      </c>
      <c r="BD298" s="110">
        <v>0</v>
      </c>
      <c r="BE298" s="110" t="s">
        <v>182</v>
      </c>
      <c r="BF298" s="110" t="s">
        <v>412</v>
      </c>
      <c r="BH298" s="110" t="s">
        <v>174</v>
      </c>
      <c r="BI298" s="110" t="s">
        <v>246</v>
      </c>
      <c r="BJ298" s="110" t="s">
        <v>412</v>
      </c>
      <c r="BK298" s="110" t="s">
        <v>174</v>
      </c>
      <c r="BL298" s="110">
        <v>3</v>
      </c>
      <c r="BM298" s="110" t="s">
        <v>174</v>
      </c>
      <c r="BN298" s="110" t="s">
        <v>174</v>
      </c>
      <c r="BO298" s="110" t="s">
        <v>174</v>
      </c>
      <c r="BP298" s="110" t="s">
        <v>174</v>
      </c>
      <c r="BS298" s="110">
        <v>30</v>
      </c>
      <c r="BT298" s="110" t="s">
        <v>1385</v>
      </c>
      <c r="BU298" s="110" t="s">
        <v>3207</v>
      </c>
      <c r="BV298" s="110" t="s">
        <v>2603</v>
      </c>
      <c r="BW298" s="110">
        <v>0.997</v>
      </c>
      <c r="BZ298" s="110">
        <v>9.2700000000000005E-2</v>
      </c>
      <c r="CB298" s="110">
        <v>22.69</v>
      </c>
      <c r="CC298" s="110" t="b">
        <v>0</v>
      </c>
      <c r="CD298" s="110">
        <v>43.06</v>
      </c>
      <c r="CE298" s="110">
        <v>43.06</v>
      </c>
      <c r="CF298" s="110" t="s">
        <v>182</v>
      </c>
      <c r="CG298" s="110">
        <v>55.6</v>
      </c>
      <c r="CH298" s="110" t="s">
        <v>506</v>
      </c>
      <c r="CI298" s="110" t="s">
        <v>1063</v>
      </c>
      <c r="CJ298" s="110" t="s">
        <v>1064</v>
      </c>
    </row>
    <row r="299" spans="1:88">
      <c r="A299" s="110" t="s">
        <v>2906</v>
      </c>
      <c r="B299" s="110">
        <v>57</v>
      </c>
      <c r="C299" s="110">
        <v>1</v>
      </c>
      <c r="D299" s="110">
        <v>2</v>
      </c>
      <c r="E299" s="110">
        <v>298</v>
      </c>
      <c r="F299" s="110">
        <v>1984</v>
      </c>
      <c r="G299" s="110" t="s">
        <v>187</v>
      </c>
      <c r="H299" s="110" t="s">
        <v>2437</v>
      </c>
      <c r="I299" s="110" t="s">
        <v>182</v>
      </c>
      <c r="J299" s="110" t="s">
        <v>246</v>
      </c>
      <c r="K299" s="110" t="s">
        <v>184</v>
      </c>
      <c r="L299" s="110" t="s">
        <v>184</v>
      </c>
      <c r="M299" s="110" t="s">
        <v>3175</v>
      </c>
      <c r="P299" s="110" t="s">
        <v>3184</v>
      </c>
      <c r="R299" s="110" t="s">
        <v>2611</v>
      </c>
      <c r="S299" s="110" t="s">
        <v>446</v>
      </c>
      <c r="T299" s="110" t="s">
        <v>1034</v>
      </c>
      <c r="U299" s="110" t="s">
        <v>1024</v>
      </c>
      <c r="V299" s="110">
        <v>49.08</v>
      </c>
      <c r="W299" s="110">
        <v>49.08</v>
      </c>
      <c r="X299" s="110">
        <v>-123.4</v>
      </c>
      <c r="Y299" s="110" t="s">
        <v>585</v>
      </c>
      <c r="Z299" s="110" t="s">
        <v>275</v>
      </c>
      <c r="AA299" s="110" t="s">
        <v>1788</v>
      </c>
      <c r="AB299" s="110" t="s">
        <v>1910</v>
      </c>
      <c r="AC299" s="110" t="s">
        <v>182</v>
      </c>
      <c r="AD299" s="110" t="s">
        <v>1256</v>
      </c>
      <c r="AE299" s="110" t="s">
        <v>187</v>
      </c>
      <c r="AF299" s="110" t="s">
        <v>190</v>
      </c>
      <c r="AG299" s="110" t="s">
        <v>190</v>
      </c>
      <c r="AI299" s="110" t="s">
        <v>246</v>
      </c>
      <c r="AK299" s="110" t="s">
        <v>439</v>
      </c>
      <c r="AL299" s="110" t="s">
        <v>1167</v>
      </c>
      <c r="AM299" s="110">
        <v>100</v>
      </c>
      <c r="AN299" s="110" t="s">
        <v>412</v>
      </c>
      <c r="AO299" s="110" t="s">
        <v>190</v>
      </c>
      <c r="AP299" s="110" t="s">
        <v>190</v>
      </c>
      <c r="AQ299" s="110" t="s">
        <v>176</v>
      </c>
      <c r="AR299" s="110" t="s">
        <v>1766</v>
      </c>
      <c r="AS299" s="110" t="s">
        <v>1766</v>
      </c>
      <c r="AT299" s="110" t="s">
        <v>1766</v>
      </c>
      <c r="AU299" s="110">
        <v>0.1</v>
      </c>
      <c r="AV299" s="110" t="s">
        <v>174</v>
      </c>
      <c r="BA299" s="110">
        <v>15</v>
      </c>
      <c r="BB299" s="110">
        <v>15</v>
      </c>
      <c r="BC299" s="110">
        <v>15</v>
      </c>
      <c r="BD299" s="110">
        <v>0</v>
      </c>
      <c r="BE299" s="110" t="s">
        <v>182</v>
      </c>
      <c r="BF299" s="110" t="s">
        <v>412</v>
      </c>
      <c r="BH299" s="110" t="s">
        <v>174</v>
      </c>
      <c r="BI299" s="110" t="s">
        <v>246</v>
      </c>
      <c r="BJ299" s="110" t="s">
        <v>412</v>
      </c>
      <c r="BK299" s="110" t="s">
        <v>174</v>
      </c>
      <c r="BL299" s="110">
        <v>3</v>
      </c>
      <c r="BM299" s="110" t="s">
        <v>174</v>
      </c>
      <c r="BN299" s="110" t="s">
        <v>174</v>
      </c>
      <c r="BO299" s="110" t="s">
        <v>174</v>
      </c>
      <c r="BP299" s="110" t="s">
        <v>174</v>
      </c>
      <c r="BQ299" s="110">
        <v>25</v>
      </c>
      <c r="BS299" s="110">
        <v>30</v>
      </c>
      <c r="BT299" s="110" t="s">
        <v>1385</v>
      </c>
      <c r="BU299" s="110" t="s">
        <v>3207</v>
      </c>
      <c r="BV299" s="110" t="s">
        <v>2603</v>
      </c>
      <c r="BW299" s="110">
        <v>0.97</v>
      </c>
      <c r="BZ299" s="110">
        <v>0.1376</v>
      </c>
      <c r="CB299" s="110">
        <v>7.58</v>
      </c>
      <c r="CC299" s="110" t="b">
        <v>0</v>
      </c>
      <c r="CD299" s="110">
        <v>22.68</v>
      </c>
      <c r="CE299" s="110">
        <v>22.68</v>
      </c>
      <c r="CF299" s="110" t="s">
        <v>182</v>
      </c>
      <c r="CG299" s="110">
        <v>41.1</v>
      </c>
      <c r="CH299" s="110" t="s">
        <v>1034</v>
      </c>
      <c r="CI299" s="110" t="s">
        <v>1063</v>
      </c>
      <c r="CJ299" s="110" t="s">
        <v>1062</v>
      </c>
    </row>
    <row r="300" spans="1:88">
      <c r="A300" s="110" t="s">
        <v>579</v>
      </c>
      <c r="B300" s="110">
        <v>58</v>
      </c>
      <c r="C300" s="110">
        <v>2</v>
      </c>
      <c r="D300" s="110">
        <v>1</v>
      </c>
      <c r="E300" s="110">
        <v>299</v>
      </c>
      <c r="F300" s="110">
        <v>1984</v>
      </c>
      <c r="G300" s="110" t="s">
        <v>187</v>
      </c>
      <c r="H300" s="110" t="s">
        <v>2437</v>
      </c>
      <c r="I300" s="110" t="s">
        <v>246</v>
      </c>
      <c r="J300" s="110" t="s">
        <v>246</v>
      </c>
      <c r="K300" s="110" t="s">
        <v>184</v>
      </c>
      <c r="L300" s="110" t="s">
        <v>184</v>
      </c>
      <c r="M300" s="110" t="s">
        <v>3175</v>
      </c>
      <c r="P300" s="110" t="s">
        <v>3186</v>
      </c>
      <c r="R300" s="110" t="s">
        <v>1976</v>
      </c>
      <c r="S300" s="110" t="s">
        <v>446</v>
      </c>
      <c r="T300" s="110" t="s">
        <v>702</v>
      </c>
      <c r="U300" s="110" t="s">
        <v>1148</v>
      </c>
      <c r="V300" s="110">
        <v>38.987039189999997</v>
      </c>
      <c r="W300" s="110">
        <v>38.987039189999997</v>
      </c>
      <c r="X300" s="110">
        <v>-76.942489929999994</v>
      </c>
      <c r="Y300" s="110" t="s">
        <v>276</v>
      </c>
      <c r="Z300" s="110" t="s">
        <v>586</v>
      </c>
      <c r="AA300" s="110" t="s">
        <v>1788</v>
      </c>
      <c r="AB300" s="110" t="s">
        <v>1737</v>
      </c>
      <c r="AC300" s="110" t="s">
        <v>182</v>
      </c>
      <c r="AD300" s="110" t="s">
        <v>1256</v>
      </c>
      <c r="AE300" s="110" t="s">
        <v>187</v>
      </c>
      <c r="AF300" s="110" t="s">
        <v>190</v>
      </c>
      <c r="AG300" s="110" t="s">
        <v>190</v>
      </c>
      <c r="AI300" s="110" t="s">
        <v>246</v>
      </c>
      <c r="AJ300" s="110" t="s">
        <v>246</v>
      </c>
      <c r="AK300" s="110" t="s">
        <v>1149</v>
      </c>
      <c r="AL300" s="110" t="s">
        <v>1151</v>
      </c>
      <c r="AM300" s="110">
        <v>470</v>
      </c>
      <c r="AN300" s="110" t="s">
        <v>1216</v>
      </c>
      <c r="AO300" s="110" t="s">
        <v>190</v>
      </c>
      <c r="AP300" s="110" t="s">
        <v>190</v>
      </c>
      <c r="AQ300" s="110" t="s">
        <v>176</v>
      </c>
      <c r="AR300" s="110" t="s">
        <v>174</v>
      </c>
      <c r="AS300" s="110" t="s">
        <v>174</v>
      </c>
      <c r="AT300" s="110" t="s">
        <v>174</v>
      </c>
      <c r="AU300" s="110">
        <v>10</v>
      </c>
      <c r="AV300" s="110" t="s">
        <v>1255</v>
      </c>
      <c r="AX300" s="110" t="s">
        <v>174</v>
      </c>
      <c r="AY300" s="110" t="s">
        <v>174</v>
      </c>
      <c r="AZ300" s="110" t="s">
        <v>174</v>
      </c>
      <c r="BA300" s="110">
        <v>20</v>
      </c>
      <c r="BB300" s="110">
        <v>20</v>
      </c>
      <c r="BC300" s="110">
        <v>20</v>
      </c>
      <c r="BD300" s="110">
        <v>0</v>
      </c>
      <c r="BE300" s="110" t="s">
        <v>2606</v>
      </c>
      <c r="BF300" s="110" t="s">
        <v>2606</v>
      </c>
      <c r="BH300" s="110" t="s">
        <v>174</v>
      </c>
      <c r="BI300" s="110" t="s">
        <v>182</v>
      </c>
      <c r="BJ300" s="110" t="s">
        <v>1150</v>
      </c>
      <c r="BK300" s="110" t="s">
        <v>1766</v>
      </c>
      <c r="BL300" s="110">
        <v>8</v>
      </c>
      <c r="BM300" s="110" t="s">
        <v>174</v>
      </c>
      <c r="BN300" s="110" t="s">
        <v>174</v>
      </c>
      <c r="BO300" s="110" t="s">
        <v>174</v>
      </c>
      <c r="BP300" s="110" t="s">
        <v>174</v>
      </c>
      <c r="BQ300" s="110" t="s">
        <v>174</v>
      </c>
      <c r="BR300" s="110" t="s">
        <v>174</v>
      </c>
      <c r="BS300" s="110">
        <v>16</v>
      </c>
      <c r="BT300" s="110" t="s">
        <v>1385</v>
      </c>
      <c r="BU300" s="110" t="s">
        <v>3207</v>
      </c>
      <c r="BV300" s="110" t="s">
        <v>2603</v>
      </c>
      <c r="BW300" s="110">
        <v>0.87</v>
      </c>
      <c r="BZ300" s="110">
        <v>0.23380000000000001</v>
      </c>
      <c r="CB300" s="110">
        <v>4.6500000000000004</v>
      </c>
      <c r="CC300" s="110" t="b">
        <v>0</v>
      </c>
      <c r="CD300" s="110">
        <v>29</v>
      </c>
      <c r="CE300" s="110">
        <v>29</v>
      </c>
      <c r="CF300" s="110" t="s">
        <v>182</v>
      </c>
      <c r="CG300" s="110" t="s">
        <v>174</v>
      </c>
      <c r="CH300" s="110" t="s">
        <v>2346</v>
      </c>
      <c r="CI300" s="110" t="s">
        <v>1153</v>
      </c>
    </row>
    <row r="301" spans="1:88">
      <c r="A301" s="110" t="s">
        <v>686</v>
      </c>
      <c r="B301" s="110">
        <v>59</v>
      </c>
      <c r="C301" s="110">
        <v>3</v>
      </c>
      <c r="D301" s="110">
        <v>1</v>
      </c>
      <c r="E301" s="110">
        <v>300</v>
      </c>
      <c r="F301" s="110">
        <v>1986</v>
      </c>
      <c r="G301" s="110" t="s">
        <v>187</v>
      </c>
      <c r="H301" s="110" t="s">
        <v>2437</v>
      </c>
      <c r="I301" s="110" t="s">
        <v>182</v>
      </c>
      <c r="J301" s="110" t="s">
        <v>246</v>
      </c>
      <c r="K301" s="110" t="s">
        <v>999</v>
      </c>
      <c r="L301" s="110" t="s">
        <v>999</v>
      </c>
      <c r="R301" s="110" t="s">
        <v>1976</v>
      </c>
      <c r="S301" s="110" t="s">
        <v>444</v>
      </c>
      <c r="T301" s="110" t="s">
        <v>445</v>
      </c>
      <c r="U301" s="110" t="s">
        <v>704</v>
      </c>
      <c r="V301" s="110">
        <v>38.646887290000002</v>
      </c>
      <c r="W301" s="110">
        <v>38.646887290000002</v>
      </c>
      <c r="X301" s="110">
        <v>-76.327910470000006</v>
      </c>
      <c r="Y301" s="110" t="s">
        <v>276</v>
      </c>
      <c r="Z301" s="110" t="s">
        <v>586</v>
      </c>
      <c r="AA301" s="110" t="s">
        <v>1788</v>
      </c>
      <c r="AB301" s="110" t="s">
        <v>333</v>
      </c>
      <c r="AC301" s="110" t="s">
        <v>246</v>
      </c>
      <c r="AD301" s="110" t="s">
        <v>333</v>
      </c>
      <c r="AE301" s="110" t="s">
        <v>187</v>
      </c>
      <c r="AF301" s="110" t="s">
        <v>190</v>
      </c>
      <c r="AG301" s="110" t="s">
        <v>190</v>
      </c>
      <c r="AI301" s="110" t="s">
        <v>246</v>
      </c>
      <c r="AJ301" s="110" t="s">
        <v>246</v>
      </c>
      <c r="AK301" s="110" t="s">
        <v>1780</v>
      </c>
      <c r="AL301" s="110" t="s">
        <v>1067</v>
      </c>
      <c r="AM301" s="110">
        <v>25000</v>
      </c>
      <c r="AN301" s="110" t="s">
        <v>1216</v>
      </c>
      <c r="AO301" s="110">
        <v>1</v>
      </c>
      <c r="AP301" s="110" t="s">
        <v>190</v>
      </c>
      <c r="AQ301" s="110" t="s">
        <v>176</v>
      </c>
      <c r="AR301" s="110" t="s">
        <v>174</v>
      </c>
      <c r="AS301" s="110" t="s">
        <v>174</v>
      </c>
      <c r="AT301" s="110" t="s">
        <v>174</v>
      </c>
      <c r="AU301" s="110">
        <v>120</v>
      </c>
      <c r="AV301" s="110" t="s">
        <v>1256</v>
      </c>
      <c r="AW301" s="110">
        <v>13</v>
      </c>
      <c r="AX301" s="110">
        <v>8.6</v>
      </c>
      <c r="AY301" s="110" t="s">
        <v>174</v>
      </c>
      <c r="AZ301" s="110" t="s">
        <v>174</v>
      </c>
      <c r="BA301" s="110">
        <v>20</v>
      </c>
      <c r="BB301" s="110">
        <v>20</v>
      </c>
      <c r="BC301" s="110">
        <v>20</v>
      </c>
      <c r="BD301" s="110">
        <v>0</v>
      </c>
      <c r="BE301" s="110" t="s">
        <v>246</v>
      </c>
      <c r="BF301" s="110" t="s">
        <v>188</v>
      </c>
      <c r="BG301" s="110">
        <v>0</v>
      </c>
      <c r="BH301" s="110" t="s">
        <v>174</v>
      </c>
      <c r="BI301" s="110" t="s">
        <v>182</v>
      </c>
      <c r="BJ301" s="110" t="s">
        <v>1065</v>
      </c>
      <c r="BK301" s="110">
        <v>2</v>
      </c>
      <c r="BL301" s="110">
        <v>4</v>
      </c>
      <c r="BM301" s="110" t="s">
        <v>174</v>
      </c>
      <c r="BN301" s="110" t="s">
        <v>174</v>
      </c>
      <c r="BO301" s="110" t="s">
        <v>174</v>
      </c>
      <c r="BP301" s="110" t="s">
        <v>174</v>
      </c>
      <c r="BQ301" s="110" t="s">
        <v>174</v>
      </c>
      <c r="BR301" s="110" t="s">
        <v>174</v>
      </c>
      <c r="BS301" s="110">
        <v>93</v>
      </c>
      <c r="BT301" s="110" t="s">
        <v>2378</v>
      </c>
      <c r="BU301" s="110" t="s">
        <v>1398</v>
      </c>
      <c r="BV301" s="110" t="s">
        <v>2603</v>
      </c>
      <c r="BW301" s="110">
        <v>1</v>
      </c>
      <c r="BX301" s="110" t="s">
        <v>2418</v>
      </c>
      <c r="BY301" s="110">
        <v>0.89800000000000002</v>
      </c>
      <c r="BZ301" s="110">
        <v>3.1800000000000002E-2</v>
      </c>
      <c r="CB301" s="110">
        <v>21.79708115</v>
      </c>
      <c r="CC301" s="110" t="b">
        <v>0</v>
      </c>
      <c r="CD301" s="110">
        <v>1.9</v>
      </c>
      <c r="CE301" s="110">
        <v>0</v>
      </c>
      <c r="CF301" s="110" t="s">
        <v>246</v>
      </c>
      <c r="CG301" s="110" t="s">
        <v>174</v>
      </c>
      <c r="CH301" s="110" t="s">
        <v>174</v>
      </c>
      <c r="CI301" s="110" t="s">
        <v>1066</v>
      </c>
      <c r="CJ301" s="110" t="s">
        <v>174</v>
      </c>
    </row>
    <row r="302" spans="1:88">
      <c r="A302" s="110" t="s">
        <v>939</v>
      </c>
      <c r="B302" s="110">
        <v>60</v>
      </c>
      <c r="C302" s="110">
        <v>1</v>
      </c>
      <c r="D302" s="110">
        <v>1</v>
      </c>
      <c r="E302" s="110">
        <v>301</v>
      </c>
      <c r="F302" s="110">
        <v>2004</v>
      </c>
      <c r="G302" s="110" t="s">
        <v>187</v>
      </c>
      <c r="H302" s="110" t="s">
        <v>1219</v>
      </c>
      <c r="I302" s="110" t="s">
        <v>182</v>
      </c>
      <c r="J302" s="110" t="s">
        <v>246</v>
      </c>
      <c r="K302" s="110" t="s">
        <v>186</v>
      </c>
      <c r="L302" s="110" t="s">
        <v>186</v>
      </c>
      <c r="M302" s="110" t="s">
        <v>3161</v>
      </c>
      <c r="Q302" s="110">
        <v>0.2</v>
      </c>
      <c r="R302" s="110" t="s">
        <v>1976</v>
      </c>
      <c r="S302" s="110" t="s">
        <v>446</v>
      </c>
      <c r="T302" s="110" t="s">
        <v>1267</v>
      </c>
      <c r="U302" s="110" t="s">
        <v>552</v>
      </c>
      <c r="V302" s="110">
        <v>55.476830100000001</v>
      </c>
      <c r="W302" s="110">
        <v>55.476830100000001</v>
      </c>
      <c r="X302" s="110">
        <v>11.07839091</v>
      </c>
      <c r="Y302" s="110" t="s">
        <v>973</v>
      </c>
      <c r="Z302" s="110" t="s">
        <v>155</v>
      </c>
      <c r="AA302" s="110" t="s">
        <v>1788</v>
      </c>
      <c r="AB302" s="110" t="s">
        <v>333</v>
      </c>
      <c r="AC302" s="110" t="s">
        <v>246</v>
      </c>
      <c r="AD302" s="110" t="s">
        <v>1256</v>
      </c>
      <c r="AE302" s="110" t="s">
        <v>187</v>
      </c>
      <c r="AF302" s="110" t="s">
        <v>190</v>
      </c>
      <c r="AG302" s="110" t="s">
        <v>190</v>
      </c>
      <c r="AI302" s="110" t="s">
        <v>182</v>
      </c>
      <c r="AJ302" s="110" t="s">
        <v>182</v>
      </c>
      <c r="AK302" s="110" t="s">
        <v>1755</v>
      </c>
      <c r="AL302" s="110" t="s">
        <v>1781</v>
      </c>
      <c r="AM302" s="110">
        <v>600</v>
      </c>
      <c r="AP302" s="110" t="s">
        <v>1714</v>
      </c>
      <c r="AQ302" s="110" t="s">
        <v>176</v>
      </c>
      <c r="AR302" s="110">
        <v>2001</v>
      </c>
      <c r="AT302" s="110" t="s">
        <v>254</v>
      </c>
      <c r="AU302" s="110">
        <v>16</v>
      </c>
      <c r="AV302" s="110" t="s">
        <v>1256</v>
      </c>
      <c r="BA302" s="110">
        <v>15</v>
      </c>
      <c r="BB302" s="110">
        <v>15</v>
      </c>
      <c r="BC302" s="110">
        <v>15</v>
      </c>
      <c r="BD302" s="110">
        <v>0</v>
      </c>
      <c r="BE302" s="110" t="s">
        <v>246</v>
      </c>
      <c r="BF302" s="110" t="s">
        <v>188</v>
      </c>
      <c r="BG302" s="110">
        <v>0</v>
      </c>
      <c r="BI302" s="110" t="s">
        <v>246</v>
      </c>
      <c r="BJ302" s="110" t="s">
        <v>1269</v>
      </c>
      <c r="BK302" s="110">
        <v>1</v>
      </c>
      <c r="BL302" s="110">
        <v>5</v>
      </c>
      <c r="BS302" s="110">
        <v>168</v>
      </c>
      <c r="BT302" s="110" t="s">
        <v>1387</v>
      </c>
      <c r="BU302" s="110" t="s">
        <v>2606</v>
      </c>
      <c r="BV302" s="110" t="s">
        <v>1387</v>
      </c>
      <c r="CB302" s="110" t="s">
        <v>190</v>
      </c>
      <c r="CC302" s="110" t="b">
        <v>0</v>
      </c>
      <c r="CD302" s="110">
        <v>55.144804090000001</v>
      </c>
      <c r="CE302" s="110" t="s">
        <v>2256</v>
      </c>
      <c r="CF302" s="110" t="s">
        <v>2256</v>
      </c>
      <c r="CH302" s="110" t="s">
        <v>2345</v>
      </c>
    </row>
    <row r="303" spans="1:88">
      <c r="A303" s="110" t="s">
        <v>939</v>
      </c>
      <c r="B303" s="110">
        <v>60</v>
      </c>
      <c r="C303" s="110">
        <v>1</v>
      </c>
      <c r="D303" s="110">
        <v>1</v>
      </c>
      <c r="E303" s="110">
        <v>302</v>
      </c>
      <c r="F303" s="110">
        <v>2004</v>
      </c>
      <c r="G303" s="110" t="s">
        <v>187</v>
      </c>
      <c r="H303" s="110" t="s">
        <v>1219</v>
      </c>
      <c r="I303" s="110" t="s">
        <v>182</v>
      </c>
      <c r="J303" s="110" t="s">
        <v>246</v>
      </c>
      <c r="K303" s="110" t="s">
        <v>999</v>
      </c>
      <c r="L303" s="110" t="s">
        <v>999</v>
      </c>
      <c r="R303" s="110" t="s">
        <v>1976</v>
      </c>
      <c r="S303" s="110" t="s">
        <v>446</v>
      </c>
      <c r="T303" s="110" t="s">
        <v>1267</v>
      </c>
      <c r="U303" s="110" t="s">
        <v>552</v>
      </c>
      <c r="V303" s="110">
        <v>55.476830100000001</v>
      </c>
      <c r="W303" s="110">
        <v>55.476830100000001</v>
      </c>
      <c r="X303" s="110">
        <v>11.07839091</v>
      </c>
      <c r="Y303" s="110" t="s">
        <v>973</v>
      </c>
      <c r="Z303" s="110" t="s">
        <v>155</v>
      </c>
      <c r="AA303" s="110" t="s">
        <v>1788</v>
      </c>
      <c r="AB303" s="110" t="s">
        <v>333</v>
      </c>
      <c r="AC303" s="110" t="s">
        <v>246</v>
      </c>
      <c r="AD303" s="110" t="s">
        <v>1256</v>
      </c>
      <c r="AE303" s="110" t="s">
        <v>187</v>
      </c>
      <c r="AF303" s="110" t="s">
        <v>1745</v>
      </c>
      <c r="AG303" s="110" t="s">
        <v>190</v>
      </c>
      <c r="AI303" s="110" t="s">
        <v>182</v>
      </c>
      <c r="AJ303" s="110" t="s">
        <v>182</v>
      </c>
      <c r="AK303" s="110" t="s">
        <v>1716</v>
      </c>
      <c r="AL303" s="110" t="s">
        <v>1781</v>
      </c>
      <c r="AM303" s="110">
        <v>20</v>
      </c>
      <c r="AO303" s="110" t="s">
        <v>190</v>
      </c>
      <c r="AP303" s="110" t="s">
        <v>190</v>
      </c>
      <c r="AQ303" s="110" t="s">
        <v>176</v>
      </c>
      <c r="AR303" s="110">
        <v>2001</v>
      </c>
      <c r="AS303" s="110" t="s">
        <v>174</v>
      </c>
      <c r="AT303" s="110" t="s">
        <v>254</v>
      </c>
      <c r="AU303" s="110">
        <v>16</v>
      </c>
      <c r="AV303" s="110" t="s">
        <v>1256</v>
      </c>
      <c r="AW303" s="110">
        <v>10.9</v>
      </c>
      <c r="BA303" s="110">
        <v>15</v>
      </c>
      <c r="BB303" s="110">
        <v>15</v>
      </c>
      <c r="BC303" s="110">
        <v>15</v>
      </c>
      <c r="BD303" s="110">
        <v>0</v>
      </c>
      <c r="BE303" s="110" t="s">
        <v>246</v>
      </c>
      <c r="BF303" s="110" t="s">
        <v>188</v>
      </c>
      <c r="BG303" s="110">
        <v>0</v>
      </c>
      <c r="BH303" s="110" t="s">
        <v>174</v>
      </c>
      <c r="BI303" s="110" t="s">
        <v>246</v>
      </c>
      <c r="BJ303" s="110" t="s">
        <v>1269</v>
      </c>
      <c r="BK303" s="110">
        <v>2</v>
      </c>
      <c r="BL303" s="110">
        <v>5</v>
      </c>
      <c r="BM303" s="110" t="s">
        <v>1461</v>
      </c>
      <c r="BN303" s="110">
        <v>2.4E-2</v>
      </c>
      <c r="BO303" s="110" t="s">
        <v>174</v>
      </c>
      <c r="BP303" s="110" t="s">
        <v>174</v>
      </c>
      <c r="BQ303" s="110" t="s">
        <v>174</v>
      </c>
      <c r="BR303" s="110" t="s">
        <v>174</v>
      </c>
      <c r="BS303" s="110">
        <v>168</v>
      </c>
      <c r="BT303" s="110" t="s">
        <v>1385</v>
      </c>
      <c r="BU303" s="110" t="s">
        <v>3207</v>
      </c>
      <c r="BV303" s="110" t="s">
        <v>2603</v>
      </c>
      <c r="BW303" s="110">
        <v>0.99</v>
      </c>
      <c r="BZ303" s="110">
        <v>6.2700000000000006E-2</v>
      </c>
      <c r="CB303" s="110">
        <v>14.19</v>
      </c>
      <c r="CC303" s="110" t="b">
        <v>0</v>
      </c>
      <c r="CD303" s="110">
        <v>15.5</v>
      </c>
      <c r="CE303" s="110">
        <v>15.5</v>
      </c>
      <c r="CF303" s="110" t="s">
        <v>182</v>
      </c>
      <c r="CG303" s="110" t="s">
        <v>174</v>
      </c>
      <c r="CH303" s="110" t="s">
        <v>2345</v>
      </c>
      <c r="CI303" s="110" t="s">
        <v>1270</v>
      </c>
      <c r="CJ303" s="110" t="s">
        <v>1272</v>
      </c>
    </row>
    <row r="304" spans="1:88">
      <c r="A304" s="110" t="s">
        <v>393</v>
      </c>
      <c r="B304" s="110">
        <v>61</v>
      </c>
      <c r="C304" s="110">
        <v>1</v>
      </c>
      <c r="D304" s="110">
        <v>1</v>
      </c>
      <c r="E304" s="110">
        <v>303</v>
      </c>
      <c r="F304" s="110">
        <v>2008</v>
      </c>
      <c r="G304" s="110" t="s">
        <v>187</v>
      </c>
      <c r="H304" s="110" t="s">
        <v>1219</v>
      </c>
      <c r="I304" s="110" t="s">
        <v>182</v>
      </c>
      <c r="J304" s="110" t="s">
        <v>246</v>
      </c>
      <c r="K304" s="110" t="s">
        <v>186</v>
      </c>
      <c r="L304" s="110" t="s">
        <v>186</v>
      </c>
      <c r="M304" s="110" t="s">
        <v>3173</v>
      </c>
      <c r="N304" s="110" t="s">
        <v>3160</v>
      </c>
      <c r="O304" s="110">
        <v>3</v>
      </c>
      <c r="Q304" s="110">
        <v>0.7</v>
      </c>
      <c r="R304" s="110" t="s">
        <v>152</v>
      </c>
      <c r="S304" s="110" t="s">
        <v>443</v>
      </c>
      <c r="T304" s="110" t="s">
        <v>347</v>
      </c>
      <c r="U304" s="110" t="s">
        <v>1070</v>
      </c>
      <c r="V304" s="110">
        <v>34.65</v>
      </c>
      <c r="W304" s="110">
        <v>34.65</v>
      </c>
      <c r="X304" s="110">
        <v>138.93299999999999</v>
      </c>
      <c r="Y304" s="110" t="s">
        <v>379</v>
      </c>
      <c r="Z304" s="110" t="s">
        <v>380</v>
      </c>
      <c r="AA304" s="110" t="s">
        <v>1788</v>
      </c>
      <c r="AB304" s="110" t="s">
        <v>1216</v>
      </c>
      <c r="AC304" s="110" t="s">
        <v>182</v>
      </c>
      <c r="AD304" s="110" t="s">
        <v>333</v>
      </c>
      <c r="AE304" s="110" t="s">
        <v>187</v>
      </c>
      <c r="AF304" s="110" t="s">
        <v>190</v>
      </c>
      <c r="AG304" s="110" t="s">
        <v>190</v>
      </c>
      <c r="AI304" s="110" t="s">
        <v>246</v>
      </c>
      <c r="AJ304" s="110" t="s">
        <v>246</v>
      </c>
      <c r="AK304" s="110" t="s">
        <v>1071</v>
      </c>
      <c r="AL304" s="110" t="s">
        <v>1086</v>
      </c>
      <c r="AM304" s="110">
        <v>9000</v>
      </c>
      <c r="AN304" s="110" t="s">
        <v>1216</v>
      </c>
      <c r="AP304" s="110" t="s">
        <v>1073</v>
      </c>
      <c r="AQ304" s="110" t="s">
        <v>176</v>
      </c>
      <c r="AR304" s="110">
        <v>2003</v>
      </c>
      <c r="AS304" s="110" t="s">
        <v>880</v>
      </c>
      <c r="AT304" s="110" t="s">
        <v>254</v>
      </c>
      <c r="AU304" s="110" t="s">
        <v>174</v>
      </c>
      <c r="AW304" s="110" t="s">
        <v>174</v>
      </c>
      <c r="AX304" s="110" t="s">
        <v>174</v>
      </c>
      <c r="AY304" s="110" t="s">
        <v>174</v>
      </c>
      <c r="AZ304" s="110" t="s">
        <v>174</v>
      </c>
      <c r="BA304" s="110">
        <v>20</v>
      </c>
      <c r="BB304" s="110">
        <v>20</v>
      </c>
      <c r="BC304" s="110">
        <v>20</v>
      </c>
      <c r="BD304" s="110">
        <v>0</v>
      </c>
      <c r="BE304" s="110" t="s">
        <v>246</v>
      </c>
      <c r="BF304" s="110" t="s">
        <v>188</v>
      </c>
      <c r="BG304" s="110">
        <v>0</v>
      </c>
      <c r="BH304" s="110" t="s">
        <v>174</v>
      </c>
      <c r="BI304" s="110" t="s">
        <v>182</v>
      </c>
      <c r="BJ304" s="110" t="s">
        <v>1072</v>
      </c>
      <c r="BK304" s="110">
        <v>2</v>
      </c>
      <c r="BL304" s="110">
        <v>7</v>
      </c>
      <c r="BM304" s="110" t="s">
        <v>1394</v>
      </c>
      <c r="BN304" s="110">
        <v>1.8200000000000001E-2</v>
      </c>
      <c r="BO304" s="110" t="s">
        <v>174</v>
      </c>
      <c r="BP304" s="110" t="s">
        <v>174</v>
      </c>
      <c r="BQ304" s="110">
        <v>59.7</v>
      </c>
      <c r="BR304" s="110">
        <v>143</v>
      </c>
      <c r="BS304" s="110">
        <v>60</v>
      </c>
      <c r="BT304" s="110" t="s">
        <v>1385</v>
      </c>
      <c r="BU304" s="110" t="s">
        <v>3207</v>
      </c>
      <c r="BV304" s="110" t="s">
        <v>2603</v>
      </c>
      <c r="BW304" s="110">
        <v>0.97</v>
      </c>
      <c r="BZ304" s="110">
        <v>5.5500000000000001E-2</v>
      </c>
      <c r="CB304" s="110" t="s">
        <v>190</v>
      </c>
      <c r="CC304" s="110" t="b">
        <v>0</v>
      </c>
      <c r="CD304" s="110">
        <v>54.475999999999999</v>
      </c>
      <c r="CE304" s="110">
        <v>54.475999999999999</v>
      </c>
      <c r="CF304" s="110" t="s">
        <v>182</v>
      </c>
      <c r="CG304" s="110" t="s">
        <v>174</v>
      </c>
      <c r="CH304" s="110" t="s">
        <v>10</v>
      </c>
      <c r="CI304" s="110" t="s">
        <v>1085</v>
      </c>
      <c r="CJ304" s="110" t="s">
        <v>1080</v>
      </c>
    </row>
    <row r="305" spans="1:88">
      <c r="A305" s="110" t="s">
        <v>393</v>
      </c>
      <c r="B305" s="110">
        <v>61</v>
      </c>
      <c r="C305" s="110">
        <v>1</v>
      </c>
      <c r="D305" s="110">
        <v>2</v>
      </c>
      <c r="E305" s="110">
        <v>304</v>
      </c>
      <c r="F305" s="110">
        <v>2008</v>
      </c>
      <c r="G305" s="110" t="s">
        <v>187</v>
      </c>
      <c r="H305" s="110" t="s">
        <v>1219</v>
      </c>
      <c r="I305" s="110" t="s">
        <v>182</v>
      </c>
      <c r="J305" s="110" t="s">
        <v>246</v>
      </c>
      <c r="K305" s="110" t="s">
        <v>186</v>
      </c>
      <c r="L305" s="110" t="s">
        <v>186</v>
      </c>
      <c r="M305" s="110" t="s">
        <v>3173</v>
      </c>
      <c r="N305" s="110" t="s">
        <v>3160</v>
      </c>
      <c r="O305" s="110">
        <v>3</v>
      </c>
      <c r="Q305" s="110">
        <v>0.7</v>
      </c>
      <c r="R305" s="110" t="s">
        <v>152</v>
      </c>
      <c r="S305" s="110" t="s">
        <v>443</v>
      </c>
      <c r="T305" s="110" t="s">
        <v>347</v>
      </c>
      <c r="U305" s="110" t="s">
        <v>1070</v>
      </c>
      <c r="V305" s="110">
        <v>34.65</v>
      </c>
      <c r="W305" s="110">
        <v>34.65</v>
      </c>
      <c r="X305" s="110">
        <v>138.93299999999999</v>
      </c>
      <c r="Y305" s="110" t="s">
        <v>379</v>
      </c>
      <c r="Z305" s="110" t="s">
        <v>380</v>
      </c>
      <c r="AA305" s="110" t="s">
        <v>1788</v>
      </c>
      <c r="AB305" s="110" t="s">
        <v>1216</v>
      </c>
      <c r="AC305" s="110" t="s">
        <v>182</v>
      </c>
      <c r="AD305" s="110" t="s">
        <v>333</v>
      </c>
      <c r="AE305" s="110" t="s">
        <v>187</v>
      </c>
      <c r="AF305" s="110" t="s">
        <v>190</v>
      </c>
      <c r="AG305" s="110" t="s">
        <v>190</v>
      </c>
      <c r="AI305" s="110" t="s">
        <v>246</v>
      </c>
      <c r="AJ305" s="110" t="s">
        <v>246</v>
      </c>
      <c r="AK305" s="110" t="s">
        <v>1071</v>
      </c>
      <c r="AL305" s="110" t="s">
        <v>1086</v>
      </c>
      <c r="AM305" s="110">
        <v>9000</v>
      </c>
      <c r="AN305" s="110" t="s">
        <v>1216</v>
      </c>
      <c r="AP305" s="110" t="s">
        <v>1074</v>
      </c>
      <c r="AQ305" s="110" t="s">
        <v>176</v>
      </c>
      <c r="AR305" s="110">
        <v>2004</v>
      </c>
      <c r="AS305" s="110" t="s">
        <v>319</v>
      </c>
      <c r="AT305" s="110" t="s">
        <v>298</v>
      </c>
      <c r="AU305" s="110" t="s">
        <v>174</v>
      </c>
      <c r="AW305" s="110" t="s">
        <v>174</v>
      </c>
      <c r="AX305" s="110" t="s">
        <v>174</v>
      </c>
      <c r="AY305" s="110" t="s">
        <v>174</v>
      </c>
      <c r="AZ305" s="110" t="s">
        <v>174</v>
      </c>
      <c r="BA305" s="110">
        <v>20</v>
      </c>
      <c r="BB305" s="110">
        <v>20</v>
      </c>
      <c r="BC305" s="110">
        <v>20</v>
      </c>
      <c r="BD305" s="110">
        <v>0</v>
      </c>
      <c r="BE305" s="110" t="s">
        <v>246</v>
      </c>
      <c r="BF305" s="110" t="s">
        <v>188</v>
      </c>
      <c r="BG305" s="110">
        <v>0</v>
      </c>
      <c r="BH305" s="110" t="s">
        <v>174</v>
      </c>
      <c r="BI305" s="110" t="s">
        <v>182</v>
      </c>
      <c r="BJ305" s="110" t="s">
        <v>1072</v>
      </c>
      <c r="BK305" s="110">
        <v>2</v>
      </c>
      <c r="BL305" s="110">
        <v>7</v>
      </c>
      <c r="BM305" s="110" t="s">
        <v>1394</v>
      </c>
      <c r="BN305" s="110">
        <v>5.7999999999999996E-3</v>
      </c>
      <c r="BO305" s="110" t="s">
        <v>174</v>
      </c>
      <c r="BP305" s="110" t="s">
        <v>174</v>
      </c>
      <c r="BQ305" s="110">
        <v>85.7</v>
      </c>
      <c r="BR305" s="110">
        <v>217</v>
      </c>
      <c r="BS305" s="110">
        <v>50</v>
      </c>
      <c r="BT305" s="110" t="s">
        <v>1396</v>
      </c>
      <c r="BU305" s="110" t="s">
        <v>1396</v>
      </c>
      <c r="BV305" s="110" t="s">
        <v>1396</v>
      </c>
      <c r="BW305" s="110">
        <v>0.84</v>
      </c>
      <c r="CA305" s="110">
        <v>0.55969999999999998</v>
      </c>
      <c r="CB305" s="110">
        <v>89.333571559999996</v>
      </c>
      <c r="CC305" s="110" t="b">
        <v>0</v>
      </c>
      <c r="CD305" s="110">
        <v>77</v>
      </c>
      <c r="CE305" s="110">
        <v>0</v>
      </c>
      <c r="CF305" s="110" t="s">
        <v>246</v>
      </c>
      <c r="CG305" s="110" t="s">
        <v>174</v>
      </c>
      <c r="CH305" s="110" t="s">
        <v>10</v>
      </c>
      <c r="CI305" s="110" t="s">
        <v>1085</v>
      </c>
      <c r="CJ305" s="110" t="s">
        <v>1081</v>
      </c>
    </row>
    <row r="306" spans="1:88">
      <c r="A306" s="110" t="s">
        <v>393</v>
      </c>
      <c r="B306" s="110">
        <v>61</v>
      </c>
      <c r="C306" s="110">
        <v>1</v>
      </c>
      <c r="D306" s="110">
        <v>3</v>
      </c>
      <c r="E306" s="110">
        <v>305</v>
      </c>
      <c r="F306" s="110">
        <v>2008</v>
      </c>
      <c r="G306" s="110" t="s">
        <v>187</v>
      </c>
      <c r="H306" s="110" t="s">
        <v>1219</v>
      </c>
      <c r="I306" s="110" t="s">
        <v>182</v>
      </c>
      <c r="J306" s="110" t="s">
        <v>246</v>
      </c>
      <c r="K306" s="110" t="s">
        <v>186</v>
      </c>
      <c r="L306" s="110" t="s">
        <v>186</v>
      </c>
      <c r="M306" s="110" t="s">
        <v>3173</v>
      </c>
      <c r="N306" s="110" t="s">
        <v>3160</v>
      </c>
      <c r="O306" s="110">
        <v>3</v>
      </c>
      <c r="Q306" s="110">
        <v>0.7</v>
      </c>
      <c r="R306" s="110" t="s">
        <v>152</v>
      </c>
      <c r="S306" s="110" t="s">
        <v>443</v>
      </c>
      <c r="T306" s="110" t="s">
        <v>347</v>
      </c>
      <c r="U306" s="110" t="s">
        <v>1070</v>
      </c>
      <c r="V306" s="110">
        <v>34.65</v>
      </c>
      <c r="W306" s="110">
        <v>34.65</v>
      </c>
      <c r="X306" s="110">
        <v>138.93299999999999</v>
      </c>
      <c r="Y306" s="110" t="s">
        <v>379</v>
      </c>
      <c r="Z306" s="110" t="s">
        <v>380</v>
      </c>
      <c r="AA306" s="110" t="s">
        <v>1788</v>
      </c>
      <c r="AB306" s="110" t="s">
        <v>1216</v>
      </c>
      <c r="AC306" s="110" t="s">
        <v>182</v>
      </c>
      <c r="AD306" s="110" t="s">
        <v>333</v>
      </c>
      <c r="AE306" s="110" t="s">
        <v>187</v>
      </c>
      <c r="AF306" s="110" t="s">
        <v>190</v>
      </c>
      <c r="AG306" s="110" t="s">
        <v>190</v>
      </c>
      <c r="AI306" s="110" t="s">
        <v>246</v>
      </c>
      <c r="AJ306" s="110" t="s">
        <v>246</v>
      </c>
      <c r="AK306" s="110" t="s">
        <v>1071</v>
      </c>
      <c r="AL306" s="110" t="s">
        <v>1086</v>
      </c>
      <c r="AM306" s="110">
        <v>9000</v>
      </c>
      <c r="AN306" s="110" t="s">
        <v>1216</v>
      </c>
      <c r="AP306" s="110" t="s">
        <v>1075</v>
      </c>
      <c r="AQ306" s="110" t="s">
        <v>176</v>
      </c>
      <c r="AR306" s="110">
        <v>2004</v>
      </c>
      <c r="AS306" s="110" t="s">
        <v>236</v>
      </c>
      <c r="AT306" s="110" t="s">
        <v>420</v>
      </c>
      <c r="AU306" s="110" t="s">
        <v>174</v>
      </c>
      <c r="AW306" s="110" t="s">
        <v>174</v>
      </c>
      <c r="AX306" s="110" t="s">
        <v>174</v>
      </c>
      <c r="AY306" s="110" t="s">
        <v>174</v>
      </c>
      <c r="AZ306" s="110" t="s">
        <v>174</v>
      </c>
      <c r="BA306" s="110">
        <v>20</v>
      </c>
      <c r="BB306" s="110">
        <v>20</v>
      </c>
      <c r="BC306" s="110">
        <v>20</v>
      </c>
      <c r="BD306" s="110">
        <v>0</v>
      </c>
      <c r="BE306" s="110" t="s">
        <v>246</v>
      </c>
      <c r="BF306" s="110" t="s">
        <v>188</v>
      </c>
      <c r="BG306" s="110">
        <v>0</v>
      </c>
      <c r="BH306" s="110" t="s">
        <v>174</v>
      </c>
      <c r="BI306" s="110" t="s">
        <v>182</v>
      </c>
      <c r="BJ306" s="110" t="s">
        <v>1072</v>
      </c>
      <c r="BK306" s="110">
        <v>2</v>
      </c>
      <c r="BL306" s="110">
        <v>7</v>
      </c>
      <c r="BM306" s="110" t="s">
        <v>1394</v>
      </c>
      <c r="BN306" s="110">
        <v>4.07E-2</v>
      </c>
      <c r="BO306" s="110" t="s">
        <v>174</v>
      </c>
      <c r="BP306" s="110" t="s">
        <v>174</v>
      </c>
      <c r="BQ306" s="110">
        <v>28.9</v>
      </c>
      <c r="BR306" s="110">
        <v>87</v>
      </c>
      <c r="BS306" s="110">
        <v>60</v>
      </c>
      <c r="BT306" s="110" t="s">
        <v>1385</v>
      </c>
      <c r="BU306" s="110" t="s">
        <v>3207</v>
      </c>
      <c r="BV306" s="110" t="s">
        <v>2603</v>
      </c>
      <c r="BW306" s="110">
        <v>0.98</v>
      </c>
      <c r="BZ306" s="110">
        <v>8.1900000000000001E-2</v>
      </c>
      <c r="CB306" s="110">
        <v>15</v>
      </c>
      <c r="CC306" s="110" t="b">
        <v>0</v>
      </c>
      <c r="CD306" s="110">
        <v>27.78</v>
      </c>
      <c r="CE306" s="110">
        <v>27.78</v>
      </c>
      <c r="CF306" s="110" t="s">
        <v>182</v>
      </c>
      <c r="CG306" s="110" t="s">
        <v>174</v>
      </c>
      <c r="CH306" s="110" t="s">
        <v>10</v>
      </c>
      <c r="CI306" s="110" t="s">
        <v>1085</v>
      </c>
      <c r="CJ306" s="110" t="s">
        <v>1082</v>
      </c>
    </row>
    <row r="307" spans="1:88">
      <c r="A307" s="110" t="s">
        <v>393</v>
      </c>
      <c r="B307" s="110">
        <v>61</v>
      </c>
      <c r="C307" s="110">
        <v>1</v>
      </c>
      <c r="D307" s="110">
        <v>4</v>
      </c>
      <c r="E307" s="110">
        <v>306</v>
      </c>
      <c r="F307" s="110">
        <v>2008</v>
      </c>
      <c r="G307" s="110" t="s">
        <v>187</v>
      </c>
      <c r="H307" s="110" t="s">
        <v>1219</v>
      </c>
      <c r="I307" s="110" t="s">
        <v>182</v>
      </c>
      <c r="J307" s="110" t="s">
        <v>246</v>
      </c>
      <c r="K307" s="110" t="s">
        <v>186</v>
      </c>
      <c r="L307" s="110" t="s">
        <v>186</v>
      </c>
      <c r="M307" s="110" t="s">
        <v>3173</v>
      </c>
      <c r="N307" s="110" t="s">
        <v>3160</v>
      </c>
      <c r="O307" s="110">
        <v>3</v>
      </c>
      <c r="Q307" s="110">
        <v>0.7</v>
      </c>
      <c r="R307" s="110" t="s">
        <v>152</v>
      </c>
      <c r="S307" s="110" t="s">
        <v>443</v>
      </c>
      <c r="T307" s="110" t="s">
        <v>347</v>
      </c>
      <c r="U307" s="110" t="s">
        <v>1070</v>
      </c>
      <c r="V307" s="110">
        <v>34.65</v>
      </c>
      <c r="W307" s="110">
        <v>34.65</v>
      </c>
      <c r="X307" s="110">
        <v>138.93299999999999</v>
      </c>
      <c r="Y307" s="110" t="s">
        <v>379</v>
      </c>
      <c r="Z307" s="110" t="s">
        <v>380</v>
      </c>
      <c r="AA307" s="110" t="s">
        <v>1788</v>
      </c>
      <c r="AB307" s="110" t="s">
        <v>1216</v>
      </c>
      <c r="AC307" s="110" t="s">
        <v>182</v>
      </c>
      <c r="AD307" s="110" t="s">
        <v>333</v>
      </c>
      <c r="AE307" s="110" t="s">
        <v>187</v>
      </c>
      <c r="AF307" s="110" t="s">
        <v>190</v>
      </c>
      <c r="AG307" s="110" t="s">
        <v>190</v>
      </c>
      <c r="AI307" s="110" t="s">
        <v>246</v>
      </c>
      <c r="AJ307" s="110" t="s">
        <v>246</v>
      </c>
      <c r="AK307" s="110" t="s">
        <v>1071</v>
      </c>
      <c r="AL307" s="110" t="s">
        <v>1086</v>
      </c>
      <c r="AM307" s="110">
        <v>9000</v>
      </c>
      <c r="AN307" s="110" t="s">
        <v>1216</v>
      </c>
      <c r="AP307" s="110" t="s">
        <v>1076</v>
      </c>
      <c r="AQ307" s="110" t="s">
        <v>176</v>
      </c>
      <c r="AR307" s="110">
        <v>2004</v>
      </c>
      <c r="AS307" s="110" t="s">
        <v>670</v>
      </c>
      <c r="AT307" s="110" t="s">
        <v>385</v>
      </c>
      <c r="AU307" s="110" t="s">
        <v>174</v>
      </c>
      <c r="AW307" s="110" t="s">
        <v>174</v>
      </c>
      <c r="AX307" s="110" t="s">
        <v>174</v>
      </c>
      <c r="AY307" s="110" t="s">
        <v>174</v>
      </c>
      <c r="AZ307" s="110" t="s">
        <v>174</v>
      </c>
      <c r="BA307" s="110">
        <v>20</v>
      </c>
      <c r="BB307" s="110">
        <v>20</v>
      </c>
      <c r="BC307" s="110">
        <v>20</v>
      </c>
      <c r="BD307" s="110">
        <v>0</v>
      </c>
      <c r="BE307" s="110" t="s">
        <v>246</v>
      </c>
      <c r="BF307" s="110" t="s">
        <v>188</v>
      </c>
      <c r="BG307" s="110">
        <v>0</v>
      </c>
      <c r="BH307" s="110" t="s">
        <v>174</v>
      </c>
      <c r="BI307" s="110" t="s">
        <v>182</v>
      </c>
      <c r="BJ307" s="110" t="s">
        <v>1072</v>
      </c>
      <c r="BK307" s="110">
        <v>2</v>
      </c>
      <c r="BL307" s="110">
        <v>6</v>
      </c>
      <c r="BM307" s="110" t="s">
        <v>1394</v>
      </c>
      <c r="BN307" s="110">
        <v>3.4200000000000001E-2</v>
      </c>
      <c r="BO307" s="110" t="s">
        <v>174</v>
      </c>
      <c r="BP307" s="110" t="s">
        <v>174</v>
      </c>
      <c r="BQ307" s="110">
        <v>39.200000000000003</v>
      </c>
      <c r="BR307" s="110">
        <v>33</v>
      </c>
      <c r="BS307" s="110">
        <v>30</v>
      </c>
      <c r="BT307" s="110" t="s">
        <v>2347</v>
      </c>
      <c r="BU307" s="110" t="s">
        <v>1394</v>
      </c>
      <c r="BV307" s="110" t="s">
        <v>2603</v>
      </c>
      <c r="BW307" s="110">
        <v>0.92</v>
      </c>
      <c r="BZ307" s="110">
        <v>3.3599999999999998E-2</v>
      </c>
      <c r="CB307" s="110">
        <v>20.62938037</v>
      </c>
      <c r="CC307" s="110" t="b">
        <v>0</v>
      </c>
      <c r="CD307" s="110">
        <v>40</v>
      </c>
      <c r="CE307" s="110" t="s">
        <v>2256</v>
      </c>
      <c r="CF307" s="110" t="s">
        <v>2256</v>
      </c>
      <c r="CG307" s="110" t="s">
        <v>174</v>
      </c>
      <c r="CH307" s="110" t="s">
        <v>10</v>
      </c>
      <c r="CI307" s="110" t="s">
        <v>1085</v>
      </c>
      <c r="CJ307" s="110" t="s">
        <v>1083</v>
      </c>
    </row>
    <row r="308" spans="1:88">
      <c r="A308" s="110" t="s">
        <v>393</v>
      </c>
      <c r="B308" s="110">
        <v>61</v>
      </c>
      <c r="C308" s="110">
        <v>1</v>
      </c>
      <c r="D308" s="110">
        <v>5</v>
      </c>
      <c r="E308" s="110">
        <v>307</v>
      </c>
      <c r="F308" s="110">
        <v>2008</v>
      </c>
      <c r="G308" s="110" t="s">
        <v>187</v>
      </c>
      <c r="H308" s="110" t="s">
        <v>1219</v>
      </c>
      <c r="I308" s="110" t="s">
        <v>182</v>
      </c>
      <c r="J308" s="110" t="s">
        <v>246</v>
      </c>
      <c r="K308" s="110" t="s">
        <v>186</v>
      </c>
      <c r="L308" s="110" t="s">
        <v>186</v>
      </c>
      <c r="M308" s="110" t="s">
        <v>3173</v>
      </c>
      <c r="N308" s="110" t="s">
        <v>3160</v>
      </c>
      <c r="O308" s="110">
        <v>3</v>
      </c>
      <c r="Q308" s="110">
        <v>0.7</v>
      </c>
      <c r="R308" s="110" t="s">
        <v>152</v>
      </c>
      <c r="S308" s="110" t="s">
        <v>443</v>
      </c>
      <c r="T308" s="110" t="s">
        <v>347</v>
      </c>
      <c r="U308" s="110" t="s">
        <v>1070</v>
      </c>
      <c r="V308" s="110">
        <v>34.65</v>
      </c>
      <c r="W308" s="110">
        <v>34.65</v>
      </c>
      <c r="X308" s="110">
        <v>138.93299999999999</v>
      </c>
      <c r="Y308" s="110" t="s">
        <v>379</v>
      </c>
      <c r="Z308" s="110" t="s">
        <v>380</v>
      </c>
      <c r="AA308" s="110" t="s">
        <v>1788</v>
      </c>
      <c r="AB308" s="110" t="s">
        <v>1216</v>
      </c>
      <c r="AC308" s="110" t="s">
        <v>182</v>
      </c>
      <c r="AD308" s="110" t="s">
        <v>333</v>
      </c>
      <c r="AE308" s="110" t="s">
        <v>187</v>
      </c>
      <c r="AF308" s="110" t="s">
        <v>190</v>
      </c>
      <c r="AG308" s="110" t="s">
        <v>190</v>
      </c>
      <c r="AI308" s="110" t="s">
        <v>246</v>
      </c>
      <c r="AJ308" s="110" t="s">
        <v>246</v>
      </c>
      <c r="AK308" s="110" t="s">
        <v>1071</v>
      </c>
      <c r="AL308" s="110" t="s">
        <v>1086</v>
      </c>
      <c r="AM308" s="110">
        <v>9000</v>
      </c>
      <c r="AN308" s="110" t="s">
        <v>1216</v>
      </c>
      <c r="AP308" s="110" t="s">
        <v>1077</v>
      </c>
      <c r="AQ308" s="110" t="s">
        <v>176</v>
      </c>
      <c r="AR308" s="110">
        <v>2005</v>
      </c>
      <c r="AS308" s="110" t="s">
        <v>234</v>
      </c>
      <c r="AT308" s="110" t="s">
        <v>298</v>
      </c>
      <c r="AU308" s="110" t="s">
        <v>174</v>
      </c>
      <c r="AW308" s="110" t="s">
        <v>174</v>
      </c>
      <c r="AX308" s="110" t="s">
        <v>174</v>
      </c>
      <c r="AY308" s="110" t="s">
        <v>174</v>
      </c>
      <c r="AZ308" s="110" t="s">
        <v>174</v>
      </c>
      <c r="BA308" s="110">
        <v>20</v>
      </c>
      <c r="BB308" s="110">
        <v>20</v>
      </c>
      <c r="BC308" s="110">
        <v>20</v>
      </c>
      <c r="BD308" s="110">
        <v>0</v>
      </c>
      <c r="BE308" s="110" t="s">
        <v>246</v>
      </c>
      <c r="BF308" s="110" t="s">
        <v>188</v>
      </c>
      <c r="BG308" s="110">
        <v>0</v>
      </c>
      <c r="BH308" s="110" t="s">
        <v>174</v>
      </c>
      <c r="BI308" s="110" t="s">
        <v>182</v>
      </c>
      <c r="BJ308" s="110" t="s">
        <v>1072</v>
      </c>
      <c r="BK308" s="110">
        <v>2</v>
      </c>
      <c r="BL308" s="110">
        <v>6</v>
      </c>
      <c r="BM308" s="110" t="s">
        <v>1394</v>
      </c>
      <c r="BN308" s="110">
        <v>2.1600000000000001E-2</v>
      </c>
      <c r="BO308" s="110" t="s">
        <v>174</v>
      </c>
      <c r="BP308" s="110" t="s">
        <v>174</v>
      </c>
      <c r="BQ308" s="110">
        <v>55.1</v>
      </c>
      <c r="BR308" s="110">
        <v>68</v>
      </c>
      <c r="BS308" s="110">
        <v>30</v>
      </c>
      <c r="BT308" s="110" t="s">
        <v>2347</v>
      </c>
      <c r="BU308" s="110" t="s">
        <v>1394</v>
      </c>
      <c r="BV308" s="110" t="s">
        <v>2603</v>
      </c>
      <c r="BW308" s="110">
        <v>0.96</v>
      </c>
      <c r="BZ308" s="110">
        <v>2.1600000000000001E-2</v>
      </c>
      <c r="CB308" s="110">
        <v>32.090147250000001</v>
      </c>
      <c r="CC308" s="110" t="b">
        <v>0</v>
      </c>
      <c r="CD308" s="110">
        <v>56</v>
      </c>
      <c r="CE308" s="110" t="s">
        <v>2256</v>
      </c>
      <c r="CF308" s="110" t="s">
        <v>2256</v>
      </c>
      <c r="CG308" s="110" t="s">
        <v>174</v>
      </c>
      <c r="CH308" s="110" t="s">
        <v>10</v>
      </c>
      <c r="CI308" s="110" t="s">
        <v>1085</v>
      </c>
      <c r="CJ308" s="110" t="s">
        <v>1084</v>
      </c>
    </row>
    <row r="309" spans="1:88">
      <c r="A309" s="110" t="s">
        <v>1984</v>
      </c>
      <c r="B309" s="110">
        <v>62</v>
      </c>
      <c r="C309" s="110">
        <v>2</v>
      </c>
      <c r="D309" s="110">
        <v>1</v>
      </c>
      <c r="E309" s="110">
        <v>308</v>
      </c>
      <c r="F309" s="110">
        <v>2015</v>
      </c>
      <c r="G309" s="110" t="s">
        <v>161</v>
      </c>
      <c r="H309" s="110" t="s">
        <v>2436</v>
      </c>
      <c r="I309" s="110" t="s">
        <v>182</v>
      </c>
      <c r="J309" s="110" t="s">
        <v>246</v>
      </c>
      <c r="K309" s="110" t="s">
        <v>999</v>
      </c>
      <c r="L309" s="110" t="s">
        <v>999</v>
      </c>
      <c r="R309" s="110" t="s">
        <v>272</v>
      </c>
      <c r="S309" s="110" t="s">
        <v>443</v>
      </c>
      <c r="T309" s="110" t="s">
        <v>611</v>
      </c>
      <c r="U309" s="110" t="s">
        <v>612</v>
      </c>
      <c r="V309" s="110">
        <v>50.3</v>
      </c>
      <c r="W309" s="110">
        <v>50.3</v>
      </c>
      <c r="X309" s="110">
        <v>-4.07</v>
      </c>
      <c r="Y309" s="110" t="s">
        <v>160</v>
      </c>
      <c r="Z309" s="110" t="s">
        <v>155</v>
      </c>
      <c r="AA309" s="110" t="s">
        <v>424</v>
      </c>
      <c r="AB309" s="110" t="s">
        <v>1724</v>
      </c>
      <c r="AC309" s="110" t="s">
        <v>182</v>
      </c>
      <c r="AD309" s="110" t="s">
        <v>333</v>
      </c>
      <c r="AE309" s="110" t="s">
        <v>1123</v>
      </c>
      <c r="AF309" s="110" t="s">
        <v>1766</v>
      </c>
      <c r="AG309" s="110" t="s">
        <v>1766</v>
      </c>
      <c r="AI309" s="110" t="s">
        <v>246</v>
      </c>
      <c r="AJ309" s="110" t="s">
        <v>246</v>
      </c>
      <c r="AK309" s="110" t="s">
        <v>171</v>
      </c>
      <c r="AO309" s="110">
        <v>5</v>
      </c>
      <c r="AQ309" s="110" t="s">
        <v>176</v>
      </c>
      <c r="AR309" s="110">
        <v>2010</v>
      </c>
      <c r="AS309" s="110" t="s">
        <v>234</v>
      </c>
      <c r="AT309" s="110" t="s">
        <v>420</v>
      </c>
      <c r="AU309" s="110">
        <v>12</v>
      </c>
      <c r="AV309" s="110" t="s">
        <v>1255</v>
      </c>
      <c r="BE309" s="110" t="s">
        <v>182</v>
      </c>
      <c r="BF309" s="110" t="s">
        <v>412</v>
      </c>
      <c r="BK309" s="110">
        <v>4</v>
      </c>
      <c r="BL309" s="110">
        <v>1</v>
      </c>
      <c r="BM309" s="110" t="s">
        <v>1942</v>
      </c>
      <c r="BN309" s="110">
        <v>0.1007</v>
      </c>
      <c r="BO309" s="110">
        <v>2.5099999999999998</v>
      </c>
      <c r="BP309" s="110">
        <v>19.920318730000002</v>
      </c>
      <c r="BS309" s="110">
        <v>38</v>
      </c>
      <c r="BT309" s="110" t="s">
        <v>2256</v>
      </c>
      <c r="BU309" s="110" t="s">
        <v>2606</v>
      </c>
      <c r="BV309" s="110" t="s">
        <v>2256</v>
      </c>
      <c r="CA309" s="110">
        <v>2.5099999999999998</v>
      </c>
      <c r="CB309" s="110">
        <v>19.920318730000002</v>
      </c>
      <c r="CC309" s="110" t="b">
        <v>0</v>
      </c>
      <c r="CD309" s="110" t="s">
        <v>2256</v>
      </c>
      <c r="CE309" s="110" t="s">
        <v>2256</v>
      </c>
      <c r="CF309" s="110" t="s">
        <v>2256</v>
      </c>
      <c r="CH309" s="110" t="s">
        <v>2064</v>
      </c>
      <c r="CJ309" s="110" t="s">
        <v>2063</v>
      </c>
    </row>
    <row r="310" spans="1:88">
      <c r="A310" s="110" t="s">
        <v>1984</v>
      </c>
      <c r="B310" s="110">
        <v>62</v>
      </c>
      <c r="C310" s="110">
        <v>2</v>
      </c>
      <c r="D310" s="110">
        <v>1</v>
      </c>
      <c r="E310" s="110">
        <v>309</v>
      </c>
      <c r="F310" s="110">
        <v>2015</v>
      </c>
      <c r="G310" s="110" t="s">
        <v>161</v>
      </c>
      <c r="H310" s="110" t="s">
        <v>2436</v>
      </c>
      <c r="I310" s="110" t="s">
        <v>182</v>
      </c>
      <c r="J310" s="110" t="s">
        <v>246</v>
      </c>
      <c r="K310" s="110" t="s">
        <v>999</v>
      </c>
      <c r="L310" s="110" t="s">
        <v>999</v>
      </c>
      <c r="R310" s="110" t="s">
        <v>272</v>
      </c>
      <c r="S310" s="110" t="s">
        <v>443</v>
      </c>
      <c r="T310" s="110" t="s">
        <v>611</v>
      </c>
      <c r="U310" s="110" t="s">
        <v>612</v>
      </c>
      <c r="V310" s="110">
        <v>50.3</v>
      </c>
      <c r="W310" s="110">
        <v>50.3</v>
      </c>
      <c r="X310" s="110">
        <v>-4.07</v>
      </c>
      <c r="Y310" s="110" t="s">
        <v>160</v>
      </c>
      <c r="Z310" s="110" t="s">
        <v>155</v>
      </c>
      <c r="AA310" s="110" t="s">
        <v>424</v>
      </c>
      <c r="AB310" s="110" t="s">
        <v>1724</v>
      </c>
      <c r="AC310" s="110" t="s">
        <v>182</v>
      </c>
      <c r="AD310" s="110" t="s">
        <v>333</v>
      </c>
      <c r="AE310" s="110" t="s">
        <v>1123</v>
      </c>
      <c r="AF310" s="110" t="s">
        <v>1766</v>
      </c>
      <c r="AG310" s="110" t="s">
        <v>1766</v>
      </c>
      <c r="AI310" s="110" t="s">
        <v>246</v>
      </c>
      <c r="AJ310" s="110" t="s">
        <v>246</v>
      </c>
      <c r="AK310" s="110" t="s">
        <v>171</v>
      </c>
      <c r="AO310" s="110">
        <v>5</v>
      </c>
      <c r="AQ310" s="110" t="s">
        <v>176</v>
      </c>
      <c r="AR310" s="110">
        <v>2010</v>
      </c>
      <c r="AS310" s="110" t="s">
        <v>234</v>
      </c>
      <c r="AT310" s="110" t="s">
        <v>420</v>
      </c>
      <c r="AU310" s="110">
        <v>12</v>
      </c>
      <c r="AV310" s="110" t="s">
        <v>1255</v>
      </c>
      <c r="BE310" s="110" t="s">
        <v>182</v>
      </c>
      <c r="BF310" s="110" t="s">
        <v>412</v>
      </c>
      <c r="BK310" s="110">
        <v>4</v>
      </c>
      <c r="BL310" s="110">
        <v>1</v>
      </c>
      <c r="BM310" s="110" t="s">
        <v>1942</v>
      </c>
      <c r="BN310" s="110">
        <v>9.1969999999999996E-2</v>
      </c>
      <c r="BO310" s="110">
        <v>2.5099999999999998</v>
      </c>
      <c r="BP310" s="110">
        <v>19.920318730000002</v>
      </c>
      <c r="BS310" s="110">
        <v>38</v>
      </c>
      <c r="BT310" s="110" t="s">
        <v>2256</v>
      </c>
      <c r="BU310" s="110" t="s">
        <v>2606</v>
      </c>
      <c r="BV310" s="110" t="s">
        <v>2256</v>
      </c>
      <c r="CA310" s="110">
        <v>2.5099999999999998</v>
      </c>
      <c r="CB310" s="110">
        <v>19.920318730000002</v>
      </c>
      <c r="CC310" s="110" t="b">
        <v>0</v>
      </c>
      <c r="CD310" s="110" t="s">
        <v>2256</v>
      </c>
      <c r="CE310" s="110" t="s">
        <v>2256</v>
      </c>
      <c r="CF310" s="110" t="s">
        <v>2256</v>
      </c>
      <c r="CH310" s="110" t="s">
        <v>2065</v>
      </c>
    </row>
    <row r="311" spans="1:88">
      <c r="A311" s="110" t="s">
        <v>604</v>
      </c>
      <c r="B311" s="110">
        <v>63</v>
      </c>
      <c r="C311" s="110">
        <v>1</v>
      </c>
      <c r="D311" s="110">
        <v>1</v>
      </c>
      <c r="E311" s="110">
        <v>310</v>
      </c>
      <c r="F311" s="110">
        <v>2020</v>
      </c>
      <c r="G311" s="110" t="s">
        <v>187</v>
      </c>
      <c r="H311" s="110" t="s">
        <v>1119</v>
      </c>
      <c r="I311" s="110" t="s">
        <v>182</v>
      </c>
      <c r="J311" s="110" t="s">
        <v>182</v>
      </c>
      <c r="K311" s="110" t="s">
        <v>186</v>
      </c>
      <c r="L311" s="110" t="s">
        <v>186</v>
      </c>
      <c r="M311" s="110" t="s">
        <v>3173</v>
      </c>
      <c r="N311" s="110" t="s">
        <v>3157</v>
      </c>
      <c r="O311" s="110">
        <v>1</v>
      </c>
      <c r="Q311" s="110">
        <v>0.2</v>
      </c>
      <c r="R311" s="110" t="s">
        <v>272</v>
      </c>
      <c r="S311" s="110" t="s">
        <v>443</v>
      </c>
      <c r="T311" s="110" t="s">
        <v>273</v>
      </c>
      <c r="U311" s="110" t="s">
        <v>378</v>
      </c>
      <c r="V311" s="110">
        <v>33.767138889999998</v>
      </c>
      <c r="W311" s="110">
        <v>33.767138889999998</v>
      </c>
      <c r="X311" s="110">
        <v>132.25675000000001</v>
      </c>
      <c r="Y311" s="110" t="s">
        <v>379</v>
      </c>
      <c r="Z311" s="110" t="s">
        <v>380</v>
      </c>
      <c r="AA311" s="110" t="s">
        <v>1788</v>
      </c>
      <c r="AB311" s="110" t="s">
        <v>1216</v>
      </c>
      <c r="AC311" s="110" t="s">
        <v>182</v>
      </c>
      <c r="AD311" s="110" t="s">
        <v>333</v>
      </c>
      <c r="AE311" s="110" t="s">
        <v>187</v>
      </c>
      <c r="AF311" s="110" t="s">
        <v>190</v>
      </c>
      <c r="AG311" s="110" t="s">
        <v>190</v>
      </c>
      <c r="AI311" s="110" t="s">
        <v>246</v>
      </c>
      <c r="AJ311" s="110" t="s">
        <v>246</v>
      </c>
      <c r="AK311" s="110" t="s">
        <v>381</v>
      </c>
      <c r="AL311" s="110" t="s">
        <v>723</v>
      </c>
      <c r="AM311" s="110">
        <v>40</v>
      </c>
      <c r="AN311" s="110" t="s">
        <v>1216</v>
      </c>
      <c r="AP311" s="110">
        <v>136.88</v>
      </c>
      <c r="AQ311" s="110" t="s">
        <v>176</v>
      </c>
      <c r="AR311" s="110">
        <v>2019</v>
      </c>
      <c r="AS311" s="110" t="s">
        <v>384</v>
      </c>
      <c r="AT311" s="110" t="s">
        <v>385</v>
      </c>
      <c r="AU311" s="110" t="s">
        <v>174</v>
      </c>
      <c r="AW311" s="110" t="s">
        <v>190</v>
      </c>
      <c r="AX311" s="110" t="s">
        <v>190</v>
      </c>
      <c r="AY311" s="110" t="s">
        <v>190</v>
      </c>
      <c r="AZ311" s="110" t="s">
        <v>190</v>
      </c>
      <c r="BA311" s="110">
        <v>22</v>
      </c>
      <c r="BB311" s="110">
        <v>22</v>
      </c>
      <c r="BC311" s="110">
        <v>22</v>
      </c>
      <c r="BD311" s="110">
        <v>0</v>
      </c>
      <c r="BE311" s="110" t="s">
        <v>246</v>
      </c>
      <c r="BF311" s="110" t="s">
        <v>188</v>
      </c>
      <c r="BG311" s="110">
        <v>0</v>
      </c>
      <c r="BH311" s="110" t="s">
        <v>190</v>
      </c>
      <c r="BI311" s="110" t="s">
        <v>246</v>
      </c>
      <c r="BJ311" s="110" t="s">
        <v>382</v>
      </c>
      <c r="BK311" s="110">
        <v>3</v>
      </c>
      <c r="BL311" s="110">
        <v>6</v>
      </c>
      <c r="BM311" s="110" t="s">
        <v>1394</v>
      </c>
      <c r="BN311" s="110">
        <v>4.4000000000000003E-3</v>
      </c>
      <c r="BO311" s="110" t="s">
        <v>174</v>
      </c>
      <c r="BP311" s="110" t="s">
        <v>174</v>
      </c>
      <c r="BQ311" s="110">
        <v>56</v>
      </c>
      <c r="BR311" s="110" t="s">
        <v>174</v>
      </c>
      <c r="BS311" s="110">
        <v>150</v>
      </c>
      <c r="BT311" s="110" t="s">
        <v>1385</v>
      </c>
      <c r="BU311" s="110" t="s">
        <v>3207</v>
      </c>
      <c r="BV311" s="110" t="s">
        <v>2603</v>
      </c>
      <c r="BW311" s="110">
        <v>0.99</v>
      </c>
      <c r="BZ311" s="110">
        <v>2.1999999999999999E-2</v>
      </c>
      <c r="CB311" s="110" t="s">
        <v>190</v>
      </c>
      <c r="CC311" s="110" t="b">
        <v>0</v>
      </c>
      <c r="CD311" s="110">
        <v>52.67</v>
      </c>
      <c r="CE311" s="110">
        <v>52.67</v>
      </c>
      <c r="CF311" s="110" t="s">
        <v>182</v>
      </c>
      <c r="CG311" s="110" t="s">
        <v>174</v>
      </c>
      <c r="CH311" s="110" t="s">
        <v>333</v>
      </c>
      <c r="CI311" s="110" t="s">
        <v>383</v>
      </c>
    </row>
    <row r="312" spans="1:88">
      <c r="A312" s="110" t="s">
        <v>604</v>
      </c>
      <c r="B312" s="110">
        <v>63</v>
      </c>
      <c r="C312" s="110">
        <v>1</v>
      </c>
      <c r="D312" s="110">
        <v>1</v>
      </c>
      <c r="E312" s="110">
        <v>311</v>
      </c>
      <c r="F312" s="110">
        <v>2020</v>
      </c>
      <c r="G312" s="110" t="s">
        <v>187</v>
      </c>
      <c r="H312" s="110" t="s">
        <v>1119</v>
      </c>
      <c r="I312" s="110" t="s">
        <v>182</v>
      </c>
      <c r="J312" s="110" t="s">
        <v>182</v>
      </c>
      <c r="K312" s="110" t="s">
        <v>186</v>
      </c>
      <c r="L312" s="110" t="s">
        <v>186</v>
      </c>
      <c r="M312" s="110" t="s">
        <v>3173</v>
      </c>
      <c r="N312" s="110" t="s">
        <v>3157</v>
      </c>
      <c r="O312" s="110">
        <v>1</v>
      </c>
      <c r="Q312" s="110">
        <v>0.2</v>
      </c>
      <c r="R312" s="110" t="s">
        <v>272</v>
      </c>
      <c r="S312" s="110" t="s">
        <v>443</v>
      </c>
      <c r="T312" s="110" t="s">
        <v>273</v>
      </c>
      <c r="U312" s="110" t="s">
        <v>378</v>
      </c>
      <c r="V312" s="110">
        <v>33.767138889999998</v>
      </c>
      <c r="W312" s="110">
        <v>33.767138889999998</v>
      </c>
      <c r="X312" s="110">
        <v>132.25675000000001</v>
      </c>
      <c r="Y312" s="110" t="s">
        <v>379</v>
      </c>
      <c r="Z312" s="110" t="s">
        <v>380</v>
      </c>
      <c r="AA312" s="110" t="s">
        <v>1788</v>
      </c>
      <c r="AB312" s="110" t="s">
        <v>1216</v>
      </c>
      <c r="AC312" s="110" t="s">
        <v>182</v>
      </c>
      <c r="AD312" s="110" t="s">
        <v>333</v>
      </c>
      <c r="AE312" s="110" t="s">
        <v>187</v>
      </c>
      <c r="AF312" s="110" t="s">
        <v>190</v>
      </c>
      <c r="AG312" s="110" t="s">
        <v>190</v>
      </c>
      <c r="AI312" s="110" t="s">
        <v>246</v>
      </c>
      <c r="AJ312" s="110" t="s">
        <v>246</v>
      </c>
      <c r="AK312" s="110" t="s">
        <v>381</v>
      </c>
      <c r="AL312" s="110" t="s">
        <v>723</v>
      </c>
      <c r="AM312" s="110">
        <v>40</v>
      </c>
      <c r="AN312" s="110" t="s">
        <v>1216</v>
      </c>
      <c r="AP312" s="110">
        <v>21.29</v>
      </c>
      <c r="AQ312" s="110" t="s">
        <v>176</v>
      </c>
      <c r="AR312" s="110">
        <v>2019</v>
      </c>
      <c r="AS312" s="110" t="s">
        <v>297</v>
      </c>
      <c r="AT312" s="110" t="s">
        <v>298</v>
      </c>
      <c r="AU312" s="110" t="s">
        <v>174</v>
      </c>
      <c r="AW312" s="110" t="s">
        <v>190</v>
      </c>
      <c r="AX312" s="110" t="s">
        <v>190</v>
      </c>
      <c r="AY312" s="110" t="s">
        <v>190</v>
      </c>
      <c r="AZ312" s="110" t="s">
        <v>190</v>
      </c>
      <c r="BA312" s="110">
        <v>22</v>
      </c>
      <c r="BB312" s="110">
        <v>22</v>
      </c>
      <c r="BC312" s="110">
        <v>22</v>
      </c>
      <c r="BD312" s="110">
        <v>0</v>
      </c>
      <c r="BE312" s="110" t="s">
        <v>246</v>
      </c>
      <c r="BF312" s="110" t="s">
        <v>188</v>
      </c>
      <c r="BG312" s="110">
        <v>0</v>
      </c>
      <c r="BH312" s="110" t="s">
        <v>190</v>
      </c>
      <c r="BI312" s="110" t="s">
        <v>246</v>
      </c>
      <c r="BJ312" s="110" t="s">
        <v>382</v>
      </c>
      <c r="BK312" s="110">
        <v>3</v>
      </c>
      <c r="BL312" s="110">
        <v>6</v>
      </c>
      <c r="BM312" s="110" t="s">
        <v>1394</v>
      </c>
      <c r="BN312" s="110">
        <v>2.0999999999999999E-3</v>
      </c>
      <c r="BO312" s="110" t="s">
        <v>174</v>
      </c>
      <c r="BP312" s="110" t="s">
        <v>174</v>
      </c>
      <c r="BQ312" s="110">
        <v>78</v>
      </c>
      <c r="BR312" s="110" t="s">
        <v>174</v>
      </c>
      <c r="BS312" s="110">
        <v>150</v>
      </c>
      <c r="BT312" s="110" t="s">
        <v>1385</v>
      </c>
      <c r="BU312" s="110" t="s">
        <v>3207</v>
      </c>
      <c r="BV312" s="110" t="s">
        <v>2603</v>
      </c>
      <c r="BW312" s="110">
        <v>0.93</v>
      </c>
      <c r="BZ312" s="110">
        <v>1.8100000000000002E-2</v>
      </c>
      <c r="CB312" s="110" t="s">
        <v>190</v>
      </c>
      <c r="CC312" s="110" t="b">
        <v>0</v>
      </c>
      <c r="CD312" s="110">
        <v>74.400000000000006</v>
      </c>
      <c r="CE312" s="110">
        <v>74.400000000000006</v>
      </c>
      <c r="CF312" s="110" t="s">
        <v>182</v>
      </c>
      <c r="CG312" s="110" t="s">
        <v>174</v>
      </c>
      <c r="CH312" s="110" t="s">
        <v>333</v>
      </c>
      <c r="CI312" s="110" t="s">
        <v>383</v>
      </c>
    </row>
    <row r="313" spans="1:88">
      <c r="A313" s="110" t="s">
        <v>658</v>
      </c>
      <c r="B313" s="110">
        <v>64</v>
      </c>
      <c r="C313" s="110">
        <v>1</v>
      </c>
      <c r="D313" s="110">
        <v>1</v>
      </c>
      <c r="E313" s="110">
        <v>312</v>
      </c>
      <c r="F313" s="110">
        <v>1984</v>
      </c>
      <c r="G313" s="110" t="s">
        <v>161</v>
      </c>
      <c r="H313" s="110" t="s">
        <v>1219</v>
      </c>
      <c r="I313" s="110" t="s">
        <v>182</v>
      </c>
      <c r="J313" s="110" t="s">
        <v>246</v>
      </c>
      <c r="K313" s="110" t="s">
        <v>999</v>
      </c>
      <c r="L313" s="110" t="s">
        <v>999</v>
      </c>
      <c r="R313" s="110" t="s">
        <v>2611</v>
      </c>
      <c r="S313" s="110" t="s">
        <v>444</v>
      </c>
      <c r="T313" s="110" t="s">
        <v>1095</v>
      </c>
      <c r="U313" s="110" t="s">
        <v>1096</v>
      </c>
      <c r="V313" s="110">
        <v>17.755763000000002</v>
      </c>
      <c r="W313" s="110">
        <v>17.755763000000002</v>
      </c>
      <c r="X313" s="110">
        <v>-64.606529519999995</v>
      </c>
      <c r="Y313" s="110" t="s">
        <v>1097</v>
      </c>
      <c r="Z313" s="110" t="s">
        <v>586</v>
      </c>
      <c r="AA313" s="110" t="s">
        <v>1788</v>
      </c>
      <c r="AB313" s="110" t="s">
        <v>333</v>
      </c>
      <c r="AC313" s="110" t="s">
        <v>246</v>
      </c>
      <c r="AD313" s="110" t="s">
        <v>1256</v>
      </c>
      <c r="AE313" s="110" t="s">
        <v>218</v>
      </c>
      <c r="AF313" s="110" t="s">
        <v>190</v>
      </c>
      <c r="AG313" s="110" t="s">
        <v>1766</v>
      </c>
      <c r="AI313" s="110" t="s">
        <v>246</v>
      </c>
      <c r="AJ313" s="110" t="s">
        <v>246</v>
      </c>
      <c r="AK313" s="110" t="s">
        <v>171</v>
      </c>
      <c r="AL313" s="110" t="s">
        <v>190</v>
      </c>
      <c r="AM313" s="110" t="s">
        <v>174</v>
      </c>
      <c r="AO313" s="110">
        <v>1</v>
      </c>
      <c r="AP313" s="110" t="s">
        <v>190</v>
      </c>
      <c r="AQ313" s="110" t="s">
        <v>176</v>
      </c>
      <c r="AR313" s="110">
        <v>1979</v>
      </c>
      <c r="AS313" s="110" t="s">
        <v>475</v>
      </c>
      <c r="AT313" s="110" t="s">
        <v>254</v>
      </c>
      <c r="AU313" s="110">
        <v>25</v>
      </c>
      <c r="AV313" s="110" t="s">
        <v>1256</v>
      </c>
      <c r="AW313" s="110">
        <v>16.07</v>
      </c>
      <c r="AX313" s="110">
        <v>12.6</v>
      </c>
      <c r="AY313" s="110">
        <v>27.32</v>
      </c>
      <c r="AZ313" s="110">
        <v>22.94</v>
      </c>
      <c r="BA313" s="110">
        <v>25</v>
      </c>
      <c r="BB313" s="110">
        <v>27</v>
      </c>
      <c r="BC313" s="110">
        <v>26</v>
      </c>
      <c r="BD313" s="110">
        <v>2</v>
      </c>
      <c r="BE313" s="110" t="s">
        <v>182</v>
      </c>
      <c r="BF313" s="110" t="s">
        <v>412</v>
      </c>
      <c r="BI313" s="110" t="s">
        <v>246</v>
      </c>
      <c r="BJ313" s="110" t="s">
        <v>246</v>
      </c>
      <c r="BK313" s="110">
        <v>5</v>
      </c>
      <c r="BL313" s="110">
        <v>3</v>
      </c>
      <c r="BM313" s="110" t="s">
        <v>174</v>
      </c>
      <c r="BN313" s="110" t="s">
        <v>174</v>
      </c>
      <c r="BO313" s="110" t="s">
        <v>174</v>
      </c>
      <c r="BP313" s="110" t="s">
        <v>174</v>
      </c>
      <c r="BQ313" s="110" t="s">
        <v>174</v>
      </c>
      <c r="BR313" s="110" t="s">
        <v>174</v>
      </c>
      <c r="BS313" s="110">
        <v>35</v>
      </c>
      <c r="BT313" s="110" t="s">
        <v>2347</v>
      </c>
      <c r="BU313" s="110" t="s">
        <v>1394</v>
      </c>
      <c r="BV313" s="110" t="s">
        <v>2603</v>
      </c>
      <c r="BW313" s="110">
        <v>0.997</v>
      </c>
      <c r="BZ313" s="110">
        <v>8.7099999999999997E-2</v>
      </c>
      <c r="CB313" s="110">
        <v>7.958061775</v>
      </c>
      <c r="CC313" s="110" t="b">
        <v>0</v>
      </c>
      <c r="CD313" s="110">
        <v>25.6</v>
      </c>
      <c r="CE313" s="110">
        <v>0</v>
      </c>
      <c r="CF313" s="110" t="s">
        <v>246</v>
      </c>
      <c r="CG313" s="110" t="s">
        <v>174</v>
      </c>
      <c r="CH313" s="110" t="s">
        <v>1105</v>
      </c>
      <c r="CI313" s="110" t="s">
        <v>1099</v>
      </c>
      <c r="CJ313" s="110" t="s">
        <v>1098</v>
      </c>
    </row>
    <row r="314" spans="1:88">
      <c r="A314" s="110" t="s">
        <v>658</v>
      </c>
      <c r="B314" s="110">
        <v>64</v>
      </c>
      <c r="C314" s="110">
        <v>1</v>
      </c>
      <c r="D314" s="110">
        <v>2</v>
      </c>
      <c r="E314" s="110">
        <v>313</v>
      </c>
      <c r="F314" s="110">
        <v>1984</v>
      </c>
      <c r="G314" s="110" t="s">
        <v>161</v>
      </c>
      <c r="H314" s="110" t="s">
        <v>1219</v>
      </c>
      <c r="I314" s="110" t="s">
        <v>182</v>
      </c>
      <c r="J314" s="110" t="s">
        <v>246</v>
      </c>
      <c r="K314" s="110" t="s">
        <v>999</v>
      </c>
      <c r="L314" s="110" t="s">
        <v>999</v>
      </c>
      <c r="R314" s="110" t="s">
        <v>2611</v>
      </c>
      <c r="S314" s="110" t="s">
        <v>444</v>
      </c>
      <c r="T314" s="110" t="s">
        <v>1095</v>
      </c>
      <c r="U314" s="110" t="s">
        <v>1096</v>
      </c>
      <c r="V314" s="110">
        <v>17.755763000000002</v>
      </c>
      <c r="W314" s="110">
        <v>17.755763000000002</v>
      </c>
      <c r="X314" s="110">
        <v>-64.606529519999995</v>
      </c>
      <c r="Y314" s="110" t="s">
        <v>1097</v>
      </c>
      <c r="Z314" s="110" t="s">
        <v>586</v>
      </c>
      <c r="AA314" s="110" t="s">
        <v>1788</v>
      </c>
      <c r="AB314" s="110" t="s">
        <v>333</v>
      </c>
      <c r="AC314" s="110" t="s">
        <v>246</v>
      </c>
      <c r="AD314" s="110" t="s">
        <v>1256</v>
      </c>
      <c r="AE314" s="110" t="s">
        <v>218</v>
      </c>
      <c r="AF314" s="110" t="s">
        <v>190</v>
      </c>
      <c r="AG314" s="110" t="s">
        <v>1766</v>
      </c>
      <c r="AI314" s="110" t="s">
        <v>246</v>
      </c>
      <c r="AJ314" s="110" t="s">
        <v>246</v>
      </c>
      <c r="AK314" s="110" t="s">
        <v>171</v>
      </c>
      <c r="AL314" s="110" t="s">
        <v>190</v>
      </c>
      <c r="AM314" s="110" t="s">
        <v>174</v>
      </c>
      <c r="AO314" s="110">
        <v>1</v>
      </c>
      <c r="AP314" s="110" t="s">
        <v>190</v>
      </c>
      <c r="AQ314" s="110" t="s">
        <v>176</v>
      </c>
      <c r="AR314" s="110">
        <v>1980</v>
      </c>
      <c r="AS314" s="110" t="s">
        <v>297</v>
      </c>
      <c r="AT314" s="110" t="s">
        <v>298</v>
      </c>
      <c r="AU314" s="110">
        <v>25</v>
      </c>
      <c r="AV314" s="110" t="s">
        <v>1256</v>
      </c>
      <c r="AW314" s="110">
        <v>16.010000000000002</v>
      </c>
      <c r="AX314" s="110">
        <v>15.09</v>
      </c>
      <c r="AY314" s="110">
        <v>27.21</v>
      </c>
      <c r="AZ314" s="110">
        <v>17.649999999999999</v>
      </c>
      <c r="BA314" s="110">
        <v>25</v>
      </c>
      <c r="BB314" s="110">
        <v>27</v>
      </c>
      <c r="BC314" s="110">
        <v>26</v>
      </c>
      <c r="BD314" s="110">
        <v>2</v>
      </c>
      <c r="BE314" s="110" t="s">
        <v>182</v>
      </c>
      <c r="BF314" s="110" t="s">
        <v>412</v>
      </c>
      <c r="BI314" s="110" t="s">
        <v>246</v>
      </c>
      <c r="BJ314" s="110" t="s">
        <v>246</v>
      </c>
      <c r="BK314" s="110">
        <v>2</v>
      </c>
      <c r="BL314" s="110">
        <v>4</v>
      </c>
      <c r="BM314" s="110" t="s">
        <v>174</v>
      </c>
      <c r="BN314" s="110" t="s">
        <v>174</v>
      </c>
      <c r="BO314" s="110" t="s">
        <v>174</v>
      </c>
      <c r="BP314" s="110" t="s">
        <v>174</v>
      </c>
      <c r="BQ314" s="110" t="s">
        <v>174</v>
      </c>
      <c r="BR314" s="110" t="s">
        <v>174</v>
      </c>
      <c r="BS314" s="110">
        <v>35</v>
      </c>
      <c r="BT314" s="110" t="s">
        <v>1385</v>
      </c>
      <c r="BU314" s="110" t="s">
        <v>3207</v>
      </c>
      <c r="BV314" s="110" t="s">
        <v>2603</v>
      </c>
      <c r="BW314" s="110">
        <v>0.997</v>
      </c>
      <c r="BZ314" s="110">
        <v>0.2016</v>
      </c>
      <c r="CB314" s="110">
        <v>5.22</v>
      </c>
      <c r="CC314" s="110" t="b">
        <v>0</v>
      </c>
      <c r="CD314" s="110">
        <v>23.3</v>
      </c>
      <c r="CE314" s="110">
        <v>23.3</v>
      </c>
      <c r="CF314" s="110" t="s">
        <v>182</v>
      </c>
      <c r="CG314" s="110" t="s">
        <v>174</v>
      </c>
      <c r="CH314" s="110" t="s">
        <v>1105</v>
      </c>
      <c r="CI314" s="110" t="s">
        <v>1099</v>
      </c>
      <c r="CJ314" s="110" t="s">
        <v>1098</v>
      </c>
    </row>
    <row r="315" spans="1:88">
      <c r="A315" s="110" t="s">
        <v>658</v>
      </c>
      <c r="B315" s="110">
        <v>64</v>
      </c>
      <c r="C315" s="110">
        <v>1</v>
      </c>
      <c r="D315" s="110">
        <v>2</v>
      </c>
      <c r="E315" s="110">
        <v>314</v>
      </c>
      <c r="F315" s="110">
        <v>1984</v>
      </c>
      <c r="G315" s="110" t="s">
        <v>161</v>
      </c>
      <c r="H315" s="110" t="s">
        <v>1219</v>
      </c>
      <c r="I315" s="110" t="s">
        <v>182</v>
      </c>
      <c r="J315" s="110" t="s">
        <v>246</v>
      </c>
      <c r="K315" s="110" t="s">
        <v>999</v>
      </c>
      <c r="L315" s="110" t="s">
        <v>999</v>
      </c>
      <c r="R315" s="110" t="s">
        <v>2611</v>
      </c>
      <c r="S315" s="110" t="s">
        <v>444</v>
      </c>
      <c r="T315" s="110" t="s">
        <v>1095</v>
      </c>
      <c r="U315" s="110" t="s">
        <v>1096</v>
      </c>
      <c r="V315" s="110">
        <v>17.755763000000002</v>
      </c>
      <c r="W315" s="110">
        <v>17.755763000000002</v>
      </c>
      <c r="X315" s="110">
        <v>-64.606529519999995</v>
      </c>
      <c r="Y315" s="110" t="s">
        <v>1097</v>
      </c>
      <c r="Z315" s="110" t="s">
        <v>586</v>
      </c>
      <c r="AA315" s="110" t="s">
        <v>1788</v>
      </c>
      <c r="AB315" s="110" t="s">
        <v>333</v>
      </c>
      <c r="AC315" s="110" t="s">
        <v>246</v>
      </c>
      <c r="AD315" s="110" t="s">
        <v>1256</v>
      </c>
      <c r="AE315" s="110" t="s">
        <v>1123</v>
      </c>
      <c r="AF315" s="110" t="s">
        <v>1745</v>
      </c>
      <c r="AG315" s="110" t="s">
        <v>1766</v>
      </c>
      <c r="AI315" s="110" t="s">
        <v>182</v>
      </c>
      <c r="AJ315" s="110" t="s">
        <v>1782</v>
      </c>
      <c r="AK315" s="110" t="s">
        <v>171</v>
      </c>
      <c r="AL315" s="110" t="s">
        <v>190</v>
      </c>
      <c r="AM315" s="110" t="s">
        <v>174</v>
      </c>
      <c r="AO315" s="110">
        <v>1</v>
      </c>
      <c r="AP315" s="110" t="s">
        <v>190</v>
      </c>
      <c r="AQ315" s="110" t="s">
        <v>176</v>
      </c>
      <c r="AR315" s="110">
        <v>1980</v>
      </c>
      <c r="AS315" s="110" t="s">
        <v>297</v>
      </c>
      <c r="AT315" s="110" t="s">
        <v>298</v>
      </c>
      <c r="AU315" s="110">
        <v>25</v>
      </c>
      <c r="AV315" s="110" t="s">
        <v>1256</v>
      </c>
      <c r="AW315" s="110">
        <v>16.010000000000002</v>
      </c>
      <c r="AX315" s="110">
        <v>24.38</v>
      </c>
      <c r="AY315" s="110">
        <v>27.21</v>
      </c>
      <c r="AZ315" s="110">
        <v>34.380000000000003</v>
      </c>
      <c r="BA315" s="110">
        <v>25</v>
      </c>
      <c r="BB315" s="110">
        <v>27</v>
      </c>
      <c r="BC315" s="110">
        <v>26</v>
      </c>
      <c r="BD315" s="110">
        <v>2</v>
      </c>
      <c r="BE315" s="110" t="s">
        <v>246</v>
      </c>
      <c r="BF315" s="110" t="s">
        <v>188</v>
      </c>
      <c r="BG315" s="110">
        <v>0</v>
      </c>
      <c r="BI315" s="110" t="s">
        <v>246</v>
      </c>
      <c r="BJ315" s="110" t="s">
        <v>246</v>
      </c>
      <c r="BK315" s="110">
        <v>3</v>
      </c>
      <c r="BL315" s="110">
        <v>4</v>
      </c>
      <c r="BM315" s="110" t="s">
        <v>174</v>
      </c>
      <c r="BN315" s="110" t="s">
        <v>174</v>
      </c>
      <c r="BO315" s="110" t="s">
        <v>174</v>
      </c>
      <c r="BP315" s="110" t="s">
        <v>174</v>
      </c>
      <c r="BQ315" s="110" t="s">
        <v>174</v>
      </c>
      <c r="BR315" s="110" t="s">
        <v>174</v>
      </c>
      <c r="BS315" s="110">
        <v>35</v>
      </c>
      <c r="BT315" s="110" t="s">
        <v>1385</v>
      </c>
      <c r="BU315" s="110" t="s">
        <v>3207</v>
      </c>
      <c r="BV315" s="110" t="s">
        <v>2603</v>
      </c>
      <c r="BW315" s="110">
        <v>0.97</v>
      </c>
      <c r="BZ315" s="110">
        <v>0.16489999999999999</v>
      </c>
      <c r="CB315" s="110">
        <v>4.95</v>
      </c>
      <c r="CC315" s="110" t="b">
        <v>0</v>
      </c>
      <c r="CD315" s="110">
        <v>9.5</v>
      </c>
      <c r="CE315" s="110">
        <v>9.5</v>
      </c>
      <c r="CF315" s="110" t="s">
        <v>182</v>
      </c>
      <c r="CG315" s="110" t="s">
        <v>174</v>
      </c>
      <c r="CH315" s="110" t="s">
        <v>1105</v>
      </c>
      <c r="CI315" s="110" t="s">
        <v>1099</v>
      </c>
      <c r="CJ315" s="110" t="s">
        <v>1098</v>
      </c>
    </row>
    <row r="316" spans="1:88">
      <c r="A316" s="110" t="s">
        <v>658</v>
      </c>
      <c r="B316" s="110">
        <v>64</v>
      </c>
      <c r="C316" s="110">
        <v>1</v>
      </c>
      <c r="D316" s="110">
        <v>2</v>
      </c>
      <c r="E316" s="110">
        <v>315</v>
      </c>
      <c r="F316" s="110">
        <v>1984</v>
      </c>
      <c r="G316" s="110" t="s">
        <v>161</v>
      </c>
      <c r="H316" s="110" t="s">
        <v>1219</v>
      </c>
      <c r="I316" s="110" t="s">
        <v>182</v>
      </c>
      <c r="J316" s="110" t="s">
        <v>246</v>
      </c>
      <c r="K316" s="110" t="s">
        <v>999</v>
      </c>
      <c r="L316" s="110" t="s">
        <v>999</v>
      </c>
      <c r="R316" s="110" t="s">
        <v>2611</v>
      </c>
      <c r="S316" s="110" t="s">
        <v>444</v>
      </c>
      <c r="T316" s="110" t="s">
        <v>1095</v>
      </c>
      <c r="U316" s="110" t="s">
        <v>1096</v>
      </c>
      <c r="V316" s="110">
        <v>17.755763000000002</v>
      </c>
      <c r="W316" s="110">
        <v>17.755763000000002</v>
      </c>
      <c r="X316" s="110">
        <v>-64.606529519999995</v>
      </c>
      <c r="Y316" s="110" t="s">
        <v>1097</v>
      </c>
      <c r="Z316" s="110" t="s">
        <v>586</v>
      </c>
      <c r="AA316" s="110" t="s">
        <v>1788</v>
      </c>
      <c r="AB316" s="110" t="s">
        <v>333</v>
      </c>
      <c r="AC316" s="110" t="s">
        <v>246</v>
      </c>
      <c r="AD316" s="110" t="s">
        <v>1256</v>
      </c>
      <c r="AE316" s="110" t="s">
        <v>1123</v>
      </c>
      <c r="AF316" s="110" t="s">
        <v>1745</v>
      </c>
      <c r="AG316" s="110" t="s">
        <v>1766</v>
      </c>
      <c r="AI316" s="110" t="s">
        <v>182</v>
      </c>
      <c r="AJ316" s="110" t="s">
        <v>1760</v>
      </c>
      <c r="AK316" s="110" t="s">
        <v>171</v>
      </c>
      <c r="AL316" s="110" t="s">
        <v>190</v>
      </c>
      <c r="AM316" s="110" t="s">
        <v>174</v>
      </c>
      <c r="AO316" s="110">
        <v>1</v>
      </c>
      <c r="AP316" s="110" t="s">
        <v>190</v>
      </c>
      <c r="AQ316" s="110" t="s">
        <v>176</v>
      </c>
      <c r="AR316" s="110">
        <v>1980</v>
      </c>
      <c r="AS316" s="110" t="s">
        <v>297</v>
      </c>
      <c r="AT316" s="110" t="s">
        <v>298</v>
      </c>
      <c r="AU316" s="110">
        <v>25</v>
      </c>
      <c r="AV316" s="110" t="s">
        <v>1256</v>
      </c>
      <c r="AW316" s="110">
        <v>16.010000000000002</v>
      </c>
      <c r="AX316" s="110">
        <v>15.9</v>
      </c>
      <c r="AY316" s="110">
        <v>27.21</v>
      </c>
      <c r="AZ316" s="110">
        <v>31.65</v>
      </c>
      <c r="BA316" s="110">
        <v>25</v>
      </c>
      <c r="BB316" s="110">
        <v>27</v>
      </c>
      <c r="BC316" s="110">
        <v>26</v>
      </c>
      <c r="BD316" s="110">
        <v>2</v>
      </c>
      <c r="BE316" s="110" t="s">
        <v>246</v>
      </c>
      <c r="BF316" s="110" t="s">
        <v>188</v>
      </c>
      <c r="BG316" s="110">
        <v>0</v>
      </c>
      <c r="BI316" s="110" t="s">
        <v>246</v>
      </c>
      <c r="BJ316" s="110" t="s">
        <v>246</v>
      </c>
      <c r="BK316" s="110">
        <v>2</v>
      </c>
      <c r="BL316" s="110">
        <v>5</v>
      </c>
      <c r="BM316" s="110" t="s">
        <v>174</v>
      </c>
      <c r="BN316" s="110" t="s">
        <v>174</v>
      </c>
      <c r="BO316" s="110" t="s">
        <v>174</v>
      </c>
      <c r="BP316" s="110" t="s">
        <v>174</v>
      </c>
      <c r="BQ316" s="110" t="s">
        <v>174</v>
      </c>
      <c r="BR316" s="110" t="s">
        <v>174</v>
      </c>
      <c r="BS316" s="110">
        <v>35</v>
      </c>
      <c r="BT316" s="110" t="s">
        <v>1385</v>
      </c>
      <c r="BU316" s="110" t="s">
        <v>3207</v>
      </c>
      <c r="BV316" s="110" t="s">
        <v>2603</v>
      </c>
      <c r="BW316" s="110">
        <v>1</v>
      </c>
      <c r="BZ316" s="110">
        <v>0.1847</v>
      </c>
      <c r="CB316" s="110">
        <v>4.5599999999999996</v>
      </c>
      <c r="CC316" s="110" t="b">
        <v>0</v>
      </c>
      <c r="CD316" s="110">
        <v>12.2</v>
      </c>
      <c r="CE316" s="110">
        <v>12.2</v>
      </c>
      <c r="CF316" s="110" t="s">
        <v>182</v>
      </c>
      <c r="CG316" s="110" t="s">
        <v>174</v>
      </c>
      <c r="CH316" s="110" t="s">
        <v>1105</v>
      </c>
      <c r="CI316" s="110" t="s">
        <v>1099</v>
      </c>
      <c r="CJ316" s="110" t="s">
        <v>1098</v>
      </c>
    </row>
    <row r="317" spans="1:88">
      <c r="A317" s="110" t="s">
        <v>151</v>
      </c>
      <c r="B317" s="110">
        <v>65</v>
      </c>
      <c r="C317" s="110">
        <v>1</v>
      </c>
      <c r="D317" s="110">
        <v>1</v>
      </c>
      <c r="E317" s="110">
        <v>316</v>
      </c>
      <c r="F317" s="110">
        <v>2022</v>
      </c>
      <c r="G317" s="110" t="s">
        <v>161</v>
      </c>
      <c r="H317" s="110" t="s">
        <v>1119</v>
      </c>
      <c r="I317" s="110" t="s">
        <v>182</v>
      </c>
      <c r="J317" s="110" t="s">
        <v>182</v>
      </c>
      <c r="K317" s="110" t="s">
        <v>999</v>
      </c>
      <c r="L317" s="110" t="s">
        <v>999</v>
      </c>
      <c r="R317" s="110" t="s">
        <v>152</v>
      </c>
      <c r="S317" s="110" t="s">
        <v>443</v>
      </c>
      <c r="T317" s="110" t="s">
        <v>156</v>
      </c>
      <c r="U317" s="110" t="s">
        <v>157</v>
      </c>
      <c r="V317" s="110">
        <v>50.353327999999998</v>
      </c>
      <c r="W317" s="110">
        <v>50.353327999999998</v>
      </c>
      <c r="X317" s="110">
        <v>-4.1502239999999997</v>
      </c>
      <c r="Y317" s="110" t="s">
        <v>160</v>
      </c>
      <c r="Z317" s="110" t="s">
        <v>155</v>
      </c>
      <c r="AA317" s="110" t="s">
        <v>1788</v>
      </c>
      <c r="AB317" s="110" t="s">
        <v>333</v>
      </c>
      <c r="AC317" s="110" t="s">
        <v>246</v>
      </c>
      <c r="AD317" s="110" t="s">
        <v>333</v>
      </c>
      <c r="AE317" s="110" t="s">
        <v>1123</v>
      </c>
      <c r="AF317" s="110" t="s">
        <v>1745</v>
      </c>
      <c r="AG317" s="110">
        <v>4</v>
      </c>
      <c r="AI317" s="110" t="s">
        <v>246</v>
      </c>
      <c r="AJ317" s="110" t="s">
        <v>246</v>
      </c>
      <c r="AK317" s="110" t="s">
        <v>171</v>
      </c>
      <c r="AL317" s="110" t="s">
        <v>190</v>
      </c>
      <c r="AM317" s="110" t="s">
        <v>174</v>
      </c>
      <c r="AO317" s="110">
        <v>20</v>
      </c>
      <c r="AP317" s="110" t="s">
        <v>190</v>
      </c>
      <c r="AQ317" s="110" t="s">
        <v>176</v>
      </c>
      <c r="AR317" s="110">
        <v>2016</v>
      </c>
      <c r="AS317" s="110" t="s">
        <v>163</v>
      </c>
      <c r="AT317" s="110" t="s">
        <v>298</v>
      </c>
      <c r="AU317" s="110">
        <v>105</v>
      </c>
      <c r="AY317" s="110">
        <v>28.16</v>
      </c>
      <c r="AZ317" s="110">
        <v>27.94</v>
      </c>
      <c r="BA317" s="110" t="s">
        <v>1766</v>
      </c>
      <c r="BB317" s="110" t="s">
        <v>1766</v>
      </c>
      <c r="BE317" s="110" t="s">
        <v>182</v>
      </c>
      <c r="BF317" s="110" t="s">
        <v>412</v>
      </c>
      <c r="BI317" s="110" t="s">
        <v>182</v>
      </c>
      <c r="BJ317" s="110" t="s">
        <v>190</v>
      </c>
      <c r="BK317" s="110">
        <v>8</v>
      </c>
      <c r="BL317" s="110">
        <v>1</v>
      </c>
      <c r="BM317" s="110" t="s">
        <v>181</v>
      </c>
      <c r="BN317" s="110" t="s">
        <v>174</v>
      </c>
      <c r="BO317" s="110" t="s">
        <v>174</v>
      </c>
      <c r="BP317" s="110" t="s">
        <v>174</v>
      </c>
      <c r="BQ317" s="110" t="s">
        <v>174</v>
      </c>
      <c r="BR317" s="110" t="s">
        <v>174</v>
      </c>
      <c r="BS317" s="110">
        <v>40</v>
      </c>
      <c r="BT317" s="110" t="s">
        <v>2256</v>
      </c>
      <c r="BU317" s="110" t="s">
        <v>2606</v>
      </c>
      <c r="BV317" s="110" t="s">
        <v>2256</v>
      </c>
      <c r="CA317" s="110">
        <v>0.27</v>
      </c>
      <c r="CB317" s="110">
        <v>185.18518520000001</v>
      </c>
      <c r="CC317" s="110" t="b">
        <v>0</v>
      </c>
      <c r="CD317" s="110" t="s">
        <v>2256</v>
      </c>
      <c r="CE317" s="110" t="s">
        <v>2256</v>
      </c>
      <c r="CF317" s="110" t="s">
        <v>2256</v>
      </c>
      <c r="CG317" s="110">
        <v>108</v>
      </c>
      <c r="CH317" s="110" t="s">
        <v>180</v>
      </c>
      <c r="CJ317" s="110" t="s">
        <v>179</v>
      </c>
    </row>
    <row r="318" spans="1:88">
      <c r="A318" s="110" t="s">
        <v>151</v>
      </c>
      <c r="B318" s="110">
        <v>65</v>
      </c>
      <c r="C318" s="110">
        <v>1</v>
      </c>
      <c r="D318" s="110">
        <v>1</v>
      </c>
      <c r="E318" s="110">
        <v>317</v>
      </c>
      <c r="F318" s="110">
        <v>2022</v>
      </c>
      <c r="G318" s="110" t="s">
        <v>161</v>
      </c>
      <c r="H318" s="110" t="s">
        <v>1119</v>
      </c>
      <c r="I318" s="110" t="s">
        <v>182</v>
      </c>
      <c r="J318" s="110" t="s">
        <v>182</v>
      </c>
      <c r="K318" s="110" t="s">
        <v>999</v>
      </c>
      <c r="L318" s="110" t="s">
        <v>999</v>
      </c>
      <c r="R318" s="110" t="s">
        <v>152</v>
      </c>
      <c r="S318" s="110" t="s">
        <v>443</v>
      </c>
      <c r="T318" s="110" t="s">
        <v>156</v>
      </c>
      <c r="U318" s="110" t="s">
        <v>158</v>
      </c>
      <c r="V318" s="110">
        <v>50.353327999999998</v>
      </c>
      <c r="W318" s="110">
        <v>50.353327999999998</v>
      </c>
      <c r="X318" s="110">
        <v>-4.1502239999999997</v>
      </c>
      <c r="Y318" s="110" t="s">
        <v>160</v>
      </c>
      <c r="Z318" s="110" t="s">
        <v>155</v>
      </c>
      <c r="AA318" s="110" t="s">
        <v>1788</v>
      </c>
      <c r="AB318" s="110" t="s">
        <v>333</v>
      </c>
      <c r="AC318" s="110" t="s">
        <v>246</v>
      </c>
      <c r="AD318" s="110" t="s">
        <v>333</v>
      </c>
      <c r="AE318" s="110" t="s">
        <v>1123</v>
      </c>
      <c r="AF318" s="110" t="s">
        <v>1745</v>
      </c>
      <c r="AG318" s="110">
        <v>4</v>
      </c>
      <c r="AI318" s="110" t="s">
        <v>246</v>
      </c>
      <c r="AJ318" s="110" t="s">
        <v>246</v>
      </c>
      <c r="AK318" s="110" t="s">
        <v>171</v>
      </c>
      <c r="AL318" s="110" t="s">
        <v>190</v>
      </c>
      <c r="AM318" s="110" t="s">
        <v>174</v>
      </c>
      <c r="AO318" s="110">
        <v>20</v>
      </c>
      <c r="AP318" s="110" t="s">
        <v>190</v>
      </c>
      <c r="AQ318" s="110" t="s">
        <v>176</v>
      </c>
      <c r="AR318" s="110">
        <v>2016</v>
      </c>
      <c r="AS318" s="110" t="s">
        <v>163</v>
      </c>
      <c r="AT318" s="110" t="s">
        <v>298</v>
      </c>
      <c r="AU318" s="110">
        <v>105</v>
      </c>
      <c r="AY318" s="110">
        <v>30.78</v>
      </c>
      <c r="AZ318" s="110">
        <v>28.67</v>
      </c>
      <c r="BA318" s="110" t="s">
        <v>1766</v>
      </c>
      <c r="BB318" s="110" t="s">
        <v>1766</v>
      </c>
      <c r="BE318" s="110" t="s">
        <v>182</v>
      </c>
      <c r="BF318" s="110" t="s">
        <v>412</v>
      </c>
      <c r="BI318" s="110" t="s">
        <v>182</v>
      </c>
      <c r="BJ318" s="110" t="s">
        <v>190</v>
      </c>
      <c r="BK318" s="110">
        <v>8</v>
      </c>
      <c r="BL318" s="110">
        <v>1</v>
      </c>
      <c r="BM318" s="110" t="s">
        <v>181</v>
      </c>
      <c r="BN318" s="110" t="s">
        <v>174</v>
      </c>
      <c r="BO318" s="110" t="s">
        <v>174</v>
      </c>
      <c r="BP318" s="110" t="s">
        <v>174</v>
      </c>
      <c r="BQ318" s="110" t="s">
        <v>174</v>
      </c>
      <c r="BR318" s="110" t="s">
        <v>174</v>
      </c>
      <c r="BS318" s="110">
        <v>40</v>
      </c>
      <c r="BT318" s="110" t="s">
        <v>2256</v>
      </c>
      <c r="BU318" s="110" t="s">
        <v>2606</v>
      </c>
      <c r="BV318" s="110" t="s">
        <v>2256</v>
      </c>
      <c r="CA318" s="110">
        <v>0.04</v>
      </c>
      <c r="CB318" s="110">
        <v>1250</v>
      </c>
      <c r="CC318" s="110" t="b">
        <v>1</v>
      </c>
      <c r="CD318" s="110" t="s">
        <v>2256</v>
      </c>
      <c r="CE318" s="110" t="s">
        <v>2256</v>
      </c>
      <c r="CF318" s="110" t="s">
        <v>2256</v>
      </c>
      <c r="CG318" s="110">
        <v>2500</v>
      </c>
      <c r="CH318" s="110" t="s">
        <v>180</v>
      </c>
      <c r="CJ318" s="110" t="s">
        <v>179</v>
      </c>
    </row>
    <row r="319" spans="1:88">
      <c r="A319" s="110" t="s">
        <v>151</v>
      </c>
      <c r="B319" s="110">
        <v>65</v>
      </c>
      <c r="C319" s="110">
        <v>1</v>
      </c>
      <c r="D319" s="110">
        <v>1</v>
      </c>
      <c r="E319" s="110">
        <v>318</v>
      </c>
      <c r="F319" s="110">
        <v>2022</v>
      </c>
      <c r="G319" s="110" t="s">
        <v>161</v>
      </c>
      <c r="H319" s="110" t="s">
        <v>1119</v>
      </c>
      <c r="I319" s="110" t="s">
        <v>182</v>
      </c>
      <c r="J319" s="110" t="s">
        <v>182</v>
      </c>
      <c r="K319" s="110" t="s">
        <v>999</v>
      </c>
      <c r="L319" s="110" t="s">
        <v>999</v>
      </c>
      <c r="R319" s="110" t="s">
        <v>152</v>
      </c>
      <c r="S319" s="110" t="s">
        <v>443</v>
      </c>
      <c r="T319" s="110" t="s">
        <v>156</v>
      </c>
      <c r="U319" s="110" t="s">
        <v>159</v>
      </c>
      <c r="V319" s="110">
        <v>50.353327999999998</v>
      </c>
      <c r="W319" s="110">
        <v>50.353327999999998</v>
      </c>
      <c r="X319" s="110">
        <v>-4.1502239999999997</v>
      </c>
      <c r="Y319" s="110" t="s">
        <v>160</v>
      </c>
      <c r="Z319" s="110" t="s">
        <v>155</v>
      </c>
      <c r="AA319" s="110" t="s">
        <v>1788</v>
      </c>
      <c r="AB319" s="110" t="s">
        <v>333</v>
      </c>
      <c r="AC319" s="110" t="s">
        <v>246</v>
      </c>
      <c r="AD319" s="110" t="s">
        <v>333</v>
      </c>
      <c r="AE319" s="110" t="s">
        <v>1123</v>
      </c>
      <c r="AF319" s="110" t="s">
        <v>1745</v>
      </c>
      <c r="AG319" s="110">
        <v>4</v>
      </c>
      <c r="AI319" s="110" t="s">
        <v>246</v>
      </c>
      <c r="AJ319" s="110" t="s">
        <v>246</v>
      </c>
      <c r="AK319" s="110" t="s">
        <v>171</v>
      </c>
      <c r="AL319" s="110" t="s">
        <v>190</v>
      </c>
      <c r="AM319" s="110" t="s">
        <v>174</v>
      </c>
      <c r="AO319" s="110">
        <v>20</v>
      </c>
      <c r="AP319" s="110" t="s">
        <v>190</v>
      </c>
      <c r="AQ319" s="110" t="s">
        <v>176</v>
      </c>
      <c r="AR319" s="110">
        <v>2016</v>
      </c>
      <c r="AS319" s="110" t="s">
        <v>163</v>
      </c>
      <c r="AT319" s="110" t="s">
        <v>298</v>
      </c>
      <c r="AU319" s="110">
        <v>105</v>
      </c>
      <c r="AY319" s="110">
        <v>27.38</v>
      </c>
      <c r="AZ319" s="110">
        <v>22.03</v>
      </c>
      <c r="BA319" s="110" t="s">
        <v>1766</v>
      </c>
      <c r="BB319" s="110" t="s">
        <v>1766</v>
      </c>
      <c r="BE319" s="110" t="s">
        <v>182</v>
      </c>
      <c r="BF319" s="110" t="s">
        <v>412</v>
      </c>
      <c r="BI319" s="110" t="s">
        <v>182</v>
      </c>
      <c r="BJ319" s="110" t="s">
        <v>190</v>
      </c>
      <c r="BK319" s="110">
        <v>8</v>
      </c>
      <c r="BL319" s="110">
        <v>1</v>
      </c>
      <c r="BM319" s="110" t="s">
        <v>181</v>
      </c>
      <c r="BN319" s="110" t="s">
        <v>174</v>
      </c>
      <c r="BO319" s="110" t="s">
        <v>174</v>
      </c>
      <c r="BP319" s="110" t="s">
        <v>174</v>
      </c>
      <c r="BQ319" s="110" t="s">
        <v>174</v>
      </c>
      <c r="BR319" s="110" t="s">
        <v>174</v>
      </c>
      <c r="BS319" s="110">
        <v>40</v>
      </c>
      <c r="BT319" s="110" t="s">
        <v>2256</v>
      </c>
      <c r="BU319" s="110" t="s">
        <v>2606</v>
      </c>
      <c r="BV319" s="110" t="s">
        <v>2256</v>
      </c>
      <c r="CA319" s="110">
        <v>0.26</v>
      </c>
      <c r="CB319" s="110">
        <v>192.30769230000001</v>
      </c>
      <c r="CC319" s="110" t="b">
        <v>1</v>
      </c>
      <c r="CD319" s="110" t="s">
        <v>2256</v>
      </c>
      <c r="CE319" s="110" t="s">
        <v>2256</v>
      </c>
      <c r="CF319" s="110" t="s">
        <v>2256</v>
      </c>
      <c r="CG319" s="110">
        <v>384.61538460000003</v>
      </c>
      <c r="CH319" s="110" t="s">
        <v>180</v>
      </c>
      <c r="CJ319" s="110" t="s">
        <v>179</v>
      </c>
    </row>
    <row r="320" spans="1:88">
      <c r="A320" s="110" t="s">
        <v>151</v>
      </c>
      <c r="B320" s="110">
        <v>65</v>
      </c>
      <c r="C320" s="110">
        <v>1</v>
      </c>
      <c r="D320" s="110">
        <v>1</v>
      </c>
      <c r="E320" s="110">
        <v>319</v>
      </c>
      <c r="F320" s="110">
        <v>2022</v>
      </c>
      <c r="G320" s="110" t="s">
        <v>161</v>
      </c>
      <c r="H320" s="110" t="s">
        <v>1119</v>
      </c>
      <c r="I320" s="110" t="s">
        <v>182</v>
      </c>
      <c r="J320" s="110" t="s">
        <v>182</v>
      </c>
      <c r="K320" s="110" t="s">
        <v>999</v>
      </c>
      <c r="L320" s="110" t="s">
        <v>999</v>
      </c>
      <c r="R320" s="110" t="s">
        <v>152</v>
      </c>
      <c r="S320" s="110" t="s">
        <v>443</v>
      </c>
      <c r="T320" s="110" t="s">
        <v>156</v>
      </c>
      <c r="U320" s="110" t="s">
        <v>157</v>
      </c>
      <c r="V320" s="110">
        <v>50.343058999999997</v>
      </c>
      <c r="W320" s="110">
        <v>50.343058999999997</v>
      </c>
      <c r="X320" s="110">
        <v>-4.1317620000000002</v>
      </c>
      <c r="Y320" s="110" t="s">
        <v>160</v>
      </c>
      <c r="Z320" s="110" t="s">
        <v>155</v>
      </c>
      <c r="AA320" s="110" t="s">
        <v>1788</v>
      </c>
      <c r="AB320" s="110" t="s">
        <v>333</v>
      </c>
      <c r="AC320" s="110" t="s">
        <v>246</v>
      </c>
      <c r="AD320" s="110" t="s">
        <v>333</v>
      </c>
      <c r="AE320" s="110" t="s">
        <v>1123</v>
      </c>
      <c r="AF320" s="110" t="s">
        <v>1745</v>
      </c>
      <c r="AG320" s="110">
        <v>4</v>
      </c>
      <c r="AI320" s="110" t="s">
        <v>246</v>
      </c>
      <c r="AJ320" s="110" t="s">
        <v>246</v>
      </c>
      <c r="AK320" s="110" t="s">
        <v>171</v>
      </c>
      <c r="AL320" s="110" t="s">
        <v>190</v>
      </c>
      <c r="AM320" s="110" t="s">
        <v>174</v>
      </c>
      <c r="AO320" s="110">
        <v>20</v>
      </c>
      <c r="AP320" s="110" t="s">
        <v>190</v>
      </c>
      <c r="AQ320" s="110" t="s">
        <v>176</v>
      </c>
      <c r="AR320" s="110">
        <v>2016</v>
      </c>
      <c r="AS320" s="110" t="s">
        <v>163</v>
      </c>
      <c r="AT320" s="110" t="s">
        <v>298</v>
      </c>
      <c r="AU320" s="110">
        <v>105</v>
      </c>
      <c r="BA320" s="110" t="s">
        <v>1766</v>
      </c>
      <c r="BB320" s="110" t="s">
        <v>1766</v>
      </c>
      <c r="BE320" s="110" t="s">
        <v>182</v>
      </c>
      <c r="BF320" s="110" t="s">
        <v>412</v>
      </c>
      <c r="BI320" s="110" t="s">
        <v>182</v>
      </c>
      <c r="BJ320" s="110" t="s">
        <v>190</v>
      </c>
      <c r="BK320" s="110">
        <v>8</v>
      </c>
      <c r="BL320" s="110">
        <v>1</v>
      </c>
      <c r="BM320" s="110" t="s">
        <v>181</v>
      </c>
      <c r="BN320" s="110" t="s">
        <v>174</v>
      </c>
      <c r="BO320" s="110" t="s">
        <v>174</v>
      </c>
      <c r="BP320" s="110" t="s">
        <v>174</v>
      </c>
      <c r="BQ320" s="110" t="s">
        <v>174</v>
      </c>
      <c r="BR320" s="110" t="s">
        <v>174</v>
      </c>
      <c r="BS320" s="110">
        <v>40</v>
      </c>
      <c r="BT320" s="110" t="s">
        <v>2256</v>
      </c>
      <c r="BU320" s="110" t="s">
        <v>2606</v>
      </c>
      <c r="BV320" s="110" t="s">
        <v>2256</v>
      </c>
      <c r="CA320" s="110">
        <v>0.81</v>
      </c>
      <c r="CB320" s="110">
        <v>61.728395059999997</v>
      </c>
      <c r="CC320" s="110" t="b">
        <v>0</v>
      </c>
      <c r="CD320" s="110" t="s">
        <v>2256</v>
      </c>
      <c r="CE320" s="110" t="s">
        <v>2256</v>
      </c>
      <c r="CF320" s="110" t="s">
        <v>2256</v>
      </c>
      <c r="CG320" s="110">
        <v>123.45679010000001</v>
      </c>
      <c r="CH320" s="110" t="s">
        <v>2509</v>
      </c>
      <c r="CJ320" s="110" t="s">
        <v>179</v>
      </c>
    </row>
    <row r="321" spans="1:88">
      <c r="A321" s="110" t="s">
        <v>151</v>
      </c>
      <c r="B321" s="110">
        <v>65</v>
      </c>
      <c r="C321" s="110">
        <v>1</v>
      </c>
      <c r="D321" s="110">
        <v>1</v>
      </c>
      <c r="E321" s="110">
        <v>320</v>
      </c>
      <c r="F321" s="110">
        <v>2022</v>
      </c>
      <c r="G321" s="110" t="s">
        <v>161</v>
      </c>
      <c r="H321" s="110" t="s">
        <v>1119</v>
      </c>
      <c r="I321" s="110" t="s">
        <v>182</v>
      </c>
      <c r="J321" s="110" t="s">
        <v>182</v>
      </c>
      <c r="K321" s="110" t="s">
        <v>999</v>
      </c>
      <c r="L321" s="110" t="s">
        <v>999</v>
      </c>
      <c r="R321" s="110" t="s">
        <v>152</v>
      </c>
      <c r="S321" s="110" t="s">
        <v>443</v>
      </c>
      <c r="T321" s="110" t="s">
        <v>156</v>
      </c>
      <c r="U321" s="110" t="s">
        <v>158</v>
      </c>
      <c r="V321" s="110">
        <v>50.343058999999997</v>
      </c>
      <c r="W321" s="110">
        <v>50.343058999999997</v>
      </c>
      <c r="X321" s="110">
        <v>-4.1317620000000002</v>
      </c>
      <c r="Y321" s="110" t="s">
        <v>160</v>
      </c>
      <c r="Z321" s="110" t="s">
        <v>155</v>
      </c>
      <c r="AA321" s="110" t="s">
        <v>1788</v>
      </c>
      <c r="AB321" s="110" t="s">
        <v>333</v>
      </c>
      <c r="AC321" s="110" t="s">
        <v>246</v>
      </c>
      <c r="AD321" s="110" t="s">
        <v>333</v>
      </c>
      <c r="AE321" s="110" t="s">
        <v>1123</v>
      </c>
      <c r="AF321" s="110" t="s">
        <v>1745</v>
      </c>
      <c r="AG321" s="110">
        <v>4</v>
      </c>
      <c r="AI321" s="110" t="s">
        <v>246</v>
      </c>
      <c r="AJ321" s="110" t="s">
        <v>246</v>
      </c>
      <c r="AK321" s="110" t="s">
        <v>171</v>
      </c>
      <c r="AL321" s="110" t="s">
        <v>190</v>
      </c>
      <c r="AM321" s="110" t="s">
        <v>174</v>
      </c>
      <c r="AO321" s="110">
        <v>20</v>
      </c>
      <c r="AP321" s="110" t="s">
        <v>190</v>
      </c>
      <c r="AQ321" s="110" t="s">
        <v>176</v>
      </c>
      <c r="AR321" s="110">
        <v>2016</v>
      </c>
      <c r="AS321" s="110" t="s">
        <v>163</v>
      </c>
      <c r="AT321" s="110" t="s">
        <v>298</v>
      </c>
      <c r="AU321" s="110">
        <v>105</v>
      </c>
      <c r="BA321" s="110" t="s">
        <v>1766</v>
      </c>
      <c r="BB321" s="110" t="s">
        <v>1766</v>
      </c>
      <c r="BE321" s="110" t="s">
        <v>182</v>
      </c>
      <c r="BF321" s="110" t="s">
        <v>412</v>
      </c>
      <c r="BI321" s="110" t="s">
        <v>182</v>
      </c>
      <c r="BJ321" s="110" t="s">
        <v>190</v>
      </c>
      <c r="BK321" s="110">
        <v>8</v>
      </c>
      <c r="BL321" s="110">
        <v>1</v>
      </c>
      <c r="BM321" s="110" t="s">
        <v>181</v>
      </c>
      <c r="BN321" s="110" t="s">
        <v>174</v>
      </c>
      <c r="BO321" s="110" t="s">
        <v>174</v>
      </c>
      <c r="BP321" s="110" t="s">
        <v>174</v>
      </c>
      <c r="BQ321" s="110" t="s">
        <v>174</v>
      </c>
      <c r="BR321" s="110" t="s">
        <v>174</v>
      </c>
      <c r="BS321" s="110">
        <v>40</v>
      </c>
      <c r="BT321" s="110" t="s">
        <v>2256</v>
      </c>
      <c r="BU321" s="110" t="s">
        <v>2606</v>
      </c>
      <c r="BV321" s="110" t="s">
        <v>2256</v>
      </c>
      <c r="CA321" s="110">
        <v>0.64</v>
      </c>
      <c r="CB321" s="110">
        <v>78.125</v>
      </c>
      <c r="CC321" s="110" t="b">
        <v>0</v>
      </c>
      <c r="CD321" s="110" t="s">
        <v>2256</v>
      </c>
      <c r="CE321" s="110" t="s">
        <v>2256</v>
      </c>
      <c r="CF321" s="110" t="s">
        <v>2256</v>
      </c>
      <c r="CG321" s="110">
        <v>156.25</v>
      </c>
      <c r="CH321" s="110" t="s">
        <v>2509</v>
      </c>
      <c r="CJ321" s="110" t="s">
        <v>179</v>
      </c>
    </row>
    <row r="322" spans="1:88">
      <c r="A322" s="110" t="s">
        <v>151</v>
      </c>
      <c r="B322" s="110">
        <v>65</v>
      </c>
      <c r="C322" s="110">
        <v>1</v>
      </c>
      <c r="D322" s="110">
        <v>1</v>
      </c>
      <c r="E322" s="110">
        <v>321</v>
      </c>
      <c r="F322" s="110">
        <v>2022</v>
      </c>
      <c r="G322" s="110" t="s">
        <v>161</v>
      </c>
      <c r="H322" s="110" t="s">
        <v>1119</v>
      </c>
      <c r="I322" s="110" t="s">
        <v>182</v>
      </c>
      <c r="J322" s="110" t="s">
        <v>182</v>
      </c>
      <c r="K322" s="110" t="s">
        <v>999</v>
      </c>
      <c r="L322" s="110" t="s">
        <v>999</v>
      </c>
      <c r="R322" s="110" t="s">
        <v>152</v>
      </c>
      <c r="S322" s="110" t="s">
        <v>443</v>
      </c>
      <c r="T322" s="110" t="s">
        <v>156</v>
      </c>
      <c r="U322" s="110" t="s">
        <v>159</v>
      </c>
      <c r="V322" s="110">
        <v>50.343058999999997</v>
      </c>
      <c r="W322" s="110">
        <v>50.343058999999997</v>
      </c>
      <c r="X322" s="110">
        <v>-4.1317620000000002</v>
      </c>
      <c r="Y322" s="110" t="s">
        <v>160</v>
      </c>
      <c r="Z322" s="110" t="s">
        <v>155</v>
      </c>
      <c r="AA322" s="110" t="s">
        <v>1788</v>
      </c>
      <c r="AB322" s="110" t="s">
        <v>333</v>
      </c>
      <c r="AC322" s="110" t="s">
        <v>246</v>
      </c>
      <c r="AD322" s="110" t="s">
        <v>333</v>
      </c>
      <c r="AE322" s="110" t="s">
        <v>1123</v>
      </c>
      <c r="AF322" s="110" t="s">
        <v>1745</v>
      </c>
      <c r="AG322" s="110">
        <v>4</v>
      </c>
      <c r="AI322" s="110" t="s">
        <v>246</v>
      </c>
      <c r="AJ322" s="110" t="s">
        <v>246</v>
      </c>
      <c r="AK322" s="110" t="s">
        <v>171</v>
      </c>
      <c r="AL322" s="110" t="s">
        <v>190</v>
      </c>
      <c r="AM322" s="110" t="s">
        <v>174</v>
      </c>
      <c r="AO322" s="110">
        <v>20</v>
      </c>
      <c r="AP322" s="110" t="s">
        <v>190</v>
      </c>
      <c r="AQ322" s="110" t="s">
        <v>176</v>
      </c>
      <c r="AR322" s="110">
        <v>2016</v>
      </c>
      <c r="AS322" s="110" t="s">
        <v>163</v>
      </c>
      <c r="AT322" s="110" t="s">
        <v>298</v>
      </c>
      <c r="AU322" s="110">
        <v>105</v>
      </c>
      <c r="BA322" s="110" t="s">
        <v>1766</v>
      </c>
      <c r="BB322" s="110" t="s">
        <v>1766</v>
      </c>
      <c r="BE322" s="110" t="s">
        <v>182</v>
      </c>
      <c r="BF322" s="110" t="s">
        <v>412</v>
      </c>
      <c r="BI322" s="110" t="s">
        <v>182</v>
      </c>
      <c r="BJ322" s="110" t="s">
        <v>190</v>
      </c>
      <c r="BK322" s="110">
        <v>8</v>
      </c>
      <c r="BL322" s="110">
        <v>1</v>
      </c>
      <c r="BM322" s="110" t="s">
        <v>181</v>
      </c>
      <c r="BN322" s="110" t="s">
        <v>174</v>
      </c>
      <c r="BO322" s="110" t="s">
        <v>174</v>
      </c>
      <c r="BP322" s="110" t="s">
        <v>174</v>
      </c>
      <c r="BQ322" s="110" t="s">
        <v>174</v>
      </c>
      <c r="BR322" s="110" t="s">
        <v>174</v>
      </c>
      <c r="BS322" s="110">
        <v>40</v>
      </c>
      <c r="BT322" s="110" t="s">
        <v>2256</v>
      </c>
      <c r="BU322" s="110" t="s">
        <v>2606</v>
      </c>
      <c r="BV322" s="110" t="s">
        <v>2256</v>
      </c>
      <c r="CA322" s="110">
        <v>1.42</v>
      </c>
      <c r="CB322" s="110">
        <v>35.21126761</v>
      </c>
      <c r="CC322" s="110" t="b">
        <v>0</v>
      </c>
      <c r="CD322" s="110" t="s">
        <v>2256</v>
      </c>
      <c r="CE322" s="110" t="s">
        <v>2256</v>
      </c>
      <c r="CF322" s="110" t="s">
        <v>2256</v>
      </c>
      <c r="CG322" s="110">
        <v>70.422535210000007</v>
      </c>
      <c r="CH322" s="110" t="s">
        <v>2509</v>
      </c>
      <c r="CJ322" s="110" t="s">
        <v>179</v>
      </c>
    </row>
    <row r="323" spans="1:88">
      <c r="A323" s="110" t="s">
        <v>151</v>
      </c>
      <c r="B323" s="110">
        <v>65</v>
      </c>
      <c r="C323" s="110">
        <v>1</v>
      </c>
      <c r="D323" s="110">
        <v>2</v>
      </c>
      <c r="E323" s="110">
        <v>322</v>
      </c>
      <c r="F323" s="110">
        <v>2022</v>
      </c>
      <c r="G323" s="110" t="s">
        <v>161</v>
      </c>
      <c r="H323" s="110" t="s">
        <v>1119</v>
      </c>
      <c r="I323" s="110" t="s">
        <v>182</v>
      </c>
      <c r="J323" s="110" t="s">
        <v>182</v>
      </c>
      <c r="K323" s="110" t="s">
        <v>999</v>
      </c>
      <c r="L323" s="110" t="s">
        <v>999</v>
      </c>
      <c r="R323" s="110" t="s">
        <v>152</v>
      </c>
      <c r="S323" s="110" t="s">
        <v>443</v>
      </c>
      <c r="T323" s="110" t="s">
        <v>156</v>
      </c>
      <c r="U323" s="110" t="s">
        <v>157</v>
      </c>
      <c r="V323" s="110">
        <v>50.353327999999998</v>
      </c>
      <c r="W323" s="110">
        <v>50.353327999999998</v>
      </c>
      <c r="X323" s="110">
        <v>-4.1502239999999997</v>
      </c>
      <c r="Y323" s="110" t="s">
        <v>160</v>
      </c>
      <c r="Z323" s="110" t="s">
        <v>155</v>
      </c>
      <c r="AA323" s="110" t="s">
        <v>1788</v>
      </c>
      <c r="AB323" s="110" t="s">
        <v>333</v>
      </c>
      <c r="AC323" s="110" t="s">
        <v>246</v>
      </c>
      <c r="AD323" s="110" t="s">
        <v>333</v>
      </c>
      <c r="AE323" s="110" t="s">
        <v>1123</v>
      </c>
      <c r="AF323" s="110" t="s">
        <v>1745</v>
      </c>
      <c r="AG323" s="110">
        <v>4</v>
      </c>
      <c r="AI323" s="110" t="s">
        <v>246</v>
      </c>
      <c r="AJ323" s="110" t="s">
        <v>246</v>
      </c>
      <c r="AK323" s="110" t="s">
        <v>171</v>
      </c>
      <c r="AL323" s="110" t="s">
        <v>190</v>
      </c>
      <c r="AM323" s="110" t="s">
        <v>174</v>
      </c>
      <c r="AO323" s="110">
        <v>2</v>
      </c>
      <c r="AP323" s="110" t="s">
        <v>190</v>
      </c>
      <c r="AQ323" s="110" t="s">
        <v>176</v>
      </c>
      <c r="AR323" s="110">
        <v>2016</v>
      </c>
      <c r="AS323" s="110" t="s">
        <v>163</v>
      </c>
      <c r="AT323" s="110" t="s">
        <v>298</v>
      </c>
      <c r="AU323" s="110">
        <v>105</v>
      </c>
      <c r="BA323" s="110" t="s">
        <v>1766</v>
      </c>
      <c r="BB323" s="110" t="s">
        <v>1766</v>
      </c>
      <c r="BE323" s="110" t="s">
        <v>182</v>
      </c>
      <c r="BF323" s="110" t="s">
        <v>412</v>
      </c>
      <c r="BI323" s="110" t="s">
        <v>182</v>
      </c>
      <c r="BJ323" s="110" t="s">
        <v>190</v>
      </c>
      <c r="BK323" s="110">
        <v>8</v>
      </c>
      <c r="BL323" s="110">
        <v>1</v>
      </c>
      <c r="BM323" s="110" t="s">
        <v>181</v>
      </c>
      <c r="BN323" s="110" t="s">
        <v>174</v>
      </c>
      <c r="BO323" s="110" t="s">
        <v>174</v>
      </c>
      <c r="BP323" s="110" t="s">
        <v>174</v>
      </c>
      <c r="BQ323" s="110" t="s">
        <v>174</v>
      </c>
      <c r="BR323" s="110" t="s">
        <v>174</v>
      </c>
      <c r="BS323" s="110">
        <v>40</v>
      </c>
      <c r="BT323" s="110" t="s">
        <v>2256</v>
      </c>
      <c r="BU323" s="110" t="s">
        <v>2606</v>
      </c>
      <c r="BV323" s="110" t="s">
        <v>2256</v>
      </c>
      <c r="CA323" s="110">
        <v>0.8</v>
      </c>
      <c r="CB323" s="110">
        <v>62.5</v>
      </c>
      <c r="CC323" s="110" t="b">
        <v>0</v>
      </c>
      <c r="CD323" s="110" t="s">
        <v>2256</v>
      </c>
      <c r="CE323" s="110" t="s">
        <v>2256</v>
      </c>
      <c r="CF323" s="110" t="s">
        <v>2256</v>
      </c>
      <c r="CG323" s="110">
        <v>125</v>
      </c>
      <c r="CH323" s="110" t="s">
        <v>2509</v>
      </c>
      <c r="CJ323" s="110" t="s">
        <v>179</v>
      </c>
    </row>
    <row r="324" spans="1:88">
      <c r="A324" s="110" t="s">
        <v>151</v>
      </c>
      <c r="B324" s="110">
        <v>65</v>
      </c>
      <c r="C324" s="110">
        <v>1</v>
      </c>
      <c r="D324" s="110">
        <v>2</v>
      </c>
      <c r="E324" s="110">
        <v>323</v>
      </c>
      <c r="F324" s="110">
        <v>2022</v>
      </c>
      <c r="G324" s="110" t="s">
        <v>161</v>
      </c>
      <c r="H324" s="110" t="s">
        <v>1119</v>
      </c>
      <c r="I324" s="110" t="s">
        <v>182</v>
      </c>
      <c r="J324" s="110" t="s">
        <v>182</v>
      </c>
      <c r="K324" s="110" t="s">
        <v>999</v>
      </c>
      <c r="L324" s="110" t="s">
        <v>999</v>
      </c>
      <c r="R324" s="110" t="s">
        <v>152</v>
      </c>
      <c r="S324" s="110" t="s">
        <v>443</v>
      </c>
      <c r="T324" s="110" t="s">
        <v>156</v>
      </c>
      <c r="U324" s="110" t="s">
        <v>158</v>
      </c>
      <c r="V324" s="110">
        <v>50.353327999999998</v>
      </c>
      <c r="W324" s="110">
        <v>50.353327999999998</v>
      </c>
      <c r="X324" s="110">
        <v>-4.1502239999999997</v>
      </c>
      <c r="Y324" s="110" t="s">
        <v>160</v>
      </c>
      <c r="Z324" s="110" t="s">
        <v>155</v>
      </c>
      <c r="AA324" s="110" t="s">
        <v>1788</v>
      </c>
      <c r="AB324" s="110" t="s">
        <v>333</v>
      </c>
      <c r="AC324" s="110" t="s">
        <v>246</v>
      </c>
      <c r="AD324" s="110" t="s">
        <v>333</v>
      </c>
      <c r="AE324" s="110" t="s">
        <v>1123</v>
      </c>
      <c r="AF324" s="110" t="s">
        <v>1745</v>
      </c>
      <c r="AG324" s="110">
        <v>4</v>
      </c>
      <c r="AI324" s="110" t="s">
        <v>246</v>
      </c>
      <c r="AJ324" s="110" t="s">
        <v>246</v>
      </c>
      <c r="AK324" s="110" t="s">
        <v>171</v>
      </c>
      <c r="AL324" s="110" t="s">
        <v>190</v>
      </c>
      <c r="AM324" s="110" t="s">
        <v>174</v>
      </c>
      <c r="AO324" s="110">
        <v>2</v>
      </c>
      <c r="AP324" s="110" t="s">
        <v>190</v>
      </c>
      <c r="AQ324" s="110" t="s">
        <v>176</v>
      </c>
      <c r="AR324" s="110">
        <v>2016</v>
      </c>
      <c r="AS324" s="110" t="s">
        <v>163</v>
      </c>
      <c r="AT324" s="110" t="s">
        <v>298</v>
      </c>
      <c r="AU324" s="110">
        <v>105</v>
      </c>
      <c r="BA324" s="110" t="s">
        <v>1766</v>
      </c>
      <c r="BB324" s="110" t="s">
        <v>1766</v>
      </c>
      <c r="BE324" s="110" t="s">
        <v>182</v>
      </c>
      <c r="BF324" s="110" t="s">
        <v>412</v>
      </c>
      <c r="BI324" s="110" t="s">
        <v>182</v>
      </c>
      <c r="BJ324" s="110" t="s">
        <v>190</v>
      </c>
      <c r="BK324" s="110">
        <v>8</v>
      </c>
      <c r="BL324" s="110">
        <v>1</v>
      </c>
      <c r="BM324" s="110" t="s">
        <v>181</v>
      </c>
      <c r="BN324" s="110" t="s">
        <v>174</v>
      </c>
      <c r="BO324" s="110" t="s">
        <v>174</v>
      </c>
      <c r="BP324" s="110" t="s">
        <v>174</v>
      </c>
      <c r="BQ324" s="110" t="s">
        <v>174</v>
      </c>
      <c r="BR324" s="110" t="s">
        <v>174</v>
      </c>
      <c r="BS324" s="110">
        <v>40</v>
      </c>
      <c r="BT324" s="110" t="s">
        <v>2256</v>
      </c>
      <c r="BU324" s="110" t="s">
        <v>2606</v>
      </c>
      <c r="BV324" s="110" t="s">
        <v>2256</v>
      </c>
      <c r="CA324" s="110">
        <v>0.28000000000000003</v>
      </c>
      <c r="CB324" s="110">
        <v>178.57142859999999</v>
      </c>
      <c r="CC324" s="110" t="b">
        <v>0</v>
      </c>
      <c r="CD324" s="110" t="s">
        <v>2256</v>
      </c>
      <c r="CE324" s="110" t="s">
        <v>2256</v>
      </c>
      <c r="CF324" s="110" t="s">
        <v>2256</v>
      </c>
      <c r="CG324" s="110">
        <v>357.14285710000001</v>
      </c>
      <c r="CH324" s="110" t="s">
        <v>2509</v>
      </c>
      <c r="CJ324" s="110" t="s">
        <v>179</v>
      </c>
    </row>
    <row r="325" spans="1:88">
      <c r="A325" s="110" t="s">
        <v>151</v>
      </c>
      <c r="B325" s="110">
        <v>65</v>
      </c>
      <c r="C325" s="110">
        <v>1</v>
      </c>
      <c r="D325" s="110">
        <v>2</v>
      </c>
      <c r="E325" s="110">
        <v>324</v>
      </c>
      <c r="F325" s="110">
        <v>2022</v>
      </c>
      <c r="G325" s="110" t="s">
        <v>161</v>
      </c>
      <c r="H325" s="110" t="s">
        <v>1119</v>
      </c>
      <c r="I325" s="110" t="s">
        <v>182</v>
      </c>
      <c r="J325" s="110" t="s">
        <v>182</v>
      </c>
      <c r="K325" s="110" t="s">
        <v>999</v>
      </c>
      <c r="L325" s="110" t="s">
        <v>999</v>
      </c>
      <c r="R325" s="110" t="s">
        <v>152</v>
      </c>
      <c r="S325" s="110" t="s">
        <v>443</v>
      </c>
      <c r="T325" s="110" t="s">
        <v>156</v>
      </c>
      <c r="U325" s="110" t="s">
        <v>159</v>
      </c>
      <c r="V325" s="110">
        <v>50.353327999999998</v>
      </c>
      <c r="W325" s="110">
        <v>50.353327999999998</v>
      </c>
      <c r="X325" s="110">
        <v>-4.1502239999999997</v>
      </c>
      <c r="Y325" s="110" t="s">
        <v>160</v>
      </c>
      <c r="Z325" s="110" t="s">
        <v>155</v>
      </c>
      <c r="AA325" s="110" t="s">
        <v>1788</v>
      </c>
      <c r="AB325" s="110" t="s">
        <v>333</v>
      </c>
      <c r="AC325" s="110" t="s">
        <v>246</v>
      </c>
      <c r="AD325" s="110" t="s">
        <v>333</v>
      </c>
      <c r="AE325" s="110" t="s">
        <v>1123</v>
      </c>
      <c r="AF325" s="110" t="s">
        <v>1745</v>
      </c>
      <c r="AG325" s="110">
        <v>4</v>
      </c>
      <c r="AI325" s="110" t="s">
        <v>246</v>
      </c>
      <c r="AJ325" s="110" t="s">
        <v>246</v>
      </c>
      <c r="AK325" s="110" t="s">
        <v>171</v>
      </c>
      <c r="AL325" s="110" t="s">
        <v>190</v>
      </c>
      <c r="AM325" s="110" t="s">
        <v>174</v>
      </c>
      <c r="AO325" s="110">
        <v>2</v>
      </c>
      <c r="AP325" s="110" t="s">
        <v>190</v>
      </c>
      <c r="AQ325" s="110" t="s">
        <v>176</v>
      </c>
      <c r="AR325" s="110">
        <v>2016</v>
      </c>
      <c r="AS325" s="110" t="s">
        <v>163</v>
      </c>
      <c r="AT325" s="110" t="s">
        <v>298</v>
      </c>
      <c r="AU325" s="110">
        <v>105</v>
      </c>
      <c r="BA325" s="110" t="s">
        <v>1766</v>
      </c>
      <c r="BB325" s="110" t="s">
        <v>1766</v>
      </c>
      <c r="BE325" s="110" t="s">
        <v>182</v>
      </c>
      <c r="BF325" s="110" t="s">
        <v>412</v>
      </c>
      <c r="BI325" s="110" t="s">
        <v>182</v>
      </c>
      <c r="BJ325" s="110" t="s">
        <v>190</v>
      </c>
      <c r="BK325" s="110">
        <v>8</v>
      </c>
      <c r="BL325" s="110">
        <v>1</v>
      </c>
      <c r="BM325" s="110" t="s">
        <v>181</v>
      </c>
      <c r="BN325" s="110" t="s">
        <v>174</v>
      </c>
      <c r="BO325" s="110" t="s">
        <v>174</v>
      </c>
      <c r="BP325" s="110" t="s">
        <v>174</v>
      </c>
      <c r="BQ325" s="110" t="s">
        <v>174</v>
      </c>
      <c r="BR325" s="110" t="s">
        <v>174</v>
      </c>
      <c r="BS325" s="110">
        <v>40</v>
      </c>
      <c r="BT325" s="110" t="s">
        <v>2256</v>
      </c>
      <c r="BU325" s="110" t="s">
        <v>2606</v>
      </c>
      <c r="BV325" s="110" t="s">
        <v>2256</v>
      </c>
      <c r="CA325" s="110">
        <v>0.8</v>
      </c>
      <c r="CB325" s="110">
        <v>62.5</v>
      </c>
      <c r="CC325" s="110" t="b">
        <v>0</v>
      </c>
      <c r="CD325" s="110" t="s">
        <v>2256</v>
      </c>
      <c r="CE325" s="110" t="s">
        <v>2256</v>
      </c>
      <c r="CF325" s="110" t="s">
        <v>2256</v>
      </c>
      <c r="CG325" s="110">
        <v>125</v>
      </c>
      <c r="CH325" s="110" t="s">
        <v>2509</v>
      </c>
      <c r="CJ325" s="110" t="s">
        <v>179</v>
      </c>
    </row>
    <row r="326" spans="1:88">
      <c r="A326" s="110" t="s">
        <v>151</v>
      </c>
      <c r="B326" s="110">
        <v>65</v>
      </c>
      <c r="C326" s="110">
        <v>1</v>
      </c>
      <c r="D326" s="110">
        <v>2</v>
      </c>
      <c r="E326" s="110">
        <v>325</v>
      </c>
      <c r="F326" s="110">
        <v>2022</v>
      </c>
      <c r="G326" s="110" t="s">
        <v>161</v>
      </c>
      <c r="H326" s="110" t="s">
        <v>1119</v>
      </c>
      <c r="I326" s="110" t="s">
        <v>182</v>
      </c>
      <c r="J326" s="110" t="s">
        <v>182</v>
      </c>
      <c r="K326" s="110" t="s">
        <v>999</v>
      </c>
      <c r="L326" s="110" t="s">
        <v>999</v>
      </c>
      <c r="R326" s="110" t="s">
        <v>152</v>
      </c>
      <c r="S326" s="110" t="s">
        <v>443</v>
      </c>
      <c r="T326" s="110" t="s">
        <v>156</v>
      </c>
      <c r="U326" s="110" t="s">
        <v>157</v>
      </c>
      <c r="V326" s="110">
        <v>50.343058999999997</v>
      </c>
      <c r="W326" s="110">
        <v>50.343058999999997</v>
      </c>
      <c r="X326" s="110">
        <v>-4.1317620000000002</v>
      </c>
      <c r="Y326" s="110" t="s">
        <v>160</v>
      </c>
      <c r="Z326" s="110" t="s">
        <v>155</v>
      </c>
      <c r="AA326" s="110" t="s">
        <v>1788</v>
      </c>
      <c r="AB326" s="110" t="s">
        <v>333</v>
      </c>
      <c r="AC326" s="110" t="s">
        <v>246</v>
      </c>
      <c r="AD326" s="110" t="s">
        <v>333</v>
      </c>
      <c r="AE326" s="110" t="s">
        <v>1123</v>
      </c>
      <c r="AF326" s="110" t="s">
        <v>1745</v>
      </c>
      <c r="AG326" s="110">
        <v>4</v>
      </c>
      <c r="AI326" s="110" t="s">
        <v>246</v>
      </c>
      <c r="AJ326" s="110" t="s">
        <v>246</v>
      </c>
      <c r="AK326" s="110" t="s">
        <v>171</v>
      </c>
      <c r="AL326" s="110" t="s">
        <v>190</v>
      </c>
      <c r="AM326" s="110" t="s">
        <v>174</v>
      </c>
      <c r="AO326" s="110">
        <v>2</v>
      </c>
      <c r="AP326" s="110" t="s">
        <v>190</v>
      </c>
      <c r="AQ326" s="110" t="s">
        <v>176</v>
      </c>
      <c r="AR326" s="110">
        <v>2016</v>
      </c>
      <c r="AS326" s="110" t="s">
        <v>163</v>
      </c>
      <c r="AT326" s="110" t="s">
        <v>298</v>
      </c>
      <c r="AU326" s="110">
        <v>105</v>
      </c>
      <c r="BA326" s="110" t="s">
        <v>1766</v>
      </c>
      <c r="BB326" s="110" t="s">
        <v>1766</v>
      </c>
      <c r="BE326" s="110" t="s">
        <v>182</v>
      </c>
      <c r="BF326" s="110" t="s">
        <v>412</v>
      </c>
      <c r="BI326" s="110" t="s">
        <v>182</v>
      </c>
      <c r="BJ326" s="110" t="s">
        <v>190</v>
      </c>
      <c r="BK326" s="110">
        <v>8</v>
      </c>
      <c r="BL326" s="110">
        <v>1</v>
      </c>
      <c r="BM326" s="110" t="s">
        <v>181</v>
      </c>
      <c r="BN326" s="110" t="s">
        <v>174</v>
      </c>
      <c r="BO326" s="110" t="s">
        <v>174</v>
      </c>
      <c r="BP326" s="110" t="s">
        <v>174</v>
      </c>
      <c r="BQ326" s="110" t="s">
        <v>174</v>
      </c>
      <c r="BR326" s="110" t="s">
        <v>174</v>
      </c>
      <c r="BS326" s="110">
        <v>40</v>
      </c>
      <c r="BT326" s="110" t="s">
        <v>2256</v>
      </c>
      <c r="BU326" s="110" t="s">
        <v>2606</v>
      </c>
      <c r="BV326" s="110" t="s">
        <v>2256</v>
      </c>
      <c r="CA326" s="110">
        <v>1.24</v>
      </c>
      <c r="CB326" s="110">
        <v>40.322580649999999</v>
      </c>
      <c r="CC326" s="110" t="b">
        <v>0</v>
      </c>
      <c r="CD326" s="110" t="s">
        <v>2256</v>
      </c>
      <c r="CE326" s="110" t="s">
        <v>2256</v>
      </c>
      <c r="CF326" s="110" t="s">
        <v>2256</v>
      </c>
      <c r="CG326" s="110">
        <v>80.645161290000004</v>
      </c>
      <c r="CH326" s="110" t="s">
        <v>2509</v>
      </c>
      <c r="CJ326" s="110" t="s">
        <v>179</v>
      </c>
    </row>
    <row r="327" spans="1:88">
      <c r="A327" s="110" t="s">
        <v>151</v>
      </c>
      <c r="B327" s="110">
        <v>65</v>
      </c>
      <c r="C327" s="110">
        <v>1</v>
      </c>
      <c r="D327" s="110">
        <v>2</v>
      </c>
      <c r="E327" s="110">
        <v>326</v>
      </c>
      <c r="F327" s="110">
        <v>2022</v>
      </c>
      <c r="G327" s="110" t="s">
        <v>161</v>
      </c>
      <c r="H327" s="110" t="s">
        <v>1119</v>
      </c>
      <c r="I327" s="110" t="s">
        <v>182</v>
      </c>
      <c r="J327" s="110" t="s">
        <v>182</v>
      </c>
      <c r="K327" s="110" t="s">
        <v>999</v>
      </c>
      <c r="L327" s="110" t="s">
        <v>999</v>
      </c>
      <c r="R327" s="110" t="s">
        <v>152</v>
      </c>
      <c r="S327" s="110" t="s">
        <v>443</v>
      </c>
      <c r="T327" s="110" t="s">
        <v>156</v>
      </c>
      <c r="U327" s="110" t="s">
        <v>158</v>
      </c>
      <c r="V327" s="110">
        <v>50.343058999999997</v>
      </c>
      <c r="W327" s="110">
        <v>50.343058999999997</v>
      </c>
      <c r="X327" s="110">
        <v>-4.1317620000000002</v>
      </c>
      <c r="Y327" s="110" t="s">
        <v>160</v>
      </c>
      <c r="Z327" s="110" t="s">
        <v>155</v>
      </c>
      <c r="AA327" s="110" t="s">
        <v>1788</v>
      </c>
      <c r="AB327" s="110" t="s">
        <v>333</v>
      </c>
      <c r="AC327" s="110" t="s">
        <v>246</v>
      </c>
      <c r="AD327" s="110" t="s">
        <v>333</v>
      </c>
      <c r="AE327" s="110" t="s">
        <v>1123</v>
      </c>
      <c r="AF327" s="110" t="s">
        <v>1745</v>
      </c>
      <c r="AG327" s="110">
        <v>4</v>
      </c>
      <c r="AI327" s="110" t="s">
        <v>246</v>
      </c>
      <c r="AJ327" s="110" t="s">
        <v>246</v>
      </c>
      <c r="AK327" s="110" t="s">
        <v>171</v>
      </c>
      <c r="AL327" s="110" t="s">
        <v>190</v>
      </c>
      <c r="AM327" s="110" t="s">
        <v>174</v>
      </c>
      <c r="AO327" s="110">
        <v>2</v>
      </c>
      <c r="AP327" s="110" t="s">
        <v>190</v>
      </c>
      <c r="AQ327" s="110" t="s">
        <v>176</v>
      </c>
      <c r="AR327" s="110">
        <v>2016</v>
      </c>
      <c r="AS327" s="110" t="s">
        <v>163</v>
      </c>
      <c r="AT327" s="110" t="s">
        <v>298</v>
      </c>
      <c r="AU327" s="110">
        <v>105</v>
      </c>
      <c r="BA327" s="110" t="s">
        <v>1766</v>
      </c>
      <c r="BB327" s="110" t="s">
        <v>1766</v>
      </c>
      <c r="BE327" s="110" t="s">
        <v>182</v>
      </c>
      <c r="BF327" s="110" t="s">
        <v>412</v>
      </c>
      <c r="BI327" s="110" t="s">
        <v>182</v>
      </c>
      <c r="BJ327" s="110" t="s">
        <v>190</v>
      </c>
      <c r="BK327" s="110">
        <v>8</v>
      </c>
      <c r="BL327" s="110">
        <v>1</v>
      </c>
      <c r="BM327" s="110" t="s">
        <v>181</v>
      </c>
      <c r="BN327" s="110" t="s">
        <v>174</v>
      </c>
      <c r="BO327" s="110" t="s">
        <v>174</v>
      </c>
      <c r="BP327" s="110" t="s">
        <v>174</v>
      </c>
      <c r="BQ327" s="110" t="s">
        <v>174</v>
      </c>
      <c r="BR327" s="110" t="s">
        <v>174</v>
      </c>
      <c r="BS327" s="110">
        <v>40</v>
      </c>
      <c r="BT327" s="110" t="s">
        <v>2256</v>
      </c>
      <c r="BU327" s="110" t="s">
        <v>2606</v>
      </c>
      <c r="BV327" s="110" t="s">
        <v>2256</v>
      </c>
      <c r="CA327" s="110">
        <v>0.64</v>
      </c>
      <c r="CB327" s="110">
        <v>78.125</v>
      </c>
      <c r="CC327" s="110" t="b">
        <v>0</v>
      </c>
      <c r="CD327" s="110" t="s">
        <v>2256</v>
      </c>
      <c r="CE327" s="110" t="s">
        <v>2256</v>
      </c>
      <c r="CF327" s="110" t="s">
        <v>2256</v>
      </c>
      <c r="CG327" s="110">
        <v>156.25</v>
      </c>
      <c r="CH327" s="110" t="s">
        <v>2509</v>
      </c>
      <c r="CJ327" s="110" t="s">
        <v>179</v>
      </c>
    </row>
    <row r="328" spans="1:88">
      <c r="A328" s="110" t="s">
        <v>151</v>
      </c>
      <c r="B328" s="110">
        <v>65</v>
      </c>
      <c r="C328" s="110">
        <v>1</v>
      </c>
      <c r="D328" s="110">
        <v>2</v>
      </c>
      <c r="E328" s="110">
        <v>327</v>
      </c>
      <c r="F328" s="110">
        <v>2022</v>
      </c>
      <c r="G328" s="110" t="s">
        <v>161</v>
      </c>
      <c r="H328" s="110" t="s">
        <v>1119</v>
      </c>
      <c r="I328" s="110" t="s">
        <v>182</v>
      </c>
      <c r="J328" s="110" t="s">
        <v>182</v>
      </c>
      <c r="K328" s="110" t="s">
        <v>999</v>
      </c>
      <c r="L328" s="110" t="s">
        <v>999</v>
      </c>
      <c r="R328" s="110" t="s">
        <v>152</v>
      </c>
      <c r="S328" s="110" t="s">
        <v>443</v>
      </c>
      <c r="T328" s="110" t="s">
        <v>156</v>
      </c>
      <c r="U328" s="110" t="s">
        <v>159</v>
      </c>
      <c r="V328" s="110">
        <v>50.343058999999997</v>
      </c>
      <c r="W328" s="110">
        <v>50.343058999999997</v>
      </c>
      <c r="X328" s="110">
        <v>-4.1317620000000002</v>
      </c>
      <c r="Y328" s="110" t="s">
        <v>160</v>
      </c>
      <c r="Z328" s="110" t="s">
        <v>155</v>
      </c>
      <c r="AA328" s="110" t="s">
        <v>1788</v>
      </c>
      <c r="AB328" s="110" t="s">
        <v>333</v>
      </c>
      <c r="AC328" s="110" t="s">
        <v>246</v>
      </c>
      <c r="AD328" s="110" t="s">
        <v>333</v>
      </c>
      <c r="AE328" s="110" t="s">
        <v>1123</v>
      </c>
      <c r="AF328" s="110" t="s">
        <v>1745</v>
      </c>
      <c r="AG328" s="110">
        <v>4</v>
      </c>
      <c r="AI328" s="110" t="s">
        <v>246</v>
      </c>
      <c r="AJ328" s="110" t="s">
        <v>246</v>
      </c>
      <c r="AK328" s="110" t="s">
        <v>171</v>
      </c>
      <c r="AL328" s="110" t="s">
        <v>190</v>
      </c>
      <c r="AM328" s="110" t="s">
        <v>174</v>
      </c>
      <c r="AO328" s="110">
        <v>2</v>
      </c>
      <c r="AP328" s="110" t="s">
        <v>190</v>
      </c>
      <c r="AQ328" s="110" t="s">
        <v>176</v>
      </c>
      <c r="AR328" s="110">
        <v>2016</v>
      </c>
      <c r="AS328" s="110" t="s">
        <v>163</v>
      </c>
      <c r="AT328" s="110" t="s">
        <v>298</v>
      </c>
      <c r="AU328" s="110">
        <v>105</v>
      </c>
      <c r="BA328" s="110" t="s">
        <v>1766</v>
      </c>
      <c r="BB328" s="110" t="s">
        <v>1766</v>
      </c>
      <c r="BE328" s="110" t="s">
        <v>182</v>
      </c>
      <c r="BF328" s="110" t="s">
        <v>412</v>
      </c>
      <c r="BI328" s="110" t="s">
        <v>182</v>
      </c>
      <c r="BJ328" s="110" t="s">
        <v>190</v>
      </c>
      <c r="BK328" s="110">
        <v>8</v>
      </c>
      <c r="BL328" s="110">
        <v>1</v>
      </c>
      <c r="BM328" s="110" t="s">
        <v>181</v>
      </c>
      <c r="BN328" s="110" t="s">
        <v>174</v>
      </c>
      <c r="BO328" s="110" t="s">
        <v>174</v>
      </c>
      <c r="BP328" s="110" t="s">
        <v>174</v>
      </c>
      <c r="BQ328" s="110" t="s">
        <v>174</v>
      </c>
      <c r="BR328" s="110" t="s">
        <v>174</v>
      </c>
      <c r="BS328" s="110">
        <v>40</v>
      </c>
      <c r="BT328" s="110" t="s">
        <v>2256</v>
      </c>
      <c r="BU328" s="110" t="s">
        <v>2606</v>
      </c>
      <c r="BV328" s="110" t="s">
        <v>2256</v>
      </c>
      <c r="CA328" s="110">
        <v>1.82</v>
      </c>
      <c r="CB328" s="110">
        <v>27.472527469999999</v>
      </c>
      <c r="CC328" s="110" t="b">
        <v>0</v>
      </c>
      <c r="CD328" s="110" t="s">
        <v>2256</v>
      </c>
      <c r="CE328" s="110" t="s">
        <v>2256</v>
      </c>
      <c r="CF328" s="110" t="s">
        <v>2256</v>
      </c>
      <c r="CG328" s="110">
        <v>54.945054949999999</v>
      </c>
      <c r="CH328" s="110" t="s">
        <v>2509</v>
      </c>
      <c r="CJ328" s="110" t="s">
        <v>179</v>
      </c>
    </row>
    <row r="329" spans="1:88">
      <c r="A329" s="110" t="s">
        <v>151</v>
      </c>
      <c r="B329" s="110">
        <v>65</v>
      </c>
      <c r="C329" s="110">
        <v>1</v>
      </c>
      <c r="D329" s="110">
        <v>3</v>
      </c>
      <c r="E329" s="110">
        <v>328</v>
      </c>
      <c r="F329" s="110">
        <v>2022</v>
      </c>
      <c r="G329" s="110" t="s">
        <v>161</v>
      </c>
      <c r="H329" s="110" t="s">
        <v>1119</v>
      </c>
      <c r="I329" s="110" t="s">
        <v>182</v>
      </c>
      <c r="J329" s="110" t="s">
        <v>182</v>
      </c>
      <c r="K329" s="110" t="s">
        <v>999</v>
      </c>
      <c r="L329" s="110" t="s">
        <v>999</v>
      </c>
      <c r="R329" s="110" t="s">
        <v>152</v>
      </c>
      <c r="S329" s="110" t="s">
        <v>443</v>
      </c>
      <c r="T329" s="110" t="s">
        <v>156</v>
      </c>
      <c r="U329" s="110" t="s">
        <v>157</v>
      </c>
      <c r="V329" s="110">
        <v>50.363629000000003</v>
      </c>
      <c r="W329" s="110">
        <v>50.363629000000003</v>
      </c>
      <c r="X329" s="110">
        <v>-4.1449780000000001</v>
      </c>
      <c r="Y329" s="110" t="s">
        <v>160</v>
      </c>
      <c r="Z329" s="110" t="s">
        <v>155</v>
      </c>
      <c r="AA329" s="110" t="s">
        <v>1788</v>
      </c>
      <c r="AB329" s="110" t="s">
        <v>333</v>
      </c>
      <c r="AC329" s="110" t="s">
        <v>246</v>
      </c>
      <c r="AD329" s="110" t="s">
        <v>333</v>
      </c>
      <c r="AE329" s="110" t="s">
        <v>1123</v>
      </c>
      <c r="AF329" s="110" t="s">
        <v>173</v>
      </c>
      <c r="AG329" s="110">
        <v>2</v>
      </c>
      <c r="AI329" s="110" t="s">
        <v>246</v>
      </c>
      <c r="AJ329" s="110" t="s">
        <v>246</v>
      </c>
      <c r="AK329" s="110" t="s">
        <v>171</v>
      </c>
      <c r="AL329" s="110" t="s">
        <v>190</v>
      </c>
      <c r="AM329" s="110" t="s">
        <v>174</v>
      </c>
      <c r="AO329" s="110">
        <v>13</v>
      </c>
      <c r="AP329" s="110" t="s">
        <v>190</v>
      </c>
      <c r="AQ329" s="110" t="s">
        <v>176</v>
      </c>
      <c r="AR329" s="110">
        <v>2019</v>
      </c>
      <c r="AS329" s="110" t="s">
        <v>169</v>
      </c>
      <c r="AT329" s="110" t="s">
        <v>298</v>
      </c>
      <c r="AU329" s="110">
        <v>20</v>
      </c>
      <c r="BA329" s="110">
        <v>12.11</v>
      </c>
      <c r="BB329" s="110">
        <v>15.64</v>
      </c>
      <c r="BC329" s="110">
        <v>13.875</v>
      </c>
      <c r="BD329" s="110">
        <v>3.53</v>
      </c>
      <c r="BE329" s="110" t="s">
        <v>182</v>
      </c>
      <c r="BF329" s="110" t="s">
        <v>412</v>
      </c>
      <c r="BG329" s="110" t="s">
        <v>1882</v>
      </c>
      <c r="BH329" s="110" t="s">
        <v>224</v>
      </c>
      <c r="BI329" s="110" t="s">
        <v>182</v>
      </c>
      <c r="BJ329" s="110" t="s">
        <v>190</v>
      </c>
      <c r="BK329" s="110">
        <v>9</v>
      </c>
      <c r="BL329" s="110">
        <v>3</v>
      </c>
      <c r="BM329" s="110" t="s">
        <v>181</v>
      </c>
      <c r="BN329" s="110" t="s">
        <v>174</v>
      </c>
      <c r="BO329" s="110" t="s">
        <v>174</v>
      </c>
      <c r="BP329" s="110" t="s">
        <v>174</v>
      </c>
      <c r="BQ329" s="110" t="s">
        <v>174</v>
      </c>
      <c r="BR329" s="110" t="s">
        <v>174</v>
      </c>
      <c r="BS329" s="110">
        <v>32</v>
      </c>
      <c r="BT329" s="110" t="s">
        <v>2256</v>
      </c>
      <c r="BU329" s="110" t="s">
        <v>2606</v>
      </c>
      <c r="BV329" s="110" t="s">
        <v>2256</v>
      </c>
      <c r="CA329" s="110">
        <v>1.01</v>
      </c>
      <c r="CB329" s="110">
        <v>49.5049505</v>
      </c>
      <c r="CC329" s="110" t="b">
        <v>0</v>
      </c>
      <c r="CD329" s="110" t="s">
        <v>2256</v>
      </c>
      <c r="CE329" s="110" t="s">
        <v>2256</v>
      </c>
      <c r="CF329" s="110" t="s">
        <v>2256</v>
      </c>
      <c r="CG329" s="110">
        <v>99.009900990000006</v>
      </c>
      <c r="CH329" s="110" t="s">
        <v>2509</v>
      </c>
      <c r="CI329" s="110" t="s">
        <v>178</v>
      </c>
      <c r="CJ329" s="110" t="s">
        <v>2567</v>
      </c>
    </row>
    <row r="330" spans="1:88">
      <c r="A330" s="110" t="s">
        <v>151</v>
      </c>
      <c r="B330" s="110">
        <v>65</v>
      </c>
      <c r="C330" s="110">
        <v>1</v>
      </c>
      <c r="D330" s="110">
        <v>3</v>
      </c>
      <c r="E330" s="110">
        <v>329</v>
      </c>
      <c r="F330" s="110">
        <v>2022</v>
      </c>
      <c r="G330" s="110" t="s">
        <v>161</v>
      </c>
      <c r="H330" s="110" t="s">
        <v>1119</v>
      </c>
      <c r="I330" s="110" t="s">
        <v>182</v>
      </c>
      <c r="J330" s="110" t="s">
        <v>182</v>
      </c>
      <c r="K330" s="110" t="s">
        <v>999</v>
      </c>
      <c r="L330" s="110" t="s">
        <v>999</v>
      </c>
      <c r="R330" s="110" t="s">
        <v>152</v>
      </c>
      <c r="S330" s="110" t="s">
        <v>443</v>
      </c>
      <c r="T330" s="110" t="s">
        <v>156</v>
      </c>
      <c r="U330" s="110" t="s">
        <v>158</v>
      </c>
      <c r="V330" s="110">
        <v>50.363629000000003</v>
      </c>
      <c r="W330" s="110">
        <v>50.363629000000003</v>
      </c>
      <c r="X330" s="110">
        <v>-4.1449780000000001</v>
      </c>
      <c r="Y330" s="110" t="s">
        <v>160</v>
      </c>
      <c r="Z330" s="110" t="s">
        <v>155</v>
      </c>
      <c r="AA330" s="110" t="s">
        <v>1788</v>
      </c>
      <c r="AB330" s="110" t="s">
        <v>333</v>
      </c>
      <c r="AC330" s="110" t="s">
        <v>246</v>
      </c>
      <c r="AD330" s="110" t="s">
        <v>333</v>
      </c>
      <c r="AE330" s="110" t="s">
        <v>1123</v>
      </c>
      <c r="AF330" s="110" t="s">
        <v>173</v>
      </c>
      <c r="AG330" s="110">
        <v>2</v>
      </c>
      <c r="AI330" s="110" t="s">
        <v>246</v>
      </c>
      <c r="AJ330" s="110" t="s">
        <v>246</v>
      </c>
      <c r="AK330" s="110" t="s">
        <v>171</v>
      </c>
      <c r="AL330" s="110" t="s">
        <v>190</v>
      </c>
      <c r="AM330" s="110" t="s">
        <v>174</v>
      </c>
      <c r="AO330" s="110">
        <v>13</v>
      </c>
      <c r="AP330" s="110" t="s">
        <v>190</v>
      </c>
      <c r="AQ330" s="110" t="s">
        <v>176</v>
      </c>
      <c r="AR330" s="110">
        <v>2019</v>
      </c>
      <c r="AS330" s="110" t="s">
        <v>169</v>
      </c>
      <c r="AT330" s="110" t="s">
        <v>298</v>
      </c>
      <c r="AU330" s="110">
        <v>20</v>
      </c>
      <c r="BA330" s="110">
        <v>12.11</v>
      </c>
      <c r="BB330" s="110">
        <v>15.64</v>
      </c>
      <c r="BC330" s="110">
        <v>13.875</v>
      </c>
      <c r="BD330" s="110">
        <v>3.53</v>
      </c>
      <c r="BE330" s="110" t="s">
        <v>182</v>
      </c>
      <c r="BF330" s="110" t="s">
        <v>412</v>
      </c>
      <c r="BG330" s="110" t="s">
        <v>1883</v>
      </c>
      <c r="BH330" s="110" t="s">
        <v>224</v>
      </c>
      <c r="BI330" s="110" t="s">
        <v>182</v>
      </c>
      <c r="BJ330" s="110" t="s">
        <v>190</v>
      </c>
      <c r="BK330" s="110">
        <v>9</v>
      </c>
      <c r="BL330" s="110">
        <v>3</v>
      </c>
      <c r="BM330" s="110" t="s">
        <v>181</v>
      </c>
      <c r="BN330" s="110" t="s">
        <v>174</v>
      </c>
      <c r="BO330" s="110" t="s">
        <v>174</v>
      </c>
      <c r="BP330" s="110" t="s">
        <v>174</v>
      </c>
      <c r="BQ330" s="110" t="s">
        <v>174</v>
      </c>
      <c r="BR330" s="110" t="s">
        <v>174</v>
      </c>
      <c r="BS330" s="110">
        <v>32</v>
      </c>
      <c r="BT330" s="110" t="s">
        <v>2256</v>
      </c>
      <c r="BU330" s="110" t="s">
        <v>2606</v>
      </c>
      <c r="BV330" s="110" t="s">
        <v>2256</v>
      </c>
      <c r="CA330" s="110">
        <v>0.79</v>
      </c>
      <c r="CB330" s="110">
        <v>63.29113924</v>
      </c>
      <c r="CC330" s="110" t="b">
        <v>0</v>
      </c>
      <c r="CD330" s="110" t="s">
        <v>2256</v>
      </c>
      <c r="CE330" s="110" t="s">
        <v>2256</v>
      </c>
      <c r="CF330" s="110" t="s">
        <v>2256</v>
      </c>
      <c r="CG330" s="110">
        <v>126.5822785</v>
      </c>
      <c r="CH330" s="110" t="s">
        <v>2509</v>
      </c>
      <c r="CI330" s="110" t="s">
        <v>178</v>
      </c>
      <c r="CJ330" s="110" t="s">
        <v>2567</v>
      </c>
    </row>
    <row r="331" spans="1:88">
      <c r="A331" s="110" t="s">
        <v>151</v>
      </c>
      <c r="B331" s="110">
        <v>65</v>
      </c>
      <c r="C331" s="110">
        <v>1</v>
      </c>
      <c r="D331" s="110">
        <v>3</v>
      </c>
      <c r="E331" s="110">
        <v>330</v>
      </c>
      <c r="F331" s="110">
        <v>2022</v>
      </c>
      <c r="G331" s="110" t="s">
        <v>161</v>
      </c>
      <c r="H331" s="110" t="s">
        <v>1119</v>
      </c>
      <c r="I331" s="110" t="s">
        <v>182</v>
      </c>
      <c r="J331" s="110" t="s">
        <v>182</v>
      </c>
      <c r="K331" s="110" t="s">
        <v>999</v>
      </c>
      <c r="L331" s="110" t="s">
        <v>999</v>
      </c>
      <c r="R331" s="110" t="s">
        <v>152</v>
      </c>
      <c r="S331" s="110" t="s">
        <v>443</v>
      </c>
      <c r="T331" s="110" t="s">
        <v>156</v>
      </c>
      <c r="U331" s="110" t="s">
        <v>159</v>
      </c>
      <c r="V331" s="110">
        <v>50.363629000000003</v>
      </c>
      <c r="W331" s="110">
        <v>50.363629000000003</v>
      </c>
      <c r="X331" s="110">
        <v>-4.1449780000000001</v>
      </c>
      <c r="Y331" s="110" t="s">
        <v>160</v>
      </c>
      <c r="Z331" s="110" t="s">
        <v>155</v>
      </c>
      <c r="AA331" s="110" t="s">
        <v>1788</v>
      </c>
      <c r="AB331" s="110" t="s">
        <v>333</v>
      </c>
      <c r="AC331" s="110" t="s">
        <v>246</v>
      </c>
      <c r="AD331" s="110" t="s">
        <v>333</v>
      </c>
      <c r="AE331" s="110" t="s">
        <v>1123</v>
      </c>
      <c r="AF331" s="110" t="s">
        <v>173</v>
      </c>
      <c r="AG331" s="110">
        <v>2</v>
      </c>
      <c r="AI331" s="110" t="s">
        <v>246</v>
      </c>
      <c r="AJ331" s="110" t="s">
        <v>246</v>
      </c>
      <c r="AK331" s="110" t="s">
        <v>171</v>
      </c>
      <c r="AL331" s="110" t="s">
        <v>190</v>
      </c>
      <c r="AM331" s="110" t="s">
        <v>174</v>
      </c>
      <c r="AO331" s="110">
        <v>13</v>
      </c>
      <c r="AP331" s="110" t="s">
        <v>190</v>
      </c>
      <c r="AQ331" s="110" t="s">
        <v>176</v>
      </c>
      <c r="AR331" s="110">
        <v>2019</v>
      </c>
      <c r="AS331" s="110" t="s">
        <v>169</v>
      </c>
      <c r="AT331" s="110" t="s">
        <v>298</v>
      </c>
      <c r="AU331" s="110">
        <v>20</v>
      </c>
      <c r="BA331" s="110">
        <v>12.11</v>
      </c>
      <c r="BB331" s="110">
        <v>15.64</v>
      </c>
      <c r="BC331" s="110">
        <v>13.875</v>
      </c>
      <c r="BD331" s="110">
        <v>3.53</v>
      </c>
      <c r="BE331" s="110" t="s">
        <v>182</v>
      </c>
      <c r="BF331" s="110" t="s">
        <v>412</v>
      </c>
      <c r="BG331" s="110" t="s">
        <v>1884</v>
      </c>
      <c r="BH331" s="110" t="s">
        <v>224</v>
      </c>
      <c r="BI331" s="110" t="s">
        <v>182</v>
      </c>
      <c r="BJ331" s="110" t="s">
        <v>190</v>
      </c>
      <c r="BK331" s="110">
        <v>9</v>
      </c>
      <c r="BL331" s="110">
        <v>3</v>
      </c>
      <c r="BM331" s="110" t="s">
        <v>181</v>
      </c>
      <c r="BN331" s="110" t="s">
        <v>174</v>
      </c>
      <c r="BO331" s="110" t="s">
        <v>174</v>
      </c>
      <c r="BP331" s="110" t="s">
        <v>174</v>
      </c>
      <c r="BQ331" s="110" t="s">
        <v>174</v>
      </c>
      <c r="BR331" s="110" t="s">
        <v>174</v>
      </c>
      <c r="BS331" s="110">
        <v>32</v>
      </c>
      <c r="BT331" s="110" t="s">
        <v>2256</v>
      </c>
      <c r="BU331" s="110" t="s">
        <v>2606</v>
      </c>
      <c r="BV331" s="110" t="s">
        <v>2256</v>
      </c>
      <c r="CA331" s="110">
        <v>1.81</v>
      </c>
      <c r="CB331" s="110">
        <v>27.624309390000001</v>
      </c>
      <c r="CC331" s="110" t="b">
        <v>0</v>
      </c>
      <c r="CD331" s="110" t="s">
        <v>2256</v>
      </c>
      <c r="CE331" s="110" t="s">
        <v>2256</v>
      </c>
      <c r="CF331" s="110" t="s">
        <v>2256</v>
      </c>
      <c r="CG331" s="110">
        <v>55.248618780000001</v>
      </c>
      <c r="CH331" s="110" t="s">
        <v>2509</v>
      </c>
      <c r="CI331" s="110" t="s">
        <v>178</v>
      </c>
      <c r="CJ331" s="110" t="s">
        <v>2567</v>
      </c>
    </row>
    <row r="332" spans="1:88">
      <c r="A332" s="110" t="s">
        <v>682</v>
      </c>
      <c r="B332" s="110">
        <v>66</v>
      </c>
      <c r="C332" s="110">
        <v>3</v>
      </c>
      <c r="D332" s="110">
        <v>1</v>
      </c>
      <c r="E332" s="110">
        <v>331</v>
      </c>
      <c r="F332" s="110">
        <v>1981</v>
      </c>
      <c r="G332" s="110" t="s">
        <v>161</v>
      </c>
      <c r="H332" s="110" t="s">
        <v>2437</v>
      </c>
      <c r="I332" s="110" t="s">
        <v>182</v>
      </c>
      <c r="J332" s="110" t="s">
        <v>246</v>
      </c>
      <c r="K332" s="110" t="s">
        <v>999</v>
      </c>
      <c r="L332" s="110" t="s">
        <v>999</v>
      </c>
      <c r="R332" s="110" t="s">
        <v>2611</v>
      </c>
      <c r="S332" s="110" t="s">
        <v>443</v>
      </c>
      <c r="T332" s="110" t="s">
        <v>983</v>
      </c>
      <c r="U332" s="110" t="s">
        <v>984</v>
      </c>
      <c r="V332" s="110">
        <v>62.162500000000001</v>
      </c>
      <c r="W332" s="110">
        <v>-62.162500000000001</v>
      </c>
      <c r="X332" s="110">
        <v>-58.462499999999999</v>
      </c>
      <c r="Y332" s="110" t="s">
        <v>538</v>
      </c>
      <c r="Z332" s="110" t="s">
        <v>797</v>
      </c>
      <c r="AA332" s="110" t="s">
        <v>424</v>
      </c>
      <c r="AB332" s="110" t="s">
        <v>333</v>
      </c>
      <c r="AC332" s="110" t="s">
        <v>246</v>
      </c>
      <c r="AD332" s="110" t="s">
        <v>333</v>
      </c>
      <c r="AE332" s="110" t="s">
        <v>218</v>
      </c>
      <c r="AF332" s="110" t="s">
        <v>190</v>
      </c>
      <c r="AG332" s="110">
        <v>25</v>
      </c>
      <c r="AI332" s="110" t="s">
        <v>246</v>
      </c>
      <c r="AJ332" s="110" t="s">
        <v>246</v>
      </c>
      <c r="AK332" s="110" t="s">
        <v>171</v>
      </c>
      <c r="AL332" s="110" t="s">
        <v>190</v>
      </c>
      <c r="AM332" s="110" t="s">
        <v>174</v>
      </c>
      <c r="AO332" s="110" t="s">
        <v>1766</v>
      </c>
      <c r="AP332" s="110" t="s">
        <v>190</v>
      </c>
      <c r="AQ332" s="110" t="s">
        <v>176</v>
      </c>
      <c r="AR332" s="110">
        <v>1979</v>
      </c>
      <c r="AT332" s="110" t="s">
        <v>254</v>
      </c>
      <c r="AU332" s="110" t="s">
        <v>174</v>
      </c>
      <c r="AX332" s="110" t="s">
        <v>174</v>
      </c>
      <c r="AY332" s="110" t="s">
        <v>174</v>
      </c>
      <c r="AZ332" s="110" t="s">
        <v>174</v>
      </c>
      <c r="BA332" s="110" t="s">
        <v>1766</v>
      </c>
      <c r="BB332" s="110" t="s">
        <v>1766</v>
      </c>
      <c r="BE332" s="110" t="s">
        <v>182</v>
      </c>
      <c r="BF332" s="110" t="s">
        <v>412</v>
      </c>
      <c r="BH332" s="110" t="s">
        <v>174</v>
      </c>
      <c r="BI332" s="110" t="s">
        <v>182</v>
      </c>
      <c r="BJ332" s="110" t="s">
        <v>412</v>
      </c>
      <c r="BK332" s="110" t="s">
        <v>1766</v>
      </c>
      <c r="BL332" s="110">
        <v>6</v>
      </c>
      <c r="BM332" s="110" t="s">
        <v>1394</v>
      </c>
      <c r="BN332" s="110" t="s">
        <v>174</v>
      </c>
      <c r="BO332" s="110" t="s">
        <v>174</v>
      </c>
      <c r="BP332" s="110" t="s">
        <v>174</v>
      </c>
      <c r="BQ332" s="110" t="s">
        <v>174</v>
      </c>
      <c r="BR332" s="110" t="s">
        <v>174</v>
      </c>
      <c r="BS332" s="110">
        <v>92</v>
      </c>
      <c r="BT332" s="110" t="s">
        <v>1396</v>
      </c>
      <c r="BU332" s="110" t="s">
        <v>1396</v>
      </c>
      <c r="BV332" s="110" t="s">
        <v>1396</v>
      </c>
      <c r="BW332" s="110">
        <v>0.996</v>
      </c>
      <c r="CA332" s="110">
        <v>0.4113</v>
      </c>
      <c r="CB332" s="110">
        <v>121.5657671</v>
      </c>
      <c r="CC332" s="110" t="b">
        <v>0</v>
      </c>
      <c r="CD332" s="110">
        <v>62</v>
      </c>
      <c r="CE332" s="110">
        <v>0</v>
      </c>
      <c r="CF332" s="110" t="s">
        <v>246</v>
      </c>
      <c r="CG332" s="110">
        <v>243.1315342</v>
      </c>
      <c r="CH332" s="110" t="s">
        <v>1169</v>
      </c>
      <c r="CI332" s="110" t="s">
        <v>1168</v>
      </c>
    </row>
    <row r="333" spans="1:88">
      <c r="A333" s="110" t="s">
        <v>682</v>
      </c>
      <c r="B333" s="110">
        <v>66</v>
      </c>
      <c r="C333" s="110">
        <v>3</v>
      </c>
      <c r="D333" s="110">
        <v>1</v>
      </c>
      <c r="E333" s="110">
        <v>332</v>
      </c>
      <c r="F333" s="110">
        <v>1981</v>
      </c>
      <c r="G333" s="110" t="s">
        <v>161</v>
      </c>
      <c r="H333" s="110" t="s">
        <v>2437</v>
      </c>
      <c r="I333" s="110" t="s">
        <v>182</v>
      </c>
      <c r="J333" s="110" t="s">
        <v>246</v>
      </c>
      <c r="K333" s="110" t="s">
        <v>999</v>
      </c>
      <c r="L333" s="110" t="s">
        <v>999</v>
      </c>
      <c r="R333" s="110" t="s">
        <v>2611</v>
      </c>
      <c r="S333" s="110" t="s">
        <v>443</v>
      </c>
      <c r="T333" s="110" t="s">
        <v>983</v>
      </c>
      <c r="U333" s="110" t="s">
        <v>984</v>
      </c>
      <c r="V333" s="110">
        <v>62.162500000000001</v>
      </c>
      <c r="W333" s="110">
        <v>-62.162500000000001</v>
      </c>
      <c r="X333" s="110">
        <v>-58.462499999999999</v>
      </c>
      <c r="Y333" s="110" t="s">
        <v>538</v>
      </c>
      <c r="Z333" s="110" t="s">
        <v>797</v>
      </c>
      <c r="AA333" s="110" t="s">
        <v>424</v>
      </c>
      <c r="AB333" s="110" t="s">
        <v>333</v>
      </c>
      <c r="AC333" s="110" t="s">
        <v>246</v>
      </c>
      <c r="AD333" s="110" t="s">
        <v>333</v>
      </c>
      <c r="AE333" s="110" t="s">
        <v>1306</v>
      </c>
      <c r="AF333" s="110" t="s">
        <v>1789</v>
      </c>
      <c r="AH333" s="110" t="s">
        <v>1774</v>
      </c>
      <c r="AI333" s="110" t="s">
        <v>246</v>
      </c>
      <c r="AJ333" s="110" t="s">
        <v>246</v>
      </c>
      <c r="AK333" s="110" t="s">
        <v>171</v>
      </c>
      <c r="AL333" s="110" t="s">
        <v>190</v>
      </c>
      <c r="AM333" s="110" t="s">
        <v>174</v>
      </c>
      <c r="AO333" s="110" t="s">
        <v>1766</v>
      </c>
      <c r="AP333" s="110" t="s">
        <v>190</v>
      </c>
      <c r="AQ333" s="110" t="s">
        <v>176</v>
      </c>
      <c r="AR333" s="110">
        <v>1979</v>
      </c>
      <c r="AT333" s="110" t="s">
        <v>254</v>
      </c>
      <c r="AU333" s="110" t="s">
        <v>174</v>
      </c>
      <c r="AX333" s="110" t="s">
        <v>174</v>
      </c>
      <c r="AY333" s="110" t="s">
        <v>174</v>
      </c>
      <c r="AZ333" s="110" t="s">
        <v>174</v>
      </c>
      <c r="BA333" s="110" t="s">
        <v>1766</v>
      </c>
      <c r="BB333" s="110" t="s">
        <v>1766</v>
      </c>
      <c r="BE333" s="110" t="s">
        <v>182</v>
      </c>
      <c r="BF333" s="110" t="s">
        <v>412</v>
      </c>
      <c r="BH333" s="110" t="s">
        <v>174</v>
      </c>
      <c r="BI333" s="110" t="s">
        <v>182</v>
      </c>
      <c r="BJ333" s="110" t="s">
        <v>412</v>
      </c>
      <c r="BK333" s="110" t="s">
        <v>1766</v>
      </c>
      <c r="BL333" s="110">
        <v>9</v>
      </c>
      <c r="BM333" s="110" t="s">
        <v>1394</v>
      </c>
      <c r="BN333" s="110" t="s">
        <v>174</v>
      </c>
      <c r="BO333" s="110" t="s">
        <v>174</v>
      </c>
      <c r="BP333" s="110" t="s">
        <v>174</v>
      </c>
      <c r="BQ333" s="110" t="s">
        <v>174</v>
      </c>
      <c r="BR333" s="110" t="s">
        <v>174</v>
      </c>
      <c r="BS333" s="110">
        <v>92</v>
      </c>
      <c r="BT333" s="110" t="s">
        <v>2347</v>
      </c>
      <c r="BU333" s="110" t="s">
        <v>1394</v>
      </c>
      <c r="BV333" s="110" t="s">
        <v>2603</v>
      </c>
      <c r="BW333" s="110">
        <v>0.999</v>
      </c>
      <c r="BZ333" s="110">
        <v>1.38E-2</v>
      </c>
      <c r="CB333" s="110">
        <v>50.228056559999999</v>
      </c>
      <c r="CC333" s="110" t="b">
        <v>0</v>
      </c>
      <c r="CD333" s="110">
        <v>27</v>
      </c>
      <c r="CE333" s="110">
        <v>0</v>
      </c>
      <c r="CF333" s="110" t="s">
        <v>246</v>
      </c>
      <c r="CG333" s="110" t="s">
        <v>174</v>
      </c>
      <c r="CH333" s="110" t="s">
        <v>1172</v>
      </c>
      <c r="CI333" s="110" t="s">
        <v>1168</v>
      </c>
    </row>
    <row r="334" spans="1:88">
      <c r="A334" s="110" t="s">
        <v>682</v>
      </c>
      <c r="B334" s="110">
        <v>66</v>
      </c>
      <c r="C334" s="110">
        <v>3</v>
      </c>
      <c r="D334" s="110">
        <v>1</v>
      </c>
      <c r="E334" s="110">
        <v>333</v>
      </c>
      <c r="F334" s="110">
        <v>1981</v>
      </c>
      <c r="G334" s="110" t="s">
        <v>161</v>
      </c>
      <c r="H334" s="110" t="s">
        <v>2437</v>
      </c>
      <c r="I334" s="110" t="s">
        <v>182</v>
      </c>
      <c r="J334" s="110" t="s">
        <v>246</v>
      </c>
      <c r="K334" s="110" t="s">
        <v>999</v>
      </c>
      <c r="L334" s="110" t="s">
        <v>999</v>
      </c>
      <c r="R334" s="110" t="s">
        <v>2611</v>
      </c>
      <c r="S334" s="110" t="s">
        <v>446</v>
      </c>
      <c r="T334" s="110" t="s">
        <v>1157</v>
      </c>
      <c r="U334" s="110" t="s">
        <v>1177</v>
      </c>
      <c r="V334" s="110">
        <v>62.162500000000001</v>
      </c>
      <c r="W334" s="110">
        <v>-62.162500000000001</v>
      </c>
      <c r="X334" s="110">
        <v>-58.462499999999999</v>
      </c>
      <c r="Y334" s="110" t="s">
        <v>538</v>
      </c>
      <c r="Z334" s="110" t="s">
        <v>797</v>
      </c>
      <c r="AA334" s="110" t="s">
        <v>424</v>
      </c>
      <c r="AB334" s="110" t="s">
        <v>333</v>
      </c>
      <c r="AC334" s="110" t="s">
        <v>246</v>
      </c>
      <c r="AD334" s="110" t="s">
        <v>333</v>
      </c>
      <c r="AE334" s="110" t="s">
        <v>218</v>
      </c>
      <c r="AF334" s="110" t="s">
        <v>190</v>
      </c>
      <c r="AG334" s="110">
        <v>25</v>
      </c>
      <c r="AI334" s="110" t="s">
        <v>246</v>
      </c>
      <c r="AJ334" s="110" t="s">
        <v>246</v>
      </c>
      <c r="AK334" s="110" t="s">
        <v>171</v>
      </c>
      <c r="AL334" s="110" t="s">
        <v>190</v>
      </c>
      <c r="AM334" s="110" t="s">
        <v>174</v>
      </c>
      <c r="AO334" s="110" t="s">
        <v>1766</v>
      </c>
      <c r="AP334" s="110" t="s">
        <v>190</v>
      </c>
      <c r="AQ334" s="110" t="s">
        <v>176</v>
      </c>
      <c r="AR334" s="110">
        <v>1979</v>
      </c>
      <c r="AT334" s="110" t="s">
        <v>254</v>
      </c>
      <c r="AU334" s="110" t="s">
        <v>174</v>
      </c>
      <c r="AX334" s="110" t="s">
        <v>174</v>
      </c>
      <c r="AY334" s="110" t="s">
        <v>174</v>
      </c>
      <c r="AZ334" s="110" t="s">
        <v>174</v>
      </c>
      <c r="BA334" s="110" t="s">
        <v>1766</v>
      </c>
      <c r="BB334" s="110" t="s">
        <v>1766</v>
      </c>
      <c r="BE334" s="110" t="s">
        <v>182</v>
      </c>
      <c r="BF334" s="110" t="s">
        <v>412</v>
      </c>
      <c r="BH334" s="110" t="s">
        <v>174</v>
      </c>
      <c r="BI334" s="110" t="s">
        <v>182</v>
      </c>
      <c r="BJ334" s="110" t="s">
        <v>412</v>
      </c>
      <c r="BK334" s="110" t="s">
        <v>1766</v>
      </c>
      <c r="BL334" s="110">
        <v>10</v>
      </c>
      <c r="BM334" s="110" t="s">
        <v>1394</v>
      </c>
      <c r="BN334" s="110" t="s">
        <v>174</v>
      </c>
      <c r="BO334" s="110" t="s">
        <v>174</v>
      </c>
      <c r="BP334" s="110" t="s">
        <v>174</v>
      </c>
      <c r="BQ334" s="110" t="s">
        <v>174</v>
      </c>
      <c r="BR334" s="110" t="s">
        <v>174</v>
      </c>
      <c r="BS334" s="110">
        <v>45</v>
      </c>
      <c r="BT334" s="110" t="s">
        <v>2347</v>
      </c>
      <c r="BU334" s="110" t="s">
        <v>1394</v>
      </c>
      <c r="BV334" s="110" t="s">
        <v>2603</v>
      </c>
      <c r="BW334" s="110">
        <v>1</v>
      </c>
      <c r="BZ334" s="110">
        <v>5.4399999999999997E-2</v>
      </c>
      <c r="CB334" s="110">
        <v>12.74167611</v>
      </c>
      <c r="CC334" s="110" t="b">
        <v>0</v>
      </c>
      <c r="CD334" s="110">
        <v>8</v>
      </c>
      <c r="CE334" s="110">
        <v>0</v>
      </c>
      <c r="CF334" s="110" t="s">
        <v>246</v>
      </c>
      <c r="CG334" s="110" t="s">
        <v>174</v>
      </c>
      <c r="CH334" s="110" t="s">
        <v>1169</v>
      </c>
      <c r="CI334" s="110" t="s">
        <v>1168</v>
      </c>
    </row>
    <row r="335" spans="1:88">
      <c r="A335" s="110" t="s">
        <v>682</v>
      </c>
      <c r="B335" s="110">
        <v>66</v>
      </c>
      <c r="C335" s="110">
        <v>3</v>
      </c>
      <c r="D335" s="110">
        <v>1</v>
      </c>
      <c r="E335" s="110">
        <v>334</v>
      </c>
      <c r="F335" s="110">
        <v>1981</v>
      </c>
      <c r="G335" s="110" t="s">
        <v>161</v>
      </c>
      <c r="H335" s="110" t="s">
        <v>2437</v>
      </c>
      <c r="I335" s="110" t="s">
        <v>182</v>
      </c>
      <c r="J335" s="110" t="s">
        <v>246</v>
      </c>
      <c r="K335" s="110" t="s">
        <v>999</v>
      </c>
      <c r="L335" s="110" t="s">
        <v>999</v>
      </c>
      <c r="R335" s="110" t="s">
        <v>2611</v>
      </c>
      <c r="S335" s="110" t="s">
        <v>446</v>
      </c>
      <c r="T335" s="110" t="s">
        <v>1157</v>
      </c>
      <c r="U335" s="110" t="s">
        <v>1177</v>
      </c>
      <c r="V335" s="110">
        <v>62.162500000000001</v>
      </c>
      <c r="W335" s="110">
        <v>-62.162500000000001</v>
      </c>
      <c r="X335" s="110">
        <v>-58.462499999999999</v>
      </c>
      <c r="Y335" s="110" t="s">
        <v>538</v>
      </c>
      <c r="Z335" s="110" t="s">
        <v>797</v>
      </c>
      <c r="AA335" s="110" t="s">
        <v>424</v>
      </c>
      <c r="AB335" s="110" t="s">
        <v>333</v>
      </c>
      <c r="AC335" s="110" t="s">
        <v>246</v>
      </c>
      <c r="AD335" s="110" t="s">
        <v>333</v>
      </c>
      <c r="AE335" s="110" t="s">
        <v>1306</v>
      </c>
      <c r="AF335" s="110" t="s">
        <v>1789</v>
      </c>
      <c r="AH335" s="110" t="s">
        <v>1774</v>
      </c>
      <c r="AI335" s="110" t="s">
        <v>246</v>
      </c>
      <c r="AJ335" s="110" t="s">
        <v>246</v>
      </c>
      <c r="AK335" s="110" t="s">
        <v>171</v>
      </c>
      <c r="AL335" s="110" t="s">
        <v>190</v>
      </c>
      <c r="AM335" s="110" t="s">
        <v>174</v>
      </c>
      <c r="AO335" s="110" t="s">
        <v>1766</v>
      </c>
      <c r="AP335" s="110" t="s">
        <v>190</v>
      </c>
      <c r="AQ335" s="110" t="s">
        <v>176</v>
      </c>
      <c r="AR335" s="110">
        <v>1979</v>
      </c>
      <c r="AT335" s="110" t="s">
        <v>254</v>
      </c>
      <c r="AU335" s="110" t="s">
        <v>174</v>
      </c>
      <c r="AX335" s="110" t="s">
        <v>174</v>
      </c>
      <c r="AY335" s="110" t="s">
        <v>174</v>
      </c>
      <c r="AZ335" s="110" t="s">
        <v>174</v>
      </c>
      <c r="BA335" s="110" t="s">
        <v>1766</v>
      </c>
      <c r="BB335" s="110" t="s">
        <v>1766</v>
      </c>
      <c r="BE335" s="110" t="s">
        <v>182</v>
      </c>
      <c r="BF335" s="110" t="s">
        <v>412</v>
      </c>
      <c r="BH335" s="110" t="s">
        <v>174</v>
      </c>
      <c r="BI335" s="110" t="s">
        <v>182</v>
      </c>
      <c r="BJ335" s="110" t="s">
        <v>412</v>
      </c>
      <c r="BK335" s="110" t="s">
        <v>1766</v>
      </c>
      <c r="BL335" s="110">
        <v>6</v>
      </c>
      <c r="BM335" s="110" t="s">
        <v>1394</v>
      </c>
      <c r="BN335" s="110" t="s">
        <v>174</v>
      </c>
      <c r="BO335" s="110" t="s">
        <v>174</v>
      </c>
      <c r="BP335" s="110" t="s">
        <v>174</v>
      </c>
      <c r="BQ335" s="110" t="s">
        <v>174</v>
      </c>
      <c r="BR335" s="110" t="s">
        <v>174</v>
      </c>
      <c r="BS335" s="110">
        <v>38</v>
      </c>
      <c r="BT335" s="110" t="s">
        <v>2347</v>
      </c>
      <c r="BU335" s="110" t="s">
        <v>1394</v>
      </c>
      <c r="BV335" s="110" t="s">
        <v>2603</v>
      </c>
      <c r="BW335" s="110">
        <v>0.999</v>
      </c>
      <c r="BZ335" s="110">
        <v>5.7700000000000001E-2</v>
      </c>
      <c r="CB335" s="110">
        <v>12.0129494</v>
      </c>
      <c r="CC335" s="110" t="b">
        <v>0</v>
      </c>
      <c r="CD335" s="110">
        <v>11</v>
      </c>
      <c r="CE335" s="110">
        <v>0</v>
      </c>
      <c r="CF335" s="110" t="s">
        <v>246</v>
      </c>
      <c r="CG335" s="110" t="s">
        <v>174</v>
      </c>
      <c r="CH335" s="110" t="s">
        <v>1172</v>
      </c>
      <c r="CI335" s="110" t="s">
        <v>1168</v>
      </c>
    </row>
    <row r="336" spans="1:88">
      <c r="A336" s="110" t="s">
        <v>682</v>
      </c>
      <c r="B336" s="110">
        <v>66</v>
      </c>
      <c r="C336" s="110">
        <v>3</v>
      </c>
      <c r="D336" s="110">
        <v>2</v>
      </c>
      <c r="E336" s="110">
        <v>335</v>
      </c>
      <c r="F336" s="110">
        <v>1981</v>
      </c>
      <c r="G336" s="110" t="s">
        <v>161</v>
      </c>
      <c r="H336" s="110" t="s">
        <v>2437</v>
      </c>
      <c r="I336" s="110" t="s">
        <v>182</v>
      </c>
      <c r="J336" s="110" t="s">
        <v>246</v>
      </c>
      <c r="K336" s="110" t="s">
        <v>999</v>
      </c>
      <c r="L336" s="110" t="s">
        <v>999</v>
      </c>
      <c r="R336" s="110" t="s">
        <v>2611</v>
      </c>
      <c r="S336" s="110" t="s">
        <v>443</v>
      </c>
      <c r="T336" s="110" t="s">
        <v>983</v>
      </c>
      <c r="U336" s="110" t="s">
        <v>984</v>
      </c>
      <c r="V336" s="110">
        <v>62.162500000000001</v>
      </c>
      <c r="W336" s="110">
        <v>-62.162500000000001</v>
      </c>
      <c r="X336" s="110">
        <v>-58.462499999999999</v>
      </c>
      <c r="Y336" s="110" t="s">
        <v>538</v>
      </c>
      <c r="Z336" s="110" t="s">
        <v>797</v>
      </c>
      <c r="AA336" s="110" t="s">
        <v>424</v>
      </c>
      <c r="AB336" s="110" t="s">
        <v>333</v>
      </c>
      <c r="AC336" s="110" t="s">
        <v>246</v>
      </c>
      <c r="AD336" s="110" t="s">
        <v>333</v>
      </c>
      <c r="AE336" s="110" t="s">
        <v>218</v>
      </c>
      <c r="AF336" s="110" t="s">
        <v>190</v>
      </c>
      <c r="AG336" s="110">
        <v>25</v>
      </c>
      <c r="AI336" s="110" t="s">
        <v>246</v>
      </c>
      <c r="AJ336" s="110" t="s">
        <v>246</v>
      </c>
      <c r="AK336" s="110" t="s">
        <v>171</v>
      </c>
      <c r="AL336" s="110" t="s">
        <v>190</v>
      </c>
      <c r="AM336" s="110" t="s">
        <v>174</v>
      </c>
      <c r="AO336" s="110" t="s">
        <v>1766</v>
      </c>
      <c r="AP336" s="110" t="s">
        <v>190</v>
      </c>
      <c r="AQ336" s="110" t="s">
        <v>176</v>
      </c>
      <c r="AR336" s="110">
        <v>1979</v>
      </c>
      <c r="AT336" s="110" t="s">
        <v>298</v>
      </c>
      <c r="AU336" s="110" t="s">
        <v>174</v>
      </c>
      <c r="AX336" s="110" t="s">
        <v>174</v>
      </c>
      <c r="AY336" s="110" t="s">
        <v>174</v>
      </c>
      <c r="AZ336" s="110" t="s">
        <v>174</v>
      </c>
      <c r="BA336" s="110" t="s">
        <v>1766</v>
      </c>
      <c r="BB336" s="110" t="s">
        <v>1766</v>
      </c>
      <c r="BE336" s="110" t="s">
        <v>182</v>
      </c>
      <c r="BF336" s="110" t="s">
        <v>412</v>
      </c>
      <c r="BH336" s="110" t="s">
        <v>174</v>
      </c>
      <c r="BI336" s="110" t="s">
        <v>182</v>
      </c>
      <c r="BJ336" s="110" t="s">
        <v>412</v>
      </c>
      <c r="BK336" s="110" t="s">
        <v>1766</v>
      </c>
      <c r="BL336" s="110">
        <v>7</v>
      </c>
      <c r="BM336" s="110" t="s">
        <v>1394</v>
      </c>
      <c r="BN336" s="110" t="s">
        <v>174</v>
      </c>
      <c r="BO336" s="110" t="s">
        <v>174</v>
      </c>
      <c r="BP336" s="110" t="s">
        <v>174</v>
      </c>
      <c r="BQ336" s="110" t="s">
        <v>174</v>
      </c>
      <c r="BR336" s="110" t="s">
        <v>174</v>
      </c>
      <c r="BS336" s="110">
        <v>35</v>
      </c>
      <c r="BT336" s="110" t="s">
        <v>1396</v>
      </c>
      <c r="BU336" s="110" t="s">
        <v>1396</v>
      </c>
      <c r="BV336" s="110" t="s">
        <v>1396</v>
      </c>
      <c r="BW336" s="110">
        <v>0.999</v>
      </c>
      <c r="CA336" s="110">
        <v>0.23810000000000001</v>
      </c>
      <c r="CB336" s="110">
        <v>209.9958001</v>
      </c>
      <c r="CC336" s="110" t="b">
        <v>1</v>
      </c>
      <c r="CD336" s="110">
        <v>92</v>
      </c>
      <c r="CE336" s="110">
        <v>0</v>
      </c>
      <c r="CF336" s="110" t="s">
        <v>246</v>
      </c>
      <c r="CG336" s="110">
        <v>419.99160019999999</v>
      </c>
      <c r="CH336" s="110" t="s">
        <v>1170</v>
      </c>
      <c r="CI336" s="110" t="s">
        <v>1168</v>
      </c>
    </row>
    <row r="337" spans="1:88">
      <c r="A337" s="110" t="s">
        <v>682</v>
      </c>
      <c r="B337" s="110">
        <v>66</v>
      </c>
      <c r="C337" s="110">
        <v>3</v>
      </c>
      <c r="D337" s="110">
        <v>2</v>
      </c>
      <c r="E337" s="110">
        <v>336</v>
      </c>
      <c r="F337" s="110">
        <v>1981</v>
      </c>
      <c r="G337" s="110" t="s">
        <v>161</v>
      </c>
      <c r="H337" s="110" t="s">
        <v>2437</v>
      </c>
      <c r="I337" s="110" t="s">
        <v>182</v>
      </c>
      <c r="J337" s="110" t="s">
        <v>246</v>
      </c>
      <c r="K337" s="110" t="s">
        <v>999</v>
      </c>
      <c r="L337" s="110" t="s">
        <v>999</v>
      </c>
      <c r="R337" s="110" t="s">
        <v>2611</v>
      </c>
      <c r="S337" s="110" t="s">
        <v>443</v>
      </c>
      <c r="T337" s="110" t="s">
        <v>983</v>
      </c>
      <c r="U337" s="110" t="s">
        <v>984</v>
      </c>
      <c r="V337" s="110">
        <v>62.162500000000001</v>
      </c>
      <c r="W337" s="110">
        <v>-62.162500000000001</v>
      </c>
      <c r="X337" s="110">
        <v>-58.462499999999999</v>
      </c>
      <c r="Y337" s="110" t="s">
        <v>538</v>
      </c>
      <c r="Z337" s="110" t="s">
        <v>797</v>
      </c>
      <c r="AA337" s="110" t="s">
        <v>424</v>
      </c>
      <c r="AB337" s="110" t="s">
        <v>333</v>
      </c>
      <c r="AC337" s="110" t="s">
        <v>246</v>
      </c>
      <c r="AD337" s="110" t="s">
        <v>333</v>
      </c>
      <c r="AE337" s="110" t="s">
        <v>1306</v>
      </c>
      <c r="AF337" s="110" t="s">
        <v>1789</v>
      </c>
      <c r="AH337" s="110" t="s">
        <v>1774</v>
      </c>
      <c r="AI337" s="110" t="s">
        <v>246</v>
      </c>
      <c r="AJ337" s="110" t="s">
        <v>246</v>
      </c>
      <c r="AK337" s="110" t="s">
        <v>171</v>
      </c>
      <c r="AL337" s="110" t="s">
        <v>190</v>
      </c>
      <c r="AM337" s="110" t="s">
        <v>174</v>
      </c>
      <c r="AO337" s="110" t="s">
        <v>1766</v>
      </c>
      <c r="AP337" s="110" t="s">
        <v>190</v>
      </c>
      <c r="AQ337" s="110" t="s">
        <v>176</v>
      </c>
      <c r="AR337" s="110">
        <v>1979</v>
      </c>
      <c r="AT337" s="110" t="s">
        <v>298</v>
      </c>
      <c r="AU337" s="110" t="s">
        <v>174</v>
      </c>
      <c r="AX337" s="110" t="s">
        <v>174</v>
      </c>
      <c r="AY337" s="110" t="s">
        <v>174</v>
      </c>
      <c r="AZ337" s="110" t="s">
        <v>174</v>
      </c>
      <c r="BA337" s="110" t="s">
        <v>1766</v>
      </c>
      <c r="BB337" s="110" t="s">
        <v>1766</v>
      </c>
      <c r="BE337" s="110" t="s">
        <v>182</v>
      </c>
      <c r="BF337" s="110" t="s">
        <v>412</v>
      </c>
      <c r="BH337" s="110" t="s">
        <v>174</v>
      </c>
      <c r="BI337" s="110" t="s">
        <v>182</v>
      </c>
      <c r="BJ337" s="110" t="s">
        <v>412</v>
      </c>
      <c r="BK337" s="110" t="s">
        <v>1766</v>
      </c>
      <c r="BL337" s="110">
        <v>7</v>
      </c>
      <c r="BM337" s="110" t="s">
        <v>1394</v>
      </c>
      <c r="BN337" s="110" t="s">
        <v>174</v>
      </c>
      <c r="BO337" s="110" t="s">
        <v>174</v>
      </c>
      <c r="BP337" s="110" t="s">
        <v>174</v>
      </c>
      <c r="BQ337" s="110" t="s">
        <v>174</v>
      </c>
      <c r="BR337" s="110" t="s">
        <v>174</v>
      </c>
      <c r="BS337" s="110">
        <v>35</v>
      </c>
      <c r="BT337" s="110" t="s">
        <v>2347</v>
      </c>
      <c r="BU337" s="110" t="s">
        <v>1394</v>
      </c>
      <c r="BV337" s="110" t="s">
        <v>2603</v>
      </c>
      <c r="BW337" s="110">
        <v>1</v>
      </c>
      <c r="BZ337" s="110">
        <v>2.6700000000000002E-2</v>
      </c>
      <c r="CB337" s="110">
        <v>25.960568559999999</v>
      </c>
      <c r="CC337" s="110" t="b">
        <v>0</v>
      </c>
      <c r="CD337" s="110">
        <v>25</v>
      </c>
      <c r="CE337" s="110">
        <v>0</v>
      </c>
      <c r="CF337" s="110" t="s">
        <v>246</v>
      </c>
      <c r="CG337" s="110" t="s">
        <v>174</v>
      </c>
      <c r="CH337" s="110" t="s">
        <v>1173</v>
      </c>
      <c r="CI337" s="110" t="s">
        <v>1168</v>
      </c>
    </row>
    <row r="338" spans="1:88">
      <c r="A338" s="110" t="s">
        <v>682</v>
      </c>
      <c r="B338" s="110">
        <v>66</v>
      </c>
      <c r="C338" s="110">
        <v>3</v>
      </c>
      <c r="D338" s="110">
        <v>2</v>
      </c>
      <c r="E338" s="110">
        <v>337</v>
      </c>
      <c r="F338" s="110">
        <v>1981</v>
      </c>
      <c r="G338" s="110" t="s">
        <v>161</v>
      </c>
      <c r="H338" s="110" t="s">
        <v>2437</v>
      </c>
      <c r="I338" s="110" t="s">
        <v>182</v>
      </c>
      <c r="J338" s="110" t="s">
        <v>246</v>
      </c>
      <c r="K338" s="110" t="s">
        <v>999</v>
      </c>
      <c r="L338" s="110" t="s">
        <v>999</v>
      </c>
      <c r="R338" s="110" t="s">
        <v>272</v>
      </c>
      <c r="S338" s="110" t="s">
        <v>443</v>
      </c>
      <c r="T338" s="110" t="s">
        <v>985</v>
      </c>
      <c r="U338" s="110" t="s">
        <v>984</v>
      </c>
      <c r="V338" s="110">
        <v>62.162500000000001</v>
      </c>
      <c r="W338" s="110">
        <v>-62.162500000000001</v>
      </c>
      <c r="X338" s="110">
        <v>-58.462499999999999</v>
      </c>
      <c r="Y338" s="110" t="s">
        <v>538</v>
      </c>
      <c r="Z338" s="110" t="s">
        <v>797</v>
      </c>
      <c r="AA338" s="110" t="s">
        <v>424</v>
      </c>
      <c r="AB338" s="110" t="s">
        <v>333</v>
      </c>
      <c r="AC338" s="110" t="s">
        <v>246</v>
      </c>
      <c r="AD338" s="110" t="s">
        <v>333</v>
      </c>
      <c r="AE338" s="110" t="s">
        <v>218</v>
      </c>
      <c r="AF338" s="110" t="s">
        <v>190</v>
      </c>
      <c r="AG338" s="110">
        <v>25</v>
      </c>
      <c r="AI338" s="110" t="s">
        <v>246</v>
      </c>
      <c r="AJ338" s="110" t="s">
        <v>246</v>
      </c>
      <c r="AK338" s="110" t="s">
        <v>171</v>
      </c>
      <c r="AL338" s="110" t="s">
        <v>190</v>
      </c>
      <c r="AM338" s="110" t="s">
        <v>174</v>
      </c>
      <c r="AO338" s="110" t="s">
        <v>1766</v>
      </c>
      <c r="AP338" s="110" t="s">
        <v>190</v>
      </c>
      <c r="AQ338" s="110" t="s">
        <v>176</v>
      </c>
      <c r="AR338" s="110">
        <v>1979</v>
      </c>
      <c r="AT338" s="110" t="s">
        <v>298</v>
      </c>
      <c r="AU338" s="110" t="s">
        <v>174</v>
      </c>
      <c r="AX338" s="110" t="s">
        <v>174</v>
      </c>
      <c r="AY338" s="110" t="s">
        <v>174</v>
      </c>
      <c r="AZ338" s="110" t="s">
        <v>174</v>
      </c>
      <c r="BA338" s="110" t="s">
        <v>1766</v>
      </c>
      <c r="BB338" s="110" t="s">
        <v>1766</v>
      </c>
      <c r="BE338" s="110" t="s">
        <v>182</v>
      </c>
      <c r="BF338" s="110" t="s">
        <v>412</v>
      </c>
      <c r="BH338" s="110" t="s">
        <v>174</v>
      </c>
      <c r="BI338" s="110" t="s">
        <v>182</v>
      </c>
      <c r="BJ338" s="110" t="s">
        <v>412</v>
      </c>
      <c r="BK338" s="110" t="s">
        <v>1766</v>
      </c>
      <c r="BL338" s="110">
        <v>7</v>
      </c>
      <c r="BM338" s="110" t="s">
        <v>1394</v>
      </c>
      <c r="BN338" s="110" t="s">
        <v>174</v>
      </c>
      <c r="BO338" s="110" t="s">
        <v>174</v>
      </c>
      <c r="BP338" s="110" t="s">
        <v>174</v>
      </c>
      <c r="BQ338" s="110" t="s">
        <v>174</v>
      </c>
      <c r="BR338" s="110" t="s">
        <v>174</v>
      </c>
      <c r="BS338" s="110">
        <v>35</v>
      </c>
      <c r="BT338" s="110" t="s">
        <v>1396</v>
      </c>
      <c r="BU338" s="110" t="s">
        <v>1396</v>
      </c>
      <c r="BV338" s="110" t="s">
        <v>1396</v>
      </c>
      <c r="BW338" s="110">
        <v>0.88</v>
      </c>
      <c r="CA338" s="110">
        <v>7.1400000000000005E-2</v>
      </c>
      <c r="CB338" s="110">
        <v>700.28011200000003</v>
      </c>
      <c r="CC338" s="110" t="b">
        <v>1</v>
      </c>
      <c r="CD338" s="110">
        <v>97</v>
      </c>
      <c r="CE338" s="110">
        <v>0</v>
      </c>
      <c r="CF338" s="110" t="s">
        <v>246</v>
      </c>
      <c r="CG338" s="110">
        <v>1400.5602240000001</v>
      </c>
      <c r="CH338" s="110" t="s">
        <v>1175</v>
      </c>
      <c r="CI338" s="110" t="s">
        <v>1168</v>
      </c>
    </row>
    <row r="339" spans="1:88">
      <c r="A339" s="110" t="s">
        <v>682</v>
      </c>
      <c r="B339" s="110">
        <v>66</v>
      </c>
      <c r="C339" s="110">
        <v>3</v>
      </c>
      <c r="D339" s="110">
        <v>2</v>
      </c>
      <c r="E339" s="110">
        <v>338</v>
      </c>
      <c r="F339" s="110">
        <v>1981</v>
      </c>
      <c r="G339" s="110" t="s">
        <v>161</v>
      </c>
      <c r="H339" s="110" t="s">
        <v>2437</v>
      </c>
      <c r="I339" s="110" t="s">
        <v>182</v>
      </c>
      <c r="J339" s="110" t="s">
        <v>246</v>
      </c>
      <c r="K339" s="110" t="s">
        <v>999</v>
      </c>
      <c r="L339" s="110" t="s">
        <v>999</v>
      </c>
      <c r="R339" s="110" t="s">
        <v>272</v>
      </c>
      <c r="S339" s="110" t="s">
        <v>443</v>
      </c>
      <c r="T339" s="110" t="s">
        <v>985</v>
      </c>
      <c r="U339" s="110" t="s">
        <v>984</v>
      </c>
      <c r="V339" s="110">
        <v>62.162500000000001</v>
      </c>
      <c r="W339" s="110">
        <v>-62.162500000000001</v>
      </c>
      <c r="X339" s="110">
        <v>-58.462499999999999</v>
      </c>
      <c r="Y339" s="110" t="s">
        <v>538</v>
      </c>
      <c r="Z339" s="110" t="s">
        <v>797</v>
      </c>
      <c r="AA339" s="110" t="s">
        <v>424</v>
      </c>
      <c r="AB339" s="110" t="s">
        <v>333</v>
      </c>
      <c r="AC339" s="110" t="s">
        <v>246</v>
      </c>
      <c r="AD339" s="110" t="s">
        <v>333</v>
      </c>
      <c r="AE339" s="110" t="s">
        <v>1306</v>
      </c>
      <c r="AF339" s="110" t="s">
        <v>1789</v>
      </c>
      <c r="AH339" s="110" t="s">
        <v>1774</v>
      </c>
      <c r="AI339" s="110" t="s">
        <v>246</v>
      </c>
      <c r="AJ339" s="110" t="s">
        <v>246</v>
      </c>
      <c r="AK339" s="110" t="s">
        <v>171</v>
      </c>
      <c r="AL339" s="110" t="s">
        <v>190</v>
      </c>
      <c r="AM339" s="110" t="s">
        <v>174</v>
      </c>
      <c r="AO339" s="110" t="s">
        <v>1766</v>
      </c>
      <c r="AP339" s="110" t="s">
        <v>190</v>
      </c>
      <c r="AQ339" s="110" t="s">
        <v>176</v>
      </c>
      <c r="AR339" s="110">
        <v>1979</v>
      </c>
      <c r="AT339" s="110" t="s">
        <v>298</v>
      </c>
      <c r="AU339" s="110" t="s">
        <v>174</v>
      </c>
      <c r="AX339" s="110" t="s">
        <v>174</v>
      </c>
      <c r="AY339" s="110" t="s">
        <v>174</v>
      </c>
      <c r="AZ339" s="110" t="s">
        <v>174</v>
      </c>
      <c r="BA339" s="110" t="s">
        <v>1766</v>
      </c>
      <c r="BB339" s="110" t="s">
        <v>1766</v>
      </c>
      <c r="BE339" s="110" t="s">
        <v>182</v>
      </c>
      <c r="BF339" s="110" t="s">
        <v>412</v>
      </c>
      <c r="BH339" s="110" t="s">
        <v>174</v>
      </c>
      <c r="BI339" s="110" t="s">
        <v>182</v>
      </c>
      <c r="BJ339" s="110" t="s">
        <v>412</v>
      </c>
      <c r="BK339" s="110" t="s">
        <v>1766</v>
      </c>
      <c r="BL339" s="110">
        <v>7</v>
      </c>
      <c r="BM339" s="110" t="s">
        <v>1394</v>
      </c>
      <c r="BN339" s="110" t="s">
        <v>174</v>
      </c>
      <c r="BO339" s="110" t="s">
        <v>174</v>
      </c>
      <c r="BP339" s="110" t="s">
        <v>174</v>
      </c>
      <c r="BQ339" s="110" t="s">
        <v>174</v>
      </c>
      <c r="BR339" s="110" t="s">
        <v>174</v>
      </c>
      <c r="BS339" s="110">
        <v>35</v>
      </c>
      <c r="BT339" s="110" t="s">
        <v>2347</v>
      </c>
      <c r="BU339" s="110" t="s">
        <v>1394</v>
      </c>
      <c r="BV339" s="110" t="s">
        <v>2603</v>
      </c>
      <c r="BW339" s="110">
        <v>1</v>
      </c>
      <c r="BZ339" s="110">
        <v>1.06E-2</v>
      </c>
      <c r="CB339" s="110">
        <v>65.391243450000005</v>
      </c>
      <c r="CC339" s="110" t="b">
        <v>0</v>
      </c>
      <c r="CD339" s="110">
        <v>69</v>
      </c>
      <c r="CE339" s="110">
        <v>0</v>
      </c>
      <c r="CF339" s="110" t="s">
        <v>246</v>
      </c>
      <c r="CG339" s="110" t="s">
        <v>174</v>
      </c>
      <c r="CH339" s="110" t="s">
        <v>1173</v>
      </c>
      <c r="CI339" s="110" t="s">
        <v>1168</v>
      </c>
    </row>
    <row r="340" spans="1:88">
      <c r="A340" s="110" t="s">
        <v>682</v>
      </c>
      <c r="B340" s="110">
        <v>66</v>
      </c>
      <c r="C340" s="110">
        <v>3</v>
      </c>
      <c r="D340" s="110">
        <v>3</v>
      </c>
      <c r="E340" s="110">
        <v>339</v>
      </c>
      <c r="F340" s="110">
        <v>1981</v>
      </c>
      <c r="G340" s="110" t="s">
        <v>161</v>
      </c>
      <c r="H340" s="110" t="s">
        <v>2437</v>
      </c>
      <c r="I340" s="110" t="s">
        <v>182</v>
      </c>
      <c r="J340" s="110" t="s">
        <v>246</v>
      </c>
      <c r="K340" s="110" t="s">
        <v>999</v>
      </c>
      <c r="L340" s="110" t="s">
        <v>999</v>
      </c>
      <c r="R340" s="110" t="s">
        <v>2611</v>
      </c>
      <c r="S340" s="110" t="s">
        <v>443</v>
      </c>
      <c r="T340" s="110" t="s">
        <v>983</v>
      </c>
      <c r="U340" s="110" t="s">
        <v>984</v>
      </c>
      <c r="V340" s="110">
        <v>62.162500000000001</v>
      </c>
      <c r="W340" s="110">
        <v>-62.162500000000001</v>
      </c>
      <c r="X340" s="110">
        <v>-58.462499999999999</v>
      </c>
      <c r="Y340" s="110" t="s">
        <v>538</v>
      </c>
      <c r="Z340" s="110" t="s">
        <v>797</v>
      </c>
      <c r="AA340" s="110" t="s">
        <v>424</v>
      </c>
      <c r="AB340" s="110" t="s">
        <v>333</v>
      </c>
      <c r="AC340" s="110" t="s">
        <v>246</v>
      </c>
      <c r="AD340" s="110" t="s">
        <v>333</v>
      </c>
      <c r="AE340" s="110" t="s">
        <v>218</v>
      </c>
      <c r="AF340" s="110" t="s">
        <v>190</v>
      </c>
      <c r="AG340" s="110">
        <v>25</v>
      </c>
      <c r="AI340" s="110" t="s">
        <v>246</v>
      </c>
      <c r="AJ340" s="110" t="s">
        <v>246</v>
      </c>
      <c r="AK340" s="110" t="s">
        <v>171</v>
      </c>
      <c r="AL340" s="110" t="s">
        <v>190</v>
      </c>
      <c r="AM340" s="110" t="s">
        <v>174</v>
      </c>
      <c r="AO340" s="110" t="s">
        <v>1766</v>
      </c>
      <c r="AP340" s="110" t="s">
        <v>190</v>
      </c>
      <c r="AQ340" s="110" t="s">
        <v>176</v>
      </c>
      <c r="AR340" s="110">
        <v>1979</v>
      </c>
      <c r="AT340" s="110" t="s">
        <v>420</v>
      </c>
      <c r="AU340" s="110" t="s">
        <v>174</v>
      </c>
      <c r="AX340" s="110" t="s">
        <v>174</v>
      </c>
      <c r="AY340" s="110" t="s">
        <v>174</v>
      </c>
      <c r="AZ340" s="110" t="s">
        <v>174</v>
      </c>
      <c r="BA340" s="110" t="s">
        <v>1766</v>
      </c>
      <c r="BB340" s="110" t="s">
        <v>1766</v>
      </c>
      <c r="BE340" s="110" t="s">
        <v>182</v>
      </c>
      <c r="BF340" s="110" t="s">
        <v>412</v>
      </c>
      <c r="BH340" s="110" t="s">
        <v>174</v>
      </c>
      <c r="BI340" s="110" t="s">
        <v>182</v>
      </c>
      <c r="BJ340" s="110" t="s">
        <v>412</v>
      </c>
      <c r="BK340" s="110" t="s">
        <v>1766</v>
      </c>
      <c r="BL340" s="110">
        <v>7</v>
      </c>
      <c r="BM340" s="110" t="s">
        <v>1394</v>
      </c>
      <c r="BN340" s="110" t="s">
        <v>174</v>
      </c>
      <c r="BO340" s="110" t="s">
        <v>174</v>
      </c>
      <c r="BP340" s="110" t="s">
        <v>174</v>
      </c>
      <c r="BQ340" s="110" t="s">
        <v>174</v>
      </c>
      <c r="BR340" s="110" t="s">
        <v>174</v>
      </c>
      <c r="BS340" s="110">
        <v>52</v>
      </c>
      <c r="BT340" s="110" t="s">
        <v>1396</v>
      </c>
      <c r="BU340" s="110" t="s">
        <v>1396</v>
      </c>
      <c r="BV340" s="110" t="s">
        <v>1396</v>
      </c>
      <c r="BW340" s="110">
        <v>0.99</v>
      </c>
      <c r="CA340" s="110">
        <v>0.1361</v>
      </c>
      <c r="CB340" s="110">
        <v>367.37692870000001</v>
      </c>
      <c r="CC340" s="110" t="b">
        <v>1</v>
      </c>
      <c r="CD340" s="110">
        <v>93</v>
      </c>
      <c r="CE340" s="110">
        <v>0</v>
      </c>
      <c r="CF340" s="110" t="s">
        <v>246</v>
      </c>
      <c r="CG340" s="110">
        <v>734.75385749999998</v>
      </c>
      <c r="CH340" s="110" t="s">
        <v>1171</v>
      </c>
      <c r="CI340" s="110" t="s">
        <v>1168</v>
      </c>
    </row>
    <row r="341" spans="1:88">
      <c r="A341" s="110" t="s">
        <v>682</v>
      </c>
      <c r="B341" s="110">
        <v>66</v>
      </c>
      <c r="C341" s="110">
        <v>3</v>
      </c>
      <c r="D341" s="110">
        <v>3</v>
      </c>
      <c r="E341" s="110">
        <v>340</v>
      </c>
      <c r="F341" s="110">
        <v>1981</v>
      </c>
      <c r="G341" s="110" t="s">
        <v>161</v>
      </c>
      <c r="H341" s="110" t="s">
        <v>2437</v>
      </c>
      <c r="I341" s="110" t="s">
        <v>182</v>
      </c>
      <c r="J341" s="110" t="s">
        <v>246</v>
      </c>
      <c r="K341" s="110" t="s">
        <v>999</v>
      </c>
      <c r="L341" s="110" t="s">
        <v>999</v>
      </c>
      <c r="R341" s="110" t="s">
        <v>2611</v>
      </c>
      <c r="S341" s="110" t="s">
        <v>443</v>
      </c>
      <c r="T341" s="110" t="s">
        <v>983</v>
      </c>
      <c r="U341" s="110" t="s">
        <v>984</v>
      </c>
      <c r="V341" s="110">
        <v>62.162500000000001</v>
      </c>
      <c r="W341" s="110">
        <v>-62.162500000000001</v>
      </c>
      <c r="X341" s="110">
        <v>-58.462499999999999</v>
      </c>
      <c r="Y341" s="110" t="s">
        <v>538</v>
      </c>
      <c r="Z341" s="110" t="s">
        <v>797</v>
      </c>
      <c r="AA341" s="110" t="s">
        <v>424</v>
      </c>
      <c r="AB341" s="110" t="s">
        <v>333</v>
      </c>
      <c r="AC341" s="110" t="s">
        <v>246</v>
      </c>
      <c r="AD341" s="110" t="s">
        <v>333</v>
      </c>
      <c r="AE341" s="110" t="s">
        <v>1306</v>
      </c>
      <c r="AF341" s="110" t="s">
        <v>1789</v>
      </c>
      <c r="AH341" s="110" t="s">
        <v>1774</v>
      </c>
      <c r="AI341" s="110" t="s">
        <v>246</v>
      </c>
      <c r="AJ341" s="110" t="s">
        <v>246</v>
      </c>
      <c r="AK341" s="110" t="s">
        <v>171</v>
      </c>
      <c r="AL341" s="110" t="s">
        <v>190</v>
      </c>
      <c r="AM341" s="110" t="s">
        <v>174</v>
      </c>
      <c r="AO341" s="110" t="s">
        <v>1766</v>
      </c>
      <c r="AP341" s="110" t="s">
        <v>190</v>
      </c>
      <c r="AQ341" s="110" t="s">
        <v>176</v>
      </c>
      <c r="AR341" s="110">
        <v>1979</v>
      </c>
      <c r="AT341" s="110" t="s">
        <v>420</v>
      </c>
      <c r="AU341" s="110" t="s">
        <v>174</v>
      </c>
      <c r="AX341" s="110" t="s">
        <v>174</v>
      </c>
      <c r="AY341" s="110" t="s">
        <v>174</v>
      </c>
      <c r="AZ341" s="110" t="s">
        <v>174</v>
      </c>
      <c r="BA341" s="110" t="s">
        <v>1766</v>
      </c>
      <c r="BB341" s="110" t="s">
        <v>1766</v>
      </c>
      <c r="BE341" s="110" t="s">
        <v>182</v>
      </c>
      <c r="BF341" s="110" t="s">
        <v>412</v>
      </c>
      <c r="BH341" s="110" t="s">
        <v>174</v>
      </c>
      <c r="BI341" s="110" t="s">
        <v>182</v>
      </c>
      <c r="BJ341" s="110" t="s">
        <v>412</v>
      </c>
      <c r="BK341" s="110" t="s">
        <v>1766</v>
      </c>
      <c r="BL341" s="110">
        <v>7</v>
      </c>
      <c r="BM341" s="110" t="s">
        <v>1394</v>
      </c>
      <c r="BN341" s="110" t="s">
        <v>174</v>
      </c>
      <c r="BO341" s="110" t="s">
        <v>174</v>
      </c>
      <c r="BP341" s="110" t="s">
        <v>174</v>
      </c>
      <c r="BQ341" s="110" t="s">
        <v>174</v>
      </c>
      <c r="BR341" s="110" t="s">
        <v>174</v>
      </c>
      <c r="BS341" s="110">
        <v>52</v>
      </c>
      <c r="BT341" s="110" t="s">
        <v>2347</v>
      </c>
      <c r="BU341" s="110" t="s">
        <v>1394</v>
      </c>
      <c r="BV341" s="110" t="s">
        <v>2603</v>
      </c>
      <c r="BW341" s="110">
        <v>0.997</v>
      </c>
      <c r="BZ341" s="110">
        <v>2.9899999999999999E-2</v>
      </c>
      <c r="CB341" s="110">
        <v>23.182179949999998</v>
      </c>
      <c r="CC341" s="110" t="b">
        <v>0</v>
      </c>
      <c r="CD341" s="110">
        <v>21</v>
      </c>
      <c r="CE341" s="110">
        <v>0</v>
      </c>
      <c r="CF341" s="110" t="s">
        <v>246</v>
      </c>
      <c r="CG341" s="110" t="s">
        <v>174</v>
      </c>
      <c r="CH341" s="110" t="s">
        <v>1174</v>
      </c>
      <c r="CI341" s="110" t="s">
        <v>1168</v>
      </c>
    </row>
    <row r="342" spans="1:88">
      <c r="A342" s="110" t="s">
        <v>682</v>
      </c>
      <c r="B342" s="110">
        <v>66</v>
      </c>
      <c r="C342" s="110">
        <v>3</v>
      </c>
      <c r="D342" s="110">
        <v>3</v>
      </c>
      <c r="E342" s="110">
        <v>341</v>
      </c>
      <c r="F342" s="110">
        <v>1981</v>
      </c>
      <c r="G342" s="110" t="s">
        <v>161</v>
      </c>
      <c r="H342" s="110" t="s">
        <v>2437</v>
      </c>
      <c r="I342" s="110" t="s">
        <v>182</v>
      </c>
      <c r="J342" s="110" t="s">
        <v>246</v>
      </c>
      <c r="K342" s="110" t="s">
        <v>999</v>
      </c>
      <c r="L342" s="110" t="s">
        <v>999</v>
      </c>
      <c r="R342" s="110" t="s">
        <v>2611</v>
      </c>
      <c r="S342" s="110" t="s">
        <v>443</v>
      </c>
      <c r="T342" s="110" t="s">
        <v>983</v>
      </c>
      <c r="U342" s="110" t="s">
        <v>984</v>
      </c>
      <c r="V342" s="110">
        <v>62.162500000000001</v>
      </c>
      <c r="W342" s="110">
        <v>-62.162500000000001</v>
      </c>
      <c r="X342" s="110">
        <v>-58.462499999999999</v>
      </c>
      <c r="Y342" s="110" t="s">
        <v>538</v>
      </c>
      <c r="Z342" s="110" t="s">
        <v>797</v>
      </c>
      <c r="AA342" s="110" t="s">
        <v>424</v>
      </c>
      <c r="AB342" s="110" t="s">
        <v>333</v>
      </c>
      <c r="AC342" s="110" t="s">
        <v>246</v>
      </c>
      <c r="AD342" s="110" t="s">
        <v>333</v>
      </c>
      <c r="AE342" s="110" t="s">
        <v>218</v>
      </c>
      <c r="AF342" s="110" t="s">
        <v>190</v>
      </c>
      <c r="AG342" s="110">
        <v>25</v>
      </c>
      <c r="AI342" s="110" t="s">
        <v>246</v>
      </c>
      <c r="AJ342" s="110" t="s">
        <v>246</v>
      </c>
      <c r="AK342" s="110" t="s">
        <v>171</v>
      </c>
      <c r="AL342" s="110" t="s">
        <v>190</v>
      </c>
      <c r="AM342" s="110" t="s">
        <v>174</v>
      </c>
      <c r="AO342" s="110" t="s">
        <v>1766</v>
      </c>
      <c r="AP342" s="110" t="s">
        <v>190</v>
      </c>
      <c r="AQ342" s="110" t="s">
        <v>176</v>
      </c>
      <c r="AR342" s="110">
        <v>1979</v>
      </c>
      <c r="AT342" s="110" t="s">
        <v>254</v>
      </c>
      <c r="AU342" s="110" t="s">
        <v>174</v>
      </c>
      <c r="AX342" s="110" t="s">
        <v>174</v>
      </c>
      <c r="AY342" s="110" t="s">
        <v>174</v>
      </c>
      <c r="AZ342" s="110" t="s">
        <v>174</v>
      </c>
      <c r="BA342" s="110" t="s">
        <v>1766</v>
      </c>
      <c r="BB342" s="110" t="s">
        <v>1766</v>
      </c>
      <c r="BE342" s="110" t="s">
        <v>182</v>
      </c>
      <c r="BF342" s="110" t="s">
        <v>412</v>
      </c>
      <c r="BH342" s="110" t="s">
        <v>174</v>
      </c>
      <c r="BI342" s="110" t="s">
        <v>182</v>
      </c>
      <c r="BJ342" s="110" t="s">
        <v>412</v>
      </c>
      <c r="BK342" s="110" t="s">
        <v>1766</v>
      </c>
      <c r="BL342" s="110">
        <v>5</v>
      </c>
      <c r="BM342" s="110" t="s">
        <v>1394</v>
      </c>
      <c r="BN342" s="110" t="s">
        <v>174</v>
      </c>
      <c r="BO342" s="110" t="s">
        <v>174</v>
      </c>
      <c r="BP342" s="110" t="s">
        <v>174</v>
      </c>
      <c r="BQ342" s="110" t="s">
        <v>174</v>
      </c>
      <c r="BR342" s="110" t="s">
        <v>174</v>
      </c>
      <c r="BS342" s="110">
        <v>52</v>
      </c>
      <c r="BT342" s="110" t="s">
        <v>2347</v>
      </c>
      <c r="BU342" s="110" t="s">
        <v>1394</v>
      </c>
      <c r="BV342" s="110" t="s">
        <v>2603</v>
      </c>
      <c r="BW342" s="110">
        <v>0.997</v>
      </c>
      <c r="BZ342" s="110">
        <v>4.4000000000000003E-3</v>
      </c>
      <c r="CB342" s="110">
        <v>157.53345010000001</v>
      </c>
      <c r="CC342" s="110" t="b">
        <v>0</v>
      </c>
      <c r="CD342" s="110">
        <v>79</v>
      </c>
      <c r="CE342" s="110">
        <v>0</v>
      </c>
      <c r="CF342" s="110" t="s">
        <v>246</v>
      </c>
      <c r="CG342" s="110" t="s">
        <v>174</v>
      </c>
      <c r="CH342" s="110" t="s">
        <v>1169</v>
      </c>
      <c r="CI342" s="110" t="s">
        <v>1168</v>
      </c>
      <c r="CJ342" s="110" t="s">
        <v>1254</v>
      </c>
    </row>
    <row r="343" spans="1:88">
      <c r="A343" s="110" t="s">
        <v>682</v>
      </c>
      <c r="B343" s="110">
        <v>66</v>
      </c>
      <c r="C343" s="110">
        <v>3</v>
      </c>
      <c r="D343" s="110">
        <v>3</v>
      </c>
      <c r="E343" s="110">
        <v>342</v>
      </c>
      <c r="F343" s="110">
        <v>1981</v>
      </c>
      <c r="G343" s="110" t="s">
        <v>161</v>
      </c>
      <c r="H343" s="110" t="s">
        <v>2437</v>
      </c>
      <c r="I343" s="110" t="s">
        <v>182</v>
      </c>
      <c r="J343" s="110" t="s">
        <v>246</v>
      </c>
      <c r="K343" s="110" t="s">
        <v>999</v>
      </c>
      <c r="L343" s="110" t="s">
        <v>999</v>
      </c>
      <c r="R343" s="110" t="s">
        <v>2611</v>
      </c>
      <c r="S343" s="110" t="s">
        <v>443</v>
      </c>
      <c r="T343" s="110" t="s">
        <v>983</v>
      </c>
      <c r="U343" s="110" t="s">
        <v>984</v>
      </c>
      <c r="V343" s="110">
        <v>62.162500000000001</v>
      </c>
      <c r="W343" s="110">
        <v>-62.162500000000001</v>
      </c>
      <c r="X343" s="110">
        <v>-58.462499999999999</v>
      </c>
      <c r="Y343" s="110" t="s">
        <v>538</v>
      </c>
      <c r="Z343" s="110" t="s">
        <v>797</v>
      </c>
      <c r="AA343" s="110" t="s">
        <v>424</v>
      </c>
      <c r="AB343" s="110" t="s">
        <v>333</v>
      </c>
      <c r="AC343" s="110" t="s">
        <v>246</v>
      </c>
      <c r="AD343" s="110" t="s">
        <v>333</v>
      </c>
      <c r="AE343" s="110" t="s">
        <v>1306</v>
      </c>
      <c r="AF343" s="110" t="s">
        <v>1789</v>
      </c>
      <c r="AH343" s="110" t="s">
        <v>1774</v>
      </c>
      <c r="AI343" s="110" t="s">
        <v>246</v>
      </c>
      <c r="AJ343" s="110" t="s">
        <v>246</v>
      </c>
      <c r="AK343" s="110" t="s">
        <v>171</v>
      </c>
      <c r="AL343" s="110" t="s">
        <v>190</v>
      </c>
      <c r="AM343" s="110" t="s">
        <v>174</v>
      </c>
      <c r="AO343" s="110" t="s">
        <v>1766</v>
      </c>
      <c r="AP343" s="110" t="s">
        <v>190</v>
      </c>
      <c r="AQ343" s="110" t="s">
        <v>176</v>
      </c>
      <c r="AR343" s="110">
        <v>1979</v>
      </c>
      <c r="AT343" s="110" t="s">
        <v>254</v>
      </c>
      <c r="AU343" s="110" t="s">
        <v>174</v>
      </c>
      <c r="AX343" s="110" t="s">
        <v>174</v>
      </c>
      <c r="AY343" s="110" t="s">
        <v>174</v>
      </c>
      <c r="AZ343" s="110" t="s">
        <v>174</v>
      </c>
      <c r="BA343" s="110" t="s">
        <v>1766</v>
      </c>
      <c r="BB343" s="110" t="s">
        <v>1766</v>
      </c>
      <c r="BE343" s="110" t="s">
        <v>182</v>
      </c>
      <c r="BF343" s="110" t="s">
        <v>412</v>
      </c>
      <c r="BH343" s="110" t="s">
        <v>174</v>
      </c>
      <c r="BI343" s="110" t="s">
        <v>182</v>
      </c>
      <c r="BJ343" s="110" t="s">
        <v>412</v>
      </c>
      <c r="BK343" s="110" t="s">
        <v>1766</v>
      </c>
      <c r="BL343" s="110">
        <v>9</v>
      </c>
      <c r="BM343" s="110" t="s">
        <v>1394</v>
      </c>
      <c r="BN343" s="110" t="s">
        <v>174</v>
      </c>
      <c r="BO343" s="110" t="s">
        <v>174</v>
      </c>
      <c r="BP343" s="110" t="s">
        <v>174</v>
      </c>
      <c r="BQ343" s="110" t="s">
        <v>174</v>
      </c>
      <c r="BR343" s="110" t="s">
        <v>174</v>
      </c>
      <c r="BS343" s="110">
        <v>52</v>
      </c>
      <c r="BT343" s="110" t="s">
        <v>2347</v>
      </c>
      <c r="BU343" s="110" t="s">
        <v>1394</v>
      </c>
      <c r="BV343" s="110" t="s">
        <v>2603</v>
      </c>
      <c r="BW343" s="110">
        <v>1</v>
      </c>
      <c r="BZ343" s="110">
        <v>1.1599999999999999E-2</v>
      </c>
      <c r="CB343" s="110">
        <v>59.754067290000002</v>
      </c>
      <c r="CC343" s="110" t="b">
        <v>0</v>
      </c>
      <c r="CD343" s="110">
        <v>55</v>
      </c>
      <c r="CE343" s="110">
        <v>0</v>
      </c>
      <c r="CF343" s="110" t="s">
        <v>246</v>
      </c>
      <c r="CG343" s="110" t="s">
        <v>174</v>
      </c>
      <c r="CH343" s="110" t="s">
        <v>1172</v>
      </c>
      <c r="CI343" s="110" t="s">
        <v>1168</v>
      </c>
      <c r="CJ343" s="110" t="s">
        <v>1254</v>
      </c>
    </row>
    <row r="344" spans="1:88">
      <c r="A344" s="110" t="s">
        <v>682</v>
      </c>
      <c r="B344" s="110">
        <v>66</v>
      </c>
      <c r="C344" s="110">
        <v>3</v>
      </c>
      <c r="D344" s="110">
        <v>3</v>
      </c>
      <c r="E344" s="110">
        <v>343</v>
      </c>
      <c r="F344" s="110">
        <v>1981</v>
      </c>
      <c r="G344" s="110" t="s">
        <v>161</v>
      </c>
      <c r="H344" s="110" t="s">
        <v>2437</v>
      </c>
      <c r="I344" s="110" t="s">
        <v>182</v>
      </c>
      <c r="J344" s="110" t="s">
        <v>246</v>
      </c>
      <c r="K344" s="110" t="s">
        <v>999</v>
      </c>
      <c r="L344" s="110" t="s">
        <v>999</v>
      </c>
      <c r="R344" s="110" t="s">
        <v>2611</v>
      </c>
      <c r="S344" s="110" t="s">
        <v>443</v>
      </c>
      <c r="T344" s="110" t="s">
        <v>983</v>
      </c>
      <c r="U344" s="110" t="s">
        <v>984</v>
      </c>
      <c r="V344" s="110">
        <v>62.162500000000001</v>
      </c>
      <c r="W344" s="110">
        <v>-62.162500000000001</v>
      </c>
      <c r="X344" s="110">
        <v>-58.462499999999999</v>
      </c>
      <c r="Y344" s="110" t="s">
        <v>538</v>
      </c>
      <c r="Z344" s="110" t="s">
        <v>797</v>
      </c>
      <c r="AA344" s="110" t="s">
        <v>424</v>
      </c>
      <c r="AB344" s="110" t="s">
        <v>333</v>
      </c>
      <c r="AC344" s="110" t="s">
        <v>246</v>
      </c>
      <c r="AD344" s="110" t="s">
        <v>333</v>
      </c>
      <c r="AE344" s="110" t="s">
        <v>218</v>
      </c>
      <c r="AF344" s="110" t="s">
        <v>190</v>
      </c>
      <c r="AG344" s="110">
        <v>25</v>
      </c>
      <c r="AI344" s="110" t="s">
        <v>246</v>
      </c>
      <c r="AJ344" s="110" t="s">
        <v>246</v>
      </c>
      <c r="AK344" s="110" t="s">
        <v>171</v>
      </c>
      <c r="AL344" s="110" t="s">
        <v>190</v>
      </c>
      <c r="AM344" s="110" t="s">
        <v>174</v>
      </c>
      <c r="AO344" s="110" t="s">
        <v>1766</v>
      </c>
      <c r="AP344" s="110" t="s">
        <v>190</v>
      </c>
      <c r="AQ344" s="110" t="s">
        <v>176</v>
      </c>
      <c r="AR344" s="110">
        <v>1979</v>
      </c>
      <c r="AT344" s="110" t="s">
        <v>298</v>
      </c>
      <c r="AU344" s="110" t="s">
        <v>174</v>
      </c>
      <c r="AX344" s="110" t="s">
        <v>174</v>
      </c>
      <c r="AY344" s="110" t="s">
        <v>174</v>
      </c>
      <c r="AZ344" s="110" t="s">
        <v>174</v>
      </c>
      <c r="BA344" s="110" t="s">
        <v>1766</v>
      </c>
      <c r="BB344" s="110" t="s">
        <v>1766</v>
      </c>
      <c r="BE344" s="110" t="s">
        <v>182</v>
      </c>
      <c r="BF344" s="110" t="s">
        <v>412</v>
      </c>
      <c r="BH344" s="110" t="s">
        <v>174</v>
      </c>
      <c r="BI344" s="110" t="s">
        <v>182</v>
      </c>
      <c r="BJ344" s="110" t="s">
        <v>412</v>
      </c>
      <c r="BK344" s="110" t="s">
        <v>1766</v>
      </c>
      <c r="BL344" s="110">
        <v>8</v>
      </c>
      <c r="BM344" s="110" t="s">
        <v>1394</v>
      </c>
      <c r="BN344" s="110" t="s">
        <v>174</v>
      </c>
      <c r="BO344" s="110" t="s">
        <v>174</v>
      </c>
      <c r="BP344" s="110" t="s">
        <v>174</v>
      </c>
      <c r="BQ344" s="110" t="s">
        <v>174</v>
      </c>
      <c r="BR344" s="110" t="s">
        <v>174</v>
      </c>
      <c r="BS344" s="110">
        <v>50</v>
      </c>
      <c r="BT344" s="110" t="s">
        <v>1396</v>
      </c>
      <c r="BU344" s="110" t="s">
        <v>1396</v>
      </c>
      <c r="BV344" s="110" t="s">
        <v>1396</v>
      </c>
      <c r="BW344" s="110">
        <v>0.99</v>
      </c>
      <c r="CA344" s="110">
        <v>0.22509999999999999</v>
      </c>
      <c r="CB344" s="110">
        <v>222.12350069999999</v>
      </c>
      <c r="CC344" s="110" t="b">
        <v>1</v>
      </c>
      <c r="CD344" s="110">
        <v>88</v>
      </c>
      <c r="CE344" s="110">
        <v>0</v>
      </c>
      <c r="CF344" s="110" t="s">
        <v>246</v>
      </c>
      <c r="CG344" s="110">
        <v>444.24700130000002</v>
      </c>
      <c r="CH344" s="110" t="s">
        <v>1170</v>
      </c>
      <c r="CI344" s="110" t="s">
        <v>1168</v>
      </c>
      <c r="CJ344" s="110" t="s">
        <v>1254</v>
      </c>
    </row>
    <row r="345" spans="1:88">
      <c r="A345" s="110" t="s">
        <v>682</v>
      </c>
      <c r="B345" s="110">
        <v>66</v>
      </c>
      <c r="C345" s="110">
        <v>3</v>
      </c>
      <c r="D345" s="110">
        <v>3</v>
      </c>
      <c r="E345" s="110">
        <v>344</v>
      </c>
      <c r="F345" s="110">
        <v>1981</v>
      </c>
      <c r="G345" s="110" t="s">
        <v>161</v>
      </c>
      <c r="H345" s="110" t="s">
        <v>2437</v>
      </c>
      <c r="I345" s="110" t="s">
        <v>182</v>
      </c>
      <c r="J345" s="110" t="s">
        <v>246</v>
      </c>
      <c r="K345" s="110" t="s">
        <v>999</v>
      </c>
      <c r="L345" s="110" t="s">
        <v>999</v>
      </c>
      <c r="R345" s="110" t="s">
        <v>2611</v>
      </c>
      <c r="S345" s="110" t="s">
        <v>443</v>
      </c>
      <c r="T345" s="110" t="s">
        <v>983</v>
      </c>
      <c r="U345" s="110" t="s">
        <v>984</v>
      </c>
      <c r="V345" s="110">
        <v>62.162500000000001</v>
      </c>
      <c r="W345" s="110">
        <v>-62.162500000000001</v>
      </c>
      <c r="X345" s="110">
        <v>-58.462499999999999</v>
      </c>
      <c r="Y345" s="110" t="s">
        <v>538</v>
      </c>
      <c r="Z345" s="110" t="s">
        <v>797</v>
      </c>
      <c r="AA345" s="110" t="s">
        <v>424</v>
      </c>
      <c r="AB345" s="110" t="s">
        <v>333</v>
      </c>
      <c r="AC345" s="110" t="s">
        <v>246</v>
      </c>
      <c r="AD345" s="110" t="s">
        <v>333</v>
      </c>
      <c r="AE345" s="110" t="s">
        <v>1306</v>
      </c>
      <c r="AF345" s="110" t="s">
        <v>1789</v>
      </c>
      <c r="AH345" s="110" t="s">
        <v>1774</v>
      </c>
      <c r="AI345" s="110" t="s">
        <v>246</v>
      </c>
      <c r="AJ345" s="110" t="s">
        <v>246</v>
      </c>
      <c r="AK345" s="110" t="s">
        <v>171</v>
      </c>
      <c r="AL345" s="110" t="s">
        <v>190</v>
      </c>
      <c r="AM345" s="110" t="s">
        <v>174</v>
      </c>
      <c r="AO345" s="110" t="s">
        <v>1766</v>
      </c>
      <c r="AP345" s="110" t="s">
        <v>190</v>
      </c>
      <c r="AQ345" s="110" t="s">
        <v>176</v>
      </c>
      <c r="AR345" s="110">
        <v>1979</v>
      </c>
      <c r="AT345" s="110" t="s">
        <v>298</v>
      </c>
      <c r="AU345" s="110" t="s">
        <v>174</v>
      </c>
      <c r="AX345" s="110" t="s">
        <v>174</v>
      </c>
      <c r="AY345" s="110" t="s">
        <v>174</v>
      </c>
      <c r="AZ345" s="110" t="s">
        <v>174</v>
      </c>
      <c r="BA345" s="110" t="s">
        <v>1766</v>
      </c>
      <c r="BB345" s="110" t="s">
        <v>1766</v>
      </c>
      <c r="BE345" s="110" t="s">
        <v>182</v>
      </c>
      <c r="BF345" s="110" t="s">
        <v>412</v>
      </c>
      <c r="BH345" s="110" t="s">
        <v>174</v>
      </c>
      <c r="BI345" s="110" t="s">
        <v>182</v>
      </c>
      <c r="BJ345" s="110" t="s">
        <v>412</v>
      </c>
      <c r="BK345" s="110" t="s">
        <v>1766</v>
      </c>
      <c r="BL345" s="110">
        <v>8</v>
      </c>
      <c r="BM345" s="110" t="s">
        <v>1394</v>
      </c>
      <c r="BN345" s="110" t="s">
        <v>174</v>
      </c>
      <c r="BO345" s="110" t="s">
        <v>174</v>
      </c>
      <c r="BP345" s="110" t="s">
        <v>174</v>
      </c>
      <c r="BQ345" s="110" t="s">
        <v>174</v>
      </c>
      <c r="BR345" s="110" t="s">
        <v>174</v>
      </c>
      <c r="BS345" s="110">
        <v>50</v>
      </c>
      <c r="BT345" s="110" t="s">
        <v>2347</v>
      </c>
      <c r="BU345" s="110" t="s">
        <v>1394</v>
      </c>
      <c r="BV345" s="110" t="s">
        <v>2603</v>
      </c>
      <c r="BW345" s="110">
        <v>1</v>
      </c>
      <c r="BZ345" s="110">
        <v>2.6700000000000002E-2</v>
      </c>
      <c r="CB345" s="110">
        <v>25.960568559999999</v>
      </c>
      <c r="CC345" s="110" t="b">
        <v>0</v>
      </c>
      <c r="CD345" s="110">
        <v>39</v>
      </c>
      <c r="CE345" s="110">
        <v>0</v>
      </c>
      <c r="CF345" s="110" t="s">
        <v>246</v>
      </c>
      <c r="CG345" s="110" t="s">
        <v>174</v>
      </c>
      <c r="CH345" s="110" t="s">
        <v>1173</v>
      </c>
      <c r="CI345" s="110" t="s">
        <v>1168</v>
      </c>
      <c r="CJ345" s="110" t="s">
        <v>1254</v>
      </c>
    </row>
    <row r="346" spans="1:88">
      <c r="A346" s="110" t="s">
        <v>1819</v>
      </c>
      <c r="B346" s="110">
        <v>67</v>
      </c>
      <c r="C346" s="110">
        <v>1</v>
      </c>
      <c r="D346" s="110">
        <v>1</v>
      </c>
      <c r="E346" s="110">
        <v>346</v>
      </c>
      <c r="F346" s="110">
        <v>2023</v>
      </c>
      <c r="G346" s="110" t="s">
        <v>187</v>
      </c>
      <c r="H346" s="110" t="s">
        <v>2441</v>
      </c>
      <c r="I346" s="110" t="s">
        <v>246</v>
      </c>
      <c r="J346" s="110" t="s">
        <v>182</v>
      </c>
      <c r="K346" s="110" t="s">
        <v>186</v>
      </c>
      <c r="L346" s="110" t="s">
        <v>186</v>
      </c>
      <c r="M346" s="110" t="s">
        <v>3161</v>
      </c>
      <c r="Q346" s="110">
        <v>0.22</v>
      </c>
      <c r="R346" s="110" t="s">
        <v>152</v>
      </c>
      <c r="S346" s="110" t="s">
        <v>443</v>
      </c>
      <c r="T346" s="110" t="s">
        <v>437</v>
      </c>
      <c r="U346" s="110" t="s">
        <v>438</v>
      </c>
      <c r="V346" s="110">
        <v>42.787833329999998</v>
      </c>
      <c r="W346" s="110">
        <v>-42.787833329999998</v>
      </c>
      <c r="X346" s="110">
        <v>-65.00744444</v>
      </c>
      <c r="Y346" s="110" t="s">
        <v>1867</v>
      </c>
      <c r="Z346" s="110" t="s">
        <v>827</v>
      </c>
      <c r="AA346" s="110" t="s">
        <v>424</v>
      </c>
      <c r="AB346" s="110" t="s">
        <v>333</v>
      </c>
      <c r="AC346" s="110" t="s">
        <v>246</v>
      </c>
      <c r="AD346" s="110" t="s">
        <v>333</v>
      </c>
      <c r="AE346" s="110" t="s">
        <v>187</v>
      </c>
      <c r="AF346" s="110" t="s">
        <v>1745</v>
      </c>
      <c r="AG346" s="110" t="s">
        <v>190</v>
      </c>
      <c r="AI346" s="110" t="s">
        <v>182</v>
      </c>
      <c r="AJ346" s="110" t="s">
        <v>182</v>
      </c>
      <c r="AK346" s="110" t="s">
        <v>439</v>
      </c>
      <c r="AL346" s="110" t="s">
        <v>1870</v>
      </c>
      <c r="AM346" s="110">
        <v>500</v>
      </c>
      <c r="AN346" s="110" t="s">
        <v>1216</v>
      </c>
      <c r="AP346" s="110">
        <v>314.99532879999998</v>
      </c>
      <c r="AQ346" s="110" t="s">
        <v>176</v>
      </c>
      <c r="AR346" s="110">
        <v>2019</v>
      </c>
      <c r="AS346" s="110" t="s">
        <v>743</v>
      </c>
      <c r="AT346" s="110" t="s">
        <v>420</v>
      </c>
      <c r="BA346" s="110">
        <v>13.5</v>
      </c>
      <c r="BB346" s="110">
        <v>13.5</v>
      </c>
      <c r="BC346" s="110">
        <v>13.5</v>
      </c>
      <c r="BD346" s="110">
        <v>0</v>
      </c>
      <c r="BE346" s="110" t="s">
        <v>246</v>
      </c>
      <c r="BF346" s="110" t="s">
        <v>188</v>
      </c>
      <c r="BG346" s="110">
        <v>0</v>
      </c>
      <c r="BI346" s="110" t="s">
        <v>246</v>
      </c>
      <c r="BJ346" s="110" t="s">
        <v>412</v>
      </c>
      <c r="BK346" s="110">
        <v>3</v>
      </c>
      <c r="BL346" s="110">
        <v>4</v>
      </c>
      <c r="BS346" s="110">
        <v>12</v>
      </c>
      <c r="BT346" s="110" t="s">
        <v>1387</v>
      </c>
      <c r="BU346" s="110" t="s">
        <v>2606</v>
      </c>
      <c r="BV346" s="110" t="s">
        <v>1387</v>
      </c>
      <c r="CB346" s="110" t="s">
        <v>190</v>
      </c>
      <c r="CC346" s="110" t="b">
        <v>0</v>
      </c>
      <c r="CD346" s="110">
        <v>259.0025182</v>
      </c>
      <c r="CE346" s="110" t="s">
        <v>2256</v>
      </c>
      <c r="CF346" s="110" t="s">
        <v>2256</v>
      </c>
      <c r="CH346" s="110" t="s">
        <v>2502</v>
      </c>
      <c r="CI346" s="110" t="s">
        <v>1874</v>
      </c>
      <c r="CJ346" s="110">
        <v>-12.464</v>
      </c>
    </row>
    <row r="347" spans="1:88">
      <c r="A347" s="110" t="s">
        <v>1819</v>
      </c>
      <c r="B347" s="110">
        <v>67</v>
      </c>
      <c r="C347" s="110">
        <v>1</v>
      </c>
      <c r="D347" s="110">
        <v>1</v>
      </c>
      <c r="E347" s="110">
        <v>345</v>
      </c>
      <c r="F347" s="110">
        <v>2023</v>
      </c>
      <c r="G347" s="110" t="s">
        <v>187</v>
      </c>
      <c r="H347" s="110" t="s">
        <v>2441</v>
      </c>
      <c r="I347" s="110" t="s">
        <v>246</v>
      </c>
      <c r="J347" s="110" t="s">
        <v>182</v>
      </c>
      <c r="K347" s="110" t="s">
        <v>186</v>
      </c>
      <c r="L347" s="110" t="s">
        <v>186</v>
      </c>
      <c r="M347" s="110" t="s">
        <v>3161</v>
      </c>
      <c r="Q347" s="110">
        <v>0.22</v>
      </c>
      <c r="R347" s="110" t="s">
        <v>152</v>
      </c>
      <c r="S347" s="110" t="s">
        <v>443</v>
      </c>
      <c r="T347" s="110" t="s">
        <v>279</v>
      </c>
      <c r="U347" s="110" t="s">
        <v>280</v>
      </c>
      <c r="V347" s="110">
        <v>54.795138889999997</v>
      </c>
      <c r="W347" s="110">
        <v>-54.795138889999997</v>
      </c>
      <c r="X347" s="110">
        <v>-68.261888889999994</v>
      </c>
      <c r="Y347" s="110" t="s">
        <v>1867</v>
      </c>
      <c r="Z347" s="110" t="s">
        <v>797</v>
      </c>
      <c r="AA347" s="110" t="s">
        <v>424</v>
      </c>
      <c r="AB347" s="110" t="s">
        <v>333</v>
      </c>
      <c r="AC347" s="110" t="s">
        <v>246</v>
      </c>
      <c r="AD347" s="110" t="s">
        <v>333</v>
      </c>
      <c r="AE347" s="110" t="s">
        <v>187</v>
      </c>
      <c r="AF347" s="110" t="s">
        <v>1745</v>
      </c>
      <c r="AG347" s="110" t="s">
        <v>190</v>
      </c>
      <c r="AI347" s="110" t="s">
        <v>182</v>
      </c>
      <c r="AJ347" s="110" t="s">
        <v>182</v>
      </c>
      <c r="AK347" s="110" t="s">
        <v>439</v>
      </c>
      <c r="AL347" s="110" t="s">
        <v>1870</v>
      </c>
      <c r="AM347" s="110">
        <v>500</v>
      </c>
      <c r="AN347" s="110" t="s">
        <v>1216</v>
      </c>
      <c r="AP347" s="110">
        <v>733.28600830000005</v>
      </c>
      <c r="AQ347" s="110" t="s">
        <v>176</v>
      </c>
      <c r="AR347" s="110">
        <v>2019</v>
      </c>
      <c r="AS347" s="110" t="s">
        <v>236</v>
      </c>
      <c r="AT347" s="110" t="s">
        <v>385</v>
      </c>
      <c r="BA347" s="110">
        <v>13.5</v>
      </c>
      <c r="BB347" s="110">
        <v>13.5</v>
      </c>
      <c r="BC347" s="110">
        <v>13.5</v>
      </c>
      <c r="BD347" s="110">
        <v>0</v>
      </c>
      <c r="BE347" s="110" t="s">
        <v>246</v>
      </c>
      <c r="BF347" s="110" t="s">
        <v>188</v>
      </c>
      <c r="BG347" s="110">
        <v>0</v>
      </c>
      <c r="BI347" s="110" t="s">
        <v>246</v>
      </c>
      <c r="BJ347" s="110" t="s">
        <v>412</v>
      </c>
      <c r="BK347" s="110">
        <v>3</v>
      </c>
      <c r="BL347" s="110">
        <v>4</v>
      </c>
      <c r="BS347" s="110">
        <v>12</v>
      </c>
      <c r="BT347" s="110" t="s">
        <v>1396</v>
      </c>
      <c r="BU347" s="110" t="s">
        <v>1396</v>
      </c>
      <c r="BV347" s="110" t="s">
        <v>1396</v>
      </c>
      <c r="BW347" s="110">
        <v>0.99399999999999999</v>
      </c>
      <c r="CA347" s="110">
        <v>6.4203999999999999</v>
      </c>
      <c r="CB347" s="110">
        <v>7.78767678</v>
      </c>
      <c r="CC347" s="110" t="b">
        <v>0</v>
      </c>
      <c r="CD347" s="110">
        <v>24.615217273073352</v>
      </c>
      <c r="CE347" s="110" t="s">
        <v>2256</v>
      </c>
      <c r="CF347" s="110" t="s">
        <v>2256</v>
      </c>
      <c r="CG347" s="110">
        <v>15.57535356</v>
      </c>
      <c r="CH347" s="110" t="s">
        <v>2502</v>
      </c>
      <c r="CI347" s="110" t="s">
        <v>1874</v>
      </c>
    </row>
    <row r="348" spans="1:88">
      <c r="A348" s="110" t="s">
        <v>1823</v>
      </c>
      <c r="B348" s="110">
        <v>68</v>
      </c>
      <c r="C348" s="110">
        <v>1</v>
      </c>
      <c r="D348" s="110">
        <v>1</v>
      </c>
      <c r="E348" s="110">
        <v>347</v>
      </c>
      <c r="F348" s="110">
        <v>2023</v>
      </c>
      <c r="G348" s="110" t="s">
        <v>187</v>
      </c>
      <c r="H348" s="110" t="s">
        <v>2441</v>
      </c>
      <c r="I348" s="110" t="s">
        <v>182</v>
      </c>
      <c r="J348" s="110" t="s">
        <v>182</v>
      </c>
      <c r="K348" s="110" t="s">
        <v>999</v>
      </c>
      <c r="L348" s="110" t="s">
        <v>999</v>
      </c>
      <c r="R348" s="110" t="s">
        <v>152</v>
      </c>
      <c r="S348" s="110" t="s">
        <v>443</v>
      </c>
      <c r="T348" s="110" t="s">
        <v>347</v>
      </c>
      <c r="U348" s="110" t="s">
        <v>348</v>
      </c>
      <c r="V348" s="110">
        <v>30.26772222</v>
      </c>
      <c r="W348" s="110">
        <v>-30.26772222</v>
      </c>
      <c r="X348" s="110">
        <v>153.14449999999999</v>
      </c>
      <c r="Y348" s="110" t="s">
        <v>349</v>
      </c>
      <c r="Z348" s="110" t="s">
        <v>802</v>
      </c>
      <c r="AA348" s="110" t="s">
        <v>1788</v>
      </c>
      <c r="AB348" s="110" t="s">
        <v>1876</v>
      </c>
      <c r="AC348" s="110" t="s">
        <v>182</v>
      </c>
      <c r="AD348" s="110" t="s">
        <v>1256</v>
      </c>
      <c r="AE348" s="110" t="s">
        <v>1087</v>
      </c>
      <c r="AF348" s="110" t="s">
        <v>1745</v>
      </c>
      <c r="AG348" s="110" t="s">
        <v>190</v>
      </c>
      <c r="AI348" s="110" t="s">
        <v>182</v>
      </c>
      <c r="AJ348" s="110" t="s">
        <v>182</v>
      </c>
      <c r="AK348" s="110" t="s">
        <v>352</v>
      </c>
      <c r="AL348" s="110" t="s">
        <v>1875</v>
      </c>
      <c r="AM348" s="110">
        <v>25000</v>
      </c>
      <c r="AN348" s="110" t="s">
        <v>412</v>
      </c>
      <c r="AO348" s="110">
        <v>3.7999999999999999E-2</v>
      </c>
      <c r="AP348" s="110" t="s">
        <v>190</v>
      </c>
      <c r="AQ348" s="110" t="s">
        <v>176</v>
      </c>
      <c r="AR348" s="110" t="s">
        <v>1766</v>
      </c>
      <c r="AT348" s="110" t="s">
        <v>420</v>
      </c>
      <c r="AU348" s="110">
        <v>1</v>
      </c>
      <c r="AV348" s="110" t="s">
        <v>1255</v>
      </c>
      <c r="AW348" s="110">
        <v>30</v>
      </c>
      <c r="BA348" s="110">
        <v>25</v>
      </c>
      <c r="BB348" s="110">
        <v>40</v>
      </c>
      <c r="BC348" s="110">
        <v>32.5</v>
      </c>
      <c r="BD348" s="110">
        <v>15</v>
      </c>
      <c r="BE348" s="110" t="s">
        <v>182</v>
      </c>
      <c r="BF348" s="110" t="s">
        <v>412</v>
      </c>
      <c r="BI348" s="110" t="s">
        <v>182</v>
      </c>
      <c r="BJ348" s="110" t="s">
        <v>898</v>
      </c>
      <c r="BK348" s="110">
        <v>3</v>
      </c>
      <c r="BL348" s="110">
        <v>7</v>
      </c>
      <c r="BM348" s="110" t="s">
        <v>1461</v>
      </c>
      <c r="BQ348" s="110">
        <v>65</v>
      </c>
      <c r="BS348" s="110">
        <v>45</v>
      </c>
      <c r="BT348" s="110" t="s">
        <v>2347</v>
      </c>
      <c r="BU348" s="110" t="s">
        <v>1394</v>
      </c>
      <c r="BV348" s="110" t="s">
        <v>2603</v>
      </c>
      <c r="BW348" s="110">
        <v>0.96</v>
      </c>
      <c r="BZ348" s="110">
        <v>2.8000000000000001E-2</v>
      </c>
      <c r="CB348" s="110">
        <v>24.755256450000001</v>
      </c>
      <c r="CC348" s="110" t="b">
        <v>0</v>
      </c>
      <c r="CD348" s="110">
        <v>32.209129311966599</v>
      </c>
      <c r="CE348" s="110">
        <v>0</v>
      </c>
      <c r="CF348" s="110" t="s">
        <v>246</v>
      </c>
      <c r="CH348" s="110" t="s">
        <v>1886</v>
      </c>
      <c r="CI348" s="110" t="s">
        <v>1894</v>
      </c>
    </row>
    <row r="349" spans="1:88">
      <c r="A349" s="110" t="s">
        <v>1823</v>
      </c>
      <c r="B349" s="110">
        <v>68</v>
      </c>
      <c r="C349" s="110">
        <v>1</v>
      </c>
      <c r="D349" s="110">
        <v>1</v>
      </c>
      <c r="E349" s="110">
        <v>348</v>
      </c>
      <c r="F349" s="110">
        <v>2023</v>
      </c>
      <c r="G349" s="110" t="s">
        <v>187</v>
      </c>
      <c r="H349" s="110" t="s">
        <v>2441</v>
      </c>
      <c r="I349" s="110" t="s">
        <v>182</v>
      </c>
      <c r="J349" s="110" t="s">
        <v>182</v>
      </c>
      <c r="K349" s="110" t="s">
        <v>999</v>
      </c>
      <c r="L349" s="110" t="s">
        <v>999</v>
      </c>
      <c r="R349" s="110" t="s">
        <v>152</v>
      </c>
      <c r="S349" s="110" t="s">
        <v>443</v>
      </c>
      <c r="T349" s="110" t="s">
        <v>347</v>
      </c>
      <c r="U349" s="110" t="s">
        <v>348</v>
      </c>
      <c r="V349" s="110">
        <v>30.26772222</v>
      </c>
      <c r="W349" s="110">
        <v>-30.26772222</v>
      </c>
      <c r="X349" s="110">
        <v>153.14449999999999</v>
      </c>
      <c r="Y349" s="110" t="s">
        <v>349</v>
      </c>
      <c r="Z349" s="110" t="s">
        <v>802</v>
      </c>
      <c r="AA349" s="110" t="s">
        <v>1788</v>
      </c>
      <c r="AB349" s="110" t="s">
        <v>1876</v>
      </c>
      <c r="AC349" s="110" t="s">
        <v>182</v>
      </c>
      <c r="AD349" s="110" t="s">
        <v>1256</v>
      </c>
      <c r="AE349" s="110" t="s">
        <v>1087</v>
      </c>
      <c r="AF349" s="110" t="s">
        <v>1745</v>
      </c>
      <c r="AG349" s="110" t="s">
        <v>190</v>
      </c>
      <c r="AI349" s="110" t="s">
        <v>182</v>
      </c>
      <c r="AJ349" s="110" t="s">
        <v>182</v>
      </c>
      <c r="AK349" s="110" t="s">
        <v>352</v>
      </c>
      <c r="AL349" s="110" t="s">
        <v>1875</v>
      </c>
      <c r="AM349" s="110">
        <v>25000</v>
      </c>
      <c r="AN349" s="110" t="s">
        <v>412</v>
      </c>
      <c r="AO349" s="110">
        <v>3.7999999999999999E-2</v>
      </c>
      <c r="AP349" s="110" t="s">
        <v>190</v>
      </c>
      <c r="AQ349" s="110" t="s">
        <v>176</v>
      </c>
      <c r="AR349" s="110" t="s">
        <v>1766</v>
      </c>
      <c r="AT349" s="110" t="s">
        <v>420</v>
      </c>
      <c r="AU349" s="110">
        <v>1</v>
      </c>
      <c r="AV349" s="110" t="s">
        <v>1255</v>
      </c>
      <c r="AW349" s="110">
        <v>30</v>
      </c>
      <c r="BA349" s="110">
        <v>25</v>
      </c>
      <c r="BB349" s="110">
        <v>40</v>
      </c>
      <c r="BC349" s="110">
        <v>32.5</v>
      </c>
      <c r="BD349" s="110">
        <v>15</v>
      </c>
      <c r="BE349" s="110" t="s">
        <v>182</v>
      </c>
      <c r="BF349" s="110" t="s">
        <v>412</v>
      </c>
      <c r="BI349" s="110" t="s">
        <v>182</v>
      </c>
      <c r="BJ349" s="110" t="s">
        <v>898</v>
      </c>
      <c r="BK349" s="110">
        <v>3</v>
      </c>
      <c r="BL349" s="110">
        <v>7</v>
      </c>
      <c r="BM349" s="110" t="s">
        <v>1461</v>
      </c>
      <c r="BQ349" s="110">
        <v>15</v>
      </c>
      <c r="BS349" s="110">
        <v>45</v>
      </c>
      <c r="BT349" s="110" t="s">
        <v>1385</v>
      </c>
      <c r="BU349" s="110" t="s">
        <v>3207</v>
      </c>
      <c r="BV349" s="110" t="s">
        <v>2603</v>
      </c>
      <c r="BW349" s="110">
        <v>0.88929999999999998</v>
      </c>
      <c r="BZ349" s="110">
        <v>0.25940000000000002</v>
      </c>
      <c r="CB349" s="110" t="s">
        <v>190</v>
      </c>
      <c r="CC349" s="110" t="b">
        <v>0</v>
      </c>
      <c r="CD349" s="110">
        <v>78.040000000000006</v>
      </c>
      <c r="CE349" s="110">
        <v>78.040000000000006</v>
      </c>
      <c r="CF349" s="110" t="s">
        <v>182</v>
      </c>
      <c r="CH349" s="110" t="s">
        <v>1887</v>
      </c>
      <c r="CI349" s="110" t="s">
        <v>1894</v>
      </c>
    </row>
    <row r="350" spans="1:88">
      <c r="A350" s="110" t="s">
        <v>549</v>
      </c>
      <c r="B350" s="110">
        <v>69</v>
      </c>
      <c r="C350" s="110">
        <v>3</v>
      </c>
      <c r="D350" s="110">
        <v>1</v>
      </c>
      <c r="E350" s="110">
        <v>349</v>
      </c>
      <c r="F350" s="110">
        <v>2004</v>
      </c>
      <c r="G350" s="110" t="s">
        <v>187</v>
      </c>
      <c r="H350" s="110" t="s">
        <v>1219</v>
      </c>
      <c r="I350" s="110" t="s">
        <v>246</v>
      </c>
      <c r="J350" s="110" t="s">
        <v>246</v>
      </c>
      <c r="K350" s="110" t="s">
        <v>999</v>
      </c>
      <c r="L350" s="110" t="s">
        <v>999</v>
      </c>
      <c r="R350" s="110" t="s">
        <v>2606</v>
      </c>
      <c r="S350" s="110" t="s">
        <v>2606</v>
      </c>
      <c r="T350" s="110" t="s">
        <v>258</v>
      </c>
      <c r="U350" s="110" t="s">
        <v>174</v>
      </c>
      <c r="V350" s="110">
        <v>62.149659800000002</v>
      </c>
      <c r="W350" s="110">
        <v>-62.149659800000002</v>
      </c>
      <c r="X350" s="110">
        <v>-58.41941362</v>
      </c>
      <c r="Y350" s="110" t="s">
        <v>538</v>
      </c>
      <c r="Z350" s="110" t="s">
        <v>797</v>
      </c>
      <c r="AA350" s="110" t="s">
        <v>1788</v>
      </c>
      <c r="AB350" s="110" t="s">
        <v>333</v>
      </c>
      <c r="AC350" s="110" t="s">
        <v>246</v>
      </c>
      <c r="AD350" s="110" t="s">
        <v>333</v>
      </c>
      <c r="AE350" s="110" t="s">
        <v>187</v>
      </c>
      <c r="AF350" s="110" t="s">
        <v>190</v>
      </c>
      <c r="AG350" s="110" t="s">
        <v>190</v>
      </c>
      <c r="AI350" s="110" t="s">
        <v>246</v>
      </c>
      <c r="AJ350" s="110" t="s">
        <v>246</v>
      </c>
      <c r="AK350" s="110" t="s">
        <v>996</v>
      </c>
      <c r="AL350" s="110" t="s">
        <v>2512</v>
      </c>
      <c r="AM350" s="110" t="s">
        <v>997</v>
      </c>
      <c r="AN350" s="110" t="s">
        <v>2515</v>
      </c>
      <c r="AO350" s="110" t="s">
        <v>174</v>
      </c>
      <c r="AP350" s="110" t="s">
        <v>190</v>
      </c>
      <c r="AQ350" s="110" t="s">
        <v>176</v>
      </c>
      <c r="AR350" s="110">
        <v>2001</v>
      </c>
      <c r="AS350" s="110" t="s">
        <v>174</v>
      </c>
      <c r="AT350" s="110" t="s">
        <v>174</v>
      </c>
      <c r="AU350" s="110">
        <v>158</v>
      </c>
      <c r="AW350" s="110" t="s">
        <v>174</v>
      </c>
      <c r="AX350" s="110" t="s">
        <v>174</v>
      </c>
      <c r="AY350" s="110" t="s">
        <v>174</v>
      </c>
      <c r="AZ350" s="110" t="s">
        <v>174</v>
      </c>
      <c r="BA350" s="110">
        <v>4</v>
      </c>
      <c r="BB350" s="110">
        <v>4</v>
      </c>
      <c r="BC350" s="110">
        <v>4</v>
      </c>
      <c r="BD350" s="110">
        <v>0</v>
      </c>
      <c r="BE350" s="110" t="s">
        <v>246</v>
      </c>
      <c r="BF350" s="110" t="s">
        <v>188</v>
      </c>
      <c r="BG350" s="110">
        <v>0</v>
      </c>
      <c r="BH350" s="110" t="s">
        <v>190</v>
      </c>
      <c r="BI350" s="110" t="s">
        <v>246</v>
      </c>
      <c r="BJ350" s="110" t="s">
        <v>995</v>
      </c>
      <c r="BK350" s="110" t="s">
        <v>174</v>
      </c>
      <c r="BL350" s="110">
        <v>1</v>
      </c>
      <c r="BM350" s="110" t="s">
        <v>174</v>
      </c>
      <c r="BN350" s="110" t="s">
        <v>174</v>
      </c>
      <c r="BO350" s="110">
        <v>2.29</v>
      </c>
      <c r="BP350" s="110" t="s">
        <v>174</v>
      </c>
      <c r="BQ350" s="110" t="s">
        <v>174</v>
      </c>
      <c r="BR350" s="110" t="s">
        <v>174</v>
      </c>
      <c r="BS350" s="110">
        <v>22</v>
      </c>
      <c r="BT350" s="110" t="s">
        <v>2256</v>
      </c>
      <c r="BU350" s="110" t="s">
        <v>2606</v>
      </c>
      <c r="BV350" s="110" t="s">
        <v>2256</v>
      </c>
      <c r="CA350" s="110">
        <v>2.29</v>
      </c>
      <c r="CB350" s="110">
        <v>21.834061139999999</v>
      </c>
      <c r="CC350" s="110" t="b">
        <v>0</v>
      </c>
      <c r="CD350" s="110">
        <v>49.7</v>
      </c>
      <c r="CE350" s="110" t="s">
        <v>2256</v>
      </c>
      <c r="CF350" s="110" t="s">
        <v>2256</v>
      </c>
      <c r="CG350" s="110">
        <v>43.668122269999998</v>
      </c>
      <c r="CH350" s="110" t="s">
        <v>2553</v>
      </c>
      <c r="CI350" s="110" t="s">
        <v>998</v>
      </c>
      <c r="CJ350" s="110" t="s">
        <v>1000</v>
      </c>
    </row>
    <row r="351" spans="1:88">
      <c r="A351" s="110" t="s">
        <v>549</v>
      </c>
      <c r="B351" s="110">
        <v>69</v>
      </c>
      <c r="C351" s="110">
        <v>3</v>
      </c>
      <c r="D351" s="110">
        <v>1</v>
      </c>
      <c r="E351" s="110">
        <v>350</v>
      </c>
      <c r="F351" s="110">
        <v>2004</v>
      </c>
      <c r="G351" s="110" t="s">
        <v>187</v>
      </c>
      <c r="H351" s="110" t="s">
        <v>1219</v>
      </c>
      <c r="I351" s="110" t="s">
        <v>246</v>
      </c>
      <c r="J351" s="110" t="s">
        <v>246</v>
      </c>
      <c r="K351" s="110" t="s">
        <v>999</v>
      </c>
      <c r="L351" s="110" t="s">
        <v>999</v>
      </c>
      <c r="R351" s="110" t="s">
        <v>2611</v>
      </c>
      <c r="S351" s="110" t="s">
        <v>443</v>
      </c>
      <c r="T351" s="110" t="s">
        <v>983</v>
      </c>
      <c r="U351" s="110" t="s">
        <v>984</v>
      </c>
      <c r="V351" s="110">
        <v>62.149659800000002</v>
      </c>
      <c r="W351" s="110">
        <v>-62.149659800000002</v>
      </c>
      <c r="X351" s="110">
        <v>-58.41941362</v>
      </c>
      <c r="Y351" s="110" t="s">
        <v>538</v>
      </c>
      <c r="Z351" s="110" t="s">
        <v>797</v>
      </c>
      <c r="AA351" s="110" t="s">
        <v>1788</v>
      </c>
      <c r="AB351" s="110" t="s">
        <v>333</v>
      </c>
      <c r="AC351" s="110" t="s">
        <v>246</v>
      </c>
      <c r="AD351" s="110" t="s">
        <v>333</v>
      </c>
      <c r="AE351" s="110" t="s">
        <v>187</v>
      </c>
      <c r="AF351" s="110" t="s">
        <v>190</v>
      </c>
      <c r="AG351" s="110" t="s">
        <v>190</v>
      </c>
      <c r="AI351" s="110" t="s">
        <v>246</v>
      </c>
      <c r="AJ351" s="110" t="s">
        <v>246</v>
      </c>
      <c r="AK351" s="110" t="s">
        <v>996</v>
      </c>
      <c r="AL351" s="110" t="s">
        <v>2512</v>
      </c>
      <c r="AM351" s="110" t="s">
        <v>997</v>
      </c>
      <c r="AN351" s="110" t="s">
        <v>2515</v>
      </c>
      <c r="AO351" s="110" t="s">
        <v>174</v>
      </c>
      <c r="AP351" s="110" t="s">
        <v>190</v>
      </c>
      <c r="AQ351" s="110" t="s">
        <v>176</v>
      </c>
      <c r="AR351" s="110">
        <v>2001</v>
      </c>
      <c r="AS351" s="110" t="s">
        <v>174</v>
      </c>
      <c r="AT351" s="110" t="s">
        <v>174</v>
      </c>
      <c r="AU351" s="110">
        <v>187</v>
      </c>
      <c r="AW351" s="110" t="s">
        <v>174</v>
      </c>
      <c r="AX351" s="110" t="s">
        <v>174</v>
      </c>
      <c r="AY351" s="110" t="s">
        <v>174</v>
      </c>
      <c r="AZ351" s="110" t="s">
        <v>174</v>
      </c>
      <c r="BA351" s="110">
        <v>4</v>
      </c>
      <c r="BB351" s="110">
        <v>4</v>
      </c>
      <c r="BC351" s="110">
        <v>4</v>
      </c>
      <c r="BD351" s="110">
        <v>0</v>
      </c>
      <c r="BE351" s="110" t="s">
        <v>246</v>
      </c>
      <c r="BF351" s="110" t="s">
        <v>188</v>
      </c>
      <c r="BG351" s="110">
        <v>0</v>
      </c>
      <c r="BH351" s="110" t="s">
        <v>190</v>
      </c>
      <c r="BI351" s="110" t="s">
        <v>246</v>
      </c>
      <c r="BJ351" s="110" t="s">
        <v>995</v>
      </c>
      <c r="BK351" s="110" t="s">
        <v>174</v>
      </c>
      <c r="BL351" s="110">
        <v>1</v>
      </c>
      <c r="BM351" s="110" t="s">
        <v>174</v>
      </c>
      <c r="BN351" s="110" t="s">
        <v>174</v>
      </c>
      <c r="BO351" s="110">
        <v>1.1399999999999999</v>
      </c>
      <c r="BP351" s="110" t="s">
        <v>174</v>
      </c>
      <c r="BQ351" s="110" t="s">
        <v>174</v>
      </c>
      <c r="BR351" s="110" t="s">
        <v>174</v>
      </c>
      <c r="BS351" s="110">
        <v>58</v>
      </c>
      <c r="BT351" s="110" t="s">
        <v>2256</v>
      </c>
      <c r="BU351" s="110" t="s">
        <v>2606</v>
      </c>
      <c r="BV351" s="110" t="s">
        <v>2256</v>
      </c>
      <c r="CA351" s="110">
        <v>1.1399999999999999</v>
      </c>
      <c r="CB351" s="110">
        <v>43.85964912</v>
      </c>
      <c r="CC351" s="110" t="b">
        <v>0</v>
      </c>
      <c r="CD351" s="110">
        <v>33.4</v>
      </c>
      <c r="CE351" s="110" t="s">
        <v>2256</v>
      </c>
      <c r="CF351" s="110" t="s">
        <v>2256</v>
      </c>
      <c r="CG351" s="110">
        <v>87.719298249999994</v>
      </c>
      <c r="CH351" s="110" t="s">
        <v>2530</v>
      </c>
      <c r="CI351" s="110" t="s">
        <v>998</v>
      </c>
      <c r="CJ351" s="110" t="s">
        <v>1000</v>
      </c>
    </row>
    <row r="352" spans="1:88">
      <c r="A352" s="110" t="s">
        <v>549</v>
      </c>
      <c r="B352" s="110">
        <v>69</v>
      </c>
      <c r="C352" s="110">
        <v>3</v>
      </c>
      <c r="D352" s="110">
        <v>1</v>
      </c>
      <c r="E352" s="110">
        <v>351</v>
      </c>
      <c r="F352" s="110">
        <v>2004</v>
      </c>
      <c r="G352" s="110" t="s">
        <v>187</v>
      </c>
      <c r="H352" s="110" t="s">
        <v>1219</v>
      </c>
      <c r="I352" s="110" t="s">
        <v>246</v>
      </c>
      <c r="J352" s="110" t="s">
        <v>246</v>
      </c>
      <c r="K352" s="110" t="s">
        <v>999</v>
      </c>
      <c r="L352" s="110" t="s">
        <v>999</v>
      </c>
      <c r="R352" s="110" t="s">
        <v>272</v>
      </c>
      <c r="S352" s="110" t="s">
        <v>443</v>
      </c>
      <c r="T352" s="110" t="s">
        <v>985</v>
      </c>
      <c r="U352" s="110" t="s">
        <v>930</v>
      </c>
      <c r="V352" s="110">
        <v>62.149659800000002</v>
      </c>
      <c r="W352" s="110">
        <v>-62.149659800000002</v>
      </c>
      <c r="X352" s="110">
        <v>-58.41941362</v>
      </c>
      <c r="Y352" s="110" t="s">
        <v>538</v>
      </c>
      <c r="Z352" s="110" t="s">
        <v>797</v>
      </c>
      <c r="AA352" s="110" t="s">
        <v>1788</v>
      </c>
      <c r="AB352" s="110" t="s">
        <v>333</v>
      </c>
      <c r="AC352" s="110" t="s">
        <v>246</v>
      </c>
      <c r="AD352" s="110" t="s">
        <v>333</v>
      </c>
      <c r="AE352" s="110" t="s">
        <v>187</v>
      </c>
      <c r="AF352" s="110" t="s">
        <v>190</v>
      </c>
      <c r="AG352" s="110" t="s">
        <v>190</v>
      </c>
      <c r="AI352" s="110" t="s">
        <v>246</v>
      </c>
      <c r="AJ352" s="110" t="s">
        <v>246</v>
      </c>
      <c r="AK352" s="110" t="s">
        <v>996</v>
      </c>
      <c r="AL352" s="110" t="s">
        <v>2512</v>
      </c>
      <c r="AM352" s="110" t="s">
        <v>997</v>
      </c>
      <c r="AN352" s="110" t="s">
        <v>2515</v>
      </c>
      <c r="AO352" s="110" t="s">
        <v>174</v>
      </c>
      <c r="AP352" s="110" t="s">
        <v>190</v>
      </c>
      <c r="AQ352" s="110" t="s">
        <v>176</v>
      </c>
      <c r="AR352" s="110">
        <v>2001</v>
      </c>
      <c r="AS352" s="110" t="s">
        <v>174</v>
      </c>
      <c r="AT352" s="110" t="s">
        <v>174</v>
      </c>
      <c r="AU352" s="110">
        <v>194</v>
      </c>
      <c r="AW352" s="110" t="s">
        <v>174</v>
      </c>
      <c r="AX352" s="110" t="s">
        <v>174</v>
      </c>
      <c r="AY352" s="110" t="s">
        <v>174</v>
      </c>
      <c r="AZ352" s="110" t="s">
        <v>174</v>
      </c>
      <c r="BA352" s="110">
        <v>4</v>
      </c>
      <c r="BB352" s="110">
        <v>4</v>
      </c>
      <c r="BC352" s="110">
        <v>4</v>
      </c>
      <c r="BD352" s="110">
        <v>0</v>
      </c>
      <c r="BE352" s="110" t="s">
        <v>246</v>
      </c>
      <c r="BF352" s="110" t="s">
        <v>188</v>
      </c>
      <c r="BG352" s="110">
        <v>0</v>
      </c>
      <c r="BH352" s="110" t="s">
        <v>190</v>
      </c>
      <c r="BI352" s="110" t="s">
        <v>246</v>
      </c>
      <c r="BJ352" s="110" t="s">
        <v>995</v>
      </c>
      <c r="BK352" s="110" t="s">
        <v>174</v>
      </c>
      <c r="BL352" s="110">
        <v>1</v>
      </c>
      <c r="BM352" s="110" t="s">
        <v>174</v>
      </c>
      <c r="BN352" s="110" t="s">
        <v>174</v>
      </c>
      <c r="BO352" s="110">
        <v>0.85</v>
      </c>
      <c r="BP352" s="110" t="s">
        <v>174</v>
      </c>
      <c r="BQ352" s="110" t="s">
        <v>174</v>
      </c>
      <c r="BR352" s="110" t="s">
        <v>174</v>
      </c>
      <c r="BS352" s="110">
        <v>69</v>
      </c>
      <c r="BT352" s="110" t="s">
        <v>2256</v>
      </c>
      <c r="BU352" s="110" t="s">
        <v>2606</v>
      </c>
      <c r="BV352" s="110" t="s">
        <v>2256</v>
      </c>
      <c r="CA352" s="110">
        <v>0.85</v>
      </c>
      <c r="CB352" s="110">
        <v>58.823529409999999</v>
      </c>
      <c r="CC352" s="110" t="b">
        <v>0</v>
      </c>
      <c r="CD352" s="110">
        <v>41.4</v>
      </c>
      <c r="CE352" s="110" t="s">
        <v>2256</v>
      </c>
      <c r="CF352" s="110" t="s">
        <v>2256</v>
      </c>
      <c r="CG352" s="110">
        <v>117.6470588</v>
      </c>
      <c r="CH352" s="110" t="s">
        <v>2534</v>
      </c>
      <c r="CI352" s="110" t="s">
        <v>998</v>
      </c>
      <c r="CJ352" s="110" t="s">
        <v>1000</v>
      </c>
    </row>
    <row r="353" spans="1:88">
      <c r="A353" s="110" t="s">
        <v>549</v>
      </c>
      <c r="B353" s="110">
        <v>69</v>
      </c>
      <c r="C353" s="110">
        <v>3</v>
      </c>
      <c r="D353" s="110">
        <v>1</v>
      </c>
      <c r="E353" s="110">
        <v>352</v>
      </c>
      <c r="F353" s="110">
        <v>2004</v>
      </c>
      <c r="G353" s="110" t="s">
        <v>187</v>
      </c>
      <c r="H353" s="110" t="s">
        <v>1219</v>
      </c>
      <c r="I353" s="110" t="s">
        <v>246</v>
      </c>
      <c r="J353" s="110" t="s">
        <v>246</v>
      </c>
      <c r="K353" s="110" t="s">
        <v>999</v>
      </c>
      <c r="L353" s="110" t="s">
        <v>999</v>
      </c>
      <c r="R353" s="110" t="s">
        <v>2611</v>
      </c>
      <c r="S353" s="110" t="s">
        <v>443</v>
      </c>
      <c r="T353" s="110" t="s">
        <v>540</v>
      </c>
      <c r="U353" s="110" t="s">
        <v>541</v>
      </c>
      <c r="V353" s="110">
        <v>62.149659800000002</v>
      </c>
      <c r="W353" s="110">
        <v>-62.149659800000002</v>
      </c>
      <c r="X353" s="110">
        <v>-58.41941362</v>
      </c>
      <c r="Y353" s="110" t="s">
        <v>538</v>
      </c>
      <c r="Z353" s="110" t="s">
        <v>797</v>
      </c>
      <c r="AA353" s="110" t="s">
        <v>1788</v>
      </c>
      <c r="AB353" s="110" t="s">
        <v>333</v>
      </c>
      <c r="AC353" s="110" t="s">
        <v>246</v>
      </c>
      <c r="AD353" s="110" t="s">
        <v>333</v>
      </c>
      <c r="AE353" s="110" t="s">
        <v>187</v>
      </c>
      <c r="AF353" s="110" t="s">
        <v>190</v>
      </c>
      <c r="AG353" s="110" t="s">
        <v>190</v>
      </c>
      <c r="AI353" s="110" t="s">
        <v>246</v>
      </c>
      <c r="AJ353" s="110" t="s">
        <v>246</v>
      </c>
      <c r="AK353" s="110" t="s">
        <v>996</v>
      </c>
      <c r="AL353" s="110" t="s">
        <v>2512</v>
      </c>
      <c r="AM353" s="110" t="s">
        <v>997</v>
      </c>
      <c r="AN353" s="110" t="s">
        <v>2515</v>
      </c>
      <c r="AO353" s="110" t="s">
        <v>174</v>
      </c>
      <c r="AP353" s="110" t="s">
        <v>190</v>
      </c>
      <c r="AQ353" s="110" t="s">
        <v>176</v>
      </c>
      <c r="AR353" s="110">
        <v>2001</v>
      </c>
      <c r="AS353" s="110" t="s">
        <v>174</v>
      </c>
      <c r="AT353" s="110" t="s">
        <v>174</v>
      </c>
      <c r="AU353" s="110">
        <v>185</v>
      </c>
      <c r="AW353" s="110" t="s">
        <v>174</v>
      </c>
      <c r="AX353" s="110" t="s">
        <v>174</v>
      </c>
      <c r="AY353" s="110" t="s">
        <v>174</v>
      </c>
      <c r="AZ353" s="110" t="s">
        <v>174</v>
      </c>
      <c r="BA353" s="110">
        <v>4</v>
      </c>
      <c r="BB353" s="110">
        <v>4</v>
      </c>
      <c r="BC353" s="110">
        <v>4</v>
      </c>
      <c r="BD353" s="110">
        <v>0</v>
      </c>
      <c r="BE353" s="110" t="s">
        <v>246</v>
      </c>
      <c r="BF353" s="110" t="s">
        <v>188</v>
      </c>
      <c r="BG353" s="110">
        <v>0</v>
      </c>
      <c r="BH353" s="110" t="s">
        <v>190</v>
      </c>
      <c r="BI353" s="110" t="s">
        <v>246</v>
      </c>
      <c r="BJ353" s="110" t="s">
        <v>995</v>
      </c>
      <c r="BK353" s="110" t="s">
        <v>174</v>
      </c>
      <c r="BL353" s="110">
        <v>1</v>
      </c>
      <c r="BM353" s="110" t="s">
        <v>174</v>
      </c>
      <c r="BN353" s="110" t="s">
        <v>174</v>
      </c>
      <c r="BO353" s="110">
        <v>0.57999999999999996</v>
      </c>
      <c r="BP353" s="110" t="s">
        <v>174</v>
      </c>
      <c r="BQ353" s="110" t="s">
        <v>174</v>
      </c>
      <c r="BR353" s="110" t="s">
        <v>174</v>
      </c>
      <c r="BS353" s="110">
        <v>58</v>
      </c>
      <c r="BT353" s="110" t="s">
        <v>2256</v>
      </c>
      <c r="BU353" s="110" t="s">
        <v>2606</v>
      </c>
      <c r="BV353" s="110" t="s">
        <v>2256</v>
      </c>
      <c r="CA353" s="110">
        <v>0.57999999999999996</v>
      </c>
      <c r="CB353" s="110">
        <v>86.206896549999996</v>
      </c>
      <c r="CC353" s="110" t="b">
        <v>0</v>
      </c>
      <c r="CD353" s="110">
        <v>66.3</v>
      </c>
      <c r="CE353" s="110" t="s">
        <v>2256</v>
      </c>
      <c r="CF353" s="110" t="s">
        <v>2256</v>
      </c>
      <c r="CG353" s="110">
        <v>172.41379309999999</v>
      </c>
      <c r="CH353" s="110" t="s">
        <v>2527</v>
      </c>
      <c r="CI353" s="110" t="s">
        <v>998</v>
      </c>
      <c r="CJ353" s="110" t="s">
        <v>1000</v>
      </c>
    </row>
    <row r="354" spans="1:88">
      <c r="A354" s="110" t="s">
        <v>549</v>
      </c>
      <c r="B354" s="110">
        <v>69</v>
      </c>
      <c r="C354" s="110">
        <v>3</v>
      </c>
      <c r="D354" s="110">
        <v>1</v>
      </c>
      <c r="E354" s="110">
        <v>353</v>
      </c>
      <c r="F354" s="110">
        <v>2004</v>
      </c>
      <c r="G354" s="110" t="s">
        <v>187</v>
      </c>
      <c r="H354" s="110" t="s">
        <v>1219</v>
      </c>
      <c r="I354" s="110" t="s">
        <v>246</v>
      </c>
      <c r="J354" s="110" t="s">
        <v>246</v>
      </c>
      <c r="K354" s="110" t="s">
        <v>999</v>
      </c>
      <c r="L354" s="110" t="s">
        <v>999</v>
      </c>
      <c r="R354" s="110" t="s">
        <v>2611</v>
      </c>
      <c r="S354" s="110" t="s">
        <v>443</v>
      </c>
      <c r="T354" s="110" t="s">
        <v>540</v>
      </c>
      <c r="U354" s="110" t="s">
        <v>669</v>
      </c>
      <c r="V354" s="110">
        <v>62.149659800000002</v>
      </c>
      <c r="W354" s="110">
        <v>-62.149659800000002</v>
      </c>
      <c r="X354" s="110">
        <v>-58.41941362</v>
      </c>
      <c r="Y354" s="110" t="s">
        <v>538</v>
      </c>
      <c r="Z354" s="110" t="s">
        <v>797</v>
      </c>
      <c r="AA354" s="110" t="s">
        <v>1788</v>
      </c>
      <c r="AB354" s="110" t="s">
        <v>333</v>
      </c>
      <c r="AC354" s="110" t="s">
        <v>246</v>
      </c>
      <c r="AD354" s="110" t="s">
        <v>333</v>
      </c>
      <c r="AE354" s="110" t="s">
        <v>187</v>
      </c>
      <c r="AF354" s="110" t="s">
        <v>190</v>
      </c>
      <c r="AG354" s="110" t="s">
        <v>190</v>
      </c>
      <c r="AI354" s="110" t="s">
        <v>246</v>
      </c>
      <c r="AJ354" s="110" t="s">
        <v>246</v>
      </c>
      <c r="AK354" s="110" t="s">
        <v>996</v>
      </c>
      <c r="AL354" s="110" t="s">
        <v>2512</v>
      </c>
      <c r="AM354" s="110" t="s">
        <v>997</v>
      </c>
      <c r="AN354" s="110" t="s">
        <v>2515</v>
      </c>
      <c r="AO354" s="110" t="s">
        <v>174</v>
      </c>
      <c r="AP354" s="110" t="s">
        <v>190</v>
      </c>
      <c r="AQ354" s="110" t="s">
        <v>176</v>
      </c>
      <c r="AR354" s="110">
        <v>2001</v>
      </c>
      <c r="AS354" s="110" t="s">
        <v>174</v>
      </c>
      <c r="AT354" s="110" t="s">
        <v>174</v>
      </c>
      <c r="AU354" s="110">
        <v>227</v>
      </c>
      <c r="AW354" s="110" t="s">
        <v>174</v>
      </c>
      <c r="AX354" s="110" t="s">
        <v>174</v>
      </c>
      <c r="AY354" s="110" t="s">
        <v>174</v>
      </c>
      <c r="AZ354" s="110" t="s">
        <v>174</v>
      </c>
      <c r="BA354" s="110">
        <v>4</v>
      </c>
      <c r="BB354" s="110">
        <v>4</v>
      </c>
      <c r="BC354" s="110">
        <v>4</v>
      </c>
      <c r="BD354" s="110">
        <v>0</v>
      </c>
      <c r="BE354" s="110" t="s">
        <v>246</v>
      </c>
      <c r="BF354" s="110" t="s">
        <v>188</v>
      </c>
      <c r="BG354" s="110">
        <v>0</v>
      </c>
      <c r="BH354" s="110" t="s">
        <v>190</v>
      </c>
      <c r="BI354" s="110" t="s">
        <v>246</v>
      </c>
      <c r="BJ354" s="110" t="s">
        <v>995</v>
      </c>
      <c r="BK354" s="110" t="s">
        <v>174</v>
      </c>
      <c r="BL354" s="110">
        <v>1</v>
      </c>
      <c r="BM354" s="110" t="s">
        <v>174</v>
      </c>
      <c r="BN354" s="110" t="s">
        <v>174</v>
      </c>
      <c r="BO354" s="110">
        <v>0.48</v>
      </c>
      <c r="BP354" s="110" t="s">
        <v>174</v>
      </c>
      <c r="BQ354" s="110" t="s">
        <v>174</v>
      </c>
      <c r="BR354" s="110" t="s">
        <v>174</v>
      </c>
      <c r="BS354" s="110">
        <v>69</v>
      </c>
      <c r="BT354" s="110" t="s">
        <v>2256</v>
      </c>
      <c r="BU354" s="110" t="s">
        <v>2606</v>
      </c>
      <c r="BV354" s="110" t="s">
        <v>2256</v>
      </c>
      <c r="CA354" s="110">
        <v>0.48</v>
      </c>
      <c r="CB354" s="110">
        <v>104.16666669999999</v>
      </c>
      <c r="CC354" s="110" t="b">
        <v>0</v>
      </c>
      <c r="CD354" s="110">
        <v>67.2</v>
      </c>
      <c r="CE354" s="110" t="s">
        <v>2256</v>
      </c>
      <c r="CF354" s="110" t="s">
        <v>2256</v>
      </c>
      <c r="CG354" s="110">
        <v>208.33333329999999</v>
      </c>
      <c r="CH354" s="110" t="s">
        <v>2526</v>
      </c>
      <c r="CI354" s="110" t="s">
        <v>998</v>
      </c>
      <c r="CJ354" s="110" t="s">
        <v>1000</v>
      </c>
    </row>
    <row r="355" spans="1:88">
      <c r="A355" s="110" t="s">
        <v>549</v>
      </c>
      <c r="B355" s="110">
        <v>69</v>
      </c>
      <c r="C355" s="110">
        <v>3</v>
      </c>
      <c r="D355" s="110">
        <v>1</v>
      </c>
      <c r="E355" s="110">
        <v>354</v>
      </c>
      <c r="F355" s="110">
        <v>2004</v>
      </c>
      <c r="G355" s="110" t="s">
        <v>187</v>
      </c>
      <c r="H355" s="110" t="s">
        <v>1219</v>
      </c>
      <c r="I355" s="110" t="s">
        <v>246</v>
      </c>
      <c r="J355" s="110" t="s">
        <v>246</v>
      </c>
      <c r="K355" s="110" t="s">
        <v>999</v>
      </c>
      <c r="L355" s="110" t="s">
        <v>999</v>
      </c>
      <c r="R355" s="110" t="s">
        <v>2611</v>
      </c>
      <c r="S355" s="110" t="s">
        <v>443</v>
      </c>
      <c r="T355" s="110" t="s">
        <v>540</v>
      </c>
      <c r="U355" s="110" t="s">
        <v>986</v>
      </c>
      <c r="V355" s="110">
        <v>62.149659800000002</v>
      </c>
      <c r="W355" s="110">
        <v>-62.149659800000002</v>
      </c>
      <c r="X355" s="110">
        <v>-58.41941362</v>
      </c>
      <c r="Y355" s="110" t="s">
        <v>538</v>
      </c>
      <c r="Z355" s="110" t="s">
        <v>797</v>
      </c>
      <c r="AA355" s="110" t="s">
        <v>1788</v>
      </c>
      <c r="AB355" s="110" t="s">
        <v>333</v>
      </c>
      <c r="AC355" s="110" t="s">
        <v>246</v>
      </c>
      <c r="AD355" s="110" t="s">
        <v>333</v>
      </c>
      <c r="AE355" s="110" t="s">
        <v>187</v>
      </c>
      <c r="AF355" s="110" t="s">
        <v>190</v>
      </c>
      <c r="AG355" s="110" t="s">
        <v>190</v>
      </c>
      <c r="AI355" s="110" t="s">
        <v>246</v>
      </c>
      <c r="AJ355" s="110" t="s">
        <v>246</v>
      </c>
      <c r="AK355" s="110" t="s">
        <v>996</v>
      </c>
      <c r="AL355" s="110" t="s">
        <v>2512</v>
      </c>
      <c r="AM355" s="110" t="s">
        <v>997</v>
      </c>
      <c r="AN355" s="110" t="s">
        <v>2515</v>
      </c>
      <c r="AO355" s="110" t="s">
        <v>174</v>
      </c>
      <c r="AP355" s="110" t="s">
        <v>190</v>
      </c>
      <c r="AQ355" s="110" t="s">
        <v>176</v>
      </c>
      <c r="AR355" s="110">
        <v>2001</v>
      </c>
      <c r="AS355" s="110" t="s">
        <v>174</v>
      </c>
      <c r="AT355" s="110" t="s">
        <v>174</v>
      </c>
      <c r="AU355" s="110">
        <v>192</v>
      </c>
      <c r="AW355" s="110" t="s">
        <v>174</v>
      </c>
      <c r="AX355" s="110" t="s">
        <v>174</v>
      </c>
      <c r="AY355" s="110" t="s">
        <v>174</v>
      </c>
      <c r="AZ355" s="110" t="s">
        <v>174</v>
      </c>
      <c r="BA355" s="110">
        <v>4</v>
      </c>
      <c r="BB355" s="110">
        <v>4</v>
      </c>
      <c r="BC355" s="110">
        <v>4</v>
      </c>
      <c r="BD355" s="110">
        <v>0</v>
      </c>
      <c r="BE355" s="110" t="s">
        <v>246</v>
      </c>
      <c r="BF355" s="110" t="s">
        <v>188</v>
      </c>
      <c r="BG355" s="110">
        <v>0</v>
      </c>
      <c r="BH355" s="110" t="s">
        <v>190</v>
      </c>
      <c r="BI355" s="110" t="s">
        <v>246</v>
      </c>
      <c r="BJ355" s="110" t="s">
        <v>995</v>
      </c>
      <c r="BK355" s="110" t="s">
        <v>174</v>
      </c>
      <c r="BL355" s="110">
        <v>1</v>
      </c>
      <c r="BM355" s="110" t="s">
        <v>174</v>
      </c>
      <c r="BN355" s="110" t="s">
        <v>174</v>
      </c>
      <c r="BO355" s="110">
        <v>1.79</v>
      </c>
      <c r="BP355" s="110" t="s">
        <v>174</v>
      </c>
      <c r="BQ355" s="110" t="s">
        <v>174</v>
      </c>
      <c r="BR355" s="110" t="s">
        <v>174</v>
      </c>
      <c r="BS355" s="110">
        <v>30</v>
      </c>
      <c r="BT355" s="110" t="s">
        <v>2256</v>
      </c>
      <c r="BU355" s="110" t="s">
        <v>2606</v>
      </c>
      <c r="BV355" s="110" t="s">
        <v>2256</v>
      </c>
      <c r="CA355" s="110">
        <v>1.79</v>
      </c>
      <c r="CB355" s="110">
        <v>27.93296089</v>
      </c>
      <c r="CC355" s="110" t="b">
        <v>0</v>
      </c>
      <c r="CD355" s="110">
        <v>46.4</v>
      </c>
      <c r="CE355" s="110" t="s">
        <v>2256</v>
      </c>
      <c r="CF355" s="110" t="s">
        <v>2256</v>
      </c>
      <c r="CG355" s="110">
        <v>55.865921790000002</v>
      </c>
      <c r="CH355" s="110" t="s">
        <v>2529</v>
      </c>
      <c r="CI355" s="110" t="s">
        <v>998</v>
      </c>
      <c r="CJ355" s="110" t="s">
        <v>1000</v>
      </c>
    </row>
    <row r="356" spans="1:88">
      <c r="A356" s="110" t="s">
        <v>549</v>
      </c>
      <c r="B356" s="110">
        <v>69</v>
      </c>
      <c r="C356" s="110">
        <v>3</v>
      </c>
      <c r="D356" s="110">
        <v>1</v>
      </c>
      <c r="E356" s="110">
        <v>355</v>
      </c>
      <c r="F356" s="110">
        <v>2004</v>
      </c>
      <c r="G356" s="110" t="s">
        <v>187</v>
      </c>
      <c r="H356" s="110" t="s">
        <v>1219</v>
      </c>
      <c r="I356" s="110" t="s">
        <v>246</v>
      </c>
      <c r="J356" s="110" t="s">
        <v>246</v>
      </c>
      <c r="K356" s="110" t="s">
        <v>999</v>
      </c>
      <c r="L356" s="110" t="s">
        <v>999</v>
      </c>
      <c r="R356" s="110" t="s">
        <v>2611</v>
      </c>
      <c r="S356" s="110" t="s">
        <v>443</v>
      </c>
      <c r="T356" s="110" t="s">
        <v>989</v>
      </c>
      <c r="U356" s="110" t="s">
        <v>990</v>
      </c>
      <c r="V356" s="110">
        <v>62.149659800000002</v>
      </c>
      <c r="W356" s="110">
        <v>-62.149659800000002</v>
      </c>
      <c r="X356" s="110">
        <v>-58.41941362</v>
      </c>
      <c r="Y356" s="110" t="s">
        <v>538</v>
      </c>
      <c r="Z356" s="110" t="s">
        <v>797</v>
      </c>
      <c r="AA356" s="110" t="s">
        <v>1788</v>
      </c>
      <c r="AB356" s="110" t="s">
        <v>333</v>
      </c>
      <c r="AC356" s="110" t="s">
        <v>246</v>
      </c>
      <c r="AD356" s="110" t="s">
        <v>333</v>
      </c>
      <c r="AE356" s="110" t="s">
        <v>187</v>
      </c>
      <c r="AF356" s="110" t="s">
        <v>190</v>
      </c>
      <c r="AG356" s="110" t="s">
        <v>190</v>
      </c>
      <c r="AI356" s="110" t="s">
        <v>246</v>
      </c>
      <c r="AJ356" s="110" t="s">
        <v>246</v>
      </c>
      <c r="AK356" s="110" t="s">
        <v>996</v>
      </c>
      <c r="AL356" s="110" t="s">
        <v>2512</v>
      </c>
      <c r="AM356" s="110" t="s">
        <v>997</v>
      </c>
      <c r="AN356" s="110" t="s">
        <v>2515</v>
      </c>
      <c r="AO356" s="110" t="s">
        <v>174</v>
      </c>
      <c r="AP356" s="110" t="s">
        <v>190</v>
      </c>
      <c r="AQ356" s="110" t="s">
        <v>176</v>
      </c>
      <c r="AR356" s="110">
        <v>2001</v>
      </c>
      <c r="AS356" s="110" t="s">
        <v>174</v>
      </c>
      <c r="AT356" s="110" t="s">
        <v>174</v>
      </c>
      <c r="AU356" s="110">
        <v>54</v>
      </c>
      <c r="AW356" s="110" t="s">
        <v>174</v>
      </c>
      <c r="AX356" s="110" t="s">
        <v>174</v>
      </c>
      <c r="AY356" s="110" t="s">
        <v>174</v>
      </c>
      <c r="AZ356" s="110" t="s">
        <v>174</v>
      </c>
      <c r="BA356" s="110">
        <v>4</v>
      </c>
      <c r="BB356" s="110">
        <v>4</v>
      </c>
      <c r="BC356" s="110">
        <v>4</v>
      </c>
      <c r="BD356" s="110">
        <v>0</v>
      </c>
      <c r="BE356" s="110" t="s">
        <v>246</v>
      </c>
      <c r="BF356" s="110" t="s">
        <v>188</v>
      </c>
      <c r="BG356" s="110">
        <v>0</v>
      </c>
      <c r="BH356" s="110" t="s">
        <v>190</v>
      </c>
      <c r="BI356" s="110" t="s">
        <v>246</v>
      </c>
      <c r="BJ356" s="110" t="s">
        <v>995</v>
      </c>
      <c r="BK356" s="110" t="s">
        <v>174</v>
      </c>
      <c r="BL356" s="110">
        <v>1</v>
      </c>
      <c r="BM356" s="110" t="s">
        <v>174</v>
      </c>
      <c r="BN356" s="110" t="s">
        <v>174</v>
      </c>
      <c r="BO356" s="110">
        <v>2.46</v>
      </c>
      <c r="BP356" s="110" t="s">
        <v>174</v>
      </c>
      <c r="BQ356" s="110" t="s">
        <v>174</v>
      </c>
      <c r="BR356" s="110" t="s">
        <v>174</v>
      </c>
      <c r="BS356" s="110">
        <v>30</v>
      </c>
      <c r="BT356" s="110" t="s">
        <v>2256</v>
      </c>
      <c r="BU356" s="110" t="s">
        <v>2606</v>
      </c>
      <c r="BV356" s="110" t="s">
        <v>2256</v>
      </c>
      <c r="CA356" s="110">
        <v>2.46</v>
      </c>
      <c r="CB356" s="110">
        <v>20.325203250000001</v>
      </c>
      <c r="CC356" s="110" t="b">
        <v>0</v>
      </c>
      <c r="CD356" s="110">
        <v>26.3</v>
      </c>
      <c r="CE356" s="110" t="s">
        <v>2256</v>
      </c>
      <c r="CF356" s="110" t="s">
        <v>2256</v>
      </c>
      <c r="CG356" s="110">
        <v>40.650406500000003</v>
      </c>
      <c r="CH356" s="110" t="s">
        <v>2732</v>
      </c>
      <c r="CI356" s="110" t="s">
        <v>998</v>
      </c>
      <c r="CJ356" s="110" t="s">
        <v>1000</v>
      </c>
    </row>
    <row r="357" spans="1:88">
      <c r="A357" s="110" t="s">
        <v>549</v>
      </c>
      <c r="B357" s="110">
        <v>69</v>
      </c>
      <c r="C357" s="110">
        <v>3</v>
      </c>
      <c r="D357" s="110">
        <v>1</v>
      </c>
      <c r="E357" s="110">
        <v>356</v>
      </c>
      <c r="F357" s="110">
        <v>2004</v>
      </c>
      <c r="G357" s="110" t="s">
        <v>187</v>
      </c>
      <c r="H357" s="110" t="s">
        <v>1219</v>
      </c>
      <c r="I357" s="110" t="s">
        <v>246</v>
      </c>
      <c r="J357" s="110" t="s">
        <v>246</v>
      </c>
      <c r="K357" s="110" t="s">
        <v>999</v>
      </c>
      <c r="L357" s="110" t="s">
        <v>999</v>
      </c>
      <c r="R357" s="110" t="s">
        <v>2611</v>
      </c>
      <c r="S357" s="110" t="s">
        <v>443</v>
      </c>
      <c r="T357" s="110" t="s">
        <v>987</v>
      </c>
      <c r="U357" s="110" t="s">
        <v>988</v>
      </c>
      <c r="V357" s="110">
        <v>62.149659800000002</v>
      </c>
      <c r="W357" s="110">
        <v>-62.149659800000002</v>
      </c>
      <c r="X357" s="110">
        <v>-58.41941362</v>
      </c>
      <c r="Y357" s="110" t="s">
        <v>538</v>
      </c>
      <c r="Z357" s="110" t="s">
        <v>797</v>
      </c>
      <c r="AA357" s="110" t="s">
        <v>1788</v>
      </c>
      <c r="AB357" s="110" t="s">
        <v>333</v>
      </c>
      <c r="AC357" s="110" t="s">
        <v>246</v>
      </c>
      <c r="AD357" s="110" t="s">
        <v>333</v>
      </c>
      <c r="AE357" s="110" t="s">
        <v>187</v>
      </c>
      <c r="AF357" s="110" t="s">
        <v>190</v>
      </c>
      <c r="AG357" s="110" t="s">
        <v>190</v>
      </c>
      <c r="AI357" s="110" t="s">
        <v>246</v>
      </c>
      <c r="AJ357" s="110" t="s">
        <v>246</v>
      </c>
      <c r="AK357" s="110" t="s">
        <v>996</v>
      </c>
      <c r="AL357" s="110" t="s">
        <v>2512</v>
      </c>
      <c r="AM357" s="110" t="s">
        <v>997</v>
      </c>
      <c r="AN357" s="110" t="s">
        <v>2515</v>
      </c>
      <c r="AO357" s="110" t="s">
        <v>174</v>
      </c>
      <c r="AP357" s="110" t="s">
        <v>190</v>
      </c>
      <c r="AQ357" s="110" t="s">
        <v>176</v>
      </c>
      <c r="AR357" s="110">
        <v>2001</v>
      </c>
      <c r="AS357" s="110" t="s">
        <v>174</v>
      </c>
      <c r="AT357" s="110" t="s">
        <v>174</v>
      </c>
      <c r="AU357" s="110">
        <v>165</v>
      </c>
      <c r="AW357" s="110" t="s">
        <v>174</v>
      </c>
      <c r="AX357" s="110" t="s">
        <v>174</v>
      </c>
      <c r="AY357" s="110" t="s">
        <v>174</v>
      </c>
      <c r="AZ357" s="110" t="s">
        <v>174</v>
      </c>
      <c r="BA357" s="110">
        <v>4</v>
      </c>
      <c r="BB357" s="110">
        <v>4</v>
      </c>
      <c r="BC357" s="110">
        <v>4</v>
      </c>
      <c r="BD357" s="110">
        <v>0</v>
      </c>
      <c r="BE357" s="110" t="s">
        <v>246</v>
      </c>
      <c r="BF357" s="110" t="s">
        <v>188</v>
      </c>
      <c r="BG357" s="110">
        <v>0</v>
      </c>
      <c r="BH357" s="110" t="s">
        <v>190</v>
      </c>
      <c r="BI357" s="110" t="s">
        <v>246</v>
      </c>
      <c r="BJ357" s="110" t="s">
        <v>995</v>
      </c>
      <c r="BK357" s="110" t="s">
        <v>174</v>
      </c>
      <c r="BL357" s="110">
        <v>1</v>
      </c>
      <c r="BM357" s="110" t="s">
        <v>174</v>
      </c>
      <c r="BN357" s="110" t="s">
        <v>174</v>
      </c>
      <c r="BO357" s="110">
        <v>1.53</v>
      </c>
      <c r="BP357" s="110" t="s">
        <v>174</v>
      </c>
      <c r="BQ357" s="110" t="s">
        <v>174</v>
      </c>
      <c r="BR357" s="110" t="s">
        <v>174</v>
      </c>
      <c r="BS357" s="110">
        <v>30</v>
      </c>
      <c r="BT357" s="110" t="s">
        <v>2256</v>
      </c>
      <c r="BU357" s="110" t="s">
        <v>2606</v>
      </c>
      <c r="BV357" s="110" t="s">
        <v>2256</v>
      </c>
      <c r="CA357" s="110">
        <v>1.53</v>
      </c>
      <c r="CB357" s="110">
        <v>32.679738559999997</v>
      </c>
      <c r="CC357" s="110" t="b">
        <v>0</v>
      </c>
      <c r="CD357" s="110">
        <v>54.1</v>
      </c>
      <c r="CE357" s="110" t="s">
        <v>2256</v>
      </c>
      <c r="CF357" s="110" t="s">
        <v>2256</v>
      </c>
      <c r="CG357" s="110">
        <v>65.359477119999994</v>
      </c>
      <c r="CH357" s="110" t="s">
        <v>2528</v>
      </c>
      <c r="CI357" s="110" t="s">
        <v>998</v>
      </c>
      <c r="CJ357" s="110" t="s">
        <v>1000</v>
      </c>
    </row>
    <row r="358" spans="1:88">
      <c r="A358" s="110" t="s">
        <v>549</v>
      </c>
      <c r="B358" s="110">
        <v>69</v>
      </c>
      <c r="C358" s="110">
        <v>3</v>
      </c>
      <c r="D358" s="110">
        <v>1</v>
      </c>
      <c r="E358" s="110">
        <v>357</v>
      </c>
      <c r="F358" s="110">
        <v>2004</v>
      </c>
      <c r="G358" s="110" t="s">
        <v>187</v>
      </c>
      <c r="H358" s="110" t="s">
        <v>1219</v>
      </c>
      <c r="I358" s="110" t="s">
        <v>246</v>
      </c>
      <c r="J358" s="110" t="s">
        <v>246</v>
      </c>
      <c r="K358" s="110" t="s">
        <v>999</v>
      </c>
      <c r="L358" s="110" t="s">
        <v>999</v>
      </c>
      <c r="R358" s="110" t="s">
        <v>2611</v>
      </c>
      <c r="S358" s="110" t="s">
        <v>446</v>
      </c>
      <c r="T358" s="110" t="s">
        <v>991</v>
      </c>
      <c r="U358" s="110" t="s">
        <v>992</v>
      </c>
      <c r="V358" s="110">
        <v>62.149659800000002</v>
      </c>
      <c r="W358" s="110">
        <v>-62.149659800000002</v>
      </c>
      <c r="X358" s="110">
        <v>-58.41941362</v>
      </c>
      <c r="Y358" s="110" t="s">
        <v>538</v>
      </c>
      <c r="Z358" s="110" t="s">
        <v>797</v>
      </c>
      <c r="AA358" s="110" t="s">
        <v>1788</v>
      </c>
      <c r="AB358" s="110" t="s">
        <v>333</v>
      </c>
      <c r="AC358" s="110" t="s">
        <v>246</v>
      </c>
      <c r="AD358" s="110" t="s">
        <v>333</v>
      </c>
      <c r="AE358" s="110" t="s">
        <v>187</v>
      </c>
      <c r="AF358" s="110" t="s">
        <v>190</v>
      </c>
      <c r="AG358" s="110" t="s">
        <v>190</v>
      </c>
      <c r="AI358" s="110" t="s">
        <v>246</v>
      </c>
      <c r="AJ358" s="110" t="s">
        <v>246</v>
      </c>
      <c r="AK358" s="110" t="s">
        <v>996</v>
      </c>
      <c r="AL358" s="110" t="s">
        <v>2512</v>
      </c>
      <c r="AM358" s="110" t="s">
        <v>997</v>
      </c>
      <c r="AN358" s="110" t="s">
        <v>2515</v>
      </c>
      <c r="AO358" s="110" t="s">
        <v>174</v>
      </c>
      <c r="AP358" s="110" t="s">
        <v>190</v>
      </c>
      <c r="AQ358" s="110" t="s">
        <v>176</v>
      </c>
      <c r="AR358" s="110">
        <v>2001</v>
      </c>
      <c r="AS358" s="110" t="s">
        <v>174</v>
      </c>
      <c r="AT358" s="110" t="s">
        <v>174</v>
      </c>
      <c r="AU358" s="110">
        <v>248</v>
      </c>
      <c r="AW358" s="110" t="s">
        <v>174</v>
      </c>
      <c r="AX358" s="110" t="s">
        <v>174</v>
      </c>
      <c r="AY358" s="110" t="s">
        <v>174</v>
      </c>
      <c r="AZ358" s="110" t="s">
        <v>174</v>
      </c>
      <c r="BA358" s="110">
        <v>4</v>
      </c>
      <c r="BB358" s="110">
        <v>4</v>
      </c>
      <c r="BC358" s="110">
        <v>4</v>
      </c>
      <c r="BD358" s="110">
        <v>0</v>
      </c>
      <c r="BE358" s="110" t="s">
        <v>246</v>
      </c>
      <c r="BF358" s="110" t="s">
        <v>188</v>
      </c>
      <c r="BG358" s="110">
        <v>0</v>
      </c>
      <c r="BH358" s="110" t="s">
        <v>190</v>
      </c>
      <c r="BI358" s="110" t="s">
        <v>246</v>
      </c>
      <c r="BJ358" s="110" t="s">
        <v>995</v>
      </c>
      <c r="BK358" s="110" t="s">
        <v>174</v>
      </c>
      <c r="BL358" s="110">
        <v>1</v>
      </c>
      <c r="BM358" s="110" t="s">
        <v>174</v>
      </c>
      <c r="BN358" s="110" t="s">
        <v>174</v>
      </c>
      <c r="BO358" s="110">
        <v>0.75</v>
      </c>
      <c r="BP358" s="110" t="s">
        <v>174</v>
      </c>
      <c r="BQ358" s="110" t="s">
        <v>174</v>
      </c>
      <c r="BR358" s="110" t="s">
        <v>174</v>
      </c>
      <c r="BS358" s="110">
        <v>47</v>
      </c>
      <c r="BT358" s="110" t="s">
        <v>2256</v>
      </c>
      <c r="BU358" s="110" t="s">
        <v>2606</v>
      </c>
      <c r="BV358" s="110" t="s">
        <v>2256</v>
      </c>
      <c r="CA358" s="110">
        <v>0.75</v>
      </c>
      <c r="CB358" s="110">
        <v>66.666666669999998</v>
      </c>
      <c r="CC358" s="110" t="b">
        <v>0</v>
      </c>
      <c r="CD358" s="110">
        <v>64.8</v>
      </c>
      <c r="CE358" s="110" t="s">
        <v>2256</v>
      </c>
      <c r="CF358" s="110" t="s">
        <v>2256</v>
      </c>
      <c r="CG358" s="110">
        <v>133.33333329999999</v>
      </c>
      <c r="CH358" s="110" t="s">
        <v>2558</v>
      </c>
      <c r="CI358" s="110" t="s">
        <v>998</v>
      </c>
      <c r="CJ358" s="110" t="s">
        <v>1000</v>
      </c>
    </row>
    <row r="359" spans="1:88">
      <c r="A359" s="110" t="s">
        <v>549</v>
      </c>
      <c r="B359" s="110">
        <v>69</v>
      </c>
      <c r="C359" s="110">
        <v>3</v>
      </c>
      <c r="D359" s="110">
        <v>1</v>
      </c>
      <c r="E359" s="110">
        <v>358</v>
      </c>
      <c r="F359" s="110">
        <v>2004</v>
      </c>
      <c r="G359" s="110" t="s">
        <v>187</v>
      </c>
      <c r="H359" s="110" t="s">
        <v>1219</v>
      </c>
      <c r="I359" s="110" t="s">
        <v>246</v>
      </c>
      <c r="J359" s="110" t="s">
        <v>246</v>
      </c>
      <c r="K359" s="110" t="s">
        <v>999</v>
      </c>
      <c r="L359" s="110" t="s">
        <v>999</v>
      </c>
      <c r="R359" s="110" t="s">
        <v>2611</v>
      </c>
      <c r="S359" s="110" t="s">
        <v>446</v>
      </c>
      <c r="T359" s="110" t="s">
        <v>993</v>
      </c>
      <c r="U359" s="110" t="s">
        <v>2191</v>
      </c>
      <c r="V359" s="110">
        <v>62.149659800000002</v>
      </c>
      <c r="W359" s="110">
        <v>-62.149659800000002</v>
      </c>
      <c r="X359" s="110">
        <v>-58.41941362</v>
      </c>
      <c r="Y359" s="110" t="s">
        <v>538</v>
      </c>
      <c r="Z359" s="110" t="s">
        <v>797</v>
      </c>
      <c r="AA359" s="110" t="s">
        <v>1788</v>
      </c>
      <c r="AB359" s="110" t="s">
        <v>333</v>
      </c>
      <c r="AC359" s="110" t="s">
        <v>246</v>
      </c>
      <c r="AD359" s="110" t="s">
        <v>333</v>
      </c>
      <c r="AE359" s="110" t="s">
        <v>187</v>
      </c>
      <c r="AF359" s="110" t="s">
        <v>190</v>
      </c>
      <c r="AG359" s="110" t="s">
        <v>190</v>
      </c>
      <c r="AI359" s="110" t="s">
        <v>246</v>
      </c>
      <c r="AJ359" s="110" t="s">
        <v>246</v>
      </c>
      <c r="AK359" s="110" t="s">
        <v>996</v>
      </c>
      <c r="AL359" s="110" t="s">
        <v>2512</v>
      </c>
      <c r="AM359" s="110" t="s">
        <v>997</v>
      </c>
      <c r="AN359" s="110" t="s">
        <v>2515</v>
      </c>
      <c r="AO359" s="110" t="s">
        <v>174</v>
      </c>
      <c r="AP359" s="110" t="s">
        <v>190</v>
      </c>
      <c r="AQ359" s="110" t="s">
        <v>176</v>
      </c>
      <c r="AR359" s="110">
        <v>2001</v>
      </c>
      <c r="AS359" s="110" t="s">
        <v>174</v>
      </c>
      <c r="AT359" s="110" t="s">
        <v>174</v>
      </c>
      <c r="AU359" s="110">
        <v>182</v>
      </c>
      <c r="AW359" s="110" t="s">
        <v>174</v>
      </c>
      <c r="AX359" s="110" t="s">
        <v>174</v>
      </c>
      <c r="AY359" s="110" t="s">
        <v>174</v>
      </c>
      <c r="AZ359" s="110" t="s">
        <v>174</v>
      </c>
      <c r="BA359" s="110">
        <v>4</v>
      </c>
      <c r="BB359" s="110">
        <v>4</v>
      </c>
      <c r="BC359" s="110">
        <v>4</v>
      </c>
      <c r="BD359" s="110">
        <v>0</v>
      </c>
      <c r="BE359" s="110" t="s">
        <v>246</v>
      </c>
      <c r="BF359" s="110" t="s">
        <v>188</v>
      </c>
      <c r="BG359" s="110">
        <v>0</v>
      </c>
      <c r="BH359" s="110" t="s">
        <v>190</v>
      </c>
      <c r="BI359" s="110" t="s">
        <v>246</v>
      </c>
      <c r="BJ359" s="110" t="s">
        <v>995</v>
      </c>
      <c r="BK359" s="110" t="s">
        <v>174</v>
      </c>
      <c r="BL359" s="110">
        <v>1</v>
      </c>
      <c r="BM359" s="110" t="s">
        <v>174</v>
      </c>
      <c r="BN359" s="110" t="s">
        <v>174</v>
      </c>
      <c r="BO359" s="110">
        <v>1.83</v>
      </c>
      <c r="BP359" s="110" t="s">
        <v>174</v>
      </c>
      <c r="BQ359" s="110" t="s">
        <v>174</v>
      </c>
      <c r="BR359" s="110" t="s">
        <v>174</v>
      </c>
      <c r="BS359" s="110">
        <v>30</v>
      </c>
      <c r="BT359" s="110" t="s">
        <v>2256</v>
      </c>
      <c r="BU359" s="110" t="s">
        <v>2606</v>
      </c>
      <c r="BV359" s="110" t="s">
        <v>2256</v>
      </c>
      <c r="CA359" s="110">
        <v>1.83</v>
      </c>
      <c r="CB359" s="110">
        <v>27.322404370000001</v>
      </c>
      <c r="CC359" s="110" t="b">
        <v>0</v>
      </c>
      <c r="CD359" s="110">
        <v>45.2</v>
      </c>
      <c r="CE359" s="110" t="s">
        <v>2256</v>
      </c>
      <c r="CF359" s="110" t="s">
        <v>2256</v>
      </c>
      <c r="CG359" s="110">
        <v>54.644808740000002</v>
      </c>
      <c r="CH359" s="110" t="s">
        <v>2559</v>
      </c>
      <c r="CI359" s="110" t="s">
        <v>998</v>
      </c>
      <c r="CJ359" s="110" t="s">
        <v>1000</v>
      </c>
    </row>
    <row r="360" spans="1:88">
      <c r="A360" s="110" t="s">
        <v>549</v>
      </c>
      <c r="B360" s="110">
        <v>69</v>
      </c>
      <c r="C360" s="110">
        <v>3</v>
      </c>
      <c r="D360" s="110">
        <v>1</v>
      </c>
      <c r="E360" s="110">
        <v>359</v>
      </c>
      <c r="F360" s="110">
        <v>2004</v>
      </c>
      <c r="G360" s="110" t="s">
        <v>187</v>
      </c>
      <c r="H360" s="110" t="s">
        <v>1219</v>
      </c>
      <c r="I360" s="110" t="s">
        <v>246</v>
      </c>
      <c r="J360" s="110" t="s">
        <v>246</v>
      </c>
      <c r="K360" s="110" t="s">
        <v>999</v>
      </c>
      <c r="L360" s="110" t="s">
        <v>999</v>
      </c>
      <c r="R360" s="110" t="s">
        <v>2611</v>
      </c>
      <c r="S360" s="110" t="s">
        <v>446</v>
      </c>
      <c r="T360" s="110" t="s">
        <v>994</v>
      </c>
      <c r="U360" s="110" t="s">
        <v>563</v>
      </c>
      <c r="V360" s="110">
        <v>62.149659800000002</v>
      </c>
      <c r="W360" s="110">
        <v>-62.149659800000002</v>
      </c>
      <c r="X360" s="110">
        <v>-58.41941362</v>
      </c>
      <c r="Y360" s="110" t="s">
        <v>538</v>
      </c>
      <c r="Z360" s="110" t="s">
        <v>797</v>
      </c>
      <c r="AA360" s="110" t="s">
        <v>1788</v>
      </c>
      <c r="AB360" s="110" t="s">
        <v>333</v>
      </c>
      <c r="AC360" s="110" t="s">
        <v>246</v>
      </c>
      <c r="AD360" s="110" t="s">
        <v>333</v>
      </c>
      <c r="AE360" s="110" t="s">
        <v>187</v>
      </c>
      <c r="AF360" s="110" t="s">
        <v>190</v>
      </c>
      <c r="AG360" s="110" t="s">
        <v>190</v>
      </c>
      <c r="AI360" s="110" t="s">
        <v>246</v>
      </c>
      <c r="AJ360" s="110" t="s">
        <v>246</v>
      </c>
      <c r="AK360" s="110" t="s">
        <v>996</v>
      </c>
      <c r="AL360" s="110" t="s">
        <v>2512</v>
      </c>
      <c r="AM360" s="110" t="s">
        <v>997</v>
      </c>
      <c r="AN360" s="110" t="s">
        <v>2515</v>
      </c>
      <c r="AO360" s="110" t="s">
        <v>174</v>
      </c>
      <c r="AP360" s="110" t="s">
        <v>190</v>
      </c>
      <c r="AQ360" s="110" t="s">
        <v>176</v>
      </c>
      <c r="AR360" s="110">
        <v>2001</v>
      </c>
      <c r="AS360" s="110" t="s">
        <v>174</v>
      </c>
      <c r="AT360" s="110" t="s">
        <v>174</v>
      </c>
      <c r="AU360" s="110">
        <v>121</v>
      </c>
      <c r="AW360" s="110" t="s">
        <v>174</v>
      </c>
      <c r="AX360" s="110" t="s">
        <v>174</v>
      </c>
      <c r="AY360" s="110" t="s">
        <v>174</v>
      </c>
      <c r="AZ360" s="110" t="s">
        <v>174</v>
      </c>
      <c r="BA360" s="110">
        <v>4</v>
      </c>
      <c r="BB360" s="110">
        <v>4</v>
      </c>
      <c r="BC360" s="110">
        <v>4</v>
      </c>
      <c r="BD360" s="110">
        <v>0</v>
      </c>
      <c r="BE360" s="110" t="s">
        <v>246</v>
      </c>
      <c r="BF360" s="110" t="s">
        <v>188</v>
      </c>
      <c r="BG360" s="110">
        <v>0</v>
      </c>
      <c r="BH360" s="110" t="s">
        <v>190</v>
      </c>
      <c r="BI360" s="110" t="s">
        <v>246</v>
      </c>
      <c r="BJ360" s="110" t="s">
        <v>995</v>
      </c>
      <c r="BK360" s="110" t="s">
        <v>174</v>
      </c>
      <c r="BL360" s="110">
        <v>1</v>
      </c>
      <c r="BM360" s="110" t="s">
        <v>174</v>
      </c>
      <c r="BN360" s="110" t="s">
        <v>174</v>
      </c>
      <c r="BO360" s="110">
        <v>1.74</v>
      </c>
      <c r="BP360" s="110" t="s">
        <v>174</v>
      </c>
      <c r="BQ360" s="110" t="s">
        <v>174</v>
      </c>
      <c r="BR360" s="110" t="s">
        <v>174</v>
      </c>
      <c r="BS360" s="110">
        <v>30</v>
      </c>
      <c r="BT360" s="110" t="s">
        <v>2256</v>
      </c>
      <c r="BU360" s="110" t="s">
        <v>2606</v>
      </c>
      <c r="BV360" s="110" t="s">
        <v>2256</v>
      </c>
      <c r="CA360" s="110">
        <v>1.74</v>
      </c>
      <c r="CB360" s="110">
        <v>28.73563218</v>
      </c>
      <c r="CC360" s="110" t="b">
        <v>0</v>
      </c>
      <c r="CD360" s="110">
        <v>47.8</v>
      </c>
      <c r="CE360" s="110" t="s">
        <v>2256</v>
      </c>
      <c r="CF360" s="110" t="s">
        <v>2256</v>
      </c>
      <c r="CG360" s="110">
        <v>57.47126437</v>
      </c>
      <c r="CH360" s="110" t="s">
        <v>2560</v>
      </c>
      <c r="CI360" s="110" t="s">
        <v>998</v>
      </c>
      <c r="CJ360" s="110" t="s">
        <v>1000</v>
      </c>
    </row>
    <row r="361" spans="1:88">
      <c r="A361" s="110" t="s">
        <v>1115</v>
      </c>
      <c r="B361" s="110">
        <v>70</v>
      </c>
      <c r="C361" s="110">
        <v>1</v>
      </c>
      <c r="D361" s="110">
        <v>1</v>
      </c>
      <c r="E361" s="110">
        <v>360</v>
      </c>
      <c r="F361" s="110">
        <v>1992</v>
      </c>
      <c r="G361" s="110" t="s">
        <v>187</v>
      </c>
      <c r="H361" s="110" t="s">
        <v>2440</v>
      </c>
      <c r="I361" s="110" t="s">
        <v>182</v>
      </c>
      <c r="J361" s="110" t="s">
        <v>246</v>
      </c>
      <c r="K361" s="110" t="s">
        <v>184</v>
      </c>
      <c r="L361" s="110" t="s">
        <v>184</v>
      </c>
      <c r="M361" s="110" t="s">
        <v>3175</v>
      </c>
      <c r="P361" s="110" t="s">
        <v>3180</v>
      </c>
      <c r="R361" s="110" t="s">
        <v>1976</v>
      </c>
      <c r="S361" s="110" t="s">
        <v>446</v>
      </c>
      <c r="T361" s="110" t="s">
        <v>449</v>
      </c>
      <c r="U361" s="110" t="s">
        <v>1374</v>
      </c>
      <c r="V361" s="110">
        <v>56.295383309999998</v>
      </c>
      <c r="W361" s="110">
        <v>56.295383309999998</v>
      </c>
      <c r="X361" s="110">
        <v>10.43445822</v>
      </c>
      <c r="Y361" s="110" t="s">
        <v>973</v>
      </c>
      <c r="Z361" s="110" t="s">
        <v>155</v>
      </c>
      <c r="AA361" s="110" t="s">
        <v>1788</v>
      </c>
      <c r="AB361" s="110" t="s">
        <v>1740</v>
      </c>
      <c r="AC361" s="110" t="s">
        <v>182</v>
      </c>
      <c r="AD361" s="110" t="s">
        <v>1725</v>
      </c>
      <c r="AE361" s="110" t="s">
        <v>187</v>
      </c>
      <c r="AF361" s="110" t="s">
        <v>1745</v>
      </c>
      <c r="AG361" s="110" t="s">
        <v>190</v>
      </c>
      <c r="AI361" s="110" t="s">
        <v>246</v>
      </c>
      <c r="AK361" s="110" t="s">
        <v>1375</v>
      </c>
      <c r="AL361" s="110" t="s">
        <v>1379</v>
      </c>
      <c r="AM361" s="110" t="s">
        <v>174</v>
      </c>
      <c r="AN361" s="110" t="s">
        <v>412</v>
      </c>
      <c r="AO361" s="110" t="s">
        <v>190</v>
      </c>
      <c r="AP361" s="110" t="s">
        <v>190</v>
      </c>
      <c r="AQ361" s="110" t="s">
        <v>176</v>
      </c>
      <c r="AR361" s="110" t="s">
        <v>174</v>
      </c>
      <c r="AS361" s="110" t="s">
        <v>174</v>
      </c>
      <c r="AT361" s="110" t="s">
        <v>174</v>
      </c>
      <c r="AU361" s="110">
        <v>0.13300000000000001</v>
      </c>
      <c r="AV361" s="110" t="s">
        <v>1255</v>
      </c>
      <c r="AW361" s="110">
        <v>14</v>
      </c>
      <c r="BA361" s="110">
        <v>4</v>
      </c>
      <c r="BB361" s="110">
        <v>4</v>
      </c>
      <c r="BC361" s="110">
        <v>4</v>
      </c>
      <c r="BD361" s="110">
        <v>0</v>
      </c>
      <c r="BE361" s="110" t="s">
        <v>246</v>
      </c>
      <c r="BF361" s="110" t="s">
        <v>188</v>
      </c>
      <c r="BG361" s="110">
        <v>0</v>
      </c>
      <c r="BI361" s="110" t="s">
        <v>182</v>
      </c>
      <c r="BJ361" s="110" t="s">
        <v>1116</v>
      </c>
      <c r="BK361" s="110">
        <v>3</v>
      </c>
      <c r="BM361" s="110" t="s">
        <v>1706</v>
      </c>
      <c r="BN361" s="110">
        <v>2.3E-2</v>
      </c>
      <c r="BO361" s="110" t="s">
        <v>174</v>
      </c>
      <c r="BP361" s="110">
        <v>30.136833939999999</v>
      </c>
      <c r="BQ361" s="110" t="s">
        <v>174</v>
      </c>
      <c r="BR361" s="110" t="s">
        <v>174</v>
      </c>
      <c r="BS361" s="110">
        <v>20</v>
      </c>
      <c r="BT361" s="110" t="s">
        <v>2458</v>
      </c>
      <c r="BU361" s="110" t="s">
        <v>2606</v>
      </c>
      <c r="BV361" s="110" t="s">
        <v>2458</v>
      </c>
      <c r="BZ361" s="110">
        <v>2.3E-2</v>
      </c>
      <c r="CA361" s="110" t="s">
        <v>174</v>
      </c>
      <c r="CB361" s="110">
        <v>30.136833939999999</v>
      </c>
      <c r="CC361" s="110" t="b">
        <v>0</v>
      </c>
      <c r="CD361" s="110" t="s">
        <v>2256</v>
      </c>
      <c r="CE361" s="110" t="s">
        <v>2256</v>
      </c>
      <c r="CF361" s="110" t="s">
        <v>2256</v>
      </c>
      <c r="CG361" s="110" t="s">
        <v>174</v>
      </c>
      <c r="CH361" s="110" t="s">
        <v>1376</v>
      </c>
      <c r="CJ361" s="110" t="s">
        <v>2026</v>
      </c>
    </row>
    <row r="362" spans="1:88">
      <c r="A362" s="110" t="s">
        <v>1115</v>
      </c>
      <c r="B362" s="110">
        <v>70</v>
      </c>
      <c r="C362" s="110">
        <v>1</v>
      </c>
      <c r="D362" s="110">
        <v>1</v>
      </c>
      <c r="E362" s="110">
        <v>361</v>
      </c>
      <c r="F362" s="110">
        <v>1992</v>
      </c>
      <c r="G362" s="110" t="s">
        <v>187</v>
      </c>
      <c r="H362" s="110" t="s">
        <v>2440</v>
      </c>
      <c r="I362" s="110" t="s">
        <v>182</v>
      </c>
      <c r="J362" s="110" t="s">
        <v>246</v>
      </c>
      <c r="K362" s="110" t="s">
        <v>184</v>
      </c>
      <c r="L362" s="110" t="s">
        <v>184</v>
      </c>
      <c r="M362" s="110" t="s">
        <v>3175</v>
      </c>
      <c r="P362" s="110" t="s">
        <v>3180</v>
      </c>
      <c r="R362" s="110" t="s">
        <v>1976</v>
      </c>
      <c r="S362" s="110" t="s">
        <v>446</v>
      </c>
      <c r="T362" s="110" t="s">
        <v>449</v>
      </c>
      <c r="U362" s="110" t="s">
        <v>1374</v>
      </c>
      <c r="V362" s="110">
        <v>56.295383309999998</v>
      </c>
      <c r="W362" s="110">
        <v>56.295383309999998</v>
      </c>
      <c r="X362" s="110">
        <v>10.43445822</v>
      </c>
      <c r="Y362" s="110" t="s">
        <v>973</v>
      </c>
      <c r="Z362" s="110" t="s">
        <v>155</v>
      </c>
      <c r="AA362" s="110" t="s">
        <v>1788</v>
      </c>
      <c r="AB362" s="110" t="s">
        <v>1740</v>
      </c>
      <c r="AC362" s="110" t="s">
        <v>182</v>
      </c>
      <c r="AD362" s="110" t="s">
        <v>1725</v>
      </c>
      <c r="AE362" s="110" t="s">
        <v>187</v>
      </c>
      <c r="AF362" s="110" t="s">
        <v>1745</v>
      </c>
      <c r="AG362" s="110" t="s">
        <v>190</v>
      </c>
      <c r="AI362" s="110" t="s">
        <v>246</v>
      </c>
      <c r="AK362" s="110" t="s">
        <v>1375</v>
      </c>
      <c r="AL362" s="110" t="s">
        <v>1379</v>
      </c>
      <c r="AM362" s="110" t="s">
        <v>174</v>
      </c>
      <c r="AN362" s="110" t="s">
        <v>412</v>
      </c>
      <c r="AO362" s="110" t="s">
        <v>190</v>
      </c>
      <c r="AP362" s="110" t="s">
        <v>190</v>
      </c>
      <c r="AQ362" s="110" t="s">
        <v>176</v>
      </c>
      <c r="AR362" s="110" t="s">
        <v>174</v>
      </c>
      <c r="AS362" s="110" t="s">
        <v>174</v>
      </c>
      <c r="AT362" s="110" t="s">
        <v>174</v>
      </c>
      <c r="AU362" s="110">
        <v>0.13300000000000001</v>
      </c>
      <c r="AV362" s="110" t="s">
        <v>1255</v>
      </c>
      <c r="AW362" s="110">
        <v>14</v>
      </c>
      <c r="BA362" s="110">
        <v>8</v>
      </c>
      <c r="BB362" s="110">
        <v>8</v>
      </c>
      <c r="BC362" s="110">
        <v>8</v>
      </c>
      <c r="BD362" s="110">
        <v>0</v>
      </c>
      <c r="BE362" s="110" t="s">
        <v>246</v>
      </c>
      <c r="BF362" s="110" t="s">
        <v>188</v>
      </c>
      <c r="BG362" s="110">
        <v>0</v>
      </c>
      <c r="BI362" s="110" t="s">
        <v>182</v>
      </c>
      <c r="BJ362" s="110" t="s">
        <v>1116</v>
      </c>
      <c r="BK362" s="110">
        <v>3</v>
      </c>
      <c r="BM362" s="110" t="s">
        <v>1706</v>
      </c>
      <c r="BN362" s="110">
        <v>0.03</v>
      </c>
      <c r="BO362" s="110" t="s">
        <v>174</v>
      </c>
      <c r="BP362" s="110">
        <v>23.104906020000001</v>
      </c>
      <c r="BQ362" s="110" t="s">
        <v>174</v>
      </c>
      <c r="BR362" s="110" t="s">
        <v>174</v>
      </c>
      <c r="BS362" s="110">
        <v>20</v>
      </c>
      <c r="BT362" s="110" t="s">
        <v>2458</v>
      </c>
      <c r="BU362" s="110" t="s">
        <v>2606</v>
      </c>
      <c r="BV362" s="110" t="s">
        <v>2458</v>
      </c>
      <c r="BZ362" s="110">
        <v>0.03</v>
      </c>
      <c r="CA362" s="110" t="s">
        <v>174</v>
      </c>
      <c r="CB362" s="110">
        <v>23.104906020000001</v>
      </c>
      <c r="CC362" s="110" t="b">
        <v>0</v>
      </c>
      <c r="CD362" s="110" t="s">
        <v>2256</v>
      </c>
      <c r="CE362" s="110" t="s">
        <v>2256</v>
      </c>
      <c r="CF362" s="110" t="s">
        <v>2256</v>
      </c>
      <c r="CG362" s="110" t="s">
        <v>174</v>
      </c>
      <c r="CH362" s="110" t="s">
        <v>1377</v>
      </c>
      <c r="CJ362" s="110" t="s">
        <v>2026</v>
      </c>
    </row>
    <row r="363" spans="1:88">
      <c r="A363" s="110" t="s">
        <v>1115</v>
      </c>
      <c r="B363" s="110">
        <v>70</v>
      </c>
      <c r="C363" s="110">
        <v>1</v>
      </c>
      <c r="D363" s="110">
        <v>1</v>
      </c>
      <c r="E363" s="110">
        <v>362</v>
      </c>
      <c r="F363" s="110">
        <v>1992</v>
      </c>
      <c r="G363" s="110" t="s">
        <v>187</v>
      </c>
      <c r="H363" s="110" t="s">
        <v>2440</v>
      </c>
      <c r="I363" s="110" t="s">
        <v>182</v>
      </c>
      <c r="J363" s="110" t="s">
        <v>246</v>
      </c>
      <c r="K363" s="110" t="s">
        <v>184</v>
      </c>
      <c r="L363" s="110" t="s">
        <v>184</v>
      </c>
      <c r="M363" s="110" t="s">
        <v>3175</v>
      </c>
      <c r="P363" s="110" t="s">
        <v>3180</v>
      </c>
      <c r="R363" s="110" t="s">
        <v>1976</v>
      </c>
      <c r="S363" s="110" t="s">
        <v>446</v>
      </c>
      <c r="T363" s="110" t="s">
        <v>449</v>
      </c>
      <c r="U363" s="110" t="s">
        <v>1374</v>
      </c>
      <c r="V363" s="110">
        <v>56.295383309999998</v>
      </c>
      <c r="W363" s="110">
        <v>56.295383309999998</v>
      </c>
      <c r="X363" s="110">
        <v>10.43445822</v>
      </c>
      <c r="Y363" s="110" t="s">
        <v>973</v>
      </c>
      <c r="Z363" s="110" t="s">
        <v>155</v>
      </c>
      <c r="AA363" s="110" t="s">
        <v>1788</v>
      </c>
      <c r="AB363" s="110" t="s">
        <v>1740</v>
      </c>
      <c r="AC363" s="110" t="s">
        <v>182</v>
      </c>
      <c r="AD363" s="110" t="s">
        <v>1725</v>
      </c>
      <c r="AE363" s="110" t="s">
        <v>187</v>
      </c>
      <c r="AF363" s="110" t="s">
        <v>1745</v>
      </c>
      <c r="AG363" s="110" t="s">
        <v>190</v>
      </c>
      <c r="AI363" s="110" t="s">
        <v>246</v>
      </c>
      <c r="AK363" s="110" t="s">
        <v>1375</v>
      </c>
      <c r="AL363" s="110" t="s">
        <v>1379</v>
      </c>
      <c r="AM363" s="110" t="s">
        <v>174</v>
      </c>
      <c r="AN363" s="110" t="s">
        <v>412</v>
      </c>
      <c r="AO363" s="110" t="s">
        <v>190</v>
      </c>
      <c r="AP363" s="110" t="s">
        <v>190</v>
      </c>
      <c r="AQ363" s="110" t="s">
        <v>176</v>
      </c>
      <c r="AR363" s="110" t="s">
        <v>174</v>
      </c>
      <c r="AS363" s="110" t="s">
        <v>174</v>
      </c>
      <c r="AT363" s="110" t="s">
        <v>174</v>
      </c>
      <c r="AU363" s="110">
        <v>0.13300000000000001</v>
      </c>
      <c r="AV363" s="110" t="s">
        <v>1255</v>
      </c>
      <c r="AW363" s="110">
        <v>14</v>
      </c>
      <c r="BA363" s="110">
        <v>16</v>
      </c>
      <c r="BB363" s="110">
        <v>16</v>
      </c>
      <c r="BC363" s="110">
        <v>16</v>
      </c>
      <c r="BD363" s="110">
        <v>0</v>
      </c>
      <c r="BE363" s="110" t="s">
        <v>246</v>
      </c>
      <c r="BF363" s="110" t="s">
        <v>188</v>
      </c>
      <c r="BG363" s="110">
        <v>0</v>
      </c>
      <c r="BI363" s="110" t="s">
        <v>182</v>
      </c>
      <c r="BJ363" s="110" t="s">
        <v>1116</v>
      </c>
      <c r="BK363" s="110">
        <v>3</v>
      </c>
      <c r="BM363" s="110" t="s">
        <v>1706</v>
      </c>
      <c r="BN363" s="110">
        <v>0.05</v>
      </c>
      <c r="BO363" s="110" t="s">
        <v>174</v>
      </c>
      <c r="BP363" s="110">
        <v>13.86294361</v>
      </c>
      <c r="BQ363" s="110" t="s">
        <v>174</v>
      </c>
      <c r="BR363" s="110" t="s">
        <v>174</v>
      </c>
      <c r="BS363" s="110">
        <v>17</v>
      </c>
      <c r="BT363" s="110" t="s">
        <v>2458</v>
      </c>
      <c r="BU363" s="110" t="s">
        <v>2606</v>
      </c>
      <c r="BV363" s="110" t="s">
        <v>2458</v>
      </c>
      <c r="BZ363" s="110">
        <v>0.05</v>
      </c>
      <c r="CA363" s="110" t="s">
        <v>174</v>
      </c>
      <c r="CB363" s="110">
        <v>13.86294361</v>
      </c>
      <c r="CC363" s="110" t="b">
        <v>0</v>
      </c>
      <c r="CD363" s="110" t="s">
        <v>2256</v>
      </c>
      <c r="CE363" s="110" t="s">
        <v>2256</v>
      </c>
      <c r="CF363" s="110" t="s">
        <v>2256</v>
      </c>
      <c r="CG363" s="110" t="s">
        <v>174</v>
      </c>
      <c r="CH363" s="110" t="s">
        <v>1378</v>
      </c>
      <c r="CJ363" s="110" t="s">
        <v>2026</v>
      </c>
    </row>
    <row r="364" spans="1:88">
      <c r="A364" s="110" t="s">
        <v>941</v>
      </c>
      <c r="B364" s="110">
        <v>71</v>
      </c>
      <c r="C364" s="110">
        <v>2</v>
      </c>
      <c r="D364" s="110">
        <v>1</v>
      </c>
      <c r="E364" s="110">
        <v>363</v>
      </c>
      <c r="F364" s="110">
        <v>2021</v>
      </c>
      <c r="G364" s="110" t="s">
        <v>187</v>
      </c>
      <c r="H364" s="110" t="s">
        <v>2441</v>
      </c>
      <c r="I364" s="110" t="s">
        <v>182</v>
      </c>
      <c r="J364" s="110" t="s">
        <v>246</v>
      </c>
      <c r="K364" s="110" t="s">
        <v>186</v>
      </c>
      <c r="L364" s="110" t="s">
        <v>186</v>
      </c>
      <c r="M364" s="110" t="s">
        <v>3173</v>
      </c>
      <c r="N364" s="110" t="s">
        <v>3163</v>
      </c>
      <c r="Q364" s="110">
        <v>0.7</v>
      </c>
      <c r="R364" s="110" t="s">
        <v>1976</v>
      </c>
      <c r="S364" s="110" t="s">
        <v>444</v>
      </c>
      <c r="T364" s="110" t="s">
        <v>445</v>
      </c>
      <c r="U364" s="110" t="s">
        <v>811</v>
      </c>
      <c r="V364" s="110">
        <v>36.053333330000001</v>
      </c>
      <c r="W364" s="110">
        <v>36.053333330000001</v>
      </c>
      <c r="X364" s="110">
        <v>120.326944</v>
      </c>
      <c r="Y364" s="110" t="s">
        <v>185</v>
      </c>
      <c r="Z364" s="110" t="s">
        <v>380</v>
      </c>
      <c r="AA364" s="110" t="s">
        <v>1788</v>
      </c>
      <c r="AB364" s="110" t="s">
        <v>1739</v>
      </c>
      <c r="AC364" s="110" t="s">
        <v>182</v>
      </c>
      <c r="AD364" s="110" t="s">
        <v>1725</v>
      </c>
      <c r="AE364" s="110" t="s">
        <v>187</v>
      </c>
      <c r="AF364" s="110" t="s">
        <v>190</v>
      </c>
      <c r="AG364" s="110" t="s">
        <v>190</v>
      </c>
      <c r="AI364" s="110" t="s">
        <v>246</v>
      </c>
      <c r="AK364" s="110" t="s">
        <v>1071</v>
      </c>
      <c r="AL364" s="110" t="s">
        <v>1293</v>
      </c>
      <c r="AM364" s="110">
        <v>20000</v>
      </c>
      <c r="AN364" s="110" t="s">
        <v>1216</v>
      </c>
      <c r="AP364" s="110">
        <v>1023</v>
      </c>
      <c r="AQ364" s="110" t="s">
        <v>176</v>
      </c>
      <c r="AR364" s="110">
        <v>2018</v>
      </c>
      <c r="AS364" s="110" t="s">
        <v>253</v>
      </c>
      <c r="AT364" s="110" t="s">
        <v>254</v>
      </c>
      <c r="AU364" s="110" t="s">
        <v>174</v>
      </c>
      <c r="AV364" s="110" t="s">
        <v>174</v>
      </c>
      <c r="BA364" s="110">
        <v>25</v>
      </c>
      <c r="BB364" s="110">
        <v>25</v>
      </c>
      <c r="BC364" s="110">
        <v>25</v>
      </c>
      <c r="BD364" s="110">
        <v>0</v>
      </c>
      <c r="BE364" s="110" t="s">
        <v>246</v>
      </c>
      <c r="BF364" s="110" t="s">
        <v>188</v>
      </c>
      <c r="BG364" s="110">
        <v>0</v>
      </c>
      <c r="BH364" s="110" t="s">
        <v>174</v>
      </c>
      <c r="BI364" s="110" t="s">
        <v>182</v>
      </c>
      <c r="BJ364" s="110" t="s">
        <v>1287</v>
      </c>
      <c r="BK364" s="110">
        <v>4</v>
      </c>
      <c r="BL364" s="110">
        <v>10</v>
      </c>
      <c r="BM364" s="110" t="s">
        <v>1461</v>
      </c>
      <c r="BN364" s="110" t="s">
        <v>174</v>
      </c>
      <c r="BO364" s="110" t="s">
        <v>174</v>
      </c>
      <c r="BP364" s="110" t="s">
        <v>174</v>
      </c>
      <c r="BQ364" s="110" t="s">
        <v>174</v>
      </c>
      <c r="BR364" s="110" t="s">
        <v>174</v>
      </c>
      <c r="BS364" s="110">
        <v>168</v>
      </c>
      <c r="BT364" s="110" t="s">
        <v>1385</v>
      </c>
      <c r="BU364" s="110" t="s">
        <v>3207</v>
      </c>
      <c r="BV364" s="110" t="s">
        <v>2603</v>
      </c>
      <c r="BW364" s="110">
        <v>0.98</v>
      </c>
      <c r="BZ364" s="110">
        <v>0.14000000000000001</v>
      </c>
      <c r="CA364" s="110" t="s">
        <v>174</v>
      </c>
      <c r="CB364" s="110">
        <v>6.18</v>
      </c>
      <c r="CC364" s="110" t="b">
        <v>0</v>
      </c>
      <c r="CD364" s="110">
        <v>13.2</v>
      </c>
      <c r="CE364" s="110">
        <v>13.2</v>
      </c>
      <c r="CF364" s="110" t="s">
        <v>182</v>
      </c>
      <c r="CG364" s="110" t="s">
        <v>174</v>
      </c>
      <c r="CH364" s="110" t="s">
        <v>1294</v>
      </c>
      <c r="CI364" s="110" t="s">
        <v>1288</v>
      </c>
    </row>
    <row r="365" spans="1:88">
      <c r="A365" s="110" t="s">
        <v>581</v>
      </c>
      <c r="B365" s="110">
        <v>72</v>
      </c>
      <c r="C365" s="110">
        <v>1</v>
      </c>
      <c r="D365" s="110">
        <v>1</v>
      </c>
      <c r="E365" s="110">
        <v>364</v>
      </c>
      <c r="F365" s="110">
        <v>1994</v>
      </c>
      <c r="G365" s="110" t="s">
        <v>187</v>
      </c>
      <c r="H365" s="110" t="s">
        <v>2437</v>
      </c>
      <c r="I365" s="110" t="s">
        <v>182</v>
      </c>
      <c r="J365" s="110" t="s">
        <v>246</v>
      </c>
      <c r="K365" s="110" t="s">
        <v>186</v>
      </c>
      <c r="L365" s="110" t="s">
        <v>186</v>
      </c>
      <c r="M365" s="110" t="s">
        <v>3161</v>
      </c>
      <c r="Q365" s="110">
        <v>0.45</v>
      </c>
      <c r="R365" s="110" t="s">
        <v>1976</v>
      </c>
      <c r="S365" s="110" t="s">
        <v>444</v>
      </c>
      <c r="T365" s="110" t="s">
        <v>445</v>
      </c>
      <c r="U365" s="110" t="s">
        <v>704</v>
      </c>
      <c r="V365" s="110">
        <v>55.504906839999997</v>
      </c>
      <c r="W365" s="110">
        <v>55.504906839999997</v>
      </c>
      <c r="X365" s="110">
        <v>10.538050950000001</v>
      </c>
      <c r="Y365" s="110" t="s">
        <v>973</v>
      </c>
      <c r="Z365" s="110" t="s">
        <v>155</v>
      </c>
      <c r="AA365" s="110" t="s">
        <v>1788</v>
      </c>
      <c r="AB365" s="110" t="s">
        <v>1734</v>
      </c>
      <c r="AC365" s="110" t="s">
        <v>182</v>
      </c>
      <c r="AD365" s="110" t="s">
        <v>333</v>
      </c>
      <c r="AE365" s="110" t="s">
        <v>187</v>
      </c>
      <c r="AF365" s="110" t="s">
        <v>190</v>
      </c>
      <c r="AG365" s="110" t="s">
        <v>190</v>
      </c>
      <c r="AI365" s="110" t="s">
        <v>246</v>
      </c>
      <c r="AK365" s="110" t="s">
        <v>976</v>
      </c>
      <c r="AL365" s="110" t="s">
        <v>975</v>
      </c>
      <c r="AM365" s="110">
        <v>200</v>
      </c>
      <c r="AN365" s="110" t="s">
        <v>1216</v>
      </c>
      <c r="AP365" s="110" t="s">
        <v>978</v>
      </c>
      <c r="AQ365" s="110" t="s">
        <v>175</v>
      </c>
      <c r="AR365" s="110" t="s">
        <v>174</v>
      </c>
      <c r="AS365" s="110" t="s">
        <v>174</v>
      </c>
      <c r="AT365" s="110" t="s">
        <v>174</v>
      </c>
      <c r="AU365" s="110" t="s">
        <v>174</v>
      </c>
      <c r="AW365" s="110" t="s">
        <v>174</v>
      </c>
      <c r="AX365" s="110" t="s">
        <v>174</v>
      </c>
      <c r="AY365" s="110" t="s">
        <v>174</v>
      </c>
      <c r="AZ365" s="110" t="s">
        <v>174</v>
      </c>
      <c r="BA365" s="110">
        <v>21</v>
      </c>
      <c r="BB365" s="110">
        <v>21</v>
      </c>
      <c r="BC365" s="110">
        <v>21</v>
      </c>
      <c r="BD365" s="110">
        <v>0</v>
      </c>
      <c r="BE365" s="110" t="s">
        <v>246</v>
      </c>
      <c r="BF365" s="110" t="s">
        <v>188</v>
      </c>
      <c r="BG365" s="110">
        <v>0</v>
      </c>
      <c r="BH365" s="110" t="s">
        <v>190</v>
      </c>
      <c r="BI365" s="110" t="s">
        <v>182</v>
      </c>
      <c r="BJ365" s="110" t="s">
        <v>966</v>
      </c>
      <c r="BK365" s="110">
        <v>2</v>
      </c>
      <c r="BL365" s="110">
        <v>10</v>
      </c>
      <c r="BM365" s="110" t="s">
        <v>1394</v>
      </c>
      <c r="BN365" s="110" t="s">
        <v>174</v>
      </c>
      <c r="BO365" s="110" t="s">
        <v>174</v>
      </c>
      <c r="BP365" s="110" t="s">
        <v>174</v>
      </c>
      <c r="BQ365" s="110" t="s">
        <v>174</v>
      </c>
      <c r="BR365" s="110" t="s">
        <v>174</v>
      </c>
      <c r="BS365" s="110">
        <v>70</v>
      </c>
      <c r="BT365" s="110" t="s">
        <v>1385</v>
      </c>
      <c r="BU365" s="110" t="s">
        <v>3207</v>
      </c>
      <c r="BV365" s="110" t="s">
        <v>2603</v>
      </c>
      <c r="BW365" s="110">
        <v>0.97</v>
      </c>
      <c r="BZ365" s="110">
        <v>0.1162</v>
      </c>
      <c r="CA365" s="110" t="s">
        <v>174</v>
      </c>
      <c r="CB365" s="110">
        <v>8.32</v>
      </c>
      <c r="CC365" s="110" t="b">
        <v>0</v>
      </c>
      <c r="CD365" s="110">
        <v>11.9</v>
      </c>
      <c r="CE365" s="110">
        <v>11.9</v>
      </c>
      <c r="CF365" s="110" t="s">
        <v>182</v>
      </c>
      <c r="CG365" s="110" t="s">
        <v>174</v>
      </c>
      <c r="CH365" s="110" t="s">
        <v>174</v>
      </c>
      <c r="CI365" s="110" t="s">
        <v>967</v>
      </c>
      <c r="CJ365" s="110" t="s">
        <v>977</v>
      </c>
    </row>
    <row r="366" spans="1:88">
      <c r="A366" s="110" t="s">
        <v>581</v>
      </c>
      <c r="B366" s="110">
        <v>72</v>
      </c>
      <c r="C366" s="110">
        <v>1</v>
      </c>
      <c r="D366" s="110">
        <v>1</v>
      </c>
      <c r="E366" s="110">
        <v>365</v>
      </c>
      <c r="F366" s="110">
        <v>1994</v>
      </c>
      <c r="G366" s="110" t="s">
        <v>187</v>
      </c>
      <c r="H366" s="110" t="s">
        <v>2437</v>
      </c>
      <c r="I366" s="110" t="s">
        <v>182</v>
      </c>
      <c r="J366" s="110" t="s">
        <v>246</v>
      </c>
      <c r="K366" s="110" t="s">
        <v>184</v>
      </c>
      <c r="L366" s="110" t="s">
        <v>184</v>
      </c>
      <c r="M366" s="110" t="s">
        <v>3175</v>
      </c>
      <c r="P366" s="110" t="s">
        <v>3177</v>
      </c>
      <c r="R366" s="110" t="s">
        <v>1976</v>
      </c>
      <c r="S366" s="110" t="s">
        <v>444</v>
      </c>
      <c r="T366" s="110" t="s">
        <v>445</v>
      </c>
      <c r="U366" s="110" t="s">
        <v>704</v>
      </c>
      <c r="V366" s="110">
        <v>55.504906839999997</v>
      </c>
      <c r="W366" s="110">
        <v>55.504906839999997</v>
      </c>
      <c r="X366" s="110">
        <v>10.538050950000001</v>
      </c>
      <c r="Y366" s="110" t="s">
        <v>973</v>
      </c>
      <c r="Z366" s="110" t="s">
        <v>155</v>
      </c>
      <c r="AA366" s="110" t="s">
        <v>1788</v>
      </c>
      <c r="AB366" s="110" t="s">
        <v>1734</v>
      </c>
      <c r="AC366" s="110" t="s">
        <v>182</v>
      </c>
      <c r="AD366" s="110" t="s">
        <v>333</v>
      </c>
      <c r="AE366" s="110" t="s">
        <v>187</v>
      </c>
      <c r="AF366" s="110" t="s">
        <v>190</v>
      </c>
      <c r="AG366" s="110" t="s">
        <v>190</v>
      </c>
      <c r="AI366" s="110" t="s">
        <v>246</v>
      </c>
      <c r="AK366" s="110" t="s">
        <v>976</v>
      </c>
      <c r="AL366" s="110" t="s">
        <v>975</v>
      </c>
      <c r="AM366" s="110">
        <v>200</v>
      </c>
      <c r="AN366" s="110" t="s">
        <v>1216</v>
      </c>
      <c r="AO366" s="110">
        <v>4.4999999999999999E-4</v>
      </c>
      <c r="AP366" s="110" t="s">
        <v>190</v>
      </c>
      <c r="AQ366" s="110" t="s">
        <v>175</v>
      </c>
      <c r="AR366" s="110" t="s">
        <v>174</v>
      </c>
      <c r="AS366" s="110" t="s">
        <v>174</v>
      </c>
      <c r="AT366" s="110" t="s">
        <v>174</v>
      </c>
      <c r="AU366" s="110">
        <v>10</v>
      </c>
      <c r="AW366" s="110">
        <v>7</v>
      </c>
      <c r="AX366" s="110" t="s">
        <v>174</v>
      </c>
      <c r="AY366" s="110" t="s">
        <v>174</v>
      </c>
      <c r="AZ366" s="110" t="s">
        <v>174</v>
      </c>
      <c r="BA366" s="110">
        <v>21</v>
      </c>
      <c r="BB366" s="110">
        <v>21</v>
      </c>
      <c r="BC366" s="110">
        <v>21</v>
      </c>
      <c r="BD366" s="110">
        <v>0</v>
      </c>
      <c r="BE366" s="110" t="s">
        <v>246</v>
      </c>
      <c r="BF366" s="110" t="s">
        <v>188</v>
      </c>
      <c r="BG366" s="110">
        <v>0</v>
      </c>
      <c r="BH366" s="110" t="s">
        <v>190</v>
      </c>
      <c r="BI366" s="110" t="s">
        <v>182</v>
      </c>
      <c r="BJ366" s="110" t="s">
        <v>966</v>
      </c>
      <c r="BK366" s="110">
        <v>2</v>
      </c>
      <c r="BL366" s="110">
        <v>10</v>
      </c>
      <c r="BM366" s="110" t="s">
        <v>1394</v>
      </c>
      <c r="BN366" s="110" t="s">
        <v>174</v>
      </c>
      <c r="BO366" s="110" t="s">
        <v>174</v>
      </c>
      <c r="BP366" s="110" t="s">
        <v>174</v>
      </c>
      <c r="BQ366" s="110" t="s">
        <v>174</v>
      </c>
      <c r="BR366" s="110" t="s">
        <v>174</v>
      </c>
      <c r="BS366" s="110">
        <v>70</v>
      </c>
      <c r="BT366" s="110" t="s">
        <v>1385</v>
      </c>
      <c r="BU366" s="110" t="s">
        <v>3207</v>
      </c>
      <c r="BV366" s="110" t="s">
        <v>2603</v>
      </c>
      <c r="BW366" s="110">
        <v>0.97</v>
      </c>
      <c r="BZ366" s="110">
        <v>0.15559999999999999</v>
      </c>
      <c r="CA366" s="110" t="s">
        <v>174</v>
      </c>
      <c r="CB366" s="110">
        <v>12.16</v>
      </c>
      <c r="CC366" s="110" t="b">
        <v>0</v>
      </c>
      <c r="CD366" s="110">
        <v>41.93</v>
      </c>
      <c r="CE366" s="110">
        <v>41.93</v>
      </c>
      <c r="CF366" s="110" t="s">
        <v>182</v>
      </c>
      <c r="CG366" s="110" t="s">
        <v>174</v>
      </c>
      <c r="CH366" s="110" t="s">
        <v>174</v>
      </c>
      <c r="CI366" s="110" t="s">
        <v>967</v>
      </c>
      <c r="CJ366" s="110" t="s">
        <v>977</v>
      </c>
    </row>
    <row r="367" spans="1:88">
      <c r="A367" s="110" t="s">
        <v>3220</v>
      </c>
      <c r="B367" s="110">
        <v>73</v>
      </c>
      <c r="C367" s="110">
        <v>3</v>
      </c>
      <c r="D367" s="110">
        <v>1</v>
      </c>
      <c r="E367" s="110">
        <v>366</v>
      </c>
      <c r="F367" s="110">
        <v>2021</v>
      </c>
      <c r="G367" s="110" t="s">
        <v>161</v>
      </c>
      <c r="H367" s="110" t="s">
        <v>1219</v>
      </c>
      <c r="I367" s="110" t="s">
        <v>182</v>
      </c>
      <c r="J367" s="110" t="s">
        <v>246</v>
      </c>
      <c r="K367" s="110" t="s">
        <v>999</v>
      </c>
      <c r="L367" s="110" t="s">
        <v>999</v>
      </c>
      <c r="R367" s="110" t="s">
        <v>1976</v>
      </c>
      <c r="S367" s="110" t="s">
        <v>444</v>
      </c>
      <c r="T367" s="110" t="s">
        <v>445</v>
      </c>
      <c r="U367" s="110" t="s">
        <v>811</v>
      </c>
      <c r="V367" s="110">
        <v>36.0488</v>
      </c>
      <c r="W367" s="110">
        <v>36.0488</v>
      </c>
      <c r="X367" s="110">
        <v>120.319</v>
      </c>
      <c r="Y367" s="110" t="s">
        <v>185</v>
      </c>
      <c r="Z367" s="110" t="s">
        <v>380</v>
      </c>
      <c r="AA367" s="110" t="s">
        <v>424</v>
      </c>
      <c r="AB367" s="110" t="s">
        <v>333</v>
      </c>
      <c r="AC367" s="110" t="s">
        <v>246</v>
      </c>
      <c r="AD367" s="110" t="s">
        <v>1725</v>
      </c>
      <c r="AE367" s="110" t="s">
        <v>218</v>
      </c>
      <c r="AG367" s="110">
        <v>1</v>
      </c>
      <c r="AI367" s="110" t="s">
        <v>246</v>
      </c>
      <c r="AJ367" s="110" t="s">
        <v>246</v>
      </c>
      <c r="AK367" s="110" t="s">
        <v>2852</v>
      </c>
      <c r="AL367" s="110" t="s">
        <v>2724</v>
      </c>
      <c r="AM367" s="110">
        <f>1000*1000</f>
        <v>1000000</v>
      </c>
      <c r="AN367" s="110" t="s">
        <v>412</v>
      </c>
      <c r="AQ367" s="110" t="s">
        <v>176</v>
      </c>
      <c r="AR367" s="110">
        <v>2018</v>
      </c>
      <c r="AS367" s="110" t="s">
        <v>237</v>
      </c>
      <c r="AT367" s="110" t="s">
        <v>420</v>
      </c>
      <c r="AU367" s="110">
        <v>25000</v>
      </c>
      <c r="AV367" s="110" t="s">
        <v>1256</v>
      </c>
      <c r="BA367" s="110">
        <v>18.5</v>
      </c>
      <c r="BB367" s="110">
        <v>26</v>
      </c>
      <c r="BC367" s="110">
        <f>AVERAGE(BA367:BB367)</f>
        <v>22.25</v>
      </c>
      <c r="BD367" s="110">
        <f>BB367-BA367</f>
        <v>7.5</v>
      </c>
      <c r="BE367" s="110" t="s">
        <v>182</v>
      </c>
      <c r="BF367" s="110" t="s">
        <v>412</v>
      </c>
      <c r="BI367" s="110" t="s">
        <v>182</v>
      </c>
      <c r="BJ367" s="110" t="s">
        <v>2859</v>
      </c>
      <c r="BK367" s="110">
        <v>3</v>
      </c>
      <c r="BL367" s="110">
        <v>5</v>
      </c>
      <c r="BS367" s="110">
        <v>18</v>
      </c>
      <c r="BT367" s="110" t="s">
        <v>1385</v>
      </c>
      <c r="BU367" s="110" t="s">
        <v>3207</v>
      </c>
      <c r="BV367" s="110" t="s">
        <v>2603</v>
      </c>
      <c r="BW367" s="110">
        <v>0.98180000000000001</v>
      </c>
      <c r="BZ367" s="110">
        <v>0.34899999999999998</v>
      </c>
      <c r="CB367" s="110" t="s">
        <v>190</v>
      </c>
      <c r="CC367" s="110" t="b">
        <v>0</v>
      </c>
      <c r="CD367" s="110">
        <v>55.599999999999994</v>
      </c>
      <c r="CE367" s="110">
        <v>55.599999999999994</v>
      </c>
      <c r="CF367" s="110" t="s">
        <v>182</v>
      </c>
      <c r="CH367" s="110" t="s">
        <v>2848</v>
      </c>
      <c r="CJ367" s="110" t="s">
        <v>2853</v>
      </c>
    </row>
    <row r="368" spans="1:88">
      <c r="A368" s="110" t="s">
        <v>3220</v>
      </c>
      <c r="B368" s="110">
        <v>73</v>
      </c>
      <c r="C368" s="110">
        <v>3</v>
      </c>
      <c r="D368" s="110">
        <v>1</v>
      </c>
      <c r="E368" s="110">
        <v>367</v>
      </c>
      <c r="F368" s="110">
        <v>2021</v>
      </c>
      <c r="G368" s="110" t="s">
        <v>161</v>
      </c>
      <c r="H368" s="110" t="s">
        <v>1219</v>
      </c>
      <c r="I368" s="110" t="s">
        <v>182</v>
      </c>
      <c r="J368" s="110" t="s">
        <v>246</v>
      </c>
      <c r="K368" s="110" t="s">
        <v>999</v>
      </c>
      <c r="L368" s="110" t="s">
        <v>999</v>
      </c>
      <c r="R368" s="110" t="s">
        <v>1976</v>
      </c>
      <c r="S368" s="110" t="s">
        <v>444</v>
      </c>
      <c r="T368" s="110" t="s">
        <v>445</v>
      </c>
      <c r="U368" s="110" t="s">
        <v>811</v>
      </c>
      <c r="V368" s="110">
        <v>36.0488</v>
      </c>
      <c r="W368" s="110">
        <v>36.0488</v>
      </c>
      <c r="X368" s="110">
        <v>120.319</v>
      </c>
      <c r="Y368" s="110" t="s">
        <v>185</v>
      </c>
      <c r="Z368" s="110" t="s">
        <v>380</v>
      </c>
      <c r="AA368" s="110" t="s">
        <v>424</v>
      </c>
      <c r="AB368" s="110" t="s">
        <v>333</v>
      </c>
      <c r="AC368" s="110" t="s">
        <v>246</v>
      </c>
      <c r="AD368" s="110" t="s">
        <v>1725</v>
      </c>
      <c r="AE368" s="110" t="s">
        <v>218</v>
      </c>
      <c r="AG368" s="110">
        <v>1</v>
      </c>
      <c r="AI368" s="110" t="s">
        <v>246</v>
      </c>
      <c r="AJ368" s="110" t="s">
        <v>246</v>
      </c>
      <c r="AK368" s="110" t="s">
        <v>2852</v>
      </c>
      <c r="AL368" s="110" t="s">
        <v>2724</v>
      </c>
      <c r="AM368" s="110">
        <f>1000*1000</f>
        <v>1000000</v>
      </c>
      <c r="AN368" s="110" t="s">
        <v>412</v>
      </c>
      <c r="AQ368" s="110" t="s">
        <v>176</v>
      </c>
      <c r="AR368" s="110">
        <v>2018</v>
      </c>
      <c r="AS368" s="110" t="s">
        <v>237</v>
      </c>
      <c r="AT368" s="110" t="s">
        <v>420</v>
      </c>
      <c r="AU368" s="110">
        <v>25000</v>
      </c>
      <c r="AV368" s="110" t="s">
        <v>1256</v>
      </c>
      <c r="BA368" s="110">
        <v>18.5</v>
      </c>
      <c r="BB368" s="110">
        <v>26</v>
      </c>
      <c r="BC368" s="110">
        <f>AVERAGE(BA368:BB368)</f>
        <v>22.25</v>
      </c>
      <c r="BD368" s="110">
        <f>BB368-BA368</f>
        <v>7.5</v>
      </c>
      <c r="BE368" s="110" t="s">
        <v>182</v>
      </c>
      <c r="BF368" s="110" t="s">
        <v>412</v>
      </c>
      <c r="BI368" s="110" t="s">
        <v>182</v>
      </c>
      <c r="BJ368" s="110" t="s">
        <v>2859</v>
      </c>
      <c r="BK368" s="110">
        <v>3</v>
      </c>
      <c r="BL368" s="110">
        <v>5</v>
      </c>
      <c r="BS368" s="110">
        <v>18</v>
      </c>
      <c r="BT368" s="110" t="s">
        <v>1387</v>
      </c>
      <c r="BU368" s="110" t="s">
        <v>2606</v>
      </c>
      <c r="BV368" s="110" t="s">
        <v>1387</v>
      </c>
      <c r="CB368" s="110" t="s">
        <v>190</v>
      </c>
      <c r="CC368" s="110" t="b">
        <v>0</v>
      </c>
      <c r="CD368" s="110">
        <v>69.28</v>
      </c>
      <c r="CE368" s="110" t="s">
        <v>2256</v>
      </c>
      <c r="CF368" s="110" t="s">
        <v>2256</v>
      </c>
      <c r="CH368" s="110" t="s">
        <v>2849</v>
      </c>
      <c r="CJ368" s="110" t="s">
        <v>2853</v>
      </c>
    </row>
    <row r="369" spans="1:88">
      <c r="A369" s="110" t="s">
        <v>3220</v>
      </c>
      <c r="B369" s="110">
        <v>73</v>
      </c>
      <c r="C369" s="110">
        <v>3</v>
      </c>
      <c r="D369" s="110">
        <v>1</v>
      </c>
      <c r="E369" s="110">
        <v>368</v>
      </c>
      <c r="F369" s="110">
        <v>2021</v>
      </c>
      <c r="G369" s="110" t="s">
        <v>161</v>
      </c>
      <c r="H369" s="110" t="s">
        <v>1219</v>
      </c>
      <c r="I369" s="110" t="s">
        <v>182</v>
      </c>
      <c r="J369" s="110" t="s">
        <v>246</v>
      </c>
      <c r="K369" s="110" t="s">
        <v>999</v>
      </c>
      <c r="L369" s="110" t="s">
        <v>999</v>
      </c>
      <c r="R369" s="110" t="s">
        <v>1976</v>
      </c>
      <c r="S369" s="110" t="s">
        <v>444</v>
      </c>
      <c r="T369" s="110" t="s">
        <v>445</v>
      </c>
      <c r="U369" s="110" t="s">
        <v>811</v>
      </c>
      <c r="V369" s="110">
        <v>36.0488</v>
      </c>
      <c r="W369" s="110">
        <v>36.0488</v>
      </c>
      <c r="X369" s="110">
        <v>120.319</v>
      </c>
      <c r="Y369" s="110" t="s">
        <v>185</v>
      </c>
      <c r="Z369" s="110" t="s">
        <v>380</v>
      </c>
      <c r="AA369" s="110" t="s">
        <v>424</v>
      </c>
      <c r="AB369" s="110" t="s">
        <v>333</v>
      </c>
      <c r="AC369" s="110" t="s">
        <v>246</v>
      </c>
      <c r="AD369" s="110" t="s">
        <v>1725</v>
      </c>
      <c r="AE369" s="110" t="s">
        <v>218</v>
      </c>
      <c r="AG369" s="110">
        <v>1</v>
      </c>
      <c r="AI369" s="110" t="s">
        <v>246</v>
      </c>
      <c r="AJ369" s="110" t="s">
        <v>246</v>
      </c>
      <c r="AK369" s="110" t="s">
        <v>2852</v>
      </c>
      <c r="AL369" s="110" t="s">
        <v>2724</v>
      </c>
      <c r="AM369" s="110">
        <f>1000*1000</f>
        <v>1000000</v>
      </c>
      <c r="AN369" s="110" t="s">
        <v>412</v>
      </c>
      <c r="AQ369" s="110" t="s">
        <v>176</v>
      </c>
      <c r="AR369" s="110">
        <v>2018</v>
      </c>
      <c r="AS369" s="110" t="s">
        <v>237</v>
      </c>
      <c r="AT369" s="110" t="s">
        <v>420</v>
      </c>
      <c r="AU369" s="110">
        <v>25000</v>
      </c>
      <c r="AV369" s="110" t="s">
        <v>1256</v>
      </c>
      <c r="BA369" s="110">
        <v>18.5</v>
      </c>
      <c r="BB369" s="110">
        <v>26</v>
      </c>
      <c r="BC369" s="110">
        <f>AVERAGE(BA369:BB369)</f>
        <v>22.25</v>
      </c>
      <c r="BD369" s="110">
        <f>BB369-BA369</f>
        <v>7.5</v>
      </c>
      <c r="BE369" s="110" t="s">
        <v>182</v>
      </c>
      <c r="BF369" s="110" t="s">
        <v>412</v>
      </c>
      <c r="BI369" s="110" t="s">
        <v>182</v>
      </c>
      <c r="BJ369" s="110" t="s">
        <v>2859</v>
      </c>
      <c r="BK369" s="110">
        <v>3</v>
      </c>
      <c r="BL369" s="110">
        <v>5</v>
      </c>
      <c r="BS369" s="110">
        <v>18</v>
      </c>
      <c r="BT369" s="110" t="s">
        <v>1396</v>
      </c>
      <c r="BU369" s="110" t="s">
        <v>1396</v>
      </c>
      <c r="BV369" s="110" t="s">
        <v>1396</v>
      </c>
      <c r="BW369" s="110">
        <v>0.80449999999999999</v>
      </c>
      <c r="CA369" s="110">
        <v>2.0937000000000001</v>
      </c>
      <c r="CB369" s="110">
        <f>50/CA369</f>
        <v>23.881167311458182</v>
      </c>
      <c r="CC369" s="110" t="b">
        <v>0</v>
      </c>
      <c r="CD369" s="110">
        <v>53.400000000000006</v>
      </c>
      <c r="CE369" s="110" t="s">
        <v>2256</v>
      </c>
      <c r="CF369" s="110" t="s">
        <v>2256</v>
      </c>
      <c r="CH369" s="110" t="s">
        <v>2850</v>
      </c>
      <c r="CJ369" s="110" t="s">
        <v>2853</v>
      </c>
    </row>
    <row r="370" spans="1:88">
      <c r="A370" s="110" t="s">
        <v>3220</v>
      </c>
      <c r="B370" s="110">
        <v>73</v>
      </c>
      <c r="C370" s="110">
        <v>3</v>
      </c>
      <c r="D370" s="110">
        <v>1</v>
      </c>
      <c r="E370" s="110">
        <v>369</v>
      </c>
      <c r="F370" s="110">
        <v>2021</v>
      </c>
      <c r="G370" s="110" t="s">
        <v>161</v>
      </c>
      <c r="H370" s="110" t="s">
        <v>1219</v>
      </c>
      <c r="I370" s="110" t="s">
        <v>182</v>
      </c>
      <c r="J370" s="110" t="s">
        <v>246</v>
      </c>
      <c r="K370" s="110" t="s">
        <v>999</v>
      </c>
      <c r="L370" s="110" t="s">
        <v>999</v>
      </c>
      <c r="R370" s="110" t="s">
        <v>1976</v>
      </c>
      <c r="S370" s="110" t="s">
        <v>444</v>
      </c>
      <c r="T370" s="110" t="s">
        <v>445</v>
      </c>
      <c r="U370" s="110" t="s">
        <v>811</v>
      </c>
      <c r="V370" s="110">
        <v>36.0488</v>
      </c>
      <c r="W370" s="110">
        <v>36.0488</v>
      </c>
      <c r="X370" s="110">
        <v>120.319</v>
      </c>
      <c r="Y370" s="110" t="s">
        <v>185</v>
      </c>
      <c r="Z370" s="110" t="s">
        <v>380</v>
      </c>
      <c r="AA370" s="110" t="s">
        <v>424</v>
      </c>
      <c r="AB370" s="110" t="s">
        <v>333</v>
      </c>
      <c r="AC370" s="110" t="s">
        <v>246</v>
      </c>
      <c r="AD370" s="110" t="s">
        <v>1725</v>
      </c>
      <c r="AE370" s="110" t="s">
        <v>218</v>
      </c>
      <c r="AG370" s="110">
        <v>1</v>
      </c>
      <c r="AI370" s="110" t="s">
        <v>246</v>
      </c>
      <c r="AJ370" s="110" t="s">
        <v>246</v>
      </c>
      <c r="AK370" s="110" t="s">
        <v>2852</v>
      </c>
      <c r="AL370" s="110" t="s">
        <v>2724</v>
      </c>
      <c r="AM370" s="110">
        <f>1000*1000</f>
        <v>1000000</v>
      </c>
      <c r="AN370" s="110" t="s">
        <v>412</v>
      </c>
      <c r="AQ370" s="110" t="s">
        <v>176</v>
      </c>
      <c r="AR370" s="110">
        <v>2018</v>
      </c>
      <c r="AS370" s="110" t="s">
        <v>237</v>
      </c>
      <c r="AT370" s="110" t="s">
        <v>420</v>
      </c>
      <c r="AU370" s="110">
        <v>25000</v>
      </c>
      <c r="AV370" s="110" t="s">
        <v>1256</v>
      </c>
      <c r="BA370" s="110">
        <v>18.5</v>
      </c>
      <c r="BB370" s="110">
        <v>26</v>
      </c>
      <c r="BC370" s="110">
        <f>AVERAGE(BA370:BB370)</f>
        <v>22.25</v>
      </c>
      <c r="BD370" s="110">
        <f>BB370-BA370</f>
        <v>7.5</v>
      </c>
      <c r="BE370" s="110" t="s">
        <v>182</v>
      </c>
      <c r="BF370" s="110" t="s">
        <v>412</v>
      </c>
      <c r="BI370" s="110" t="s">
        <v>182</v>
      </c>
      <c r="BJ370" s="110" t="s">
        <v>2859</v>
      </c>
      <c r="BK370" s="110">
        <v>3</v>
      </c>
      <c r="BL370" s="110">
        <v>5</v>
      </c>
      <c r="BS370" s="110">
        <v>18</v>
      </c>
      <c r="BT370" s="110" t="s">
        <v>1396</v>
      </c>
      <c r="BU370" s="110" t="s">
        <v>1396</v>
      </c>
      <c r="BV370" s="110" t="s">
        <v>1396</v>
      </c>
      <c r="BW370" s="110">
        <v>0.84719999999999995</v>
      </c>
      <c r="CA370" s="110">
        <v>2.0430000000000001</v>
      </c>
      <c r="CB370" s="110">
        <f>50/CA370</f>
        <v>24.473813020068526</v>
      </c>
      <c r="CC370" s="110" t="b">
        <v>0</v>
      </c>
      <c r="CD370" s="110">
        <v>57.879999999999995</v>
      </c>
      <c r="CE370" s="110" t="s">
        <v>2256</v>
      </c>
      <c r="CF370" s="110" t="s">
        <v>2256</v>
      </c>
      <c r="CH370" s="110" t="s">
        <v>2851</v>
      </c>
      <c r="CJ370" s="110" t="s">
        <v>2853</v>
      </c>
    </row>
    <row r="371" spans="1:88">
      <c r="A371" s="110" t="s">
        <v>1943</v>
      </c>
      <c r="B371" s="110">
        <v>74</v>
      </c>
      <c r="C371" s="110">
        <v>1</v>
      </c>
      <c r="D371" s="110">
        <v>1</v>
      </c>
      <c r="E371" s="110">
        <v>370</v>
      </c>
      <c r="F371" s="110">
        <v>2008</v>
      </c>
      <c r="G371" s="110" t="s">
        <v>161</v>
      </c>
      <c r="H371" s="110" t="s">
        <v>2440</v>
      </c>
      <c r="I371" s="110" t="s">
        <v>182</v>
      </c>
      <c r="J371" s="110" t="s">
        <v>246</v>
      </c>
      <c r="K371" s="110" t="s">
        <v>999</v>
      </c>
      <c r="L371" s="110" t="s">
        <v>999</v>
      </c>
      <c r="R371" s="110" t="s">
        <v>272</v>
      </c>
      <c r="S371" s="110" t="s">
        <v>443</v>
      </c>
      <c r="T371" s="110" t="s">
        <v>611</v>
      </c>
      <c r="U371" s="110" t="s">
        <v>552</v>
      </c>
      <c r="V371" s="110">
        <v>51.091667000000001</v>
      </c>
      <c r="W371" s="110">
        <v>51.091667000000001</v>
      </c>
      <c r="X371" s="110">
        <v>2.5669439999999999</v>
      </c>
      <c r="Y371" s="110" t="s">
        <v>1944</v>
      </c>
      <c r="Z371" s="110" t="s">
        <v>155</v>
      </c>
      <c r="AA371" s="110" t="s">
        <v>1788</v>
      </c>
      <c r="AB371" s="110" t="s">
        <v>2327</v>
      </c>
      <c r="AC371" s="110" t="s">
        <v>182</v>
      </c>
      <c r="AD371" s="110" t="s">
        <v>1256</v>
      </c>
      <c r="AE371" s="110" t="s">
        <v>1306</v>
      </c>
      <c r="AF371" s="110" t="s">
        <v>1745</v>
      </c>
      <c r="AH371" s="110" t="s">
        <v>1946</v>
      </c>
      <c r="AI371" s="110" t="s">
        <v>182</v>
      </c>
      <c r="AJ371" s="110" t="s">
        <v>1945</v>
      </c>
      <c r="AK371" s="110" t="s">
        <v>171</v>
      </c>
      <c r="AO371" s="110">
        <v>0.12</v>
      </c>
      <c r="AP371" s="110" t="s">
        <v>190</v>
      </c>
      <c r="AQ371" s="110" t="s">
        <v>176</v>
      </c>
      <c r="AR371" s="110">
        <v>2001</v>
      </c>
      <c r="AS371" s="110" t="s">
        <v>743</v>
      </c>
      <c r="AT371" s="110" t="s">
        <v>385</v>
      </c>
      <c r="AU371" s="110">
        <v>4</v>
      </c>
      <c r="AV371" s="110" t="s">
        <v>1255</v>
      </c>
      <c r="AW371" s="110">
        <v>11.2</v>
      </c>
      <c r="AX371" s="110">
        <v>18.12</v>
      </c>
      <c r="BE371" s="110" t="s">
        <v>246</v>
      </c>
      <c r="BF371" s="110" t="s">
        <v>188</v>
      </c>
      <c r="BG371" s="110">
        <v>0</v>
      </c>
      <c r="BI371" s="110" t="s">
        <v>182</v>
      </c>
      <c r="BK371" s="110">
        <v>3</v>
      </c>
      <c r="BL371" s="110">
        <v>3</v>
      </c>
      <c r="BM371" s="110" t="s">
        <v>181</v>
      </c>
      <c r="BS371" s="110">
        <v>52</v>
      </c>
      <c r="BT371" s="110" t="s">
        <v>1396</v>
      </c>
      <c r="BU371" s="110" t="s">
        <v>1396</v>
      </c>
      <c r="BV371" s="110" t="s">
        <v>1396</v>
      </c>
      <c r="BW371" s="110">
        <v>0.96799999999999997</v>
      </c>
      <c r="CA371" s="110">
        <v>0.65269999999999995</v>
      </c>
      <c r="CB371" s="110">
        <v>76.604872069999999</v>
      </c>
      <c r="CC371" s="110" t="b">
        <v>0</v>
      </c>
      <c r="CD371" s="110">
        <f>100-35.53</f>
        <v>64.47</v>
      </c>
      <c r="CE371" s="110">
        <v>0</v>
      </c>
      <c r="CF371" s="110" t="s">
        <v>246</v>
      </c>
      <c r="CG371" s="110">
        <v>153.20974409999999</v>
      </c>
      <c r="CH371" s="110" t="s">
        <v>1975</v>
      </c>
    </row>
    <row r="372" spans="1:88">
      <c r="A372" s="110" t="s">
        <v>1943</v>
      </c>
      <c r="B372" s="110">
        <v>74</v>
      </c>
      <c r="C372" s="110">
        <v>1</v>
      </c>
      <c r="D372" s="110">
        <v>1</v>
      </c>
      <c r="E372" s="110">
        <v>371</v>
      </c>
      <c r="F372" s="110">
        <v>2008</v>
      </c>
      <c r="G372" s="110" t="s">
        <v>161</v>
      </c>
      <c r="H372" s="110" t="s">
        <v>2440</v>
      </c>
      <c r="I372" s="110" t="s">
        <v>182</v>
      </c>
      <c r="J372" s="110" t="s">
        <v>246</v>
      </c>
      <c r="K372" s="110" t="s">
        <v>999</v>
      </c>
      <c r="L372" s="110" t="s">
        <v>999</v>
      </c>
      <c r="R372" s="110" t="s">
        <v>272</v>
      </c>
      <c r="S372" s="110" t="s">
        <v>443</v>
      </c>
      <c r="T372" s="110" t="s">
        <v>611</v>
      </c>
      <c r="U372" s="110" t="s">
        <v>552</v>
      </c>
      <c r="V372" s="110">
        <v>51.091667000000001</v>
      </c>
      <c r="W372" s="110">
        <v>51.091667000000001</v>
      </c>
      <c r="X372" s="110">
        <v>2.5669439999999999</v>
      </c>
      <c r="Y372" s="110" t="s">
        <v>1944</v>
      </c>
      <c r="Z372" s="110" t="s">
        <v>155</v>
      </c>
      <c r="AA372" s="110" t="s">
        <v>1788</v>
      </c>
      <c r="AB372" s="110" t="s">
        <v>2327</v>
      </c>
      <c r="AC372" s="110" t="s">
        <v>182</v>
      </c>
      <c r="AD372" s="110" t="s">
        <v>1256</v>
      </c>
      <c r="AE372" s="110" t="s">
        <v>1306</v>
      </c>
      <c r="AF372" s="110" t="s">
        <v>1745</v>
      </c>
      <c r="AH372" s="110" t="s">
        <v>1947</v>
      </c>
      <c r="AI372" s="110" t="s">
        <v>182</v>
      </c>
      <c r="AJ372" s="110" t="s">
        <v>1945</v>
      </c>
      <c r="AK372" s="110" t="s">
        <v>171</v>
      </c>
      <c r="AO372" s="110">
        <v>0.12</v>
      </c>
      <c r="AP372" s="110" t="s">
        <v>190</v>
      </c>
      <c r="AQ372" s="110" t="s">
        <v>176</v>
      </c>
      <c r="AR372" s="110">
        <v>2001</v>
      </c>
      <c r="AS372" s="110" t="s">
        <v>743</v>
      </c>
      <c r="AT372" s="110" t="s">
        <v>385</v>
      </c>
      <c r="AU372" s="110">
        <v>4</v>
      </c>
      <c r="AV372" s="110" t="s">
        <v>1255</v>
      </c>
      <c r="AW372" s="110">
        <v>11.2</v>
      </c>
      <c r="AX372" s="110">
        <v>17.57</v>
      </c>
      <c r="BE372" s="110" t="s">
        <v>246</v>
      </c>
      <c r="BF372" s="110" t="s">
        <v>188</v>
      </c>
      <c r="BG372" s="110">
        <v>0</v>
      </c>
      <c r="BI372" s="110" t="s">
        <v>182</v>
      </c>
      <c r="BK372" s="110">
        <v>3</v>
      </c>
      <c r="BL372" s="110">
        <v>2</v>
      </c>
      <c r="BM372" s="110" t="s">
        <v>181</v>
      </c>
      <c r="BS372" s="110">
        <v>21</v>
      </c>
      <c r="BT372" s="110" t="s">
        <v>1396</v>
      </c>
      <c r="BU372" s="110" t="s">
        <v>1396</v>
      </c>
      <c r="BV372" s="110" t="s">
        <v>1396</v>
      </c>
      <c r="BW372" s="110">
        <v>0.99429999999999996</v>
      </c>
      <c r="CA372" s="110">
        <v>2.3028571430000002</v>
      </c>
      <c r="CB372" s="110">
        <v>21.712158809999998</v>
      </c>
      <c r="CC372" s="110" t="b">
        <v>0</v>
      </c>
      <c r="CD372" s="110">
        <f>100-48.36</f>
        <v>51.64</v>
      </c>
      <c r="CE372" s="110" t="s">
        <v>2256</v>
      </c>
      <c r="CF372" s="110" t="s">
        <v>2256</v>
      </c>
      <c r="CG372" s="110">
        <v>43.424317619999997</v>
      </c>
      <c r="CH372" s="110" t="s">
        <v>1975</v>
      </c>
    </row>
    <row r="373" spans="1:88">
      <c r="A373" s="110" t="s">
        <v>1943</v>
      </c>
      <c r="B373" s="110">
        <v>74</v>
      </c>
      <c r="C373" s="110">
        <v>1</v>
      </c>
      <c r="D373" s="110">
        <v>1</v>
      </c>
      <c r="E373" s="110">
        <v>372</v>
      </c>
      <c r="F373" s="110">
        <v>2008</v>
      </c>
      <c r="G373" s="110" t="s">
        <v>161</v>
      </c>
      <c r="H373" s="110" t="s">
        <v>2440</v>
      </c>
      <c r="I373" s="110" t="s">
        <v>182</v>
      </c>
      <c r="J373" s="110" t="s">
        <v>246</v>
      </c>
      <c r="K373" s="110" t="s">
        <v>999</v>
      </c>
      <c r="L373" s="110" t="s">
        <v>999</v>
      </c>
      <c r="R373" s="110" t="s">
        <v>272</v>
      </c>
      <c r="S373" s="110" t="s">
        <v>443</v>
      </c>
      <c r="T373" s="110" t="s">
        <v>611</v>
      </c>
      <c r="U373" s="110" t="s">
        <v>552</v>
      </c>
      <c r="V373" s="110">
        <v>51.091667000000001</v>
      </c>
      <c r="W373" s="110">
        <v>51.091667000000001</v>
      </c>
      <c r="X373" s="110">
        <v>2.5669439999999999</v>
      </c>
      <c r="Y373" s="110" t="s">
        <v>1944</v>
      </c>
      <c r="Z373" s="110" t="s">
        <v>155</v>
      </c>
      <c r="AA373" s="110" t="s">
        <v>1788</v>
      </c>
      <c r="AB373" s="110" t="s">
        <v>2327</v>
      </c>
      <c r="AC373" s="110" t="s">
        <v>182</v>
      </c>
      <c r="AD373" s="110" t="s">
        <v>1256</v>
      </c>
      <c r="AE373" s="110" t="s">
        <v>1306</v>
      </c>
      <c r="AF373" s="110" t="s">
        <v>1745</v>
      </c>
      <c r="AH373" s="110" t="s">
        <v>1948</v>
      </c>
      <c r="AI373" s="110" t="s">
        <v>182</v>
      </c>
      <c r="AJ373" s="110" t="s">
        <v>1945</v>
      </c>
      <c r="AK373" s="110" t="s">
        <v>171</v>
      </c>
      <c r="AO373" s="110">
        <v>0.12</v>
      </c>
      <c r="AP373" s="110" t="s">
        <v>190</v>
      </c>
      <c r="AQ373" s="110" t="s">
        <v>176</v>
      </c>
      <c r="AR373" s="110">
        <v>2001</v>
      </c>
      <c r="AS373" s="110" t="s">
        <v>743</v>
      </c>
      <c r="AT373" s="110" t="s">
        <v>385</v>
      </c>
      <c r="AU373" s="110">
        <v>4</v>
      </c>
      <c r="AV373" s="110" t="s">
        <v>1255</v>
      </c>
      <c r="AW373" s="110">
        <v>11.2</v>
      </c>
      <c r="AX373" s="110">
        <v>16.95</v>
      </c>
      <c r="BE373" s="110" t="s">
        <v>246</v>
      </c>
      <c r="BF373" s="110" t="s">
        <v>188</v>
      </c>
      <c r="BG373" s="110">
        <v>0</v>
      </c>
      <c r="BI373" s="110" t="s">
        <v>182</v>
      </c>
      <c r="BK373" s="110">
        <v>3</v>
      </c>
      <c r="BL373" s="110">
        <v>2</v>
      </c>
      <c r="BM373" s="110" t="s">
        <v>181</v>
      </c>
      <c r="BS373" s="110">
        <v>21</v>
      </c>
      <c r="BT373" s="110" t="s">
        <v>1396</v>
      </c>
      <c r="BU373" s="110" t="s">
        <v>1396</v>
      </c>
      <c r="BV373" s="110" t="s">
        <v>1396</v>
      </c>
      <c r="BW373" s="110">
        <v>0.95399999999999996</v>
      </c>
      <c r="CA373" s="110">
        <v>2.1123809520000001</v>
      </c>
      <c r="CB373" s="110">
        <v>23.669972949999998</v>
      </c>
      <c r="CC373" s="110" t="b">
        <v>0</v>
      </c>
      <c r="CE373" s="110" t="s">
        <v>2256</v>
      </c>
      <c r="CF373" s="110" t="s">
        <v>2256</v>
      </c>
      <c r="CG373" s="110">
        <v>47.339945899999996</v>
      </c>
      <c r="CH373" s="110" t="s">
        <v>1975</v>
      </c>
    </row>
    <row r="374" spans="1:88">
      <c r="A374" s="110" t="s">
        <v>1943</v>
      </c>
      <c r="B374" s="110">
        <v>74</v>
      </c>
      <c r="C374" s="110">
        <v>1</v>
      </c>
      <c r="D374" s="110">
        <v>1</v>
      </c>
      <c r="E374" s="110">
        <v>373</v>
      </c>
      <c r="F374" s="110">
        <v>2008</v>
      </c>
      <c r="G374" s="110" t="s">
        <v>161</v>
      </c>
      <c r="H374" s="110" t="s">
        <v>2440</v>
      </c>
      <c r="I374" s="110" t="s">
        <v>182</v>
      </c>
      <c r="J374" s="110" t="s">
        <v>246</v>
      </c>
      <c r="K374" s="110" t="s">
        <v>999</v>
      </c>
      <c r="L374" s="110" t="s">
        <v>999</v>
      </c>
      <c r="R374" s="110" t="s">
        <v>272</v>
      </c>
      <c r="S374" s="110" t="s">
        <v>443</v>
      </c>
      <c r="T374" s="110" t="s">
        <v>611</v>
      </c>
      <c r="U374" s="110" t="s">
        <v>552</v>
      </c>
      <c r="V374" s="110">
        <v>51.091667000000001</v>
      </c>
      <c r="W374" s="110">
        <v>51.091667000000001</v>
      </c>
      <c r="X374" s="110">
        <v>2.5669439999999999</v>
      </c>
      <c r="Y374" s="110" t="s">
        <v>1944</v>
      </c>
      <c r="Z374" s="110" t="s">
        <v>155</v>
      </c>
      <c r="AA374" s="110" t="s">
        <v>1788</v>
      </c>
      <c r="AB374" s="110" t="s">
        <v>2327</v>
      </c>
      <c r="AC374" s="110" t="s">
        <v>182</v>
      </c>
      <c r="AD374" s="110" t="s">
        <v>1256</v>
      </c>
      <c r="AE374" s="110" t="s">
        <v>1306</v>
      </c>
      <c r="AF374" s="110" t="s">
        <v>1745</v>
      </c>
      <c r="AH374" s="110" t="s">
        <v>1949</v>
      </c>
      <c r="AI374" s="110" t="s">
        <v>182</v>
      </c>
      <c r="AJ374" s="110" t="s">
        <v>1945</v>
      </c>
      <c r="AK374" s="110" t="s">
        <v>171</v>
      </c>
      <c r="AO374" s="110">
        <v>0.12</v>
      </c>
      <c r="AP374" s="110" t="s">
        <v>190</v>
      </c>
      <c r="AQ374" s="110" t="s">
        <v>176</v>
      </c>
      <c r="AR374" s="110">
        <v>2001</v>
      </c>
      <c r="AS374" s="110" t="s">
        <v>743</v>
      </c>
      <c r="AT374" s="110" t="s">
        <v>385</v>
      </c>
      <c r="AU374" s="110">
        <v>4</v>
      </c>
      <c r="AV374" s="110" t="s">
        <v>1255</v>
      </c>
      <c r="AW374" s="110">
        <v>11.2</v>
      </c>
      <c r="AX374" s="110">
        <v>17.149999999999999</v>
      </c>
      <c r="BE374" s="110" t="s">
        <v>246</v>
      </c>
      <c r="BF374" s="110" t="s">
        <v>188</v>
      </c>
      <c r="BG374" s="110">
        <v>0</v>
      </c>
      <c r="BI374" s="110" t="s">
        <v>182</v>
      </c>
      <c r="BK374" s="110">
        <v>3</v>
      </c>
      <c r="BL374" s="110">
        <v>2</v>
      </c>
      <c r="BM374" s="110" t="s">
        <v>181</v>
      </c>
      <c r="BS374" s="110">
        <v>21</v>
      </c>
      <c r="BT374" s="110" t="s">
        <v>1396</v>
      </c>
      <c r="BU374" s="110" t="s">
        <v>1396</v>
      </c>
      <c r="BV374" s="110" t="s">
        <v>1396</v>
      </c>
      <c r="BW374" s="110">
        <v>0.95369999999999999</v>
      </c>
      <c r="CA374" s="110">
        <v>2.0938095240000001</v>
      </c>
      <c r="CB374" s="110">
        <v>23.87991813</v>
      </c>
      <c r="CC374" s="110" t="b">
        <v>0</v>
      </c>
      <c r="CD374" s="110">
        <f>100-44.36</f>
        <v>55.64</v>
      </c>
      <c r="CE374" s="110" t="s">
        <v>2256</v>
      </c>
      <c r="CF374" s="110" t="s">
        <v>2256</v>
      </c>
      <c r="CG374" s="110">
        <v>47.759836249999999</v>
      </c>
      <c r="CH374" s="110" t="s">
        <v>1975</v>
      </c>
    </row>
    <row r="375" spans="1:88">
      <c r="A375" s="110" t="s">
        <v>1943</v>
      </c>
      <c r="B375" s="110">
        <v>74</v>
      </c>
      <c r="C375" s="110">
        <v>1</v>
      </c>
      <c r="D375" s="110">
        <v>1</v>
      </c>
      <c r="E375" s="110">
        <v>374</v>
      </c>
      <c r="F375" s="110">
        <v>2008</v>
      </c>
      <c r="G375" s="110" t="s">
        <v>161</v>
      </c>
      <c r="H375" s="110" t="s">
        <v>2440</v>
      </c>
      <c r="I375" s="110" t="s">
        <v>182</v>
      </c>
      <c r="J375" s="110" t="s">
        <v>246</v>
      </c>
      <c r="K375" s="110" t="s">
        <v>999</v>
      </c>
      <c r="L375" s="110" t="s">
        <v>999</v>
      </c>
      <c r="R375" s="110" t="s">
        <v>272</v>
      </c>
      <c r="S375" s="110" t="s">
        <v>443</v>
      </c>
      <c r="T375" s="110" t="s">
        <v>611</v>
      </c>
      <c r="U375" s="110" t="s">
        <v>552</v>
      </c>
      <c r="V375" s="110">
        <v>51.091667000000001</v>
      </c>
      <c r="W375" s="110">
        <v>51.091667000000001</v>
      </c>
      <c r="X375" s="110">
        <v>2.5669439999999999</v>
      </c>
      <c r="Y375" s="110" t="s">
        <v>1944</v>
      </c>
      <c r="Z375" s="110" t="s">
        <v>155</v>
      </c>
      <c r="AA375" s="110" t="s">
        <v>1788</v>
      </c>
      <c r="AB375" s="110" t="s">
        <v>2327</v>
      </c>
      <c r="AC375" s="110" t="s">
        <v>182</v>
      </c>
      <c r="AD375" s="110" t="s">
        <v>1256</v>
      </c>
      <c r="AE375" s="110" t="s">
        <v>1306</v>
      </c>
      <c r="AF375" s="110" t="s">
        <v>1745</v>
      </c>
      <c r="AH375" s="110" t="s">
        <v>1950</v>
      </c>
      <c r="AI375" s="110" t="s">
        <v>182</v>
      </c>
      <c r="AJ375" s="110" t="s">
        <v>1945</v>
      </c>
      <c r="AK375" s="110" t="s">
        <v>171</v>
      </c>
      <c r="AO375" s="110">
        <v>0.12</v>
      </c>
      <c r="AP375" s="110" t="s">
        <v>190</v>
      </c>
      <c r="AQ375" s="110" t="s">
        <v>176</v>
      </c>
      <c r="AR375" s="110">
        <v>2001</v>
      </c>
      <c r="AS375" s="110" t="s">
        <v>743</v>
      </c>
      <c r="AT375" s="110" t="s">
        <v>385</v>
      </c>
      <c r="AU375" s="110">
        <v>4</v>
      </c>
      <c r="AV375" s="110" t="s">
        <v>1255</v>
      </c>
      <c r="AW375" s="110">
        <v>11.2</v>
      </c>
      <c r="AX375" s="110">
        <v>15.59</v>
      </c>
      <c r="BE375" s="110" t="s">
        <v>246</v>
      </c>
      <c r="BF375" s="110" t="s">
        <v>188</v>
      </c>
      <c r="BG375" s="110">
        <v>0</v>
      </c>
      <c r="BI375" s="110" t="s">
        <v>182</v>
      </c>
      <c r="BK375" s="110">
        <v>3</v>
      </c>
      <c r="BL375" s="110">
        <v>2</v>
      </c>
      <c r="BM375" s="110" t="s">
        <v>181</v>
      </c>
      <c r="BS375" s="110">
        <v>21</v>
      </c>
      <c r="BT375" s="110" t="s">
        <v>1396</v>
      </c>
      <c r="BU375" s="110" t="s">
        <v>1396</v>
      </c>
      <c r="BV375" s="110" t="s">
        <v>1396</v>
      </c>
      <c r="BW375" s="110">
        <v>0.99</v>
      </c>
      <c r="CA375" s="110">
        <v>1.887142857</v>
      </c>
      <c r="CB375" s="110">
        <v>26.495079489999998</v>
      </c>
      <c r="CC375" s="110" t="b">
        <v>0</v>
      </c>
      <c r="CD375" s="110">
        <f>100-39.63</f>
        <v>60.37</v>
      </c>
      <c r="CE375" s="110" t="s">
        <v>2256</v>
      </c>
      <c r="CF375" s="110" t="s">
        <v>2256</v>
      </c>
      <c r="CG375" s="110">
        <v>52.990158970000003</v>
      </c>
      <c r="CH375" s="110" t="s">
        <v>1975</v>
      </c>
    </row>
    <row r="376" spans="1:88">
      <c r="A376" s="110" t="s">
        <v>1943</v>
      </c>
      <c r="B376" s="110">
        <v>74</v>
      </c>
      <c r="C376" s="110">
        <v>1</v>
      </c>
      <c r="D376" s="110">
        <v>1</v>
      </c>
      <c r="E376" s="110">
        <v>375</v>
      </c>
      <c r="F376" s="110">
        <v>2008</v>
      </c>
      <c r="G376" s="110" t="s">
        <v>161</v>
      </c>
      <c r="H376" s="110" t="s">
        <v>2440</v>
      </c>
      <c r="I376" s="110" t="s">
        <v>182</v>
      </c>
      <c r="J376" s="110" t="s">
        <v>246</v>
      </c>
      <c r="K376" s="110" t="s">
        <v>999</v>
      </c>
      <c r="L376" s="110" t="s">
        <v>999</v>
      </c>
      <c r="R376" s="110" t="s">
        <v>272</v>
      </c>
      <c r="S376" s="110" t="s">
        <v>443</v>
      </c>
      <c r="T376" s="110" t="s">
        <v>611</v>
      </c>
      <c r="U376" s="110" t="s">
        <v>552</v>
      </c>
      <c r="V376" s="110">
        <v>51.091667000000001</v>
      </c>
      <c r="W376" s="110">
        <v>51.091667000000001</v>
      </c>
      <c r="X376" s="110">
        <v>2.5669439999999999</v>
      </c>
      <c r="Y376" s="110" t="s">
        <v>1944</v>
      </c>
      <c r="Z376" s="110" t="s">
        <v>155</v>
      </c>
      <c r="AA376" s="110" t="s">
        <v>1788</v>
      </c>
      <c r="AB376" s="110" t="s">
        <v>2327</v>
      </c>
      <c r="AC376" s="110" t="s">
        <v>182</v>
      </c>
      <c r="AD376" s="110" t="s">
        <v>1256</v>
      </c>
      <c r="AE376" s="110" t="s">
        <v>1306</v>
      </c>
      <c r="AF376" s="110" t="s">
        <v>1745</v>
      </c>
      <c r="AH376" s="110" t="s">
        <v>1951</v>
      </c>
      <c r="AI376" s="110" t="s">
        <v>182</v>
      </c>
      <c r="AJ376" s="110" t="s">
        <v>1945</v>
      </c>
      <c r="AK376" s="110" t="s">
        <v>171</v>
      </c>
      <c r="AO376" s="110">
        <v>0.12</v>
      </c>
      <c r="AP376" s="110" t="s">
        <v>190</v>
      </c>
      <c r="AQ376" s="110" t="s">
        <v>176</v>
      </c>
      <c r="AR376" s="110">
        <v>2001</v>
      </c>
      <c r="AS376" s="110" t="s">
        <v>743</v>
      </c>
      <c r="AT376" s="110" t="s">
        <v>385</v>
      </c>
      <c r="AU376" s="110">
        <v>4</v>
      </c>
      <c r="AV376" s="110" t="s">
        <v>1255</v>
      </c>
      <c r="AW376" s="110">
        <v>11.2</v>
      </c>
      <c r="AX376" s="110">
        <v>16.899999999999999</v>
      </c>
      <c r="BE376" s="110" t="s">
        <v>246</v>
      </c>
      <c r="BF376" s="110" t="s">
        <v>188</v>
      </c>
      <c r="BG376" s="110">
        <v>0</v>
      </c>
      <c r="BI376" s="110" t="s">
        <v>182</v>
      </c>
      <c r="BK376" s="110">
        <v>3</v>
      </c>
      <c r="BL376" s="110">
        <v>2</v>
      </c>
      <c r="BM376" s="110" t="s">
        <v>181</v>
      </c>
      <c r="BS376" s="110">
        <v>21</v>
      </c>
      <c r="BT376" s="110" t="s">
        <v>1396</v>
      </c>
      <c r="BU376" s="110" t="s">
        <v>1396</v>
      </c>
      <c r="BV376" s="110" t="s">
        <v>1396</v>
      </c>
      <c r="BW376" s="110">
        <v>0.99</v>
      </c>
      <c r="CA376" s="110">
        <v>2.4300000000000002</v>
      </c>
      <c r="CB376" s="110">
        <v>20.57613169</v>
      </c>
      <c r="CC376" s="110" t="b">
        <v>0</v>
      </c>
      <c r="CE376" s="110" t="s">
        <v>2256</v>
      </c>
      <c r="CF376" s="110" t="s">
        <v>2256</v>
      </c>
      <c r="CG376" s="110">
        <v>41.15226337</v>
      </c>
      <c r="CH376" s="110" t="s">
        <v>1975</v>
      </c>
    </row>
    <row r="377" spans="1:88">
      <c r="A377" s="110" t="s">
        <v>1943</v>
      </c>
      <c r="B377" s="110">
        <v>74</v>
      </c>
      <c r="C377" s="110">
        <v>1</v>
      </c>
      <c r="D377" s="110">
        <v>1</v>
      </c>
      <c r="E377" s="110">
        <v>376</v>
      </c>
      <c r="F377" s="110">
        <v>2008</v>
      </c>
      <c r="G377" s="110" t="s">
        <v>161</v>
      </c>
      <c r="H377" s="110" t="s">
        <v>2440</v>
      </c>
      <c r="I377" s="110" t="s">
        <v>182</v>
      </c>
      <c r="J377" s="110" t="s">
        <v>246</v>
      </c>
      <c r="K377" s="110" t="s">
        <v>999</v>
      </c>
      <c r="L377" s="110" t="s">
        <v>999</v>
      </c>
      <c r="R377" s="110" t="s">
        <v>272</v>
      </c>
      <c r="S377" s="110" t="s">
        <v>443</v>
      </c>
      <c r="T377" s="110" t="s">
        <v>611</v>
      </c>
      <c r="U377" s="110" t="s">
        <v>552</v>
      </c>
      <c r="V377" s="110">
        <v>51.091667000000001</v>
      </c>
      <c r="W377" s="110">
        <v>51.091667000000001</v>
      </c>
      <c r="X377" s="110">
        <v>2.5669439999999999</v>
      </c>
      <c r="Y377" s="110" t="s">
        <v>1944</v>
      </c>
      <c r="Z377" s="110" t="s">
        <v>155</v>
      </c>
      <c r="AA377" s="110" t="s">
        <v>1788</v>
      </c>
      <c r="AB377" s="110" t="s">
        <v>2327</v>
      </c>
      <c r="AC377" s="110" t="s">
        <v>182</v>
      </c>
      <c r="AD377" s="110" t="s">
        <v>1256</v>
      </c>
      <c r="AE377" s="110" t="s">
        <v>1306</v>
      </c>
      <c r="AF377" s="110" t="s">
        <v>1745</v>
      </c>
      <c r="AH377" s="110" t="s">
        <v>1952</v>
      </c>
      <c r="AI377" s="110" t="s">
        <v>182</v>
      </c>
      <c r="AJ377" s="110" t="s">
        <v>1945</v>
      </c>
      <c r="AK377" s="110" t="s">
        <v>171</v>
      </c>
      <c r="AO377" s="110">
        <v>0.12</v>
      </c>
      <c r="AP377" s="110" t="s">
        <v>190</v>
      </c>
      <c r="AQ377" s="110" t="s">
        <v>176</v>
      </c>
      <c r="AR377" s="110">
        <v>2001</v>
      </c>
      <c r="AS377" s="110" t="s">
        <v>743</v>
      </c>
      <c r="AT377" s="110" t="s">
        <v>385</v>
      </c>
      <c r="AU377" s="110">
        <v>4</v>
      </c>
      <c r="AV377" s="110" t="s">
        <v>1255</v>
      </c>
      <c r="AW377" s="110">
        <v>11.2</v>
      </c>
      <c r="AX377" s="110">
        <v>17.82</v>
      </c>
      <c r="BE377" s="110" t="s">
        <v>246</v>
      </c>
      <c r="BF377" s="110" t="s">
        <v>188</v>
      </c>
      <c r="BG377" s="110">
        <v>0</v>
      </c>
      <c r="BI377" s="110" t="s">
        <v>182</v>
      </c>
      <c r="BK377" s="110">
        <v>3</v>
      </c>
      <c r="BL377" s="110">
        <v>3</v>
      </c>
      <c r="BM377" s="110" t="s">
        <v>181</v>
      </c>
      <c r="BS377" s="110">
        <v>52</v>
      </c>
      <c r="BT377" s="110" t="s">
        <v>1396</v>
      </c>
      <c r="BU377" s="110" t="s">
        <v>1396</v>
      </c>
      <c r="BV377" s="110" t="s">
        <v>1396</v>
      </c>
      <c r="BW377" s="110">
        <v>0.88700000000000001</v>
      </c>
      <c r="CA377" s="110">
        <v>0.898269231</v>
      </c>
      <c r="CB377" s="110">
        <v>55.662599020000002</v>
      </c>
      <c r="CC377" s="110" t="b">
        <v>0</v>
      </c>
      <c r="CD377" s="110">
        <f>100-46.71</f>
        <v>53.29</v>
      </c>
      <c r="CE377" s="110">
        <v>0</v>
      </c>
      <c r="CF377" s="110" t="s">
        <v>246</v>
      </c>
      <c r="CG377" s="110">
        <v>111.325198</v>
      </c>
      <c r="CH377" s="110" t="s">
        <v>1975</v>
      </c>
    </row>
    <row r="378" spans="1:88">
      <c r="A378" s="110" t="s">
        <v>1920</v>
      </c>
      <c r="B378" s="110">
        <v>75</v>
      </c>
      <c r="C378" s="110">
        <v>1</v>
      </c>
      <c r="D378" s="110">
        <v>1</v>
      </c>
      <c r="E378" s="110">
        <v>377</v>
      </c>
      <c r="F378" s="110">
        <v>2021</v>
      </c>
      <c r="G378" s="110" t="s">
        <v>161</v>
      </c>
      <c r="H378" s="110" t="s">
        <v>2440</v>
      </c>
      <c r="I378" s="110" t="s">
        <v>246</v>
      </c>
      <c r="J378" s="110" t="s">
        <v>246</v>
      </c>
      <c r="K378" s="110" t="s">
        <v>999</v>
      </c>
      <c r="L378" s="110" t="s">
        <v>999</v>
      </c>
      <c r="R378" s="110" t="s">
        <v>1976</v>
      </c>
      <c r="S378" s="110" t="s">
        <v>446</v>
      </c>
      <c r="T378" s="110" t="s">
        <v>1938</v>
      </c>
      <c r="U378" s="110" t="s">
        <v>1939</v>
      </c>
      <c r="V378" s="110">
        <v>50.69124265</v>
      </c>
      <c r="W378" s="110">
        <v>50.69124265</v>
      </c>
      <c r="X378" s="110">
        <v>-1.936478323</v>
      </c>
      <c r="Y378" s="110" t="s">
        <v>160</v>
      </c>
      <c r="Z378" s="110" t="s">
        <v>155</v>
      </c>
      <c r="AA378" s="110" t="s">
        <v>1788</v>
      </c>
      <c r="AB378" s="110" t="s">
        <v>1936</v>
      </c>
      <c r="AC378" s="110" t="s">
        <v>182</v>
      </c>
      <c r="AD378" s="110" t="s">
        <v>333</v>
      </c>
      <c r="AE378" s="110" t="s">
        <v>1306</v>
      </c>
      <c r="AF378" s="110" t="s">
        <v>1745</v>
      </c>
      <c r="AH378" s="110" t="s">
        <v>1941</v>
      </c>
      <c r="AI378" s="110" t="s">
        <v>246</v>
      </c>
      <c r="AJ378" s="110" t="s">
        <v>246</v>
      </c>
      <c r="AK378" s="110" t="s">
        <v>171</v>
      </c>
      <c r="AO378" s="110">
        <v>1</v>
      </c>
      <c r="AQ378" s="110" t="s">
        <v>176</v>
      </c>
      <c r="AR378" s="110">
        <v>2014</v>
      </c>
      <c r="AS378" s="110" t="s">
        <v>253</v>
      </c>
      <c r="AT378" s="110" t="s">
        <v>254</v>
      </c>
      <c r="AU378" s="110">
        <v>9</v>
      </c>
      <c r="BE378" s="110" t="s">
        <v>182</v>
      </c>
      <c r="BF378" s="110" t="s">
        <v>412</v>
      </c>
      <c r="BK378" s="110">
        <v>3</v>
      </c>
      <c r="BL378" s="110">
        <v>1</v>
      </c>
      <c r="BO378" s="110">
        <v>2.613</v>
      </c>
      <c r="BP378" s="110">
        <v>19.13509376</v>
      </c>
      <c r="BR378" s="110">
        <v>38.27018752</v>
      </c>
      <c r="BS378" s="110">
        <v>31</v>
      </c>
      <c r="BT378" s="110" t="s">
        <v>2256</v>
      </c>
      <c r="BU378" s="110" t="s">
        <v>2606</v>
      </c>
      <c r="BV378" s="110" t="s">
        <v>2256</v>
      </c>
      <c r="CA378" s="110">
        <v>2.613</v>
      </c>
      <c r="CB378" s="110">
        <v>19.13509376</v>
      </c>
      <c r="CC378" s="110" t="b">
        <v>0</v>
      </c>
      <c r="CD378" s="110">
        <f>100-81</f>
        <v>19</v>
      </c>
      <c r="CE378" s="110" t="s">
        <v>2256</v>
      </c>
      <c r="CF378" s="110" t="s">
        <v>2256</v>
      </c>
      <c r="CH378" s="110" t="s">
        <v>194</v>
      </c>
    </row>
    <row r="379" spans="1:88">
      <c r="A379" s="110" t="s">
        <v>1920</v>
      </c>
      <c r="B379" s="110">
        <v>75</v>
      </c>
      <c r="C379" s="110">
        <v>1</v>
      </c>
      <c r="D379" s="110">
        <v>1</v>
      </c>
      <c r="E379" s="110">
        <v>378</v>
      </c>
      <c r="F379" s="110">
        <v>2021</v>
      </c>
      <c r="G379" s="110" t="s">
        <v>161</v>
      </c>
      <c r="H379" s="110" t="s">
        <v>2440</v>
      </c>
      <c r="I379" s="110" t="s">
        <v>246</v>
      </c>
      <c r="J379" s="110" t="s">
        <v>246</v>
      </c>
      <c r="K379" s="110" t="s">
        <v>999</v>
      </c>
      <c r="L379" s="110" t="s">
        <v>999</v>
      </c>
      <c r="R379" s="110" t="s">
        <v>1976</v>
      </c>
      <c r="S379" s="110" t="s">
        <v>444</v>
      </c>
      <c r="T379" s="110" t="s">
        <v>445</v>
      </c>
      <c r="U379" s="110" t="s">
        <v>1940</v>
      </c>
      <c r="V379" s="110">
        <v>50.69124265</v>
      </c>
      <c r="W379" s="110">
        <v>50.69124265</v>
      </c>
      <c r="X379" s="110">
        <v>-1.936478323</v>
      </c>
      <c r="Y379" s="110" t="s">
        <v>160</v>
      </c>
      <c r="Z379" s="110" t="s">
        <v>155</v>
      </c>
      <c r="AA379" s="110" t="s">
        <v>1788</v>
      </c>
      <c r="AB379" s="110" t="s">
        <v>1936</v>
      </c>
      <c r="AC379" s="110" t="s">
        <v>182</v>
      </c>
      <c r="AD379" s="110" t="s">
        <v>333</v>
      </c>
      <c r="AE379" s="110" t="s">
        <v>1306</v>
      </c>
      <c r="AF379" s="110" t="s">
        <v>1745</v>
      </c>
      <c r="AH379" s="110" t="s">
        <v>1941</v>
      </c>
      <c r="AI379" s="110" t="s">
        <v>246</v>
      </c>
      <c r="AJ379" s="110" t="s">
        <v>246</v>
      </c>
      <c r="AK379" s="110" t="s">
        <v>171</v>
      </c>
      <c r="AO379" s="110">
        <v>1</v>
      </c>
      <c r="AQ379" s="110" t="s">
        <v>176</v>
      </c>
      <c r="AR379" s="110">
        <v>2014</v>
      </c>
      <c r="AS379" s="110" t="s">
        <v>253</v>
      </c>
      <c r="AT379" s="110" t="s">
        <v>254</v>
      </c>
      <c r="AU379" s="110">
        <v>9</v>
      </c>
      <c r="BE379" s="110" t="s">
        <v>182</v>
      </c>
      <c r="BF379" s="110" t="s">
        <v>412</v>
      </c>
      <c r="BK379" s="110">
        <v>3</v>
      </c>
      <c r="BL379" s="110">
        <v>1</v>
      </c>
      <c r="BO379" s="110">
        <v>2.323</v>
      </c>
      <c r="BP379" s="110">
        <v>21.523891519999999</v>
      </c>
      <c r="BR379" s="110">
        <v>43.047783039999999</v>
      </c>
      <c r="BS379" s="110">
        <v>31</v>
      </c>
      <c r="BT379" s="110" t="s">
        <v>2256</v>
      </c>
      <c r="BU379" s="110" t="s">
        <v>2606</v>
      </c>
      <c r="BV379" s="110" t="s">
        <v>2256</v>
      </c>
      <c r="CA379" s="110">
        <v>2.323</v>
      </c>
      <c r="CB379" s="110">
        <v>21.523891519999999</v>
      </c>
      <c r="CC379" s="110" t="b">
        <v>0</v>
      </c>
      <c r="CD379" s="110">
        <f>100-91</f>
        <v>9</v>
      </c>
      <c r="CE379" s="110" t="s">
        <v>2256</v>
      </c>
      <c r="CF379" s="110" t="s">
        <v>2256</v>
      </c>
      <c r="CH379" s="110" t="s">
        <v>194</v>
      </c>
    </row>
    <row r="380" spans="1:88">
      <c r="A380" s="110" t="s">
        <v>1920</v>
      </c>
      <c r="B380" s="110">
        <v>75</v>
      </c>
      <c r="C380" s="110">
        <v>1</v>
      </c>
      <c r="D380" s="110">
        <v>1</v>
      </c>
      <c r="E380" s="110">
        <v>379</v>
      </c>
      <c r="F380" s="110">
        <v>2021</v>
      </c>
      <c r="G380" s="110" t="s">
        <v>161</v>
      </c>
      <c r="H380" s="110" t="s">
        <v>2440</v>
      </c>
      <c r="I380" s="110" t="s">
        <v>246</v>
      </c>
      <c r="J380" s="110" t="s">
        <v>246</v>
      </c>
      <c r="K380" s="110" t="s">
        <v>999</v>
      </c>
      <c r="L380" s="110" t="s">
        <v>999</v>
      </c>
      <c r="R380" s="110" t="s">
        <v>272</v>
      </c>
      <c r="S380" s="110" t="s">
        <v>443</v>
      </c>
      <c r="T380" s="110" t="s">
        <v>611</v>
      </c>
      <c r="U380" s="110" t="s">
        <v>612</v>
      </c>
      <c r="V380" s="110">
        <v>50.69124265</v>
      </c>
      <c r="W380" s="110">
        <v>50.69124265</v>
      </c>
      <c r="X380" s="110">
        <v>-1.936478323</v>
      </c>
      <c r="Y380" s="110" t="s">
        <v>160</v>
      </c>
      <c r="Z380" s="110" t="s">
        <v>155</v>
      </c>
      <c r="AA380" s="110" t="s">
        <v>1788</v>
      </c>
      <c r="AB380" s="110" t="s">
        <v>1936</v>
      </c>
      <c r="AC380" s="110" t="s">
        <v>182</v>
      </c>
      <c r="AD380" s="110" t="s">
        <v>333</v>
      </c>
      <c r="AE380" s="110" t="s">
        <v>1306</v>
      </c>
      <c r="AF380" s="110" t="s">
        <v>1745</v>
      </c>
      <c r="AH380" s="110" t="s">
        <v>1941</v>
      </c>
      <c r="AI380" s="110" t="s">
        <v>246</v>
      </c>
      <c r="AJ380" s="110" t="s">
        <v>246</v>
      </c>
      <c r="AK380" s="110" t="s">
        <v>171</v>
      </c>
      <c r="AO380" s="110">
        <v>1</v>
      </c>
      <c r="AQ380" s="110" t="s">
        <v>176</v>
      </c>
      <c r="AR380" s="110">
        <v>2014</v>
      </c>
      <c r="AS380" s="110" t="s">
        <v>253</v>
      </c>
      <c r="AT380" s="110" t="s">
        <v>254</v>
      </c>
      <c r="AU380" s="110">
        <v>9</v>
      </c>
      <c r="BE380" s="110" t="s">
        <v>182</v>
      </c>
      <c r="BF380" s="110" t="s">
        <v>412</v>
      </c>
      <c r="BK380" s="110">
        <v>3</v>
      </c>
      <c r="BL380" s="110">
        <v>1</v>
      </c>
      <c r="BO380" s="110">
        <v>2.9350000000000001</v>
      </c>
      <c r="BP380" s="110">
        <v>17.035775130000001</v>
      </c>
      <c r="BR380" s="110">
        <v>34.071550260000002</v>
      </c>
      <c r="BS380" s="110">
        <v>31</v>
      </c>
      <c r="BT380" s="110" t="s">
        <v>2256</v>
      </c>
      <c r="BU380" s="110" t="s">
        <v>2606</v>
      </c>
      <c r="BV380" s="110" t="s">
        <v>2256</v>
      </c>
      <c r="CA380" s="110">
        <v>2.9350000000000001</v>
      </c>
      <c r="CB380" s="110">
        <v>17.035775130000001</v>
      </c>
      <c r="CC380" s="110" t="b">
        <v>0</v>
      </c>
      <c r="CD380" s="110">
        <f>100-72</f>
        <v>28</v>
      </c>
      <c r="CE380" s="110" t="s">
        <v>2256</v>
      </c>
      <c r="CF380" s="110" t="s">
        <v>2256</v>
      </c>
      <c r="CH380" s="110" t="s">
        <v>194</v>
      </c>
    </row>
    <row r="381" spans="1:88">
      <c r="A381" s="110" t="s">
        <v>1961</v>
      </c>
      <c r="B381" s="110">
        <v>76</v>
      </c>
      <c r="C381" s="110">
        <v>1</v>
      </c>
      <c r="D381" s="110">
        <v>1</v>
      </c>
      <c r="E381" s="110">
        <v>380</v>
      </c>
      <c r="F381" s="110">
        <v>2022</v>
      </c>
      <c r="G381" s="110" t="s">
        <v>187</v>
      </c>
      <c r="H381" s="110" t="s">
        <v>1119</v>
      </c>
      <c r="I381" s="110" t="s">
        <v>182</v>
      </c>
      <c r="J381" s="110" t="s">
        <v>182</v>
      </c>
      <c r="K381" s="110" t="s">
        <v>999</v>
      </c>
      <c r="L381" s="110" t="s">
        <v>999</v>
      </c>
      <c r="R381" s="110" t="s">
        <v>152</v>
      </c>
      <c r="S381" s="110" t="s">
        <v>443</v>
      </c>
      <c r="T381" s="110" t="s">
        <v>347</v>
      </c>
      <c r="U381" s="110" t="s">
        <v>348</v>
      </c>
      <c r="V381" s="110">
        <v>30.267582999999998</v>
      </c>
      <c r="W381" s="110">
        <v>-30.267582999999998</v>
      </c>
      <c r="X381" s="110">
        <v>153.14374100000001</v>
      </c>
      <c r="Y381" s="110" t="s">
        <v>349</v>
      </c>
      <c r="Z381" s="110" t="s">
        <v>802</v>
      </c>
      <c r="AA381" s="110" t="s">
        <v>1788</v>
      </c>
      <c r="AB381" s="110" t="s">
        <v>2718</v>
      </c>
      <c r="AC381" s="110" t="s">
        <v>182</v>
      </c>
      <c r="AD381" s="110" t="s">
        <v>1256</v>
      </c>
      <c r="AE381" s="110" t="s">
        <v>187</v>
      </c>
      <c r="AF381" s="110" t="s">
        <v>1745</v>
      </c>
      <c r="AI381" s="110" t="s">
        <v>246</v>
      </c>
      <c r="AJ381" s="110" t="s">
        <v>246</v>
      </c>
      <c r="AK381" s="110" t="s">
        <v>1967</v>
      </c>
      <c r="AL381" s="110" t="s">
        <v>1966</v>
      </c>
      <c r="AN381" s="110" t="s">
        <v>1903</v>
      </c>
      <c r="AO381" s="110">
        <v>3.7999999999999999E-2</v>
      </c>
      <c r="AQ381" s="110" t="s">
        <v>176</v>
      </c>
      <c r="AU381" s="110">
        <v>200</v>
      </c>
      <c r="AV381" s="110" t="s">
        <v>1255</v>
      </c>
      <c r="BE381" s="110" t="s">
        <v>182</v>
      </c>
      <c r="BF381" s="110" t="s">
        <v>412</v>
      </c>
      <c r="BI381" s="110" t="s">
        <v>182</v>
      </c>
      <c r="BJ381" s="110" t="s">
        <v>898</v>
      </c>
      <c r="BK381" s="110">
        <v>1</v>
      </c>
      <c r="BL381" s="110">
        <v>9</v>
      </c>
      <c r="BM381" s="110" t="s">
        <v>1461</v>
      </c>
      <c r="BS381" s="110">
        <v>60</v>
      </c>
      <c r="BT381" s="110" t="s">
        <v>1385</v>
      </c>
      <c r="BU381" s="110" t="s">
        <v>3207</v>
      </c>
      <c r="BV381" s="110" t="s">
        <v>2603</v>
      </c>
      <c r="BW381" s="110">
        <v>0.92200000000000004</v>
      </c>
      <c r="BZ381" s="110">
        <v>4.4200000000000003E-2</v>
      </c>
      <c r="CB381" s="110">
        <v>17.22</v>
      </c>
      <c r="CC381" s="110" t="b">
        <v>0</v>
      </c>
      <c r="CD381" s="110">
        <v>18.39</v>
      </c>
      <c r="CE381" s="110">
        <v>18.39</v>
      </c>
      <c r="CF381" s="110" t="s">
        <v>182</v>
      </c>
    </row>
    <row r="382" spans="1:88">
      <c r="A382" s="110" t="s">
        <v>2180</v>
      </c>
      <c r="B382" s="110">
        <v>77</v>
      </c>
      <c r="C382" s="110">
        <v>2</v>
      </c>
      <c r="D382" s="110">
        <v>1</v>
      </c>
      <c r="E382" s="110">
        <v>381</v>
      </c>
      <c r="F382" s="110">
        <v>2011</v>
      </c>
      <c r="G382" s="110" t="s">
        <v>187</v>
      </c>
      <c r="H382" s="110" t="s">
        <v>2440</v>
      </c>
      <c r="I382" s="110" t="s">
        <v>246</v>
      </c>
      <c r="J382" s="110" t="s">
        <v>246</v>
      </c>
      <c r="K382" s="110" t="s">
        <v>999</v>
      </c>
      <c r="L382" s="110" t="s">
        <v>999</v>
      </c>
      <c r="R382" s="110" t="s">
        <v>272</v>
      </c>
      <c r="S382" s="110" t="s">
        <v>443</v>
      </c>
      <c r="T382" s="110" t="s">
        <v>611</v>
      </c>
      <c r="U382" s="110" t="s">
        <v>612</v>
      </c>
      <c r="V382" s="110">
        <v>51.351777050000003</v>
      </c>
      <c r="W382" s="110">
        <v>51.351777050000003</v>
      </c>
      <c r="X382" s="110">
        <v>3.7341097190000001</v>
      </c>
      <c r="Y382" s="110" t="s">
        <v>1971</v>
      </c>
      <c r="Z382" s="110" t="s">
        <v>155</v>
      </c>
      <c r="AA382" s="110" t="s">
        <v>1788</v>
      </c>
      <c r="AB382" s="110" t="s">
        <v>1972</v>
      </c>
      <c r="AC382" s="110" t="s">
        <v>182</v>
      </c>
      <c r="AD382" s="110" t="s">
        <v>1256</v>
      </c>
      <c r="AE382" s="110" t="s">
        <v>1087</v>
      </c>
      <c r="AF382" s="110" t="s">
        <v>1745</v>
      </c>
      <c r="AI382" s="110" t="s">
        <v>246</v>
      </c>
      <c r="AJ382" s="110" t="s">
        <v>246</v>
      </c>
      <c r="AK382" s="110" t="s">
        <v>1973</v>
      </c>
      <c r="AL382" s="110" t="s">
        <v>1974</v>
      </c>
      <c r="AM382" s="110">
        <v>9</v>
      </c>
      <c r="AN382" s="110" t="s">
        <v>1903</v>
      </c>
      <c r="AQ382" s="110" t="s">
        <v>176</v>
      </c>
      <c r="AU382" s="110">
        <v>1.2</v>
      </c>
      <c r="BA382" s="110">
        <v>22</v>
      </c>
      <c r="BB382" s="110">
        <v>22</v>
      </c>
      <c r="BC382" s="110">
        <v>22</v>
      </c>
      <c r="BD382" s="110">
        <v>0</v>
      </c>
      <c r="BE382" s="110" t="s">
        <v>246</v>
      </c>
      <c r="BF382" s="110" t="s">
        <v>188</v>
      </c>
      <c r="BG382" s="110">
        <v>0</v>
      </c>
      <c r="BI382" s="110" t="s">
        <v>246</v>
      </c>
      <c r="BK382" s="110">
        <v>3</v>
      </c>
      <c r="BL382" s="110">
        <v>1</v>
      </c>
      <c r="BS382" s="110">
        <v>9</v>
      </c>
      <c r="BT382" s="110" t="s">
        <v>2256</v>
      </c>
      <c r="BU382" s="110" t="s">
        <v>2606</v>
      </c>
      <c r="BV382" s="110" t="s">
        <v>2256</v>
      </c>
      <c r="CA382" s="110">
        <v>2.6440000000000001</v>
      </c>
      <c r="CB382" s="110">
        <v>18.910741300000002</v>
      </c>
      <c r="CC382" s="110" t="b">
        <v>0</v>
      </c>
      <c r="CD382" s="110">
        <f>100-23.51</f>
        <v>76.489999999999995</v>
      </c>
      <c r="CE382" s="110" t="s">
        <v>2256</v>
      </c>
      <c r="CF382" s="110" t="s">
        <v>2256</v>
      </c>
      <c r="CG382" s="110">
        <v>37.821482600000003</v>
      </c>
      <c r="CJ382" s="110" t="s">
        <v>2159</v>
      </c>
    </row>
    <row r="383" spans="1:88">
      <c r="A383" s="110" t="s">
        <v>2180</v>
      </c>
      <c r="B383" s="110">
        <v>77</v>
      </c>
      <c r="C383" s="110">
        <v>2</v>
      </c>
      <c r="D383" s="110">
        <v>1</v>
      </c>
      <c r="E383" s="110">
        <v>382</v>
      </c>
      <c r="F383" s="110">
        <v>2011</v>
      </c>
      <c r="G383" s="110" t="s">
        <v>187</v>
      </c>
      <c r="H383" s="110" t="s">
        <v>2440</v>
      </c>
      <c r="I383" s="110" t="s">
        <v>246</v>
      </c>
      <c r="J383" s="110" t="s">
        <v>246</v>
      </c>
      <c r="K383" s="110" t="s">
        <v>999</v>
      </c>
      <c r="L383" s="110" t="s">
        <v>999</v>
      </c>
      <c r="R383" s="110" t="s">
        <v>272</v>
      </c>
      <c r="S383" s="110" t="s">
        <v>443</v>
      </c>
      <c r="T383" s="110" t="s">
        <v>611</v>
      </c>
      <c r="U383" s="110" t="s">
        <v>612</v>
      </c>
      <c r="V383" s="110">
        <v>51.351777050000003</v>
      </c>
      <c r="W383" s="110">
        <v>51.351777050000003</v>
      </c>
      <c r="X383" s="110">
        <v>3.7341097190000001</v>
      </c>
      <c r="Y383" s="110" t="s">
        <v>1971</v>
      </c>
      <c r="Z383" s="110" t="s">
        <v>155</v>
      </c>
      <c r="AA383" s="110" t="s">
        <v>1788</v>
      </c>
      <c r="AB383" s="110" t="s">
        <v>1972</v>
      </c>
      <c r="AC383" s="110" t="s">
        <v>182</v>
      </c>
      <c r="AD383" s="110" t="s">
        <v>1256</v>
      </c>
      <c r="AE383" s="110" t="s">
        <v>1087</v>
      </c>
      <c r="AF383" s="110" t="s">
        <v>1745</v>
      </c>
      <c r="AI383" s="110" t="s">
        <v>246</v>
      </c>
      <c r="AJ383" s="110" t="s">
        <v>246</v>
      </c>
      <c r="AK383" s="110" t="s">
        <v>1973</v>
      </c>
      <c r="AL383" s="110" t="s">
        <v>1974</v>
      </c>
      <c r="AM383" s="110">
        <v>9</v>
      </c>
      <c r="AN383" s="110" t="s">
        <v>1903</v>
      </c>
      <c r="AQ383" s="110" t="s">
        <v>176</v>
      </c>
      <c r="AU383" s="110">
        <v>1.2</v>
      </c>
      <c r="BC383" s="110">
        <v>22</v>
      </c>
      <c r="BE383" s="110" t="s">
        <v>246</v>
      </c>
      <c r="BF383" s="110" t="s">
        <v>188</v>
      </c>
      <c r="BG383" s="110">
        <v>0</v>
      </c>
      <c r="BI383" s="110" t="s">
        <v>246</v>
      </c>
      <c r="BK383" s="110">
        <v>3</v>
      </c>
      <c r="BL383" s="110">
        <v>1</v>
      </c>
      <c r="BS383" s="110">
        <v>9</v>
      </c>
      <c r="BT383" s="110" t="s">
        <v>2256</v>
      </c>
      <c r="BU383" s="110" t="s">
        <v>2606</v>
      </c>
      <c r="BV383" s="110" t="s">
        <v>2256</v>
      </c>
      <c r="CA383" s="110">
        <v>2.8488888889999999</v>
      </c>
      <c r="CB383" s="110">
        <v>17.55070203</v>
      </c>
      <c r="CC383" s="110" t="b">
        <v>0</v>
      </c>
      <c r="CD383" s="110">
        <f>100-25.59</f>
        <v>74.41</v>
      </c>
      <c r="CE383" s="110" t="s">
        <v>2256</v>
      </c>
      <c r="CF383" s="110" t="s">
        <v>2256</v>
      </c>
      <c r="CG383" s="110">
        <v>35.10140406</v>
      </c>
      <c r="CH383" s="110" t="s">
        <v>2153</v>
      </c>
    </row>
    <row r="384" spans="1:88">
      <c r="A384" s="110" t="s">
        <v>2180</v>
      </c>
      <c r="B384" s="110">
        <v>77</v>
      </c>
      <c r="C384" s="110">
        <v>2</v>
      </c>
      <c r="D384" s="110">
        <v>1</v>
      </c>
      <c r="E384" s="110">
        <v>383</v>
      </c>
      <c r="F384" s="110">
        <v>2011</v>
      </c>
      <c r="G384" s="110" t="s">
        <v>187</v>
      </c>
      <c r="H384" s="110" t="s">
        <v>2440</v>
      </c>
      <c r="I384" s="110" t="s">
        <v>246</v>
      </c>
      <c r="J384" s="110" t="s">
        <v>246</v>
      </c>
      <c r="K384" s="110" t="s">
        <v>999</v>
      </c>
      <c r="L384" s="110" t="s">
        <v>999</v>
      </c>
      <c r="R384" s="110" t="s">
        <v>272</v>
      </c>
      <c r="S384" s="110" t="s">
        <v>443</v>
      </c>
      <c r="T384" s="110" t="s">
        <v>611</v>
      </c>
      <c r="U384" s="110" t="s">
        <v>612</v>
      </c>
      <c r="V384" s="110">
        <v>51.351777050000003</v>
      </c>
      <c r="W384" s="110">
        <v>51.351777050000003</v>
      </c>
      <c r="X384" s="110">
        <v>3.7341097190000001</v>
      </c>
      <c r="Y384" s="110" t="s">
        <v>1971</v>
      </c>
      <c r="Z384" s="110" t="s">
        <v>155</v>
      </c>
      <c r="AA384" s="110" t="s">
        <v>1788</v>
      </c>
      <c r="AB384" s="110" t="s">
        <v>1972</v>
      </c>
      <c r="AC384" s="110" t="s">
        <v>182</v>
      </c>
      <c r="AD384" s="110" t="s">
        <v>1256</v>
      </c>
      <c r="AE384" s="110" t="s">
        <v>1087</v>
      </c>
      <c r="AF384" s="110" t="s">
        <v>1745</v>
      </c>
      <c r="AI384" s="110" t="s">
        <v>246</v>
      </c>
      <c r="AJ384" s="110" t="s">
        <v>246</v>
      </c>
      <c r="AK384" s="110" t="s">
        <v>1973</v>
      </c>
      <c r="AL384" s="110" t="s">
        <v>1974</v>
      </c>
      <c r="AM384" s="110">
        <v>9</v>
      </c>
      <c r="AN384" s="110" t="s">
        <v>1903</v>
      </c>
      <c r="AQ384" s="110" t="s">
        <v>176</v>
      </c>
      <c r="AU384" s="110">
        <v>1.2</v>
      </c>
      <c r="BC384" s="110">
        <v>22</v>
      </c>
      <c r="BE384" s="110" t="s">
        <v>246</v>
      </c>
      <c r="BF384" s="110" t="s">
        <v>188</v>
      </c>
      <c r="BG384" s="110">
        <v>0</v>
      </c>
      <c r="BI384" s="110" t="s">
        <v>246</v>
      </c>
      <c r="BK384" s="110">
        <v>3</v>
      </c>
      <c r="BL384" s="110">
        <v>1</v>
      </c>
      <c r="BS384" s="110">
        <v>9</v>
      </c>
      <c r="BT384" s="110" t="s">
        <v>2256</v>
      </c>
      <c r="BU384" s="110" t="s">
        <v>2606</v>
      </c>
      <c r="BV384" s="110" t="s">
        <v>2256</v>
      </c>
      <c r="CA384" s="110">
        <v>1.3333333329999999</v>
      </c>
      <c r="CB384" s="110">
        <v>37.5</v>
      </c>
      <c r="CC384" s="110" t="b">
        <v>0</v>
      </c>
      <c r="CD384" s="110">
        <f>100-23.92</f>
        <v>76.08</v>
      </c>
      <c r="CE384" s="110" t="s">
        <v>2256</v>
      </c>
      <c r="CF384" s="110" t="s">
        <v>2256</v>
      </c>
      <c r="CG384" s="110">
        <v>75</v>
      </c>
      <c r="CH384" s="110" t="s">
        <v>2155</v>
      </c>
    </row>
    <row r="385" spans="1:87">
      <c r="A385" s="110" t="s">
        <v>2180</v>
      </c>
      <c r="B385" s="110">
        <v>77</v>
      </c>
      <c r="C385" s="110">
        <v>2</v>
      </c>
      <c r="D385" s="110">
        <v>1</v>
      </c>
      <c r="E385" s="110">
        <v>384</v>
      </c>
      <c r="F385" s="110">
        <v>2011</v>
      </c>
      <c r="G385" s="110" t="s">
        <v>187</v>
      </c>
      <c r="H385" s="110" t="s">
        <v>2440</v>
      </c>
      <c r="I385" s="110" t="s">
        <v>246</v>
      </c>
      <c r="J385" s="110" t="s">
        <v>246</v>
      </c>
      <c r="K385" s="110" t="s">
        <v>999</v>
      </c>
      <c r="L385" s="110" t="s">
        <v>999</v>
      </c>
      <c r="R385" s="110" t="s">
        <v>272</v>
      </c>
      <c r="S385" s="110" t="s">
        <v>443</v>
      </c>
      <c r="T385" s="110" t="s">
        <v>611</v>
      </c>
      <c r="U385" s="110" t="s">
        <v>612</v>
      </c>
      <c r="V385" s="110">
        <v>51.351777050000003</v>
      </c>
      <c r="W385" s="110">
        <v>51.351777050000003</v>
      </c>
      <c r="X385" s="110">
        <v>3.7341097190000001</v>
      </c>
      <c r="Y385" s="110" t="s">
        <v>1971</v>
      </c>
      <c r="Z385" s="110" t="s">
        <v>155</v>
      </c>
      <c r="AA385" s="110" t="s">
        <v>1788</v>
      </c>
      <c r="AB385" s="110" t="s">
        <v>1972</v>
      </c>
      <c r="AC385" s="110" t="s">
        <v>182</v>
      </c>
      <c r="AD385" s="110" t="s">
        <v>1256</v>
      </c>
      <c r="AE385" s="110" t="s">
        <v>1087</v>
      </c>
      <c r="AF385" s="110" t="s">
        <v>1745</v>
      </c>
      <c r="AI385" s="110" t="s">
        <v>246</v>
      </c>
      <c r="AJ385" s="110" t="s">
        <v>246</v>
      </c>
      <c r="AK385" s="110" t="s">
        <v>1973</v>
      </c>
      <c r="AL385" s="110" t="s">
        <v>1974</v>
      </c>
      <c r="AM385" s="110">
        <v>9</v>
      </c>
      <c r="AN385" s="110" t="s">
        <v>1903</v>
      </c>
      <c r="AQ385" s="110" t="s">
        <v>176</v>
      </c>
      <c r="AU385" s="110">
        <v>1.2</v>
      </c>
      <c r="BC385" s="110">
        <v>22</v>
      </c>
      <c r="BE385" s="110" t="s">
        <v>246</v>
      </c>
      <c r="BF385" s="110" t="s">
        <v>188</v>
      </c>
      <c r="BG385" s="110">
        <v>0</v>
      </c>
      <c r="BI385" s="110" t="s">
        <v>246</v>
      </c>
      <c r="BK385" s="110">
        <v>3</v>
      </c>
      <c r="BL385" s="110">
        <v>1</v>
      </c>
      <c r="BS385" s="110">
        <v>9</v>
      </c>
      <c r="BT385" s="110" t="s">
        <v>2256</v>
      </c>
      <c r="BU385" s="110" t="s">
        <v>2606</v>
      </c>
      <c r="BV385" s="110" t="s">
        <v>2256</v>
      </c>
      <c r="CA385" s="110">
        <v>3.9220000000000002</v>
      </c>
      <c r="CB385" s="110">
        <v>12.748597650000001</v>
      </c>
      <c r="CC385" s="110" t="b">
        <v>0</v>
      </c>
      <c r="CD385" s="110">
        <f>100-35.269</f>
        <v>64.730999999999995</v>
      </c>
      <c r="CE385" s="110" t="s">
        <v>2256</v>
      </c>
      <c r="CF385" s="110" t="s">
        <v>2256</v>
      </c>
      <c r="CG385" s="110">
        <v>25.497195309999999</v>
      </c>
      <c r="CH385" s="110" t="s">
        <v>2154</v>
      </c>
    </row>
    <row r="386" spans="1:87">
      <c r="A386" s="110" t="s">
        <v>2180</v>
      </c>
      <c r="B386" s="110">
        <v>77</v>
      </c>
      <c r="C386" s="110">
        <v>2</v>
      </c>
      <c r="D386" s="110">
        <v>1</v>
      </c>
      <c r="E386" s="110">
        <v>385</v>
      </c>
      <c r="F386" s="110">
        <v>2011</v>
      </c>
      <c r="G386" s="110" t="s">
        <v>187</v>
      </c>
      <c r="H386" s="110" t="s">
        <v>2440</v>
      </c>
      <c r="I386" s="110" t="s">
        <v>246</v>
      </c>
      <c r="J386" s="110" t="s">
        <v>246</v>
      </c>
      <c r="K386" s="110" t="s">
        <v>999</v>
      </c>
      <c r="L386" s="110" t="s">
        <v>999</v>
      </c>
      <c r="R386" s="110" t="s">
        <v>272</v>
      </c>
      <c r="S386" s="110" t="s">
        <v>443</v>
      </c>
      <c r="T386" s="110" t="s">
        <v>611</v>
      </c>
      <c r="U386" s="110" t="s">
        <v>612</v>
      </c>
      <c r="V386" s="110">
        <v>51.351777050000003</v>
      </c>
      <c r="W386" s="110">
        <v>51.351777050000003</v>
      </c>
      <c r="X386" s="110">
        <v>3.7341097190000001</v>
      </c>
      <c r="Y386" s="110" t="s">
        <v>1971</v>
      </c>
      <c r="Z386" s="110" t="s">
        <v>155</v>
      </c>
      <c r="AA386" s="110" t="s">
        <v>1788</v>
      </c>
      <c r="AB386" s="110" t="s">
        <v>1972</v>
      </c>
      <c r="AC386" s="110" t="s">
        <v>182</v>
      </c>
      <c r="AD386" s="110" t="s">
        <v>1256</v>
      </c>
      <c r="AE386" s="110" t="s">
        <v>1087</v>
      </c>
      <c r="AF386" s="110" t="s">
        <v>1745</v>
      </c>
      <c r="AI386" s="110" t="s">
        <v>246</v>
      </c>
      <c r="AJ386" s="110" t="s">
        <v>246</v>
      </c>
      <c r="AK386" s="110" t="s">
        <v>1973</v>
      </c>
      <c r="AL386" s="110" t="s">
        <v>1974</v>
      </c>
      <c r="AM386" s="110">
        <v>9</v>
      </c>
      <c r="AN386" s="110" t="s">
        <v>1903</v>
      </c>
      <c r="AQ386" s="110" t="s">
        <v>176</v>
      </c>
      <c r="AU386" s="110">
        <v>1.2</v>
      </c>
      <c r="BC386" s="110">
        <v>22</v>
      </c>
      <c r="BE386" s="110" t="s">
        <v>246</v>
      </c>
      <c r="BF386" s="110" t="s">
        <v>188</v>
      </c>
      <c r="BG386" s="110">
        <v>0</v>
      </c>
      <c r="BI386" s="110" t="s">
        <v>246</v>
      </c>
      <c r="BK386" s="110">
        <v>3</v>
      </c>
      <c r="BL386" s="110">
        <v>1</v>
      </c>
      <c r="BS386" s="110">
        <v>9</v>
      </c>
      <c r="BT386" s="110" t="s">
        <v>2256</v>
      </c>
      <c r="BU386" s="110" t="s">
        <v>2606</v>
      </c>
      <c r="BV386" s="110" t="s">
        <v>2256</v>
      </c>
      <c r="CA386" s="110">
        <v>4.2177777780000003</v>
      </c>
      <c r="CB386" s="110">
        <v>11.85458377</v>
      </c>
      <c r="CC386" s="110" t="b">
        <v>0</v>
      </c>
      <c r="CD386" s="110">
        <f>100-37.843</f>
        <v>62.156999999999996</v>
      </c>
      <c r="CE386" s="110" t="s">
        <v>2256</v>
      </c>
      <c r="CF386" s="110" t="s">
        <v>2256</v>
      </c>
      <c r="CG386" s="110">
        <v>23.709167539999999</v>
      </c>
      <c r="CH386" s="110" t="s">
        <v>2157</v>
      </c>
    </row>
    <row r="387" spans="1:87">
      <c r="A387" s="110" t="s">
        <v>2180</v>
      </c>
      <c r="B387" s="110">
        <v>77</v>
      </c>
      <c r="C387" s="110">
        <v>2</v>
      </c>
      <c r="D387" s="110">
        <v>1</v>
      </c>
      <c r="E387" s="110">
        <v>386</v>
      </c>
      <c r="F387" s="110">
        <v>2011</v>
      </c>
      <c r="G387" s="110" t="s">
        <v>187</v>
      </c>
      <c r="H387" s="110" t="s">
        <v>2440</v>
      </c>
      <c r="I387" s="110" t="s">
        <v>246</v>
      </c>
      <c r="J387" s="110" t="s">
        <v>246</v>
      </c>
      <c r="K387" s="110" t="s">
        <v>999</v>
      </c>
      <c r="L387" s="110" t="s">
        <v>999</v>
      </c>
      <c r="R387" s="110" t="s">
        <v>272</v>
      </c>
      <c r="S387" s="110" t="s">
        <v>443</v>
      </c>
      <c r="T387" s="110" t="s">
        <v>611</v>
      </c>
      <c r="U387" s="110" t="s">
        <v>612</v>
      </c>
      <c r="V387" s="110">
        <v>51.351777050000003</v>
      </c>
      <c r="W387" s="110">
        <v>51.351777050000003</v>
      </c>
      <c r="X387" s="110">
        <v>3.7341097190000001</v>
      </c>
      <c r="Y387" s="110" t="s">
        <v>1971</v>
      </c>
      <c r="Z387" s="110" t="s">
        <v>155</v>
      </c>
      <c r="AA387" s="110" t="s">
        <v>1788</v>
      </c>
      <c r="AB387" s="110" t="s">
        <v>1972</v>
      </c>
      <c r="AC387" s="110" t="s">
        <v>182</v>
      </c>
      <c r="AD387" s="110" t="s">
        <v>1256</v>
      </c>
      <c r="AE387" s="110" t="s">
        <v>1087</v>
      </c>
      <c r="AF387" s="110" t="s">
        <v>1745</v>
      </c>
      <c r="AI387" s="110" t="s">
        <v>246</v>
      </c>
      <c r="AJ387" s="110" t="s">
        <v>246</v>
      </c>
      <c r="AK387" s="110" t="s">
        <v>1973</v>
      </c>
      <c r="AL387" s="110" t="s">
        <v>1974</v>
      </c>
      <c r="AM387" s="110">
        <v>9</v>
      </c>
      <c r="AN387" s="110" t="s">
        <v>1903</v>
      </c>
      <c r="AQ387" s="110" t="s">
        <v>176</v>
      </c>
      <c r="AU387" s="110">
        <v>1.2</v>
      </c>
      <c r="BC387" s="110">
        <v>22</v>
      </c>
      <c r="BE387" s="110" t="s">
        <v>246</v>
      </c>
      <c r="BF387" s="110" t="s">
        <v>188</v>
      </c>
      <c r="BG387" s="110">
        <v>0</v>
      </c>
      <c r="BI387" s="110" t="s">
        <v>246</v>
      </c>
      <c r="BK387" s="110">
        <v>3</v>
      </c>
      <c r="BL387" s="110">
        <v>1</v>
      </c>
      <c r="BS387" s="110">
        <v>9</v>
      </c>
      <c r="BT387" s="110" t="s">
        <v>2256</v>
      </c>
      <c r="BU387" s="110" t="s">
        <v>2606</v>
      </c>
      <c r="BV387" s="110" t="s">
        <v>2256</v>
      </c>
      <c r="CA387" s="110">
        <v>3.5266666670000002</v>
      </c>
      <c r="CB387" s="110">
        <v>14.17769376</v>
      </c>
      <c r="CC387" s="110" t="b">
        <v>0</v>
      </c>
      <c r="CD387" s="110">
        <f>100-31.694</f>
        <v>68.305999999999997</v>
      </c>
      <c r="CE387" s="110" t="s">
        <v>2256</v>
      </c>
      <c r="CF387" s="110" t="s">
        <v>2256</v>
      </c>
      <c r="CG387" s="110">
        <v>28.355387520000001</v>
      </c>
      <c r="CH387" s="110" t="s">
        <v>2156</v>
      </c>
    </row>
    <row r="388" spans="1:87">
      <c r="A388" s="110" t="s">
        <v>2180</v>
      </c>
      <c r="B388" s="110">
        <v>77</v>
      </c>
      <c r="C388" s="110">
        <v>2</v>
      </c>
      <c r="D388" s="110">
        <v>1</v>
      </c>
      <c r="E388" s="110">
        <v>387</v>
      </c>
      <c r="F388" s="110">
        <v>2011</v>
      </c>
      <c r="G388" s="110" t="s">
        <v>187</v>
      </c>
      <c r="H388" s="110" t="s">
        <v>2440</v>
      </c>
      <c r="I388" s="110" t="s">
        <v>246</v>
      </c>
      <c r="J388" s="110" t="s">
        <v>246</v>
      </c>
      <c r="K388" s="110" t="s">
        <v>999</v>
      </c>
      <c r="L388" s="110" t="s">
        <v>999</v>
      </c>
      <c r="R388" s="110" t="s">
        <v>272</v>
      </c>
      <c r="S388" s="110" t="s">
        <v>443</v>
      </c>
      <c r="T388" s="110" t="s">
        <v>611</v>
      </c>
      <c r="U388" s="110" t="s">
        <v>612</v>
      </c>
      <c r="V388" s="110">
        <v>51.351777050000003</v>
      </c>
      <c r="W388" s="110">
        <v>51.351777050000003</v>
      </c>
      <c r="X388" s="110">
        <v>3.7341097190000001</v>
      </c>
      <c r="Y388" s="110" t="s">
        <v>1971</v>
      </c>
      <c r="Z388" s="110" t="s">
        <v>155</v>
      </c>
      <c r="AA388" s="110" t="s">
        <v>1788</v>
      </c>
      <c r="AB388" s="110" t="s">
        <v>1972</v>
      </c>
      <c r="AC388" s="110" t="s">
        <v>182</v>
      </c>
      <c r="AD388" s="110" t="s">
        <v>1256</v>
      </c>
      <c r="AE388" s="110" t="s">
        <v>1087</v>
      </c>
      <c r="AF388" s="110" t="s">
        <v>1745</v>
      </c>
      <c r="AI388" s="110" t="s">
        <v>246</v>
      </c>
      <c r="AJ388" s="110" t="s">
        <v>246</v>
      </c>
      <c r="AK388" s="110" t="s">
        <v>1973</v>
      </c>
      <c r="AL388" s="110" t="s">
        <v>1974</v>
      </c>
      <c r="AM388" s="110">
        <v>9</v>
      </c>
      <c r="AN388" s="110" t="s">
        <v>1903</v>
      </c>
      <c r="AQ388" s="110" t="s">
        <v>176</v>
      </c>
      <c r="AU388" s="110">
        <v>1.2</v>
      </c>
      <c r="BC388" s="110">
        <v>22</v>
      </c>
      <c r="BE388" s="110" t="s">
        <v>246</v>
      </c>
      <c r="BF388" s="110" t="s">
        <v>188</v>
      </c>
      <c r="BG388" s="110">
        <v>0</v>
      </c>
      <c r="BI388" s="110" t="s">
        <v>246</v>
      </c>
      <c r="BK388" s="110">
        <v>3</v>
      </c>
      <c r="BL388" s="110">
        <v>1</v>
      </c>
      <c r="BS388" s="110">
        <v>9</v>
      </c>
      <c r="BT388" s="110" t="s">
        <v>2256</v>
      </c>
      <c r="BU388" s="110" t="s">
        <v>2606</v>
      </c>
      <c r="BV388" s="110" t="s">
        <v>2256</v>
      </c>
      <c r="CA388" s="110">
        <v>4.0441111110000003</v>
      </c>
      <c r="CB388" s="110">
        <v>12.363656349999999</v>
      </c>
      <c r="CC388" s="110" t="b">
        <v>0</v>
      </c>
      <c r="CD388" s="110">
        <f>100-36.506</f>
        <v>63.494</v>
      </c>
      <c r="CE388" s="110" t="s">
        <v>2256</v>
      </c>
      <c r="CF388" s="110" t="s">
        <v>2256</v>
      </c>
      <c r="CG388" s="110">
        <v>24.727312690000002</v>
      </c>
      <c r="CH388" s="110" t="s">
        <v>2158</v>
      </c>
    </row>
    <row r="389" spans="1:87">
      <c r="A389" s="110" t="s">
        <v>1962</v>
      </c>
      <c r="B389" s="110">
        <v>78</v>
      </c>
      <c r="C389" s="110">
        <v>1</v>
      </c>
      <c r="D389" s="110">
        <v>1</v>
      </c>
      <c r="E389" s="110">
        <v>388</v>
      </c>
      <c r="F389" s="110">
        <v>2023</v>
      </c>
      <c r="G389" s="110" t="s">
        <v>161</v>
      </c>
      <c r="H389" s="110" t="s">
        <v>2440</v>
      </c>
      <c r="I389" s="110" t="s">
        <v>182</v>
      </c>
      <c r="J389" s="110" t="s">
        <v>246</v>
      </c>
      <c r="K389" s="110" t="s">
        <v>999</v>
      </c>
      <c r="L389" s="110" t="s">
        <v>999</v>
      </c>
      <c r="R389" s="110" t="s">
        <v>152</v>
      </c>
      <c r="S389" s="110" t="s">
        <v>443</v>
      </c>
      <c r="T389" s="110" t="s">
        <v>437</v>
      </c>
      <c r="U389" s="110" t="s">
        <v>438</v>
      </c>
      <c r="V389" s="110">
        <v>35.048611000000001</v>
      </c>
      <c r="W389" s="110">
        <v>35.048611000000001</v>
      </c>
      <c r="X389" s="110">
        <v>128.97222199999999</v>
      </c>
      <c r="Y389" s="110" t="s">
        <v>1978</v>
      </c>
      <c r="Z389" s="110" t="s">
        <v>380</v>
      </c>
      <c r="AA389" s="110" t="s">
        <v>1788</v>
      </c>
      <c r="AB389" s="110" t="s">
        <v>1979</v>
      </c>
      <c r="AC389" s="110" t="s">
        <v>182</v>
      </c>
      <c r="AD389" s="110" t="s">
        <v>1256</v>
      </c>
      <c r="AE389" s="110" t="s">
        <v>1306</v>
      </c>
      <c r="AF389" s="110" t="s">
        <v>1745</v>
      </c>
      <c r="AH389" s="110" t="s">
        <v>1980</v>
      </c>
      <c r="AI389" s="110" t="s">
        <v>246</v>
      </c>
      <c r="AJ389" s="110" t="s">
        <v>246</v>
      </c>
      <c r="AK389" s="110" t="s">
        <v>171</v>
      </c>
      <c r="AO389" s="110">
        <v>1</v>
      </c>
      <c r="AQ389" s="110" t="s">
        <v>176</v>
      </c>
      <c r="AU389" s="110">
        <v>10</v>
      </c>
      <c r="AV389" s="110" t="s">
        <v>1255</v>
      </c>
      <c r="AW389" s="110">
        <v>11.17</v>
      </c>
      <c r="AX389" s="110">
        <v>6.87</v>
      </c>
      <c r="BE389" s="110" t="s">
        <v>182</v>
      </c>
      <c r="BF389" s="110" t="s">
        <v>412</v>
      </c>
      <c r="BI389" s="110" t="s">
        <v>182</v>
      </c>
      <c r="BK389" s="110">
        <v>3</v>
      </c>
      <c r="BL389" s="110">
        <v>10</v>
      </c>
      <c r="BM389" s="110" t="s">
        <v>1982</v>
      </c>
      <c r="BS389" s="110">
        <v>70</v>
      </c>
      <c r="BT389" s="110" t="s">
        <v>1385</v>
      </c>
      <c r="BU389" s="110" t="s">
        <v>3207</v>
      </c>
      <c r="BV389" s="110" t="s">
        <v>2603</v>
      </c>
      <c r="BW389" s="110">
        <v>0.999</v>
      </c>
      <c r="BZ389" s="110">
        <v>0.21640000000000001</v>
      </c>
      <c r="CB389" s="110">
        <v>3.49</v>
      </c>
      <c r="CC389" s="110" t="b">
        <v>0</v>
      </c>
      <c r="CD389" s="110">
        <v>5.8090000000000002</v>
      </c>
      <c r="CE389" s="110">
        <v>5.8090000000000002</v>
      </c>
      <c r="CF389" s="110" t="s">
        <v>182</v>
      </c>
      <c r="CH389" s="110" t="s">
        <v>2473</v>
      </c>
      <c r="CI389" s="110" t="s">
        <v>1990</v>
      </c>
    </row>
    <row r="390" spans="1:87">
      <c r="A390" s="110" t="s">
        <v>1962</v>
      </c>
      <c r="B390" s="110">
        <v>78</v>
      </c>
      <c r="C390" s="110">
        <v>1</v>
      </c>
      <c r="D390" s="110">
        <v>1</v>
      </c>
      <c r="E390" s="110">
        <v>389</v>
      </c>
      <c r="F390" s="110">
        <v>2023</v>
      </c>
      <c r="G390" s="110" t="s">
        <v>161</v>
      </c>
      <c r="H390" s="110" t="s">
        <v>2440</v>
      </c>
      <c r="I390" s="110" t="s">
        <v>182</v>
      </c>
      <c r="J390" s="110" t="s">
        <v>246</v>
      </c>
      <c r="K390" s="110" t="s">
        <v>999</v>
      </c>
      <c r="L390" s="110" t="s">
        <v>999</v>
      </c>
      <c r="R390" s="110" t="s">
        <v>1976</v>
      </c>
      <c r="S390" s="110" t="s">
        <v>444</v>
      </c>
      <c r="T390" s="110" t="s">
        <v>445</v>
      </c>
      <c r="U390" s="110" t="s">
        <v>552</v>
      </c>
      <c r="V390" s="110">
        <v>35.048611000000001</v>
      </c>
      <c r="W390" s="110">
        <v>35.048611000000001</v>
      </c>
      <c r="X390" s="110">
        <v>128.97222199999999</v>
      </c>
      <c r="Y390" s="110" t="s">
        <v>1978</v>
      </c>
      <c r="Z390" s="110" t="s">
        <v>380</v>
      </c>
      <c r="AA390" s="110" t="s">
        <v>1788</v>
      </c>
      <c r="AB390" s="110" t="s">
        <v>1979</v>
      </c>
      <c r="AC390" s="110" t="s">
        <v>182</v>
      </c>
      <c r="AD390" s="110" t="s">
        <v>1256</v>
      </c>
      <c r="AE390" s="110" t="s">
        <v>1306</v>
      </c>
      <c r="AF390" s="110" t="s">
        <v>1745</v>
      </c>
      <c r="AH390" s="110" t="s">
        <v>1980</v>
      </c>
      <c r="AI390" s="110" t="s">
        <v>246</v>
      </c>
      <c r="AJ390" s="110" t="s">
        <v>246</v>
      </c>
      <c r="AK390" s="110" t="s">
        <v>171</v>
      </c>
      <c r="AO390" s="110">
        <v>1</v>
      </c>
      <c r="AQ390" s="110" t="s">
        <v>176</v>
      </c>
      <c r="AU390" s="110">
        <v>10</v>
      </c>
      <c r="AV390" s="110" t="s">
        <v>1255</v>
      </c>
      <c r="AW390" s="110">
        <v>10.95</v>
      </c>
      <c r="AX390" s="110">
        <v>5.78</v>
      </c>
      <c r="BE390" s="110" t="s">
        <v>182</v>
      </c>
      <c r="BF390" s="110" t="s">
        <v>412</v>
      </c>
      <c r="BI390" s="110" t="s">
        <v>182</v>
      </c>
      <c r="BK390" s="110">
        <v>3</v>
      </c>
      <c r="BL390" s="110">
        <v>10</v>
      </c>
      <c r="BM390" s="110" t="s">
        <v>1982</v>
      </c>
      <c r="BS390" s="110">
        <v>70</v>
      </c>
      <c r="BT390" s="110" t="s">
        <v>1385</v>
      </c>
      <c r="BU390" s="110" t="s">
        <v>3207</v>
      </c>
      <c r="BV390" s="110" t="s">
        <v>2603</v>
      </c>
      <c r="BW390" s="110">
        <v>0.996</v>
      </c>
      <c r="BZ390" s="110">
        <v>0.1951</v>
      </c>
      <c r="CB390" s="110">
        <v>7.7050000000000001</v>
      </c>
      <c r="CC390" s="110" t="b">
        <v>0</v>
      </c>
      <c r="CD390" s="110">
        <v>2.04</v>
      </c>
      <c r="CE390" s="110">
        <v>2.04</v>
      </c>
      <c r="CF390" s="110" t="s">
        <v>182</v>
      </c>
      <c r="CH390" s="110" t="s">
        <v>2472</v>
      </c>
      <c r="CI390" s="110" t="s">
        <v>1990</v>
      </c>
    </row>
    <row r="391" spans="1:87">
      <c r="A391" s="110" t="s">
        <v>1962</v>
      </c>
      <c r="B391" s="110">
        <v>78</v>
      </c>
      <c r="C391" s="110">
        <v>1</v>
      </c>
      <c r="D391" s="110">
        <v>1</v>
      </c>
      <c r="E391" s="110">
        <v>390</v>
      </c>
      <c r="F391" s="110">
        <v>2023</v>
      </c>
      <c r="G391" s="110" t="s">
        <v>161</v>
      </c>
      <c r="H391" s="110" t="s">
        <v>2440</v>
      </c>
      <c r="I391" s="110" t="s">
        <v>182</v>
      </c>
      <c r="J391" s="110" t="s">
        <v>246</v>
      </c>
      <c r="K391" s="110" t="s">
        <v>999</v>
      </c>
      <c r="L391" s="110" t="s">
        <v>999</v>
      </c>
      <c r="R391" s="110" t="s">
        <v>2611</v>
      </c>
      <c r="S391" s="110" t="s">
        <v>446</v>
      </c>
      <c r="T391" s="110" t="s">
        <v>1977</v>
      </c>
      <c r="U391" s="110" t="s">
        <v>552</v>
      </c>
      <c r="V391" s="110">
        <v>35.048611000000001</v>
      </c>
      <c r="W391" s="110">
        <v>35.048611000000001</v>
      </c>
      <c r="X391" s="110">
        <v>128.97222199999999</v>
      </c>
      <c r="Y391" s="110" t="s">
        <v>1978</v>
      </c>
      <c r="Z391" s="110" t="s">
        <v>380</v>
      </c>
      <c r="AA391" s="110" t="s">
        <v>1788</v>
      </c>
      <c r="AB391" s="110" t="s">
        <v>1979</v>
      </c>
      <c r="AC391" s="110" t="s">
        <v>182</v>
      </c>
      <c r="AD391" s="110" t="s">
        <v>1256</v>
      </c>
      <c r="AE391" s="110" t="s">
        <v>1306</v>
      </c>
      <c r="AF391" s="110" t="s">
        <v>1745</v>
      </c>
      <c r="AH391" s="110" t="s">
        <v>1980</v>
      </c>
      <c r="AI391" s="110" t="s">
        <v>246</v>
      </c>
      <c r="AJ391" s="110" t="s">
        <v>246</v>
      </c>
      <c r="AK391" s="110" t="s">
        <v>171</v>
      </c>
      <c r="AO391" s="110">
        <v>1</v>
      </c>
      <c r="AQ391" s="110" t="s">
        <v>176</v>
      </c>
      <c r="AU391" s="110">
        <v>10</v>
      </c>
      <c r="AV391" s="110" t="s">
        <v>1255</v>
      </c>
      <c r="AW391" s="110">
        <v>21.19</v>
      </c>
      <c r="AX391" s="110">
        <v>7.44</v>
      </c>
      <c r="BE391" s="110" t="s">
        <v>182</v>
      </c>
      <c r="BF391" s="110" t="s">
        <v>412</v>
      </c>
      <c r="BI391" s="110" t="s">
        <v>182</v>
      </c>
      <c r="BL391" s="110">
        <v>10</v>
      </c>
      <c r="BM391" s="110" t="s">
        <v>1982</v>
      </c>
      <c r="BS391" s="110">
        <v>70</v>
      </c>
      <c r="BT391" s="110" t="s">
        <v>1385</v>
      </c>
      <c r="BU391" s="110" t="s">
        <v>3207</v>
      </c>
      <c r="BV391" s="110" t="s">
        <v>2603</v>
      </c>
      <c r="BW391" s="110">
        <v>0.996</v>
      </c>
      <c r="BZ391" s="110">
        <v>0.13389999999999999</v>
      </c>
      <c r="CB391" s="110">
        <v>3.65</v>
      </c>
      <c r="CC391" s="110" t="b">
        <v>0</v>
      </c>
      <c r="CD391" s="110">
        <v>22.54</v>
      </c>
      <c r="CE391" s="110">
        <v>22.54</v>
      </c>
      <c r="CF391" s="110" t="s">
        <v>182</v>
      </c>
      <c r="CH391" s="110" t="s">
        <v>2471</v>
      </c>
      <c r="CI391" s="110" t="s">
        <v>1990</v>
      </c>
    </row>
    <row r="392" spans="1:87">
      <c r="A392" s="110" t="s">
        <v>2106</v>
      </c>
      <c r="B392" s="110">
        <v>79</v>
      </c>
      <c r="C392" s="110">
        <v>2</v>
      </c>
      <c r="D392" s="110">
        <v>1</v>
      </c>
      <c r="E392" s="110">
        <v>391</v>
      </c>
      <c r="F392" s="110">
        <v>1982</v>
      </c>
      <c r="G392" s="110" t="s">
        <v>187</v>
      </c>
      <c r="H392" s="110" t="s">
        <v>1219</v>
      </c>
      <c r="I392" s="110" t="s">
        <v>246</v>
      </c>
      <c r="J392" s="110" t="s">
        <v>246</v>
      </c>
      <c r="K392" s="110" t="s">
        <v>184</v>
      </c>
      <c r="L392" s="110" t="s">
        <v>184</v>
      </c>
      <c r="M392" s="110" t="s">
        <v>3175</v>
      </c>
      <c r="P392" s="110" t="s">
        <v>3183</v>
      </c>
      <c r="R392" s="110" t="s">
        <v>1976</v>
      </c>
      <c r="S392" s="110" t="s">
        <v>446</v>
      </c>
      <c r="T392" s="110" t="s">
        <v>702</v>
      </c>
      <c r="U392" s="110" t="s">
        <v>1001</v>
      </c>
      <c r="V392" s="110">
        <v>31.98564258</v>
      </c>
      <c r="W392" s="110">
        <v>31.98564258</v>
      </c>
      <c r="X392" s="110">
        <v>-81.048545309999994</v>
      </c>
      <c r="Y392" s="110" t="s">
        <v>276</v>
      </c>
      <c r="Z392" s="110" t="s">
        <v>586</v>
      </c>
      <c r="AA392" s="110" t="s">
        <v>424</v>
      </c>
      <c r="AB392" s="110" t="s">
        <v>2114</v>
      </c>
      <c r="AC392" s="110" t="s">
        <v>182</v>
      </c>
      <c r="AD392" s="110" t="s">
        <v>333</v>
      </c>
      <c r="AE392" s="110" t="s">
        <v>187</v>
      </c>
      <c r="AF392" s="110" t="s">
        <v>190</v>
      </c>
      <c r="AI392" s="110" t="s">
        <v>246</v>
      </c>
      <c r="AJ392" s="110" t="s">
        <v>246</v>
      </c>
      <c r="AK392" s="110" t="s">
        <v>2116</v>
      </c>
      <c r="AL392" s="110" t="s">
        <v>2115</v>
      </c>
      <c r="AM392" s="110">
        <v>0.95</v>
      </c>
      <c r="AN392" s="110" t="s">
        <v>1216</v>
      </c>
      <c r="AQ392" s="110" t="s">
        <v>176</v>
      </c>
      <c r="AR392" s="110">
        <v>1978</v>
      </c>
      <c r="AS392" s="110" t="s">
        <v>475</v>
      </c>
      <c r="AT392" s="110" t="s">
        <v>420</v>
      </c>
      <c r="AU392" s="110">
        <v>10</v>
      </c>
      <c r="AV392" s="110" t="s">
        <v>1256</v>
      </c>
      <c r="BE392" s="110" t="s">
        <v>246</v>
      </c>
      <c r="BF392" s="110" t="s">
        <v>188</v>
      </c>
      <c r="BG392" s="110">
        <v>0</v>
      </c>
      <c r="BI392" s="110" t="s">
        <v>182</v>
      </c>
      <c r="BK392" s="110">
        <v>2</v>
      </c>
      <c r="BL392" s="110">
        <v>1</v>
      </c>
      <c r="BO392" s="110">
        <v>0.34670000000000001</v>
      </c>
      <c r="BS392" s="110">
        <v>150</v>
      </c>
      <c r="BT392" s="110" t="s">
        <v>2256</v>
      </c>
      <c r="BU392" s="110" t="s">
        <v>2606</v>
      </c>
      <c r="BV392" s="110" t="s">
        <v>2256</v>
      </c>
      <c r="CA392" s="110">
        <v>0.34670000000000001</v>
      </c>
      <c r="CB392" s="110">
        <v>144.21690219999999</v>
      </c>
      <c r="CC392" s="110" t="b">
        <v>0</v>
      </c>
      <c r="CD392" s="110">
        <v>48</v>
      </c>
      <c r="CE392" s="110" t="s">
        <v>2256</v>
      </c>
      <c r="CF392" s="110" t="s">
        <v>2256</v>
      </c>
      <c r="CH392" s="110" t="s">
        <v>263</v>
      </c>
      <c r="CI392" s="110" t="s">
        <v>2117</v>
      </c>
    </row>
    <row r="393" spans="1:87">
      <c r="A393" s="110" t="s">
        <v>2106</v>
      </c>
      <c r="B393" s="110">
        <v>79</v>
      </c>
      <c r="C393" s="110">
        <v>2</v>
      </c>
      <c r="D393" s="110">
        <v>1</v>
      </c>
      <c r="E393" s="110">
        <v>392</v>
      </c>
      <c r="F393" s="110">
        <v>1982</v>
      </c>
      <c r="G393" s="110" t="s">
        <v>187</v>
      </c>
      <c r="H393" s="110" t="s">
        <v>1219</v>
      </c>
      <c r="I393" s="110" t="s">
        <v>246</v>
      </c>
      <c r="J393" s="110" t="s">
        <v>246</v>
      </c>
      <c r="K393" s="110" t="s">
        <v>184</v>
      </c>
      <c r="L393" s="110" t="s">
        <v>184</v>
      </c>
      <c r="M393" s="110" t="s">
        <v>3175</v>
      </c>
      <c r="P393" s="110" t="s">
        <v>3183</v>
      </c>
      <c r="R393" s="110" t="s">
        <v>2611</v>
      </c>
      <c r="S393" s="110" t="s">
        <v>443</v>
      </c>
      <c r="T393" s="110" t="s">
        <v>1004</v>
      </c>
      <c r="U393" s="110" t="s">
        <v>1005</v>
      </c>
      <c r="V393" s="110">
        <v>31.98564258</v>
      </c>
      <c r="W393" s="110">
        <v>31.98564258</v>
      </c>
      <c r="X393" s="110">
        <v>-81.048545309999994</v>
      </c>
      <c r="Y393" s="110" t="s">
        <v>276</v>
      </c>
      <c r="Z393" s="110" t="s">
        <v>586</v>
      </c>
      <c r="AA393" s="110" t="s">
        <v>424</v>
      </c>
      <c r="AB393" s="110" t="s">
        <v>2114</v>
      </c>
      <c r="AC393" s="110" t="s">
        <v>182</v>
      </c>
      <c r="AD393" s="110" t="s">
        <v>333</v>
      </c>
      <c r="AE393" s="110" t="s">
        <v>187</v>
      </c>
      <c r="AF393" s="110" t="s">
        <v>190</v>
      </c>
      <c r="AI393" s="110" t="s">
        <v>246</v>
      </c>
      <c r="AJ393" s="110" t="s">
        <v>246</v>
      </c>
      <c r="AK393" s="110" t="s">
        <v>2116</v>
      </c>
      <c r="AL393" s="110" t="s">
        <v>2115</v>
      </c>
      <c r="AM393" s="110">
        <v>0.95</v>
      </c>
      <c r="AN393" s="110" t="s">
        <v>1216</v>
      </c>
      <c r="AQ393" s="110" t="s">
        <v>176</v>
      </c>
      <c r="AR393" s="110">
        <v>1978</v>
      </c>
      <c r="AS393" s="110" t="s">
        <v>475</v>
      </c>
      <c r="AT393" s="110" t="s">
        <v>420</v>
      </c>
      <c r="AU393" s="110">
        <v>10</v>
      </c>
      <c r="AV393" s="110" t="s">
        <v>1256</v>
      </c>
      <c r="BE393" s="110" t="s">
        <v>246</v>
      </c>
      <c r="BF393" s="110" t="s">
        <v>188</v>
      </c>
      <c r="BG393" s="110">
        <v>0</v>
      </c>
      <c r="BI393" s="110" t="s">
        <v>182</v>
      </c>
      <c r="BK393" s="110">
        <v>2</v>
      </c>
      <c r="BL393" s="110">
        <v>1</v>
      </c>
      <c r="BO393" s="110">
        <v>0.32</v>
      </c>
      <c r="BS393" s="110">
        <v>150</v>
      </c>
      <c r="BT393" s="110" t="s">
        <v>2256</v>
      </c>
      <c r="BU393" s="110" t="s">
        <v>2606</v>
      </c>
      <c r="BV393" s="110" t="s">
        <v>2256</v>
      </c>
      <c r="CA393" s="110">
        <v>0.32</v>
      </c>
      <c r="CB393" s="110">
        <v>156.25</v>
      </c>
      <c r="CC393" s="110" t="b">
        <v>0</v>
      </c>
      <c r="CD393" s="110">
        <v>52</v>
      </c>
      <c r="CE393" s="110" t="s">
        <v>2256</v>
      </c>
      <c r="CF393" s="110" t="s">
        <v>2256</v>
      </c>
      <c r="CH393" s="110" t="s">
        <v>263</v>
      </c>
      <c r="CI393" s="110" t="s">
        <v>2117</v>
      </c>
    </row>
    <row r="394" spans="1:87">
      <c r="A394" s="110" t="s">
        <v>1963</v>
      </c>
      <c r="B394" s="110">
        <v>80</v>
      </c>
      <c r="C394" s="110">
        <v>1</v>
      </c>
      <c r="D394" s="110">
        <v>1</v>
      </c>
      <c r="E394" s="110">
        <v>393</v>
      </c>
      <c r="F394" s="110">
        <v>2022</v>
      </c>
      <c r="G394" s="110" t="s">
        <v>187</v>
      </c>
      <c r="H394" s="110" t="s">
        <v>1219</v>
      </c>
      <c r="I394" s="110" t="s">
        <v>182</v>
      </c>
      <c r="J394" s="110" t="s">
        <v>246</v>
      </c>
      <c r="K394" s="110" t="s">
        <v>999</v>
      </c>
      <c r="L394" s="110" t="s">
        <v>999</v>
      </c>
      <c r="R394" s="110" t="s">
        <v>1976</v>
      </c>
      <c r="S394" s="110" t="s">
        <v>446</v>
      </c>
      <c r="T394" s="110" t="s">
        <v>702</v>
      </c>
      <c r="U394" s="110" t="s">
        <v>1992</v>
      </c>
      <c r="V394" s="110">
        <v>25.759722</v>
      </c>
      <c r="W394" s="110">
        <v>25.759722</v>
      </c>
      <c r="X394" s="110">
        <v>117.354167</v>
      </c>
      <c r="Y394" s="110" t="s">
        <v>185</v>
      </c>
      <c r="Z394" s="110" t="s">
        <v>380</v>
      </c>
      <c r="AA394" s="110" t="s">
        <v>1788</v>
      </c>
      <c r="AB394" s="110" t="s">
        <v>1724</v>
      </c>
      <c r="AC394" s="110" t="s">
        <v>182</v>
      </c>
      <c r="AD394" s="110" t="s">
        <v>1725</v>
      </c>
      <c r="AE394" s="110" t="s">
        <v>187</v>
      </c>
      <c r="AF394" s="110" t="s">
        <v>1745</v>
      </c>
      <c r="AI394" s="110" t="s">
        <v>246</v>
      </c>
      <c r="AJ394" s="110" t="s">
        <v>246</v>
      </c>
      <c r="AK394" s="110" t="s">
        <v>1784</v>
      </c>
      <c r="AL394" s="110" t="s">
        <v>1997</v>
      </c>
      <c r="AN394" s="110" t="s">
        <v>1216</v>
      </c>
      <c r="AO394" s="110">
        <v>1</v>
      </c>
      <c r="AQ394" s="110" t="s">
        <v>176</v>
      </c>
      <c r="AR394" s="110">
        <v>2020</v>
      </c>
      <c r="AS394" s="110" t="s">
        <v>670</v>
      </c>
      <c r="AT394" s="110" t="s">
        <v>385</v>
      </c>
      <c r="AU394" s="110">
        <v>1</v>
      </c>
      <c r="AW394" s="110">
        <v>12.6</v>
      </c>
      <c r="AX394" s="110">
        <v>8.7899999999999991</v>
      </c>
      <c r="BA394" s="110">
        <v>18.600000000000001</v>
      </c>
      <c r="BB394" s="110">
        <v>20.7</v>
      </c>
      <c r="BC394" s="110">
        <v>19.649999999999999</v>
      </c>
      <c r="BD394" s="110">
        <v>2.1</v>
      </c>
      <c r="BE394" s="110" t="s">
        <v>182</v>
      </c>
      <c r="BF394" s="110" t="s">
        <v>412</v>
      </c>
      <c r="BI394" s="110" t="s">
        <v>246</v>
      </c>
      <c r="BJ394" s="110" t="s">
        <v>2001</v>
      </c>
      <c r="BK394" s="110">
        <v>5</v>
      </c>
      <c r="BL394" s="110">
        <v>5</v>
      </c>
      <c r="BS394" s="110">
        <v>15</v>
      </c>
      <c r="BT394" s="110" t="s">
        <v>2347</v>
      </c>
      <c r="BU394" s="110" t="s">
        <v>1394</v>
      </c>
      <c r="BV394" s="110" t="s">
        <v>2603</v>
      </c>
      <c r="BW394" s="110">
        <v>0.79469999999999996</v>
      </c>
      <c r="BZ394" s="110">
        <v>9.7500000000000003E-2</v>
      </c>
      <c r="CB394" s="110">
        <v>7.109201852</v>
      </c>
      <c r="CC394" s="110" t="b">
        <v>0</v>
      </c>
      <c r="CD394" s="110">
        <v>16.62</v>
      </c>
      <c r="CE394" s="110" t="s">
        <v>2256</v>
      </c>
      <c r="CF394" s="110" t="s">
        <v>2256</v>
      </c>
      <c r="CH394" s="110" t="s">
        <v>2469</v>
      </c>
    </row>
    <row r="395" spans="1:87">
      <c r="A395" s="110" t="s">
        <v>1963</v>
      </c>
      <c r="B395" s="110">
        <v>80</v>
      </c>
      <c r="C395" s="110">
        <v>1</v>
      </c>
      <c r="D395" s="110">
        <v>1</v>
      </c>
      <c r="E395" s="110">
        <v>394</v>
      </c>
      <c r="F395" s="110">
        <v>2022</v>
      </c>
      <c r="G395" s="110" t="s">
        <v>187</v>
      </c>
      <c r="H395" s="110" t="s">
        <v>1219</v>
      </c>
      <c r="I395" s="110" t="s">
        <v>182</v>
      </c>
      <c r="J395" s="110" t="s">
        <v>246</v>
      </c>
      <c r="K395" s="110" t="s">
        <v>999</v>
      </c>
      <c r="L395" s="110" t="s">
        <v>999</v>
      </c>
      <c r="R395" s="110" t="s">
        <v>1976</v>
      </c>
      <c r="S395" s="110" t="s">
        <v>446</v>
      </c>
      <c r="T395" s="110" t="s">
        <v>702</v>
      </c>
      <c r="U395" s="110" t="s">
        <v>1992</v>
      </c>
      <c r="V395" s="110">
        <v>25.759722</v>
      </c>
      <c r="W395" s="110">
        <v>25.759722</v>
      </c>
      <c r="X395" s="110">
        <v>117.354167</v>
      </c>
      <c r="Y395" s="110" t="s">
        <v>185</v>
      </c>
      <c r="Z395" s="110" t="s">
        <v>380</v>
      </c>
      <c r="AA395" s="110" t="s">
        <v>1788</v>
      </c>
      <c r="AB395" s="110" t="s">
        <v>1999</v>
      </c>
      <c r="AC395" s="110" t="s">
        <v>182</v>
      </c>
      <c r="AD395" s="110" t="s">
        <v>1725</v>
      </c>
      <c r="AE395" s="110" t="s">
        <v>187</v>
      </c>
      <c r="AF395" s="110" t="s">
        <v>1745</v>
      </c>
      <c r="AI395" s="110" t="s">
        <v>246</v>
      </c>
      <c r="AJ395" s="110" t="s">
        <v>246</v>
      </c>
      <c r="AK395" s="110" t="s">
        <v>1784</v>
      </c>
      <c r="AL395" s="110" t="s">
        <v>1997</v>
      </c>
      <c r="AN395" s="110" t="s">
        <v>1216</v>
      </c>
      <c r="AO395" s="110">
        <v>1</v>
      </c>
      <c r="AQ395" s="110" t="s">
        <v>176</v>
      </c>
      <c r="AR395" s="110">
        <v>2020</v>
      </c>
      <c r="AS395" s="110" t="s">
        <v>670</v>
      </c>
      <c r="AT395" s="110" t="s">
        <v>385</v>
      </c>
      <c r="AU395" s="110">
        <v>10</v>
      </c>
      <c r="AW395" s="110">
        <v>12.6</v>
      </c>
      <c r="AX395" s="110">
        <v>8.7899999999999991</v>
      </c>
      <c r="BA395" s="110">
        <v>18.600000000000001</v>
      </c>
      <c r="BB395" s="110">
        <v>20.7</v>
      </c>
      <c r="BC395" s="110">
        <v>19.649999999999999</v>
      </c>
      <c r="BD395" s="110">
        <v>2.1</v>
      </c>
      <c r="BE395" s="110" t="s">
        <v>182</v>
      </c>
      <c r="BF395" s="110" t="s">
        <v>412</v>
      </c>
      <c r="BI395" s="110" t="s">
        <v>246</v>
      </c>
      <c r="BJ395" s="110" t="s">
        <v>2001</v>
      </c>
      <c r="BK395" s="110">
        <v>5</v>
      </c>
      <c r="BL395" s="110">
        <v>5</v>
      </c>
      <c r="BS395" s="110">
        <v>15</v>
      </c>
      <c r="BT395" s="110" t="s">
        <v>1396</v>
      </c>
      <c r="BU395" s="110" t="s">
        <v>1396</v>
      </c>
      <c r="BV395" s="110" t="s">
        <v>1396</v>
      </c>
      <c r="BW395" s="110">
        <v>0.82850000000000001</v>
      </c>
      <c r="CA395" s="110">
        <v>4.1950000000000003</v>
      </c>
      <c r="CB395" s="110">
        <v>11.91895113</v>
      </c>
      <c r="CC395" s="110" t="b">
        <v>0</v>
      </c>
      <c r="CD395" s="110">
        <v>19.88</v>
      </c>
      <c r="CE395" s="110" t="s">
        <v>2256</v>
      </c>
      <c r="CF395" s="110" t="s">
        <v>2256</v>
      </c>
      <c r="CH395" s="110" t="s">
        <v>2469</v>
      </c>
    </row>
    <row r="396" spans="1:87">
      <c r="A396" s="110" t="s">
        <v>1963</v>
      </c>
      <c r="B396" s="110">
        <v>80</v>
      </c>
      <c r="C396" s="110">
        <v>1</v>
      </c>
      <c r="D396" s="110">
        <v>1</v>
      </c>
      <c r="E396" s="110">
        <v>395</v>
      </c>
      <c r="F396" s="110">
        <v>2022</v>
      </c>
      <c r="G396" s="110" t="s">
        <v>187</v>
      </c>
      <c r="H396" s="110" t="s">
        <v>1219</v>
      </c>
      <c r="I396" s="110" t="s">
        <v>182</v>
      </c>
      <c r="J396" s="110" t="s">
        <v>246</v>
      </c>
      <c r="K396" s="110" t="s">
        <v>999</v>
      </c>
      <c r="L396" s="110" t="s">
        <v>999</v>
      </c>
      <c r="R396" s="110" t="s">
        <v>1976</v>
      </c>
      <c r="S396" s="110" t="s">
        <v>446</v>
      </c>
      <c r="T396" s="110" t="s">
        <v>702</v>
      </c>
      <c r="U396" s="110" t="s">
        <v>1993</v>
      </c>
      <c r="V396" s="110">
        <v>25.759722</v>
      </c>
      <c r="W396" s="110">
        <v>25.759722</v>
      </c>
      <c r="X396" s="110">
        <v>117.354167</v>
      </c>
      <c r="Y396" s="110" t="s">
        <v>185</v>
      </c>
      <c r="Z396" s="110" t="s">
        <v>380</v>
      </c>
      <c r="AA396" s="110" t="s">
        <v>1788</v>
      </c>
      <c r="AB396" s="110" t="s">
        <v>1724</v>
      </c>
      <c r="AC396" s="110" t="s">
        <v>182</v>
      </c>
      <c r="AD396" s="110" t="s">
        <v>1725</v>
      </c>
      <c r="AE396" s="110" t="s">
        <v>187</v>
      </c>
      <c r="AF396" s="110" t="s">
        <v>1745</v>
      </c>
      <c r="AI396" s="110" t="s">
        <v>246</v>
      </c>
      <c r="AJ396" s="110" t="s">
        <v>246</v>
      </c>
      <c r="AK396" s="110" t="s">
        <v>1784</v>
      </c>
      <c r="AL396" s="110" t="s">
        <v>1997</v>
      </c>
      <c r="AN396" s="110" t="s">
        <v>1216</v>
      </c>
      <c r="AO396" s="110">
        <v>1</v>
      </c>
      <c r="AQ396" s="110" t="s">
        <v>176</v>
      </c>
      <c r="AR396" s="110">
        <v>2020</v>
      </c>
      <c r="AS396" s="110" t="s">
        <v>670</v>
      </c>
      <c r="AT396" s="110" t="s">
        <v>385</v>
      </c>
      <c r="AU396" s="110">
        <v>1</v>
      </c>
      <c r="AW396" s="110">
        <v>8.75</v>
      </c>
      <c r="AX396" s="110">
        <v>9.81</v>
      </c>
      <c r="BA396" s="110">
        <v>18.600000000000001</v>
      </c>
      <c r="BB396" s="110">
        <v>20.7</v>
      </c>
      <c r="BC396" s="110">
        <v>19.649999999999999</v>
      </c>
      <c r="BD396" s="110">
        <v>2.1</v>
      </c>
      <c r="BE396" s="110" t="s">
        <v>182</v>
      </c>
      <c r="BF396" s="110" t="s">
        <v>412</v>
      </c>
      <c r="BI396" s="110" t="s">
        <v>246</v>
      </c>
      <c r="BJ396" s="110" t="s">
        <v>2001</v>
      </c>
      <c r="BK396" s="110">
        <v>5</v>
      </c>
      <c r="BL396" s="110">
        <v>5</v>
      </c>
      <c r="BS396" s="110">
        <v>15</v>
      </c>
      <c r="BT396" s="110" t="s">
        <v>2347</v>
      </c>
      <c r="BU396" s="110" t="s">
        <v>1394</v>
      </c>
      <c r="BV396" s="110" t="s">
        <v>2603</v>
      </c>
      <c r="BW396" s="110">
        <v>0.84289999999999998</v>
      </c>
      <c r="BZ396" s="110">
        <v>0.11269999999999999</v>
      </c>
      <c r="CB396" s="110">
        <v>6.1503742729999997</v>
      </c>
      <c r="CC396" s="110" t="b">
        <v>0</v>
      </c>
      <c r="CD396" s="110">
        <v>16.829999999999998</v>
      </c>
      <c r="CE396" s="110" t="s">
        <v>2256</v>
      </c>
      <c r="CF396" s="110" t="s">
        <v>2256</v>
      </c>
      <c r="CH396" s="110" t="s">
        <v>2469</v>
      </c>
    </row>
    <row r="397" spans="1:87">
      <c r="A397" s="110" t="s">
        <v>1963</v>
      </c>
      <c r="B397" s="110">
        <v>80</v>
      </c>
      <c r="C397" s="110">
        <v>1</v>
      </c>
      <c r="D397" s="110">
        <v>1</v>
      </c>
      <c r="E397" s="110">
        <v>396</v>
      </c>
      <c r="F397" s="110">
        <v>2022</v>
      </c>
      <c r="G397" s="110" t="s">
        <v>187</v>
      </c>
      <c r="H397" s="110" t="s">
        <v>1219</v>
      </c>
      <c r="I397" s="110" t="s">
        <v>182</v>
      </c>
      <c r="J397" s="110" t="s">
        <v>246</v>
      </c>
      <c r="K397" s="110" t="s">
        <v>999</v>
      </c>
      <c r="L397" s="110" t="s">
        <v>999</v>
      </c>
      <c r="R397" s="110" t="s">
        <v>1976</v>
      </c>
      <c r="S397" s="110" t="s">
        <v>446</v>
      </c>
      <c r="T397" s="110" t="s">
        <v>702</v>
      </c>
      <c r="U397" s="110" t="s">
        <v>1993</v>
      </c>
      <c r="V397" s="110">
        <v>25.759722</v>
      </c>
      <c r="W397" s="110">
        <v>25.759722</v>
      </c>
      <c r="X397" s="110">
        <v>117.354167</v>
      </c>
      <c r="Y397" s="110" t="s">
        <v>185</v>
      </c>
      <c r="Z397" s="110" t="s">
        <v>380</v>
      </c>
      <c r="AA397" s="110" t="s">
        <v>1788</v>
      </c>
      <c r="AB397" s="110" t="s">
        <v>1999</v>
      </c>
      <c r="AC397" s="110" t="s">
        <v>182</v>
      </c>
      <c r="AD397" s="110" t="s">
        <v>1725</v>
      </c>
      <c r="AE397" s="110" t="s">
        <v>187</v>
      </c>
      <c r="AF397" s="110" t="s">
        <v>1745</v>
      </c>
      <c r="AI397" s="110" t="s">
        <v>246</v>
      </c>
      <c r="AJ397" s="110" t="s">
        <v>246</v>
      </c>
      <c r="AK397" s="110" t="s">
        <v>1784</v>
      </c>
      <c r="AL397" s="110" t="s">
        <v>1997</v>
      </c>
      <c r="AN397" s="110" t="s">
        <v>1216</v>
      </c>
      <c r="AO397" s="110">
        <v>1</v>
      </c>
      <c r="AQ397" s="110" t="s">
        <v>176</v>
      </c>
      <c r="AR397" s="110">
        <v>2020</v>
      </c>
      <c r="AS397" s="110" t="s">
        <v>670</v>
      </c>
      <c r="AT397" s="110" t="s">
        <v>385</v>
      </c>
      <c r="AU397" s="110">
        <v>10</v>
      </c>
      <c r="AW397" s="110">
        <v>8.75</v>
      </c>
      <c r="AX397" s="110">
        <v>9.81</v>
      </c>
      <c r="BA397" s="110">
        <v>18.600000000000001</v>
      </c>
      <c r="BB397" s="110">
        <v>20.7</v>
      </c>
      <c r="BC397" s="110">
        <v>19.649999999999999</v>
      </c>
      <c r="BD397" s="110">
        <v>2.1</v>
      </c>
      <c r="BE397" s="110" t="s">
        <v>182</v>
      </c>
      <c r="BF397" s="110" t="s">
        <v>412</v>
      </c>
      <c r="BI397" s="110" t="s">
        <v>246</v>
      </c>
      <c r="BJ397" s="110" t="s">
        <v>2001</v>
      </c>
      <c r="BK397" s="110">
        <v>5</v>
      </c>
      <c r="BL397" s="110">
        <v>5</v>
      </c>
      <c r="BS397" s="110">
        <v>15</v>
      </c>
      <c r="BT397" s="110" t="s">
        <v>1385</v>
      </c>
      <c r="BU397" s="110" t="s">
        <v>3207</v>
      </c>
      <c r="BV397" s="110" t="s">
        <v>2603</v>
      </c>
      <c r="BW397" s="110">
        <v>0.88800000000000001</v>
      </c>
      <c r="BZ397" s="110">
        <v>1.1923999999999999</v>
      </c>
      <c r="CB397" s="110">
        <v>1.1299999999999999</v>
      </c>
      <c r="CC397" s="110" t="b">
        <v>0</v>
      </c>
      <c r="CD397" s="110">
        <v>32.57</v>
      </c>
      <c r="CE397" s="110">
        <v>32.57</v>
      </c>
      <c r="CF397" s="110" t="s">
        <v>182</v>
      </c>
      <c r="CH397" s="110" t="s">
        <v>2469</v>
      </c>
    </row>
    <row r="398" spans="1:87">
      <c r="A398" s="110" t="s">
        <v>1963</v>
      </c>
      <c r="B398" s="110">
        <v>80</v>
      </c>
      <c r="C398" s="110">
        <v>1</v>
      </c>
      <c r="D398" s="110">
        <v>2</v>
      </c>
      <c r="E398" s="110">
        <v>397</v>
      </c>
      <c r="F398" s="110">
        <v>2022</v>
      </c>
      <c r="G398" s="110" t="s">
        <v>1991</v>
      </c>
      <c r="H398" s="110" t="s">
        <v>1219</v>
      </c>
      <c r="I398" s="110" t="s">
        <v>182</v>
      </c>
      <c r="J398" s="110" t="s">
        <v>246</v>
      </c>
      <c r="K398" s="110" t="s">
        <v>999</v>
      </c>
      <c r="L398" s="110" t="s">
        <v>999</v>
      </c>
      <c r="R398" s="110" t="s">
        <v>1976</v>
      </c>
      <c r="S398" s="110" t="s">
        <v>446</v>
      </c>
      <c r="T398" s="110" t="s">
        <v>702</v>
      </c>
      <c r="U398" s="110" t="s">
        <v>1992</v>
      </c>
      <c r="V398" s="110">
        <v>25.759722</v>
      </c>
      <c r="W398" s="110">
        <v>25.759722</v>
      </c>
      <c r="X398" s="110">
        <v>117.354167</v>
      </c>
      <c r="Y398" s="110" t="s">
        <v>185</v>
      </c>
      <c r="Z398" s="110" t="s">
        <v>380</v>
      </c>
      <c r="AA398" s="110" t="s">
        <v>1788</v>
      </c>
      <c r="AB398" s="110" t="s">
        <v>1724</v>
      </c>
      <c r="AC398" s="110" t="s">
        <v>182</v>
      </c>
      <c r="AD398" s="110" t="s">
        <v>1725</v>
      </c>
      <c r="AE398" s="110" t="s">
        <v>1123</v>
      </c>
      <c r="AF398" s="110" t="s">
        <v>1745</v>
      </c>
      <c r="AG398" s="110" t="s">
        <v>1766</v>
      </c>
      <c r="AI398" s="110" t="s">
        <v>246</v>
      </c>
      <c r="AJ398" s="110" t="s">
        <v>246</v>
      </c>
      <c r="AK398" s="110" t="s">
        <v>2000</v>
      </c>
      <c r="AO398" s="110">
        <v>1</v>
      </c>
      <c r="AQ398" s="110" t="s">
        <v>176</v>
      </c>
      <c r="AR398" s="110">
        <v>2020</v>
      </c>
      <c r="AS398" s="110" t="s">
        <v>670</v>
      </c>
      <c r="AT398" s="110" t="s">
        <v>385</v>
      </c>
      <c r="AU398" s="110">
        <v>1</v>
      </c>
      <c r="AW398" s="110">
        <v>10.77</v>
      </c>
      <c r="AX398" s="110">
        <v>7.13</v>
      </c>
      <c r="BE398" s="110" t="s">
        <v>182</v>
      </c>
      <c r="BF398" s="110" t="s">
        <v>412</v>
      </c>
      <c r="BI398" s="110" t="s">
        <v>182</v>
      </c>
      <c r="BK398" s="110">
        <v>3</v>
      </c>
      <c r="BL398" s="110">
        <v>5</v>
      </c>
      <c r="BS398" s="110">
        <v>35</v>
      </c>
      <c r="BT398" s="110" t="s">
        <v>2347</v>
      </c>
      <c r="BU398" s="110" t="s">
        <v>1394</v>
      </c>
      <c r="BV398" s="110" t="s">
        <v>2603</v>
      </c>
      <c r="BW398" s="110">
        <v>0.98899999999999999</v>
      </c>
      <c r="BZ398" s="110">
        <v>9.2999999999999999E-2</v>
      </c>
      <c r="CB398" s="110">
        <v>7.4531954899999997</v>
      </c>
      <c r="CC398" s="110" t="b">
        <v>0</v>
      </c>
      <c r="CD398" s="110">
        <v>7.14</v>
      </c>
      <c r="CE398" s="110">
        <v>0</v>
      </c>
      <c r="CF398" s="110" t="s">
        <v>246</v>
      </c>
      <c r="CH398" s="110" t="s">
        <v>2469</v>
      </c>
    </row>
    <row r="399" spans="1:87">
      <c r="A399" s="110" t="s">
        <v>1963</v>
      </c>
      <c r="B399" s="110">
        <v>80</v>
      </c>
      <c r="C399" s="110">
        <v>1</v>
      </c>
      <c r="D399" s="110">
        <v>2</v>
      </c>
      <c r="E399" s="110">
        <v>398</v>
      </c>
      <c r="F399" s="110">
        <v>2022</v>
      </c>
      <c r="G399" s="110" t="s">
        <v>1991</v>
      </c>
      <c r="H399" s="110" t="s">
        <v>1219</v>
      </c>
      <c r="I399" s="110" t="s">
        <v>182</v>
      </c>
      <c r="J399" s="110" t="s">
        <v>246</v>
      </c>
      <c r="K399" s="110" t="s">
        <v>999</v>
      </c>
      <c r="L399" s="110" t="s">
        <v>999</v>
      </c>
      <c r="R399" s="110" t="s">
        <v>1976</v>
      </c>
      <c r="S399" s="110" t="s">
        <v>446</v>
      </c>
      <c r="T399" s="110" t="s">
        <v>702</v>
      </c>
      <c r="U399" s="110" t="s">
        <v>1992</v>
      </c>
      <c r="V399" s="110">
        <v>25.759722</v>
      </c>
      <c r="W399" s="110">
        <v>25.759722</v>
      </c>
      <c r="X399" s="110">
        <v>117.354167</v>
      </c>
      <c r="Y399" s="110" t="s">
        <v>185</v>
      </c>
      <c r="Z399" s="110" t="s">
        <v>380</v>
      </c>
      <c r="AA399" s="110" t="s">
        <v>1788</v>
      </c>
      <c r="AB399" s="110" t="s">
        <v>1999</v>
      </c>
      <c r="AC399" s="110" t="s">
        <v>182</v>
      </c>
      <c r="AD399" s="110" t="s">
        <v>1725</v>
      </c>
      <c r="AE399" s="110" t="s">
        <v>1123</v>
      </c>
      <c r="AF399" s="110" t="s">
        <v>1745</v>
      </c>
      <c r="AG399" s="110" t="s">
        <v>1766</v>
      </c>
      <c r="AI399" s="110" t="s">
        <v>246</v>
      </c>
      <c r="AJ399" s="110" t="s">
        <v>246</v>
      </c>
      <c r="AK399" s="110" t="s">
        <v>2000</v>
      </c>
      <c r="AO399" s="110">
        <v>1</v>
      </c>
      <c r="AQ399" s="110" t="s">
        <v>176</v>
      </c>
      <c r="AR399" s="110">
        <v>2020</v>
      </c>
      <c r="AS399" s="110" t="s">
        <v>670</v>
      </c>
      <c r="AT399" s="110" t="s">
        <v>385</v>
      </c>
      <c r="AU399" s="110">
        <v>10</v>
      </c>
      <c r="AW399" s="110">
        <v>10.77</v>
      </c>
      <c r="AX399" s="110">
        <v>10.07</v>
      </c>
      <c r="BE399" s="110" t="s">
        <v>182</v>
      </c>
      <c r="BF399" s="110" t="s">
        <v>412</v>
      </c>
      <c r="BI399" s="110" t="s">
        <v>182</v>
      </c>
      <c r="BK399" s="110">
        <v>3</v>
      </c>
      <c r="BL399" s="110">
        <v>5</v>
      </c>
      <c r="BS399" s="110">
        <v>35</v>
      </c>
      <c r="BT399" s="110" t="s">
        <v>2347</v>
      </c>
      <c r="BU399" s="110" t="s">
        <v>1394</v>
      </c>
      <c r="BV399" s="110" t="s">
        <v>2603</v>
      </c>
      <c r="BW399" s="110">
        <v>0.98</v>
      </c>
      <c r="BZ399" s="110">
        <v>7.8E-2</v>
      </c>
      <c r="CB399" s="110">
        <v>8.8865023149999995</v>
      </c>
      <c r="CC399" s="110" t="b">
        <v>0</v>
      </c>
      <c r="CD399" s="110">
        <v>14.29</v>
      </c>
      <c r="CE399" s="110">
        <v>0</v>
      </c>
      <c r="CF399" s="110" t="s">
        <v>246</v>
      </c>
      <c r="CH399" s="110" t="s">
        <v>2469</v>
      </c>
    </row>
    <row r="400" spans="1:87">
      <c r="A400" s="110" t="s">
        <v>1963</v>
      </c>
      <c r="B400" s="110">
        <v>80</v>
      </c>
      <c r="C400" s="110">
        <v>1</v>
      </c>
      <c r="D400" s="110">
        <v>2</v>
      </c>
      <c r="E400" s="110">
        <v>399</v>
      </c>
      <c r="F400" s="110">
        <v>2022</v>
      </c>
      <c r="G400" s="110" t="s">
        <v>1991</v>
      </c>
      <c r="H400" s="110" t="s">
        <v>1219</v>
      </c>
      <c r="I400" s="110" t="s">
        <v>182</v>
      </c>
      <c r="J400" s="110" t="s">
        <v>246</v>
      </c>
      <c r="K400" s="110" t="s">
        <v>999</v>
      </c>
      <c r="L400" s="110" t="s">
        <v>999</v>
      </c>
      <c r="R400" s="110" t="s">
        <v>1976</v>
      </c>
      <c r="S400" s="110" t="s">
        <v>446</v>
      </c>
      <c r="T400" s="110" t="s">
        <v>702</v>
      </c>
      <c r="U400" s="110" t="s">
        <v>1993</v>
      </c>
      <c r="V400" s="110">
        <v>25.759722</v>
      </c>
      <c r="W400" s="110">
        <v>25.759722</v>
      </c>
      <c r="X400" s="110">
        <v>117.354167</v>
      </c>
      <c r="Y400" s="110" t="s">
        <v>185</v>
      </c>
      <c r="Z400" s="110" t="s">
        <v>380</v>
      </c>
      <c r="AA400" s="110" t="s">
        <v>1788</v>
      </c>
      <c r="AB400" s="110" t="s">
        <v>1724</v>
      </c>
      <c r="AC400" s="110" t="s">
        <v>182</v>
      </c>
      <c r="AD400" s="110" t="s">
        <v>1725</v>
      </c>
      <c r="AE400" s="110" t="s">
        <v>1123</v>
      </c>
      <c r="AF400" s="110" t="s">
        <v>1745</v>
      </c>
      <c r="AG400" s="110" t="s">
        <v>1766</v>
      </c>
      <c r="AI400" s="110" t="s">
        <v>246</v>
      </c>
      <c r="AJ400" s="110" t="s">
        <v>246</v>
      </c>
      <c r="AK400" s="110" t="s">
        <v>2000</v>
      </c>
      <c r="AO400" s="110">
        <v>1</v>
      </c>
      <c r="AQ400" s="110" t="s">
        <v>176</v>
      </c>
      <c r="AR400" s="110">
        <v>2020</v>
      </c>
      <c r="AS400" s="110" t="s">
        <v>670</v>
      </c>
      <c r="AT400" s="110" t="s">
        <v>385</v>
      </c>
      <c r="AU400" s="110">
        <v>1</v>
      </c>
      <c r="AW400" s="110">
        <v>14.14</v>
      </c>
      <c r="AX400" s="110">
        <v>9.2799999999999994</v>
      </c>
      <c r="BE400" s="110" t="s">
        <v>182</v>
      </c>
      <c r="BF400" s="110" t="s">
        <v>412</v>
      </c>
      <c r="BI400" s="110" t="s">
        <v>182</v>
      </c>
      <c r="BK400" s="110">
        <v>3</v>
      </c>
      <c r="BL400" s="110">
        <v>5</v>
      </c>
      <c r="BS400" s="110">
        <v>35</v>
      </c>
      <c r="BT400" s="110" t="s">
        <v>2347</v>
      </c>
      <c r="BU400" s="110" t="s">
        <v>1394</v>
      </c>
      <c r="BV400" s="110" t="s">
        <v>2603</v>
      </c>
      <c r="BW400" s="110">
        <v>0.99</v>
      </c>
      <c r="BZ400" s="110">
        <v>7.2400000000000006E-2</v>
      </c>
      <c r="CB400" s="110">
        <v>9.5738560849999992</v>
      </c>
      <c r="CC400" s="110" t="b">
        <v>0</v>
      </c>
      <c r="CD400" s="110">
        <v>10.39</v>
      </c>
      <c r="CE400" s="110">
        <v>0</v>
      </c>
      <c r="CF400" s="110" t="s">
        <v>246</v>
      </c>
      <c r="CH400" s="110" t="s">
        <v>2469</v>
      </c>
    </row>
    <row r="401" spans="1:88">
      <c r="A401" s="110" t="s">
        <v>1963</v>
      </c>
      <c r="B401" s="110">
        <v>80</v>
      </c>
      <c r="C401" s="110">
        <v>1</v>
      </c>
      <c r="D401" s="110">
        <v>2</v>
      </c>
      <c r="E401" s="110">
        <v>400</v>
      </c>
      <c r="F401" s="110">
        <v>2022</v>
      </c>
      <c r="G401" s="110" t="s">
        <v>1991</v>
      </c>
      <c r="H401" s="110" t="s">
        <v>1219</v>
      </c>
      <c r="I401" s="110" t="s">
        <v>182</v>
      </c>
      <c r="J401" s="110" t="s">
        <v>246</v>
      </c>
      <c r="K401" s="110" t="s">
        <v>999</v>
      </c>
      <c r="L401" s="110" t="s">
        <v>999</v>
      </c>
      <c r="R401" s="110" t="s">
        <v>1976</v>
      </c>
      <c r="S401" s="110" t="s">
        <v>446</v>
      </c>
      <c r="T401" s="110" t="s">
        <v>702</v>
      </c>
      <c r="U401" s="110" t="s">
        <v>1993</v>
      </c>
      <c r="V401" s="110">
        <v>25.759722</v>
      </c>
      <c r="W401" s="110">
        <v>25.759722</v>
      </c>
      <c r="X401" s="110">
        <v>117.354167</v>
      </c>
      <c r="Y401" s="110" t="s">
        <v>185</v>
      </c>
      <c r="Z401" s="110" t="s">
        <v>380</v>
      </c>
      <c r="AA401" s="110" t="s">
        <v>1788</v>
      </c>
      <c r="AB401" s="110" t="s">
        <v>1999</v>
      </c>
      <c r="AC401" s="110" t="s">
        <v>182</v>
      </c>
      <c r="AD401" s="110" t="s">
        <v>1725</v>
      </c>
      <c r="AE401" s="110" t="s">
        <v>1123</v>
      </c>
      <c r="AF401" s="110" t="s">
        <v>1745</v>
      </c>
      <c r="AG401" s="110" t="s">
        <v>1766</v>
      </c>
      <c r="AI401" s="110" t="s">
        <v>246</v>
      </c>
      <c r="AJ401" s="110" t="s">
        <v>246</v>
      </c>
      <c r="AK401" s="110" t="s">
        <v>2000</v>
      </c>
      <c r="AO401" s="110">
        <v>1</v>
      </c>
      <c r="AQ401" s="110" t="s">
        <v>176</v>
      </c>
      <c r="AR401" s="110">
        <v>2020</v>
      </c>
      <c r="AS401" s="110" t="s">
        <v>670</v>
      </c>
      <c r="AT401" s="110" t="s">
        <v>385</v>
      </c>
      <c r="AU401" s="110">
        <v>10</v>
      </c>
      <c r="AW401" s="110">
        <v>14.14</v>
      </c>
      <c r="AX401" s="110">
        <v>9.2799999999999994</v>
      </c>
      <c r="BE401" s="110" t="s">
        <v>182</v>
      </c>
      <c r="BF401" s="110" t="s">
        <v>412</v>
      </c>
      <c r="BI401" s="110" t="s">
        <v>182</v>
      </c>
      <c r="BK401" s="110">
        <v>3</v>
      </c>
      <c r="BL401" s="110">
        <v>5</v>
      </c>
      <c r="BS401" s="110">
        <v>35</v>
      </c>
      <c r="BT401" s="110" t="s">
        <v>2347</v>
      </c>
      <c r="BU401" s="110" t="s">
        <v>1394</v>
      </c>
      <c r="BV401" s="110" t="s">
        <v>2603</v>
      </c>
      <c r="BW401" s="110">
        <v>0.99</v>
      </c>
      <c r="BZ401" s="110">
        <v>7.4700000000000003E-2</v>
      </c>
      <c r="CB401" s="110">
        <v>9.2790787219999995</v>
      </c>
      <c r="CC401" s="110" t="b">
        <v>0</v>
      </c>
      <c r="CD401" s="110">
        <v>8.44</v>
      </c>
      <c r="CE401" s="110">
        <v>0</v>
      </c>
      <c r="CF401" s="110" t="s">
        <v>246</v>
      </c>
      <c r="CH401" s="110" t="s">
        <v>2469</v>
      </c>
    </row>
    <row r="402" spans="1:88">
      <c r="A402" s="110" t="s">
        <v>1964</v>
      </c>
      <c r="B402" s="110">
        <v>81</v>
      </c>
      <c r="C402" s="110">
        <v>1</v>
      </c>
      <c r="D402" s="110">
        <v>1</v>
      </c>
      <c r="E402" s="110">
        <v>401</v>
      </c>
      <c r="F402" s="110">
        <v>2022</v>
      </c>
      <c r="G402" s="110" t="s">
        <v>187</v>
      </c>
      <c r="H402" s="110" t="s">
        <v>1219</v>
      </c>
      <c r="I402" s="110" t="s">
        <v>182</v>
      </c>
      <c r="J402" s="110" t="s">
        <v>246</v>
      </c>
      <c r="K402" s="110" t="s">
        <v>999</v>
      </c>
      <c r="L402" s="110" t="s">
        <v>999</v>
      </c>
      <c r="R402" s="110" t="s">
        <v>1976</v>
      </c>
      <c r="S402" s="110" t="s">
        <v>446</v>
      </c>
      <c r="T402" s="110" t="s">
        <v>702</v>
      </c>
      <c r="U402" s="110" t="s">
        <v>1992</v>
      </c>
      <c r="V402" s="110">
        <v>23.433307410000001</v>
      </c>
      <c r="W402" s="110">
        <v>23.433307410000001</v>
      </c>
      <c r="X402" s="110">
        <v>117.0991147</v>
      </c>
      <c r="Y402" s="110" t="s">
        <v>185</v>
      </c>
      <c r="Z402" s="110" t="s">
        <v>380</v>
      </c>
      <c r="AA402" s="110" t="s">
        <v>1788</v>
      </c>
      <c r="AB402" s="110" t="s">
        <v>333</v>
      </c>
      <c r="AC402" s="110" t="s">
        <v>246</v>
      </c>
      <c r="AD402" s="110" t="s">
        <v>1725</v>
      </c>
      <c r="AE402" s="110" t="s">
        <v>187</v>
      </c>
      <c r="AF402" s="110" t="s">
        <v>190</v>
      </c>
      <c r="AI402" s="110" t="s">
        <v>246</v>
      </c>
      <c r="AJ402" s="110" t="s">
        <v>246</v>
      </c>
      <c r="AK402" s="110" t="s">
        <v>2009</v>
      </c>
      <c r="AL402" s="110" t="s">
        <v>2010</v>
      </c>
      <c r="AN402" s="110" t="s">
        <v>1216</v>
      </c>
      <c r="AO402" s="110">
        <v>1.7</v>
      </c>
      <c r="AQ402" s="110" t="s">
        <v>176</v>
      </c>
      <c r="AU402" s="110">
        <v>10</v>
      </c>
      <c r="BA402" s="110">
        <v>25</v>
      </c>
      <c r="BB402" s="110">
        <v>25</v>
      </c>
      <c r="BC402" s="110">
        <v>25</v>
      </c>
      <c r="BD402" s="110">
        <v>0</v>
      </c>
      <c r="BE402" s="110" t="s">
        <v>182</v>
      </c>
      <c r="BF402" s="110" t="s">
        <v>1903</v>
      </c>
      <c r="BG402" s="110" t="s">
        <v>2036</v>
      </c>
      <c r="BI402" s="110" t="s">
        <v>246</v>
      </c>
      <c r="BK402" s="110">
        <v>3</v>
      </c>
      <c r="BL402" s="110">
        <v>9</v>
      </c>
      <c r="BN402" s="110">
        <v>-2.0000000000000001E-4</v>
      </c>
      <c r="BO402" s="110">
        <v>1.032</v>
      </c>
      <c r="BP402" s="110">
        <v>1574.55</v>
      </c>
      <c r="BS402" s="110">
        <v>45</v>
      </c>
      <c r="BT402" s="110" t="s">
        <v>1387</v>
      </c>
      <c r="BU402" s="110" t="s">
        <v>2606</v>
      </c>
      <c r="BV402" s="110" t="s">
        <v>1387</v>
      </c>
      <c r="CB402" s="110" t="s">
        <v>190</v>
      </c>
      <c r="CC402" s="110" t="b">
        <v>0</v>
      </c>
      <c r="CD402" s="110" t="s">
        <v>190</v>
      </c>
      <c r="CE402" s="110" t="s">
        <v>2256</v>
      </c>
      <c r="CF402" s="110" t="s">
        <v>2256</v>
      </c>
      <c r="CH402" s="110" t="s">
        <v>2464</v>
      </c>
      <c r="CJ402" s="110" t="s">
        <v>2025</v>
      </c>
    </row>
    <row r="403" spans="1:88">
      <c r="A403" s="110" t="s">
        <v>1964</v>
      </c>
      <c r="B403" s="110">
        <v>81</v>
      </c>
      <c r="C403" s="110">
        <v>1</v>
      </c>
      <c r="D403" s="110">
        <v>1</v>
      </c>
      <c r="E403" s="110">
        <v>402</v>
      </c>
      <c r="F403" s="110">
        <v>2022</v>
      </c>
      <c r="G403" s="110" t="s">
        <v>187</v>
      </c>
      <c r="H403" s="110" t="s">
        <v>1219</v>
      </c>
      <c r="I403" s="110" t="s">
        <v>182</v>
      </c>
      <c r="J403" s="110" t="s">
        <v>246</v>
      </c>
      <c r="K403" s="110" t="s">
        <v>999</v>
      </c>
      <c r="L403" s="110" t="s">
        <v>999</v>
      </c>
      <c r="R403" s="110" t="s">
        <v>1976</v>
      </c>
      <c r="S403" s="110" t="s">
        <v>446</v>
      </c>
      <c r="T403" s="110" t="s">
        <v>702</v>
      </c>
      <c r="U403" s="110" t="s">
        <v>1992</v>
      </c>
      <c r="V403" s="110">
        <v>23.433307410000001</v>
      </c>
      <c r="W403" s="110">
        <v>23.433307410000001</v>
      </c>
      <c r="X403" s="110">
        <v>117.0991147</v>
      </c>
      <c r="Y403" s="110" t="s">
        <v>185</v>
      </c>
      <c r="Z403" s="110" t="s">
        <v>380</v>
      </c>
      <c r="AA403" s="110" t="s">
        <v>1788</v>
      </c>
      <c r="AB403" s="110" t="s">
        <v>333</v>
      </c>
      <c r="AC403" s="110" t="s">
        <v>246</v>
      </c>
      <c r="AD403" s="110" t="s">
        <v>1725</v>
      </c>
      <c r="AE403" s="110" t="s">
        <v>187</v>
      </c>
      <c r="AF403" s="110" t="s">
        <v>1745</v>
      </c>
      <c r="AI403" s="110" t="s">
        <v>246</v>
      </c>
      <c r="AJ403" s="110" t="s">
        <v>246</v>
      </c>
      <c r="AK403" s="110" t="s">
        <v>2009</v>
      </c>
      <c r="AL403" s="110" t="s">
        <v>2011</v>
      </c>
      <c r="AN403" s="110" t="s">
        <v>1216</v>
      </c>
      <c r="AO403" s="110">
        <v>1.7</v>
      </c>
      <c r="AQ403" s="110" t="s">
        <v>176</v>
      </c>
      <c r="AU403" s="110">
        <v>10</v>
      </c>
      <c r="BA403" s="110">
        <v>25</v>
      </c>
      <c r="BB403" s="110">
        <v>25</v>
      </c>
      <c r="BC403" s="110">
        <v>25</v>
      </c>
      <c r="BD403" s="110">
        <v>0</v>
      </c>
      <c r="BE403" s="110" t="s">
        <v>182</v>
      </c>
      <c r="BF403" s="110" t="s">
        <v>1903</v>
      </c>
      <c r="BG403" s="110" t="s">
        <v>2036</v>
      </c>
      <c r="BI403" s="110" t="s">
        <v>246</v>
      </c>
      <c r="BK403" s="110">
        <v>3</v>
      </c>
      <c r="BL403" s="110">
        <v>9</v>
      </c>
      <c r="BN403" s="110">
        <v>4.0000000000000001E-3</v>
      </c>
      <c r="BO403" s="110">
        <v>-17.881</v>
      </c>
      <c r="BP403" s="110">
        <v>158.77500000000001</v>
      </c>
      <c r="BS403" s="110">
        <v>45</v>
      </c>
      <c r="BT403" s="110" t="s">
        <v>2458</v>
      </c>
      <c r="BU403" s="110" t="s">
        <v>2606</v>
      </c>
      <c r="BV403" s="110" t="s">
        <v>2458</v>
      </c>
      <c r="BZ403" s="110">
        <v>4.0000000000000001E-3</v>
      </c>
      <c r="CB403" s="110">
        <v>158.77500000000001</v>
      </c>
      <c r="CC403" s="110" t="b">
        <v>0</v>
      </c>
      <c r="CD403" s="110" t="s">
        <v>2256</v>
      </c>
      <c r="CE403" s="110" t="s">
        <v>2256</v>
      </c>
      <c r="CF403" s="110" t="s">
        <v>2256</v>
      </c>
      <c r="CH403" s="110" t="s">
        <v>2464</v>
      </c>
      <c r="CJ403" s="110" t="s">
        <v>2508</v>
      </c>
    </row>
    <row r="404" spans="1:88">
      <c r="A404" s="110" t="s">
        <v>1964</v>
      </c>
      <c r="B404" s="110">
        <v>81</v>
      </c>
      <c r="C404" s="110">
        <v>1</v>
      </c>
      <c r="D404" s="110">
        <v>1</v>
      </c>
      <c r="E404" s="110">
        <v>403</v>
      </c>
      <c r="F404" s="110">
        <v>2022</v>
      </c>
      <c r="G404" s="110" t="s">
        <v>187</v>
      </c>
      <c r="H404" s="110" t="s">
        <v>1219</v>
      </c>
      <c r="I404" s="110" t="s">
        <v>182</v>
      </c>
      <c r="J404" s="110" t="s">
        <v>246</v>
      </c>
      <c r="K404" s="110" t="s">
        <v>999</v>
      </c>
      <c r="L404" s="110" t="s">
        <v>999</v>
      </c>
      <c r="R404" s="110" t="s">
        <v>1976</v>
      </c>
      <c r="S404" s="110" t="s">
        <v>446</v>
      </c>
      <c r="T404" s="110" t="s">
        <v>702</v>
      </c>
      <c r="U404" s="110" t="s">
        <v>1992</v>
      </c>
      <c r="V404" s="110">
        <v>23.433307410000001</v>
      </c>
      <c r="W404" s="110">
        <v>23.433307410000001</v>
      </c>
      <c r="X404" s="110">
        <v>117.0991147</v>
      </c>
      <c r="Y404" s="110" t="s">
        <v>185</v>
      </c>
      <c r="Z404" s="110" t="s">
        <v>380</v>
      </c>
      <c r="AA404" s="110" t="s">
        <v>1788</v>
      </c>
      <c r="AB404" s="110" t="s">
        <v>1724</v>
      </c>
      <c r="AC404" s="110" t="s">
        <v>182</v>
      </c>
      <c r="AD404" s="110" t="s">
        <v>1725</v>
      </c>
      <c r="AE404" s="110" t="s">
        <v>187</v>
      </c>
      <c r="AF404" s="110" t="s">
        <v>190</v>
      </c>
      <c r="AI404" s="110" t="s">
        <v>246</v>
      </c>
      <c r="AJ404" s="110" t="s">
        <v>246</v>
      </c>
      <c r="AK404" s="110" t="s">
        <v>2009</v>
      </c>
      <c r="AL404" s="110" t="s">
        <v>2010</v>
      </c>
      <c r="AN404" s="110" t="s">
        <v>1216</v>
      </c>
      <c r="AO404" s="110">
        <v>1.7</v>
      </c>
      <c r="AQ404" s="110" t="s">
        <v>176</v>
      </c>
      <c r="AU404" s="110">
        <v>10</v>
      </c>
      <c r="BA404" s="110">
        <v>25</v>
      </c>
      <c r="BB404" s="110">
        <v>25</v>
      </c>
      <c r="BC404" s="110">
        <v>25</v>
      </c>
      <c r="BD404" s="110">
        <v>0</v>
      </c>
      <c r="BE404" s="110" t="s">
        <v>182</v>
      </c>
      <c r="BF404" s="110" t="s">
        <v>1903</v>
      </c>
      <c r="BG404" s="110" t="s">
        <v>2036</v>
      </c>
      <c r="BI404" s="110" t="s">
        <v>246</v>
      </c>
      <c r="BK404" s="110">
        <v>3</v>
      </c>
      <c r="BL404" s="110">
        <v>9</v>
      </c>
      <c r="BN404" s="110">
        <v>1.2999999999999999E-2</v>
      </c>
      <c r="BO404" s="110">
        <v>-43.323</v>
      </c>
      <c r="BP404" s="110">
        <v>54.948999999999998</v>
      </c>
      <c r="BS404" s="110">
        <v>45</v>
      </c>
      <c r="BT404" s="110" t="s">
        <v>2458</v>
      </c>
      <c r="BU404" s="110" t="s">
        <v>2606</v>
      </c>
      <c r="BV404" s="110" t="s">
        <v>2458</v>
      </c>
      <c r="BZ404" s="110">
        <v>1.2999999999999999E-2</v>
      </c>
      <c r="CB404" s="110">
        <v>54.948999999999998</v>
      </c>
      <c r="CC404" s="110" t="b">
        <v>0</v>
      </c>
      <c r="CD404" s="110" t="s">
        <v>2256</v>
      </c>
      <c r="CE404" s="110" t="s">
        <v>2256</v>
      </c>
      <c r="CF404" s="110" t="s">
        <v>2256</v>
      </c>
      <c r="CH404" s="110" t="s">
        <v>1724</v>
      </c>
      <c r="CJ404" s="110" t="s">
        <v>2508</v>
      </c>
    </row>
    <row r="405" spans="1:88">
      <c r="A405" s="110" t="s">
        <v>1964</v>
      </c>
      <c r="B405" s="110">
        <v>81</v>
      </c>
      <c r="C405" s="110">
        <v>1</v>
      </c>
      <c r="D405" s="110">
        <v>1</v>
      </c>
      <c r="E405" s="110">
        <v>404</v>
      </c>
      <c r="F405" s="110">
        <v>2022</v>
      </c>
      <c r="G405" s="110" t="s">
        <v>187</v>
      </c>
      <c r="H405" s="110" t="s">
        <v>1219</v>
      </c>
      <c r="I405" s="110" t="s">
        <v>182</v>
      </c>
      <c r="J405" s="110" t="s">
        <v>246</v>
      </c>
      <c r="K405" s="110" t="s">
        <v>999</v>
      </c>
      <c r="L405" s="110" t="s">
        <v>999</v>
      </c>
      <c r="R405" s="110" t="s">
        <v>1976</v>
      </c>
      <c r="S405" s="110" t="s">
        <v>446</v>
      </c>
      <c r="T405" s="110" t="s">
        <v>702</v>
      </c>
      <c r="U405" s="110" t="s">
        <v>1992</v>
      </c>
      <c r="V405" s="110">
        <v>23.433307410000001</v>
      </c>
      <c r="W405" s="110">
        <v>23.433307410000001</v>
      </c>
      <c r="X405" s="110">
        <v>117.0991147</v>
      </c>
      <c r="Y405" s="110" t="s">
        <v>185</v>
      </c>
      <c r="Z405" s="110" t="s">
        <v>380</v>
      </c>
      <c r="AA405" s="110" t="s">
        <v>1788</v>
      </c>
      <c r="AB405" s="110" t="s">
        <v>1724</v>
      </c>
      <c r="AC405" s="110" t="s">
        <v>182</v>
      </c>
      <c r="AD405" s="110" t="s">
        <v>1725</v>
      </c>
      <c r="AE405" s="110" t="s">
        <v>187</v>
      </c>
      <c r="AF405" s="110" t="s">
        <v>1745</v>
      </c>
      <c r="AI405" s="110" t="s">
        <v>246</v>
      </c>
      <c r="AJ405" s="110" t="s">
        <v>246</v>
      </c>
      <c r="AK405" s="110" t="s">
        <v>2009</v>
      </c>
      <c r="AL405" s="110" t="s">
        <v>2011</v>
      </c>
      <c r="AN405" s="110" t="s">
        <v>1216</v>
      </c>
      <c r="AO405" s="110">
        <v>1.7</v>
      </c>
      <c r="AQ405" s="110" t="s">
        <v>176</v>
      </c>
      <c r="AU405" s="110">
        <v>10</v>
      </c>
      <c r="BA405" s="110">
        <v>25</v>
      </c>
      <c r="BB405" s="110">
        <v>25</v>
      </c>
      <c r="BC405" s="110">
        <v>25</v>
      </c>
      <c r="BD405" s="110">
        <v>0</v>
      </c>
      <c r="BE405" s="110" t="s">
        <v>182</v>
      </c>
      <c r="BF405" s="110" t="s">
        <v>1903</v>
      </c>
      <c r="BG405" s="110" t="s">
        <v>2036</v>
      </c>
      <c r="BI405" s="110" t="s">
        <v>246</v>
      </c>
      <c r="BK405" s="110">
        <v>3</v>
      </c>
      <c r="BL405" s="110">
        <v>9</v>
      </c>
      <c r="BN405" s="110">
        <v>1.4E-2</v>
      </c>
      <c r="BO405" s="110">
        <v>-45.737000000000002</v>
      </c>
      <c r="BP405" s="110">
        <v>51.033999999999999</v>
      </c>
      <c r="BS405" s="110">
        <v>45</v>
      </c>
      <c r="BT405" s="110" t="s">
        <v>2458</v>
      </c>
      <c r="BU405" s="110" t="s">
        <v>2606</v>
      </c>
      <c r="BV405" s="110" t="s">
        <v>2458</v>
      </c>
      <c r="BZ405" s="110">
        <v>1.4E-2</v>
      </c>
      <c r="CB405" s="110">
        <v>51.033999999999999</v>
      </c>
      <c r="CC405" s="110" t="b">
        <v>0</v>
      </c>
      <c r="CD405" s="110" t="s">
        <v>2256</v>
      </c>
      <c r="CE405" s="110" t="s">
        <v>2256</v>
      </c>
      <c r="CF405" s="110" t="s">
        <v>2256</v>
      </c>
      <c r="CH405" s="110" t="s">
        <v>1724</v>
      </c>
      <c r="CJ405" s="110" t="s">
        <v>2508</v>
      </c>
    </row>
    <row r="406" spans="1:88">
      <c r="A406" s="110" t="s">
        <v>2173</v>
      </c>
      <c r="B406" s="110">
        <v>82</v>
      </c>
      <c r="C406" s="110">
        <v>1</v>
      </c>
      <c r="D406" s="110">
        <v>1</v>
      </c>
      <c r="E406" s="110">
        <v>405</v>
      </c>
      <c r="F406" s="110">
        <v>2023</v>
      </c>
      <c r="G406" s="110" t="s">
        <v>161</v>
      </c>
      <c r="H406" s="110" t="s">
        <v>2437</v>
      </c>
      <c r="I406" s="110" t="s">
        <v>246</v>
      </c>
      <c r="J406" s="110" t="s">
        <v>182</v>
      </c>
      <c r="K406" s="110" t="s">
        <v>999</v>
      </c>
      <c r="L406" s="110" t="s">
        <v>999</v>
      </c>
      <c r="R406" s="110" t="s">
        <v>152</v>
      </c>
      <c r="S406" s="110" t="s">
        <v>443</v>
      </c>
      <c r="T406" s="110" t="s">
        <v>156</v>
      </c>
      <c r="U406" s="110" t="s">
        <v>157</v>
      </c>
      <c r="V406" s="110">
        <v>54.384239000000001</v>
      </c>
      <c r="W406" s="110">
        <v>54.384239000000001</v>
      </c>
      <c r="X406" s="110">
        <v>-5.5577930000000002</v>
      </c>
      <c r="Y406" s="110" t="s">
        <v>160</v>
      </c>
      <c r="Z406" s="110" t="s">
        <v>155</v>
      </c>
      <c r="AA406" s="110" t="s">
        <v>1788</v>
      </c>
      <c r="AB406" s="110" t="s">
        <v>333</v>
      </c>
      <c r="AC406" s="110" t="s">
        <v>246</v>
      </c>
      <c r="AD406" s="110" t="s">
        <v>333</v>
      </c>
      <c r="AE406" s="110" t="s">
        <v>1123</v>
      </c>
      <c r="AF406" s="110" t="s">
        <v>1745</v>
      </c>
      <c r="AG406" s="110">
        <v>1.2</v>
      </c>
      <c r="AI406" s="110" t="s">
        <v>246</v>
      </c>
      <c r="AJ406" s="110" t="s">
        <v>246</v>
      </c>
      <c r="AK406" s="110" t="s">
        <v>171</v>
      </c>
      <c r="AO406" s="110">
        <v>2</v>
      </c>
      <c r="AQ406" s="110" t="s">
        <v>176</v>
      </c>
      <c r="AR406" s="110">
        <v>2021</v>
      </c>
      <c r="AS406" s="110" t="s">
        <v>880</v>
      </c>
      <c r="AT406" s="110" t="s">
        <v>385</v>
      </c>
      <c r="BA406" s="110">
        <v>11.13</v>
      </c>
      <c r="BB406" s="110">
        <v>12.96</v>
      </c>
      <c r="BC406" s="110">
        <v>12.045</v>
      </c>
      <c r="BD406" s="110">
        <v>1.83</v>
      </c>
      <c r="BE406" s="110" t="s">
        <v>182</v>
      </c>
      <c r="BF406" s="110" t="s">
        <v>412</v>
      </c>
      <c r="BG406" s="110" t="s">
        <v>2013</v>
      </c>
      <c r="BH406" s="110" t="s">
        <v>2014</v>
      </c>
      <c r="BI406" s="110" t="s">
        <v>182</v>
      </c>
      <c r="BK406" s="110">
        <v>3</v>
      </c>
      <c r="BL406" s="110">
        <v>4</v>
      </c>
      <c r="BS406" s="110">
        <v>46</v>
      </c>
      <c r="BT406" s="110" t="s">
        <v>1387</v>
      </c>
      <c r="BU406" s="110" t="s">
        <v>2606</v>
      </c>
      <c r="BV406" s="110" t="s">
        <v>1387</v>
      </c>
      <c r="CB406" s="110" t="s">
        <v>190</v>
      </c>
      <c r="CC406" s="110" t="b">
        <v>0</v>
      </c>
      <c r="CD406" s="110">
        <v>97.10076162</v>
      </c>
      <c r="CE406" s="110" t="s">
        <v>2256</v>
      </c>
      <c r="CF406" s="110" t="s">
        <v>2256</v>
      </c>
      <c r="CH406" s="110" t="s">
        <v>194</v>
      </c>
      <c r="CI406" s="110" t="s">
        <v>2023</v>
      </c>
      <c r="CJ406" s="110" t="s">
        <v>2015</v>
      </c>
    </row>
    <row r="407" spans="1:88">
      <c r="A407" s="110" t="s">
        <v>2173</v>
      </c>
      <c r="B407" s="110">
        <v>82</v>
      </c>
      <c r="C407" s="110">
        <v>1</v>
      </c>
      <c r="D407" s="110">
        <v>1</v>
      </c>
      <c r="E407" s="110">
        <v>406</v>
      </c>
      <c r="F407" s="110">
        <v>2023</v>
      </c>
      <c r="G407" s="110" t="s">
        <v>161</v>
      </c>
      <c r="H407" s="110" t="s">
        <v>2437</v>
      </c>
      <c r="I407" s="110" t="s">
        <v>246</v>
      </c>
      <c r="J407" s="110" t="s">
        <v>182</v>
      </c>
      <c r="K407" s="110" t="s">
        <v>999</v>
      </c>
      <c r="L407" s="110" t="s">
        <v>999</v>
      </c>
      <c r="R407" s="110" t="s">
        <v>152</v>
      </c>
      <c r="S407" s="110" t="s">
        <v>443</v>
      </c>
      <c r="T407" s="110" t="s">
        <v>156</v>
      </c>
      <c r="U407" s="110" t="s">
        <v>158</v>
      </c>
      <c r="V407" s="110">
        <v>54.384239000000001</v>
      </c>
      <c r="W407" s="110">
        <v>54.384239000000001</v>
      </c>
      <c r="X407" s="110">
        <v>-5.5577930000000002</v>
      </c>
      <c r="Y407" s="110" t="s">
        <v>160</v>
      </c>
      <c r="Z407" s="110" t="s">
        <v>155</v>
      </c>
      <c r="AA407" s="110" t="s">
        <v>1788</v>
      </c>
      <c r="AB407" s="110" t="s">
        <v>333</v>
      </c>
      <c r="AC407" s="110" t="s">
        <v>246</v>
      </c>
      <c r="AD407" s="110" t="s">
        <v>333</v>
      </c>
      <c r="AE407" s="110" t="s">
        <v>1123</v>
      </c>
      <c r="AF407" s="110" t="s">
        <v>1745</v>
      </c>
      <c r="AG407" s="110">
        <v>1.2</v>
      </c>
      <c r="AI407" s="110" t="s">
        <v>246</v>
      </c>
      <c r="AJ407" s="110" t="s">
        <v>246</v>
      </c>
      <c r="AK407" s="110" t="s">
        <v>171</v>
      </c>
      <c r="AO407" s="110">
        <v>2</v>
      </c>
      <c r="AQ407" s="110" t="s">
        <v>176</v>
      </c>
      <c r="AR407" s="110">
        <v>2021</v>
      </c>
      <c r="AS407" s="110" t="s">
        <v>880</v>
      </c>
      <c r="AT407" s="110" t="s">
        <v>385</v>
      </c>
      <c r="BA407" s="110">
        <v>11.13</v>
      </c>
      <c r="BB407" s="110">
        <v>12.96</v>
      </c>
      <c r="BC407" s="110">
        <v>12.045</v>
      </c>
      <c r="BD407" s="110">
        <v>1.83</v>
      </c>
      <c r="BE407" s="110" t="s">
        <v>182</v>
      </c>
      <c r="BF407" s="110" t="s">
        <v>412</v>
      </c>
      <c r="BG407" s="110" t="s">
        <v>2013</v>
      </c>
      <c r="BH407" s="110" t="s">
        <v>2014</v>
      </c>
      <c r="BI407" s="110" t="s">
        <v>182</v>
      </c>
      <c r="BK407" s="110">
        <v>3</v>
      </c>
      <c r="BL407" s="110">
        <v>4</v>
      </c>
      <c r="BS407" s="110">
        <v>46</v>
      </c>
      <c r="BT407" s="110" t="s">
        <v>1396</v>
      </c>
      <c r="BU407" s="110" t="s">
        <v>1396</v>
      </c>
      <c r="BV407" s="110" t="s">
        <v>1396</v>
      </c>
      <c r="BW407" s="110">
        <v>0.76370000000000005</v>
      </c>
      <c r="CA407" s="110">
        <v>0.21609999999999999</v>
      </c>
      <c r="CB407" s="110">
        <v>3.2075297570000001</v>
      </c>
      <c r="CC407" s="110" t="b">
        <v>0</v>
      </c>
      <c r="CD407" s="110">
        <v>88.822863080000005</v>
      </c>
      <c r="CE407" s="110">
        <v>0</v>
      </c>
      <c r="CF407" s="110" t="s">
        <v>246</v>
      </c>
      <c r="CH407" s="110" t="s">
        <v>194</v>
      </c>
      <c r="CI407" s="110" t="s">
        <v>2023</v>
      </c>
      <c r="CJ407" s="110" t="s">
        <v>2015</v>
      </c>
    </row>
    <row r="408" spans="1:88">
      <c r="A408" s="110" t="s">
        <v>2173</v>
      </c>
      <c r="B408" s="110">
        <v>82</v>
      </c>
      <c r="C408" s="110">
        <v>1</v>
      </c>
      <c r="D408" s="110">
        <v>1</v>
      </c>
      <c r="E408" s="110">
        <v>407</v>
      </c>
      <c r="F408" s="110">
        <v>2023</v>
      </c>
      <c r="G408" s="110" t="s">
        <v>161</v>
      </c>
      <c r="H408" s="110" t="s">
        <v>2437</v>
      </c>
      <c r="I408" s="110" t="s">
        <v>246</v>
      </c>
      <c r="J408" s="110" t="s">
        <v>182</v>
      </c>
      <c r="K408" s="110" t="s">
        <v>999</v>
      </c>
      <c r="L408" s="110" t="s">
        <v>999</v>
      </c>
      <c r="R408" s="110" t="s">
        <v>152</v>
      </c>
      <c r="S408" s="110" t="s">
        <v>443</v>
      </c>
      <c r="T408" s="110" t="s">
        <v>154</v>
      </c>
      <c r="U408" s="110" t="s">
        <v>255</v>
      </c>
      <c r="V408" s="110">
        <v>54.384239000000001</v>
      </c>
      <c r="W408" s="110">
        <v>54.384239000000001</v>
      </c>
      <c r="X408" s="110">
        <v>-5.5577930000000002</v>
      </c>
      <c r="Y408" s="110" t="s">
        <v>160</v>
      </c>
      <c r="Z408" s="110" t="s">
        <v>155</v>
      </c>
      <c r="AA408" s="110" t="s">
        <v>1788</v>
      </c>
      <c r="AB408" s="110" t="s">
        <v>333</v>
      </c>
      <c r="AC408" s="110" t="s">
        <v>246</v>
      </c>
      <c r="AD408" s="110" t="s">
        <v>333</v>
      </c>
      <c r="AE408" s="110" t="s">
        <v>1123</v>
      </c>
      <c r="AF408" s="110" t="s">
        <v>1745</v>
      </c>
      <c r="AG408" s="110">
        <v>1.2</v>
      </c>
      <c r="AI408" s="110" t="s">
        <v>246</v>
      </c>
      <c r="AJ408" s="110" t="s">
        <v>246</v>
      </c>
      <c r="AK408" s="110" t="s">
        <v>171</v>
      </c>
      <c r="AO408" s="110">
        <v>2</v>
      </c>
      <c r="AQ408" s="110" t="s">
        <v>176</v>
      </c>
      <c r="AR408" s="110">
        <v>2021</v>
      </c>
      <c r="AS408" s="110" t="s">
        <v>880</v>
      </c>
      <c r="AT408" s="110" t="s">
        <v>385</v>
      </c>
      <c r="BA408" s="110">
        <v>11.13</v>
      </c>
      <c r="BB408" s="110">
        <v>12.96</v>
      </c>
      <c r="BC408" s="110">
        <v>12.045</v>
      </c>
      <c r="BD408" s="110">
        <v>1.83</v>
      </c>
      <c r="BE408" s="110" t="s">
        <v>182</v>
      </c>
      <c r="BF408" s="110" t="s">
        <v>412</v>
      </c>
      <c r="BG408" s="110" t="s">
        <v>2013</v>
      </c>
      <c r="BH408" s="110" t="s">
        <v>2014</v>
      </c>
      <c r="BI408" s="110" t="s">
        <v>182</v>
      </c>
      <c r="BK408" s="110">
        <v>3</v>
      </c>
      <c r="BL408" s="110">
        <v>3</v>
      </c>
      <c r="BS408" s="110">
        <v>46</v>
      </c>
      <c r="BT408" s="110" t="s">
        <v>1396</v>
      </c>
      <c r="BU408" s="110" t="s">
        <v>1396</v>
      </c>
      <c r="BV408" s="110" t="s">
        <v>1396</v>
      </c>
      <c r="BW408" s="110">
        <v>0.76680000000000004</v>
      </c>
      <c r="CA408" s="110">
        <v>0.90390000000000004</v>
      </c>
      <c r="CB408" s="110">
        <v>0.76684055799999995</v>
      </c>
      <c r="CC408" s="110" t="b">
        <v>0</v>
      </c>
      <c r="CD408" s="110">
        <v>68.652760683777785</v>
      </c>
      <c r="CE408" s="110">
        <v>0</v>
      </c>
      <c r="CF408" s="110" t="s">
        <v>246</v>
      </c>
      <c r="CH408" s="110" t="s">
        <v>194</v>
      </c>
      <c r="CI408" s="110" t="s">
        <v>2023</v>
      </c>
      <c r="CJ408" s="110" t="s">
        <v>2015</v>
      </c>
    </row>
    <row r="409" spans="1:88">
      <c r="A409" s="110" t="s">
        <v>2173</v>
      </c>
      <c r="B409" s="110">
        <v>82</v>
      </c>
      <c r="C409" s="110">
        <v>1</v>
      </c>
      <c r="D409" s="110">
        <v>1</v>
      </c>
      <c r="E409" s="110">
        <v>408</v>
      </c>
      <c r="F409" s="110">
        <v>2023</v>
      </c>
      <c r="G409" s="110" t="s">
        <v>161</v>
      </c>
      <c r="H409" s="110" t="s">
        <v>2437</v>
      </c>
      <c r="I409" s="110" t="s">
        <v>246</v>
      </c>
      <c r="J409" s="110" t="s">
        <v>182</v>
      </c>
      <c r="K409" s="110" t="s">
        <v>999</v>
      </c>
      <c r="L409" s="110" t="s">
        <v>999</v>
      </c>
      <c r="R409" s="110" t="s">
        <v>152</v>
      </c>
      <c r="S409" s="110" t="s">
        <v>443</v>
      </c>
      <c r="T409" s="110" t="s">
        <v>256</v>
      </c>
      <c r="U409" s="110" t="s">
        <v>257</v>
      </c>
      <c r="V409" s="110">
        <v>54.384239000000001</v>
      </c>
      <c r="W409" s="110">
        <v>54.384239000000001</v>
      </c>
      <c r="X409" s="110">
        <v>-5.5577930000000002</v>
      </c>
      <c r="Y409" s="110" t="s">
        <v>160</v>
      </c>
      <c r="Z409" s="110" t="s">
        <v>155</v>
      </c>
      <c r="AA409" s="110" t="s">
        <v>1788</v>
      </c>
      <c r="AB409" s="110" t="s">
        <v>333</v>
      </c>
      <c r="AC409" s="110" t="s">
        <v>246</v>
      </c>
      <c r="AD409" s="110" t="s">
        <v>333</v>
      </c>
      <c r="AE409" s="110" t="s">
        <v>1123</v>
      </c>
      <c r="AF409" s="110" t="s">
        <v>1745</v>
      </c>
      <c r="AG409" s="110">
        <v>1.2</v>
      </c>
      <c r="AI409" s="110" t="s">
        <v>246</v>
      </c>
      <c r="AJ409" s="110" t="s">
        <v>246</v>
      </c>
      <c r="AK409" s="110" t="s">
        <v>171</v>
      </c>
      <c r="AO409" s="110">
        <v>2</v>
      </c>
      <c r="AQ409" s="110" t="s">
        <v>176</v>
      </c>
      <c r="AR409" s="110">
        <v>2021</v>
      </c>
      <c r="AS409" s="110" t="s">
        <v>880</v>
      </c>
      <c r="AT409" s="110" t="s">
        <v>385</v>
      </c>
      <c r="BA409" s="110">
        <v>11.13</v>
      </c>
      <c r="BB409" s="110">
        <v>12.96</v>
      </c>
      <c r="BC409" s="110">
        <v>12.045</v>
      </c>
      <c r="BD409" s="110">
        <v>1.83</v>
      </c>
      <c r="BE409" s="110" t="s">
        <v>182</v>
      </c>
      <c r="BF409" s="110" t="s">
        <v>412</v>
      </c>
      <c r="BG409" s="110" t="s">
        <v>2013</v>
      </c>
      <c r="BH409" s="110" t="s">
        <v>2014</v>
      </c>
      <c r="BI409" s="110" t="s">
        <v>182</v>
      </c>
      <c r="BK409" s="110">
        <v>3</v>
      </c>
      <c r="BL409" s="110">
        <v>4</v>
      </c>
      <c r="BS409" s="110">
        <v>46</v>
      </c>
      <c r="BT409" s="110" t="s">
        <v>1396</v>
      </c>
      <c r="BU409" s="110" t="s">
        <v>1396</v>
      </c>
      <c r="BV409" s="110" t="s">
        <v>1396</v>
      </c>
      <c r="BW409" s="110">
        <v>0.52210000000000001</v>
      </c>
      <c r="CA409" s="110">
        <v>1.8628</v>
      </c>
      <c r="CB409" s="110">
        <v>0.37209962499999999</v>
      </c>
      <c r="CC409" s="110" t="b">
        <v>0</v>
      </c>
      <c r="CD409" s="110">
        <v>0</v>
      </c>
      <c r="CE409" s="110">
        <v>0</v>
      </c>
      <c r="CF409" s="110" t="s">
        <v>246</v>
      </c>
      <c r="CH409" s="110" t="s">
        <v>194</v>
      </c>
      <c r="CI409" s="110" t="s">
        <v>2023</v>
      </c>
      <c r="CJ409" s="110" t="s">
        <v>2015</v>
      </c>
    </row>
    <row r="410" spans="1:88">
      <c r="A410" s="110" t="s">
        <v>2173</v>
      </c>
      <c r="B410" s="110">
        <v>82</v>
      </c>
      <c r="C410" s="110">
        <v>1</v>
      </c>
      <c r="D410" s="110">
        <v>1</v>
      </c>
      <c r="E410" s="110">
        <v>409</v>
      </c>
      <c r="F410" s="110">
        <v>2023</v>
      </c>
      <c r="G410" s="110" t="s">
        <v>161</v>
      </c>
      <c r="H410" s="110" t="s">
        <v>2437</v>
      </c>
      <c r="I410" s="110" t="s">
        <v>246</v>
      </c>
      <c r="J410" s="110" t="s">
        <v>182</v>
      </c>
      <c r="K410" s="110" t="s">
        <v>999</v>
      </c>
      <c r="L410" s="110" t="s">
        <v>999</v>
      </c>
      <c r="R410" s="110" t="s">
        <v>152</v>
      </c>
      <c r="S410" s="110" t="s">
        <v>443</v>
      </c>
      <c r="T410" s="110" t="s">
        <v>156</v>
      </c>
      <c r="U410" s="110" t="s">
        <v>157</v>
      </c>
      <c r="V410" s="110">
        <v>54.384239000000001</v>
      </c>
      <c r="W410" s="110">
        <v>54.384239000000001</v>
      </c>
      <c r="X410" s="110">
        <v>-5.5577930000000002</v>
      </c>
      <c r="Y410" s="110" t="s">
        <v>160</v>
      </c>
      <c r="Z410" s="110" t="s">
        <v>155</v>
      </c>
      <c r="AA410" s="110" t="s">
        <v>1788</v>
      </c>
      <c r="AB410" s="110" t="s">
        <v>333</v>
      </c>
      <c r="AC410" s="110" t="s">
        <v>246</v>
      </c>
      <c r="AD410" s="110" t="s">
        <v>333</v>
      </c>
      <c r="AE410" s="110" t="s">
        <v>1123</v>
      </c>
      <c r="AF410" s="110" t="s">
        <v>1745</v>
      </c>
      <c r="AG410" s="110">
        <v>1.2</v>
      </c>
      <c r="AI410" s="110" t="s">
        <v>246</v>
      </c>
      <c r="AJ410" s="110" t="s">
        <v>246</v>
      </c>
      <c r="AK410" s="110" t="s">
        <v>171</v>
      </c>
      <c r="AO410" s="110">
        <v>15</v>
      </c>
      <c r="AQ410" s="110" t="s">
        <v>176</v>
      </c>
      <c r="AR410" s="110">
        <v>2021</v>
      </c>
      <c r="AS410" s="110" t="s">
        <v>880</v>
      </c>
      <c r="AT410" s="110" t="s">
        <v>385</v>
      </c>
      <c r="BA410" s="110">
        <v>11.13</v>
      </c>
      <c r="BB410" s="110">
        <v>12.96</v>
      </c>
      <c r="BC410" s="110">
        <v>12.045</v>
      </c>
      <c r="BD410" s="110">
        <v>1.83</v>
      </c>
      <c r="BE410" s="110" t="s">
        <v>182</v>
      </c>
      <c r="BF410" s="110" t="s">
        <v>412</v>
      </c>
      <c r="BG410" s="110" t="s">
        <v>2013</v>
      </c>
      <c r="BH410" s="110" t="s">
        <v>2014</v>
      </c>
      <c r="BI410" s="110" t="s">
        <v>182</v>
      </c>
      <c r="BK410" s="110">
        <v>8</v>
      </c>
      <c r="BL410" s="110">
        <v>1</v>
      </c>
      <c r="BS410" s="110">
        <v>32</v>
      </c>
      <c r="BT410" s="110" t="s">
        <v>2256</v>
      </c>
      <c r="BU410" s="110" t="s">
        <v>2606</v>
      </c>
      <c r="BV410" s="110" t="s">
        <v>2256</v>
      </c>
      <c r="CA410" s="110">
        <v>0.157108053</v>
      </c>
      <c r="CB410" s="110">
        <v>318.25230499999998</v>
      </c>
      <c r="CC410" s="110" t="b">
        <v>1</v>
      </c>
      <c r="CD410" s="110">
        <v>94.972542291646917</v>
      </c>
      <c r="CE410" s="110" t="s">
        <v>2256</v>
      </c>
      <c r="CF410" s="110" t="s">
        <v>2256</v>
      </c>
      <c r="CH410" s="110" t="s">
        <v>2196</v>
      </c>
    </row>
    <row r="411" spans="1:88">
      <c r="A411" s="110" t="s">
        <v>2173</v>
      </c>
      <c r="B411" s="110">
        <v>82</v>
      </c>
      <c r="C411" s="110">
        <v>1</v>
      </c>
      <c r="D411" s="110">
        <v>1</v>
      </c>
      <c r="E411" s="110">
        <v>410</v>
      </c>
      <c r="F411" s="110">
        <v>2023</v>
      </c>
      <c r="G411" s="110" t="s">
        <v>161</v>
      </c>
      <c r="H411" s="110" t="s">
        <v>2437</v>
      </c>
      <c r="I411" s="110" t="s">
        <v>246</v>
      </c>
      <c r="J411" s="110" t="s">
        <v>182</v>
      </c>
      <c r="K411" s="110" t="s">
        <v>999</v>
      </c>
      <c r="L411" s="110" t="s">
        <v>999</v>
      </c>
      <c r="R411" s="110" t="s">
        <v>152</v>
      </c>
      <c r="S411" s="110" t="s">
        <v>443</v>
      </c>
      <c r="T411" s="110" t="s">
        <v>156</v>
      </c>
      <c r="U411" s="110" t="s">
        <v>158</v>
      </c>
      <c r="V411" s="110">
        <v>54.384239000000001</v>
      </c>
      <c r="W411" s="110">
        <v>54.384239000000001</v>
      </c>
      <c r="X411" s="110">
        <v>-5.5577930000000002</v>
      </c>
      <c r="Y411" s="110" t="s">
        <v>160</v>
      </c>
      <c r="Z411" s="110" t="s">
        <v>155</v>
      </c>
      <c r="AA411" s="110" t="s">
        <v>1788</v>
      </c>
      <c r="AB411" s="110" t="s">
        <v>333</v>
      </c>
      <c r="AC411" s="110" t="s">
        <v>246</v>
      </c>
      <c r="AD411" s="110" t="s">
        <v>333</v>
      </c>
      <c r="AE411" s="110" t="s">
        <v>1123</v>
      </c>
      <c r="AF411" s="110" t="s">
        <v>1745</v>
      </c>
      <c r="AG411" s="110">
        <v>1.2</v>
      </c>
      <c r="AI411" s="110" t="s">
        <v>246</v>
      </c>
      <c r="AJ411" s="110" t="s">
        <v>246</v>
      </c>
      <c r="AK411" s="110" t="s">
        <v>171</v>
      </c>
      <c r="AO411" s="110">
        <v>15</v>
      </c>
      <c r="AQ411" s="110" t="s">
        <v>176</v>
      </c>
      <c r="AR411" s="110">
        <v>2021</v>
      </c>
      <c r="AS411" s="110" t="s">
        <v>880</v>
      </c>
      <c r="AT411" s="110" t="s">
        <v>385</v>
      </c>
      <c r="BA411" s="110">
        <v>11.13</v>
      </c>
      <c r="BB411" s="110">
        <v>12.96</v>
      </c>
      <c r="BC411" s="110">
        <v>12.045</v>
      </c>
      <c r="BD411" s="110">
        <v>1.83</v>
      </c>
      <c r="BE411" s="110" t="s">
        <v>182</v>
      </c>
      <c r="BF411" s="110" t="s">
        <v>412</v>
      </c>
      <c r="BG411" s="110" t="s">
        <v>2013</v>
      </c>
      <c r="BH411" s="110" t="s">
        <v>2014</v>
      </c>
      <c r="BI411" s="110" t="s">
        <v>182</v>
      </c>
      <c r="BK411" s="110">
        <v>7</v>
      </c>
      <c r="BL411" s="110">
        <v>1</v>
      </c>
      <c r="BS411" s="110">
        <v>32</v>
      </c>
      <c r="BT411" s="110" t="s">
        <v>2256</v>
      </c>
      <c r="BU411" s="110" t="s">
        <v>2606</v>
      </c>
      <c r="BV411" s="110" t="s">
        <v>2256</v>
      </c>
      <c r="CA411" s="110">
        <v>0.82653223399999998</v>
      </c>
      <c r="CB411" s="110">
        <v>60.493708470000001</v>
      </c>
      <c r="CC411" s="110" t="b">
        <v>0</v>
      </c>
      <c r="CD411" s="110">
        <v>73.550968511292353</v>
      </c>
      <c r="CE411" s="110" t="s">
        <v>2256</v>
      </c>
      <c r="CF411" s="110" t="s">
        <v>2256</v>
      </c>
      <c r="CH411" s="110" t="s">
        <v>2196</v>
      </c>
    </row>
    <row r="412" spans="1:88">
      <c r="A412" s="110" t="s">
        <v>2173</v>
      </c>
      <c r="B412" s="110">
        <v>82</v>
      </c>
      <c r="C412" s="110">
        <v>1</v>
      </c>
      <c r="D412" s="110">
        <v>1</v>
      </c>
      <c r="E412" s="110">
        <v>411</v>
      </c>
      <c r="F412" s="110">
        <v>2023</v>
      </c>
      <c r="G412" s="110" t="s">
        <v>161</v>
      </c>
      <c r="H412" s="110" t="s">
        <v>2437</v>
      </c>
      <c r="I412" s="110" t="s">
        <v>246</v>
      </c>
      <c r="J412" s="110" t="s">
        <v>182</v>
      </c>
      <c r="K412" s="110" t="s">
        <v>999</v>
      </c>
      <c r="L412" s="110" t="s">
        <v>999</v>
      </c>
      <c r="R412" s="110" t="s">
        <v>152</v>
      </c>
      <c r="S412" s="110" t="s">
        <v>443</v>
      </c>
      <c r="T412" s="110" t="s">
        <v>154</v>
      </c>
      <c r="U412" s="110" t="s">
        <v>255</v>
      </c>
      <c r="V412" s="110">
        <v>54.384239000000001</v>
      </c>
      <c r="W412" s="110">
        <v>54.384239000000001</v>
      </c>
      <c r="X412" s="110">
        <v>-5.5577930000000002</v>
      </c>
      <c r="Y412" s="110" t="s">
        <v>160</v>
      </c>
      <c r="Z412" s="110" t="s">
        <v>155</v>
      </c>
      <c r="AA412" s="110" t="s">
        <v>1788</v>
      </c>
      <c r="AB412" s="110" t="s">
        <v>333</v>
      </c>
      <c r="AC412" s="110" t="s">
        <v>246</v>
      </c>
      <c r="AD412" s="110" t="s">
        <v>333</v>
      </c>
      <c r="AE412" s="110" t="s">
        <v>1123</v>
      </c>
      <c r="AF412" s="110" t="s">
        <v>1745</v>
      </c>
      <c r="AG412" s="110">
        <v>1.2</v>
      </c>
      <c r="AI412" s="110" t="s">
        <v>246</v>
      </c>
      <c r="AJ412" s="110" t="s">
        <v>246</v>
      </c>
      <c r="AK412" s="110" t="s">
        <v>171</v>
      </c>
      <c r="AO412" s="110">
        <v>15</v>
      </c>
      <c r="AQ412" s="110" t="s">
        <v>176</v>
      </c>
      <c r="AR412" s="110">
        <v>2021</v>
      </c>
      <c r="AS412" s="110" t="s">
        <v>880</v>
      </c>
      <c r="AT412" s="110" t="s">
        <v>385</v>
      </c>
      <c r="BA412" s="110">
        <v>11.13</v>
      </c>
      <c r="BB412" s="110">
        <v>12.96</v>
      </c>
      <c r="BC412" s="110">
        <v>12.045</v>
      </c>
      <c r="BD412" s="110">
        <v>1.83</v>
      </c>
      <c r="BE412" s="110" t="s">
        <v>182</v>
      </c>
      <c r="BF412" s="110" t="s">
        <v>412</v>
      </c>
      <c r="BG412" s="110" t="s">
        <v>2013</v>
      </c>
      <c r="BH412" s="110" t="s">
        <v>2014</v>
      </c>
      <c r="BI412" s="110" t="s">
        <v>182</v>
      </c>
      <c r="BK412" s="110">
        <v>4</v>
      </c>
      <c r="BL412" s="110">
        <v>1</v>
      </c>
      <c r="BS412" s="110">
        <v>32</v>
      </c>
      <c r="BT412" s="110" t="s">
        <v>2256</v>
      </c>
      <c r="BU412" s="110" t="s">
        <v>2606</v>
      </c>
      <c r="BV412" s="110" t="s">
        <v>2256</v>
      </c>
      <c r="CA412" s="110">
        <v>1.0567452180000001</v>
      </c>
      <c r="CB412" s="110">
        <v>47.31509466</v>
      </c>
      <c r="CC412" s="110" t="b">
        <v>0</v>
      </c>
      <c r="CD412" s="110">
        <v>66.184153043787404</v>
      </c>
      <c r="CE412" s="110" t="s">
        <v>2256</v>
      </c>
      <c r="CF412" s="110" t="s">
        <v>2256</v>
      </c>
      <c r="CH412" s="110" t="s">
        <v>2196</v>
      </c>
    </row>
    <row r="413" spans="1:88">
      <c r="A413" s="110" t="s">
        <v>2173</v>
      </c>
      <c r="B413" s="110">
        <v>82</v>
      </c>
      <c r="C413" s="110">
        <v>1</v>
      </c>
      <c r="D413" s="110">
        <v>1</v>
      </c>
      <c r="E413" s="110">
        <v>412</v>
      </c>
      <c r="F413" s="110">
        <v>2023</v>
      </c>
      <c r="G413" s="110" t="s">
        <v>161</v>
      </c>
      <c r="H413" s="110" t="s">
        <v>2437</v>
      </c>
      <c r="I413" s="110" t="s">
        <v>246</v>
      </c>
      <c r="J413" s="110" t="s">
        <v>182</v>
      </c>
      <c r="K413" s="110" t="s">
        <v>999</v>
      </c>
      <c r="L413" s="110" t="s">
        <v>999</v>
      </c>
      <c r="R413" s="110" t="s">
        <v>152</v>
      </c>
      <c r="S413" s="110" t="s">
        <v>443</v>
      </c>
      <c r="T413" s="110" t="s">
        <v>256</v>
      </c>
      <c r="U413" s="110" t="s">
        <v>257</v>
      </c>
      <c r="V413" s="110">
        <v>54.384239000000001</v>
      </c>
      <c r="W413" s="110">
        <v>54.384239000000001</v>
      </c>
      <c r="X413" s="110">
        <v>-5.5577930000000002</v>
      </c>
      <c r="Y413" s="110" t="s">
        <v>160</v>
      </c>
      <c r="Z413" s="110" t="s">
        <v>155</v>
      </c>
      <c r="AA413" s="110" t="s">
        <v>1788</v>
      </c>
      <c r="AB413" s="110" t="s">
        <v>333</v>
      </c>
      <c r="AC413" s="110" t="s">
        <v>246</v>
      </c>
      <c r="AD413" s="110" t="s">
        <v>333</v>
      </c>
      <c r="AE413" s="110" t="s">
        <v>1123</v>
      </c>
      <c r="AF413" s="110" t="s">
        <v>1745</v>
      </c>
      <c r="AG413" s="110">
        <v>1.2</v>
      </c>
      <c r="AI413" s="110" t="s">
        <v>246</v>
      </c>
      <c r="AJ413" s="110" t="s">
        <v>246</v>
      </c>
      <c r="AK413" s="110" t="s">
        <v>171</v>
      </c>
      <c r="AO413" s="110">
        <v>15</v>
      </c>
      <c r="AQ413" s="110" t="s">
        <v>176</v>
      </c>
      <c r="AR413" s="110">
        <v>2021</v>
      </c>
      <c r="AS413" s="110" t="s">
        <v>880</v>
      </c>
      <c r="AT413" s="110" t="s">
        <v>385</v>
      </c>
      <c r="BA413" s="110">
        <v>11.13</v>
      </c>
      <c r="BB413" s="110">
        <v>12.96</v>
      </c>
      <c r="BC413" s="110">
        <v>12.045</v>
      </c>
      <c r="BD413" s="110">
        <v>1.83</v>
      </c>
      <c r="BE413" s="110" t="s">
        <v>182</v>
      </c>
      <c r="BF413" s="110" t="s">
        <v>412</v>
      </c>
      <c r="BG413" s="110" t="s">
        <v>2013</v>
      </c>
      <c r="BH413" s="110" t="s">
        <v>2014</v>
      </c>
      <c r="BI413" s="110" t="s">
        <v>182</v>
      </c>
      <c r="BK413" s="110">
        <v>4</v>
      </c>
      <c r="BL413" s="110">
        <v>1</v>
      </c>
      <c r="BS413" s="110">
        <v>32</v>
      </c>
      <c r="BT413" s="110" t="s">
        <v>2256</v>
      </c>
      <c r="BU413" s="110" t="s">
        <v>2606</v>
      </c>
      <c r="BV413" s="110" t="s">
        <v>2256</v>
      </c>
      <c r="CA413" s="110">
        <v>2.4715878290000002</v>
      </c>
      <c r="CB413" s="110">
        <v>20.229910270000001</v>
      </c>
      <c r="CC413" s="110" t="b">
        <v>0</v>
      </c>
      <c r="CD413" s="110">
        <v>20.90918948510506</v>
      </c>
      <c r="CE413" s="110" t="s">
        <v>2256</v>
      </c>
      <c r="CF413" s="110" t="s">
        <v>2256</v>
      </c>
      <c r="CH413" s="110" t="s">
        <v>2196</v>
      </c>
    </row>
    <row r="414" spans="1:88">
      <c r="A414" s="110" t="s">
        <v>2175</v>
      </c>
      <c r="B414" s="110">
        <v>83</v>
      </c>
      <c r="C414" s="110">
        <v>1</v>
      </c>
      <c r="D414" s="110">
        <v>1</v>
      </c>
      <c r="E414" s="110">
        <v>413</v>
      </c>
      <c r="F414" s="110">
        <v>1982</v>
      </c>
      <c r="G414" s="110" t="s">
        <v>187</v>
      </c>
      <c r="H414" s="110" t="s">
        <v>2441</v>
      </c>
      <c r="I414" s="110" t="s">
        <v>182</v>
      </c>
      <c r="J414" s="110" t="s">
        <v>246</v>
      </c>
      <c r="K414" s="110" t="s">
        <v>2719</v>
      </c>
      <c r="M414" s="110" t="s">
        <v>3175</v>
      </c>
      <c r="P414" s="110" t="s">
        <v>3181</v>
      </c>
      <c r="R414" s="110" t="s">
        <v>152</v>
      </c>
      <c r="S414" s="110" t="s">
        <v>443</v>
      </c>
      <c r="T414" s="110" t="s">
        <v>154</v>
      </c>
      <c r="U414" s="110" t="s">
        <v>255</v>
      </c>
      <c r="V414" s="110">
        <v>44.646817310000003</v>
      </c>
      <c r="W414" s="110">
        <v>44.646817310000003</v>
      </c>
      <c r="X414" s="110">
        <v>-63.999736939999998</v>
      </c>
      <c r="Y414" s="110" t="s">
        <v>585</v>
      </c>
      <c r="Z414" s="110" t="s">
        <v>586</v>
      </c>
      <c r="AA414" s="110" t="s">
        <v>1788</v>
      </c>
      <c r="AB414" s="110" t="s">
        <v>2016</v>
      </c>
      <c r="AC414" s="110" t="s">
        <v>182</v>
      </c>
      <c r="AD414" s="110" t="s">
        <v>1725</v>
      </c>
      <c r="AE414" s="110" t="s">
        <v>187</v>
      </c>
      <c r="AF414" s="110" t="s">
        <v>190</v>
      </c>
      <c r="AI414" s="110" t="s">
        <v>246</v>
      </c>
      <c r="AJ414" s="110" t="s">
        <v>246</v>
      </c>
      <c r="AK414" s="110" t="s">
        <v>2017</v>
      </c>
      <c r="AL414" s="110" t="s">
        <v>723</v>
      </c>
      <c r="AM414" s="110">
        <v>50</v>
      </c>
      <c r="AN414" s="110" t="s">
        <v>1216</v>
      </c>
      <c r="AQ414" s="110" t="s">
        <v>175</v>
      </c>
      <c r="AR414" s="110">
        <v>1978</v>
      </c>
      <c r="AS414" s="110" t="s">
        <v>319</v>
      </c>
      <c r="AT414" s="110" t="s">
        <v>298</v>
      </c>
      <c r="AU414" s="110">
        <v>1.2E-2</v>
      </c>
      <c r="BA414" s="110">
        <v>12</v>
      </c>
      <c r="BB414" s="110">
        <v>12</v>
      </c>
      <c r="BC414" s="110">
        <v>12</v>
      </c>
      <c r="BD414" s="110">
        <v>0</v>
      </c>
      <c r="BE414" s="110" t="s">
        <v>246</v>
      </c>
      <c r="BF414" s="110" t="s">
        <v>188</v>
      </c>
      <c r="BG414" s="110">
        <v>0</v>
      </c>
      <c r="BI414" s="110" t="s">
        <v>246</v>
      </c>
      <c r="BK414" s="110">
        <v>3</v>
      </c>
      <c r="BL414" s="110">
        <v>9</v>
      </c>
      <c r="BM414" s="110" t="s">
        <v>197</v>
      </c>
      <c r="BQ414" s="110">
        <v>60.59</v>
      </c>
      <c r="BS414" s="110">
        <v>36</v>
      </c>
      <c r="BT414" s="110" t="s">
        <v>1385</v>
      </c>
      <c r="BU414" s="110" t="s">
        <v>3207</v>
      </c>
      <c r="BV414" s="110" t="s">
        <v>2603</v>
      </c>
      <c r="BW414" s="110">
        <v>0.91200000000000003</v>
      </c>
      <c r="BZ414" s="110">
        <v>0.18859999999999999</v>
      </c>
      <c r="CB414" s="110" t="s">
        <v>190</v>
      </c>
      <c r="CC414" s="110" t="b">
        <v>0</v>
      </c>
      <c r="CD414" s="110">
        <v>66.456599999999995</v>
      </c>
      <c r="CE414" s="110">
        <v>66.456599999999995</v>
      </c>
      <c r="CF414" s="110" t="s">
        <v>182</v>
      </c>
      <c r="CH414" s="110" t="s">
        <v>2024</v>
      </c>
      <c r="CI414" s="110" t="s">
        <v>2022</v>
      </c>
    </row>
    <row r="415" spans="1:88">
      <c r="A415" s="110" t="s">
        <v>2175</v>
      </c>
      <c r="B415" s="110">
        <v>83</v>
      </c>
      <c r="C415" s="110">
        <v>1</v>
      </c>
      <c r="D415" s="110">
        <v>1</v>
      </c>
      <c r="E415" s="110">
        <v>414</v>
      </c>
      <c r="F415" s="110">
        <v>1982</v>
      </c>
      <c r="G415" s="110" t="s">
        <v>187</v>
      </c>
      <c r="H415" s="110" t="s">
        <v>2441</v>
      </c>
      <c r="I415" s="110" t="s">
        <v>182</v>
      </c>
      <c r="J415" s="110" t="s">
        <v>246</v>
      </c>
      <c r="K415" s="110" t="s">
        <v>2719</v>
      </c>
      <c r="M415" s="110" t="s">
        <v>3175</v>
      </c>
      <c r="P415" s="110" t="s">
        <v>3181</v>
      </c>
      <c r="R415" s="110" t="s">
        <v>152</v>
      </c>
      <c r="S415" s="110" t="s">
        <v>443</v>
      </c>
      <c r="T415" s="110" t="s">
        <v>154</v>
      </c>
      <c r="U415" s="110" t="s">
        <v>255</v>
      </c>
      <c r="V415" s="110">
        <v>44.646817310000003</v>
      </c>
      <c r="W415" s="110">
        <v>44.646817310000003</v>
      </c>
      <c r="X415" s="110">
        <v>-63.999736939999998</v>
      </c>
      <c r="Y415" s="110" t="s">
        <v>585</v>
      </c>
      <c r="Z415" s="110" t="s">
        <v>586</v>
      </c>
      <c r="AA415" s="110" t="s">
        <v>1788</v>
      </c>
      <c r="AB415" s="110" t="s">
        <v>2016</v>
      </c>
      <c r="AC415" s="110" t="s">
        <v>182</v>
      </c>
      <c r="AD415" s="110" t="s">
        <v>1725</v>
      </c>
      <c r="AE415" s="110" t="s">
        <v>187</v>
      </c>
      <c r="AF415" s="110" t="s">
        <v>190</v>
      </c>
      <c r="AI415" s="110" t="s">
        <v>246</v>
      </c>
      <c r="AJ415" s="110" t="s">
        <v>246</v>
      </c>
      <c r="AK415" s="110" t="s">
        <v>2017</v>
      </c>
      <c r="AL415" s="110" t="s">
        <v>2018</v>
      </c>
      <c r="AM415" s="110">
        <v>50</v>
      </c>
      <c r="AN415" s="110" t="s">
        <v>1216</v>
      </c>
      <c r="AQ415" s="110" t="s">
        <v>175</v>
      </c>
      <c r="AR415" s="110">
        <v>1978</v>
      </c>
      <c r="AS415" s="110" t="s">
        <v>319</v>
      </c>
      <c r="AT415" s="110" t="s">
        <v>298</v>
      </c>
      <c r="AU415" s="110">
        <v>1.2E-2</v>
      </c>
      <c r="BA415" s="110">
        <v>12</v>
      </c>
      <c r="BB415" s="110">
        <v>12</v>
      </c>
      <c r="BC415" s="110">
        <v>12</v>
      </c>
      <c r="BD415" s="110">
        <v>0</v>
      </c>
      <c r="BE415" s="110" t="s">
        <v>246</v>
      </c>
      <c r="BF415" s="110" t="s">
        <v>188</v>
      </c>
      <c r="BG415" s="110">
        <v>0</v>
      </c>
      <c r="BI415" s="110" t="s">
        <v>246</v>
      </c>
      <c r="BK415" s="110">
        <v>3</v>
      </c>
      <c r="BL415" s="110">
        <v>9</v>
      </c>
      <c r="BM415" s="110" t="s">
        <v>197</v>
      </c>
      <c r="BQ415" s="110">
        <v>72.260000000000005</v>
      </c>
      <c r="BS415" s="110">
        <v>36</v>
      </c>
      <c r="BT415" s="110" t="s">
        <v>1385</v>
      </c>
      <c r="BU415" s="110" t="s">
        <v>3207</v>
      </c>
      <c r="BV415" s="110" t="s">
        <v>2603</v>
      </c>
      <c r="BW415" s="110">
        <v>0.97299999999999998</v>
      </c>
      <c r="BZ415" s="110">
        <v>4.6399999999999997E-2</v>
      </c>
      <c r="CB415" s="110" t="s">
        <v>190</v>
      </c>
      <c r="CC415" s="110" t="b">
        <v>0</v>
      </c>
      <c r="CD415" s="110">
        <v>65.53</v>
      </c>
      <c r="CE415" s="110">
        <v>65.53</v>
      </c>
      <c r="CF415" s="110" t="s">
        <v>182</v>
      </c>
      <c r="CH415" s="110" t="s">
        <v>2024</v>
      </c>
      <c r="CI415" s="110" t="s">
        <v>2022</v>
      </c>
    </row>
    <row r="416" spans="1:88">
      <c r="A416" s="110" t="s">
        <v>2181</v>
      </c>
      <c r="B416" s="110">
        <v>84</v>
      </c>
      <c r="C416" s="110">
        <v>1</v>
      </c>
      <c r="D416" s="110">
        <v>1</v>
      </c>
      <c r="E416" s="110">
        <v>415</v>
      </c>
      <c r="F416" s="110">
        <v>2023</v>
      </c>
      <c r="G416" s="110" t="s">
        <v>187</v>
      </c>
      <c r="H416" s="110" t="s">
        <v>2436</v>
      </c>
      <c r="I416" s="110" t="s">
        <v>182</v>
      </c>
      <c r="J416" s="110" t="s">
        <v>182</v>
      </c>
      <c r="K416" s="110" t="s">
        <v>999</v>
      </c>
      <c r="L416" s="110" t="s">
        <v>999</v>
      </c>
      <c r="R416" s="110" t="s">
        <v>152</v>
      </c>
      <c r="S416" s="110" t="s">
        <v>443</v>
      </c>
      <c r="T416" s="110" t="s">
        <v>154</v>
      </c>
      <c r="U416" s="110" t="s">
        <v>255</v>
      </c>
      <c r="V416" s="110">
        <v>63.442746990000003</v>
      </c>
      <c r="W416" s="110">
        <v>63.442746990000003</v>
      </c>
      <c r="X416" s="110">
        <v>10.347627340000001</v>
      </c>
      <c r="Y416" s="110" t="s">
        <v>291</v>
      </c>
      <c r="Z416" s="110" t="s">
        <v>155</v>
      </c>
      <c r="AA416" s="110" t="s">
        <v>1788</v>
      </c>
      <c r="AB416" s="110" t="s">
        <v>1999</v>
      </c>
      <c r="AC416" s="110" t="s">
        <v>182</v>
      </c>
      <c r="AD416" s="110" t="s">
        <v>333</v>
      </c>
      <c r="AE416" s="110" t="s">
        <v>187</v>
      </c>
      <c r="AF416" s="110" t="s">
        <v>1745</v>
      </c>
      <c r="AI416" s="110" t="s">
        <v>246</v>
      </c>
      <c r="AJ416" s="110" t="s">
        <v>246</v>
      </c>
      <c r="AK416" s="110" t="s">
        <v>2031</v>
      </c>
      <c r="AL416" s="110" t="s">
        <v>2032</v>
      </c>
      <c r="AN416" s="110" t="s">
        <v>412</v>
      </c>
      <c r="AQ416" s="110" t="s">
        <v>176</v>
      </c>
      <c r="AU416" s="110">
        <v>0.3</v>
      </c>
      <c r="AV416" s="110" t="s">
        <v>1256</v>
      </c>
      <c r="AW416" s="110">
        <v>15</v>
      </c>
      <c r="BA416" s="110">
        <v>15</v>
      </c>
      <c r="BB416" s="110">
        <v>15</v>
      </c>
      <c r="BC416" s="110">
        <v>15</v>
      </c>
      <c r="BD416" s="110">
        <v>0</v>
      </c>
      <c r="BE416" s="110" t="s">
        <v>246</v>
      </c>
      <c r="BF416" s="110" t="s">
        <v>188</v>
      </c>
      <c r="BG416" s="110">
        <v>0</v>
      </c>
      <c r="BI416" s="110" t="s">
        <v>246</v>
      </c>
      <c r="BK416" s="110">
        <v>3</v>
      </c>
      <c r="BL416" s="110">
        <v>3</v>
      </c>
      <c r="BM416" s="110" t="s">
        <v>197</v>
      </c>
      <c r="BN416" s="110">
        <v>5.0999999999999997E-2</v>
      </c>
      <c r="BP416" s="110">
        <v>13.591121190000001</v>
      </c>
      <c r="BS416" s="110">
        <v>65</v>
      </c>
      <c r="BT416" s="110" t="s">
        <v>2458</v>
      </c>
      <c r="BU416" s="110" t="s">
        <v>2606</v>
      </c>
      <c r="BV416" s="110" t="s">
        <v>2458</v>
      </c>
      <c r="BZ416" s="110">
        <v>5.0999999999999997E-2</v>
      </c>
      <c r="CB416" s="110">
        <v>13.591121190000001</v>
      </c>
      <c r="CC416" s="110" t="b">
        <v>0</v>
      </c>
      <c r="CD416" s="110" t="s">
        <v>2256</v>
      </c>
      <c r="CE416" s="110" t="s">
        <v>2256</v>
      </c>
      <c r="CF416" s="110" t="s">
        <v>2256</v>
      </c>
      <c r="CH416" s="110" t="s">
        <v>2491</v>
      </c>
      <c r="CJ416" s="110" t="s">
        <v>2029</v>
      </c>
    </row>
    <row r="417" spans="1:88">
      <c r="A417" s="110" t="s">
        <v>2181</v>
      </c>
      <c r="B417" s="110">
        <v>84</v>
      </c>
      <c r="C417" s="110">
        <v>1</v>
      </c>
      <c r="D417" s="110">
        <v>1</v>
      </c>
      <c r="E417" s="110">
        <v>416</v>
      </c>
      <c r="F417" s="110">
        <v>2023</v>
      </c>
      <c r="G417" s="110" t="s">
        <v>187</v>
      </c>
      <c r="H417" s="110" t="s">
        <v>2436</v>
      </c>
      <c r="I417" s="110" t="s">
        <v>182</v>
      </c>
      <c r="J417" s="110" t="s">
        <v>182</v>
      </c>
      <c r="K417" s="110" t="s">
        <v>999</v>
      </c>
      <c r="L417" s="110" t="s">
        <v>999</v>
      </c>
      <c r="R417" s="110" t="s">
        <v>152</v>
      </c>
      <c r="S417" s="110" t="s">
        <v>443</v>
      </c>
      <c r="T417" s="110" t="s">
        <v>154</v>
      </c>
      <c r="U417" s="110" t="s">
        <v>255</v>
      </c>
      <c r="V417" s="110">
        <v>63.442746990000003</v>
      </c>
      <c r="W417" s="110">
        <v>63.442746990000003</v>
      </c>
      <c r="X417" s="110">
        <v>10.347627340000001</v>
      </c>
      <c r="Y417" s="110" t="s">
        <v>291</v>
      </c>
      <c r="Z417" s="110" t="s">
        <v>155</v>
      </c>
      <c r="AA417" s="110" t="s">
        <v>1788</v>
      </c>
      <c r="AB417" s="110" t="s">
        <v>1999</v>
      </c>
      <c r="AC417" s="110" t="s">
        <v>182</v>
      </c>
      <c r="AD417" s="110" t="s">
        <v>333</v>
      </c>
      <c r="AE417" s="110" t="s">
        <v>187</v>
      </c>
      <c r="AF417" s="110" t="s">
        <v>1745</v>
      </c>
      <c r="AI417" s="110" t="s">
        <v>246</v>
      </c>
      <c r="AJ417" s="110" t="s">
        <v>246</v>
      </c>
      <c r="AK417" s="110" t="s">
        <v>2031</v>
      </c>
      <c r="AL417" s="110" t="s">
        <v>2032</v>
      </c>
      <c r="AN417" s="110" t="s">
        <v>412</v>
      </c>
      <c r="AQ417" s="110" t="s">
        <v>176</v>
      </c>
      <c r="AU417" s="110">
        <v>0.5</v>
      </c>
      <c r="AV417" s="110" t="s">
        <v>1256</v>
      </c>
      <c r="AW417" s="110">
        <v>15</v>
      </c>
      <c r="BA417" s="110">
        <v>15</v>
      </c>
      <c r="BB417" s="110">
        <v>15</v>
      </c>
      <c r="BC417" s="110">
        <v>15</v>
      </c>
      <c r="BD417" s="110">
        <v>0</v>
      </c>
      <c r="BE417" s="110" t="s">
        <v>246</v>
      </c>
      <c r="BF417" s="110" t="s">
        <v>188</v>
      </c>
      <c r="BG417" s="110">
        <v>0</v>
      </c>
      <c r="BI417" s="110" t="s">
        <v>246</v>
      </c>
      <c r="BK417" s="110">
        <v>3</v>
      </c>
      <c r="BL417" s="110">
        <v>3</v>
      </c>
      <c r="BM417" s="110" t="s">
        <v>197</v>
      </c>
      <c r="BN417" s="110">
        <v>3.5000000000000003E-2</v>
      </c>
      <c r="BP417" s="110">
        <v>19.804205159999999</v>
      </c>
      <c r="BS417" s="110">
        <v>65</v>
      </c>
      <c r="BT417" s="110" t="s">
        <v>2458</v>
      </c>
      <c r="BU417" s="110" t="s">
        <v>2606</v>
      </c>
      <c r="BV417" s="110" t="s">
        <v>2458</v>
      </c>
      <c r="BZ417" s="110">
        <v>3.5000000000000003E-2</v>
      </c>
      <c r="CB417" s="110">
        <v>19.804205159999999</v>
      </c>
      <c r="CC417" s="110" t="b">
        <v>0</v>
      </c>
      <c r="CD417" s="110" t="s">
        <v>2256</v>
      </c>
      <c r="CE417" s="110" t="s">
        <v>2256</v>
      </c>
      <c r="CF417" s="110" t="s">
        <v>2256</v>
      </c>
      <c r="CH417" s="110" t="s">
        <v>2491</v>
      </c>
      <c r="CJ417" s="110" t="s">
        <v>2033</v>
      </c>
    </row>
    <row r="418" spans="1:88">
      <c r="A418" s="110" t="s">
        <v>2181</v>
      </c>
      <c r="B418" s="110">
        <v>84</v>
      </c>
      <c r="C418" s="110">
        <v>1</v>
      </c>
      <c r="D418" s="110">
        <v>1</v>
      </c>
      <c r="E418" s="110">
        <v>417</v>
      </c>
      <c r="F418" s="110">
        <v>2023</v>
      </c>
      <c r="G418" s="110" t="s">
        <v>187</v>
      </c>
      <c r="H418" s="110" t="s">
        <v>2436</v>
      </c>
      <c r="I418" s="110" t="s">
        <v>182</v>
      </c>
      <c r="J418" s="110" t="s">
        <v>182</v>
      </c>
      <c r="K418" s="110" t="s">
        <v>999</v>
      </c>
      <c r="L418" s="110" t="s">
        <v>999</v>
      </c>
      <c r="R418" s="110" t="s">
        <v>152</v>
      </c>
      <c r="S418" s="110" t="s">
        <v>443</v>
      </c>
      <c r="T418" s="110" t="s">
        <v>154</v>
      </c>
      <c r="U418" s="110" t="s">
        <v>255</v>
      </c>
      <c r="V418" s="110">
        <v>63.442746990000003</v>
      </c>
      <c r="W418" s="110">
        <v>63.442746990000003</v>
      </c>
      <c r="X418" s="110">
        <v>10.347627340000001</v>
      </c>
      <c r="Y418" s="110" t="s">
        <v>291</v>
      </c>
      <c r="Z418" s="110" t="s">
        <v>155</v>
      </c>
      <c r="AA418" s="110" t="s">
        <v>1788</v>
      </c>
      <c r="AB418" s="110" t="s">
        <v>1999</v>
      </c>
      <c r="AC418" s="110" t="s">
        <v>182</v>
      </c>
      <c r="AD418" s="110" t="s">
        <v>333</v>
      </c>
      <c r="AE418" s="110" t="s">
        <v>187</v>
      </c>
      <c r="AF418" s="110" t="s">
        <v>1745</v>
      </c>
      <c r="AI418" s="110" t="s">
        <v>246</v>
      </c>
      <c r="AJ418" s="110" t="s">
        <v>246</v>
      </c>
      <c r="AK418" s="110" t="s">
        <v>2031</v>
      </c>
      <c r="AL418" s="110" t="s">
        <v>2032</v>
      </c>
      <c r="AN418" s="110" t="s">
        <v>412</v>
      </c>
      <c r="AQ418" s="110" t="s">
        <v>176</v>
      </c>
      <c r="AU418" s="110">
        <v>0.8</v>
      </c>
      <c r="AV418" s="110" t="s">
        <v>1256</v>
      </c>
      <c r="AW418" s="110">
        <v>15</v>
      </c>
      <c r="BA418" s="110">
        <v>15</v>
      </c>
      <c r="BB418" s="110">
        <v>15</v>
      </c>
      <c r="BC418" s="110">
        <v>15</v>
      </c>
      <c r="BD418" s="110">
        <v>0</v>
      </c>
      <c r="BE418" s="110" t="s">
        <v>246</v>
      </c>
      <c r="BF418" s="110" t="s">
        <v>188</v>
      </c>
      <c r="BG418" s="110">
        <v>0</v>
      </c>
      <c r="BI418" s="110" t="s">
        <v>246</v>
      </c>
      <c r="BK418" s="110">
        <v>3</v>
      </c>
      <c r="BL418" s="110">
        <v>3</v>
      </c>
      <c r="BM418" s="110" t="s">
        <v>197</v>
      </c>
      <c r="BN418" s="110">
        <v>0.03</v>
      </c>
      <c r="BP418" s="110">
        <v>23.104906020000001</v>
      </c>
      <c r="BS418" s="110">
        <v>65</v>
      </c>
      <c r="BT418" s="110" t="s">
        <v>2458</v>
      </c>
      <c r="BU418" s="110" t="s">
        <v>2606</v>
      </c>
      <c r="BV418" s="110" t="s">
        <v>2458</v>
      </c>
      <c r="BZ418" s="110">
        <v>0.03</v>
      </c>
      <c r="CB418" s="110">
        <v>23.104906020000001</v>
      </c>
      <c r="CC418" s="110" t="b">
        <v>0</v>
      </c>
      <c r="CD418" s="110" t="s">
        <v>2256</v>
      </c>
      <c r="CE418" s="110" t="s">
        <v>2256</v>
      </c>
      <c r="CF418" s="110" t="s">
        <v>2256</v>
      </c>
      <c r="CH418" s="110" t="s">
        <v>2491</v>
      </c>
    </row>
    <row r="419" spans="1:88">
      <c r="A419" s="110" t="s">
        <v>2181</v>
      </c>
      <c r="B419" s="110">
        <v>84</v>
      </c>
      <c r="C419" s="110">
        <v>1</v>
      </c>
      <c r="D419" s="110">
        <v>1</v>
      </c>
      <c r="E419" s="110">
        <v>418</v>
      </c>
      <c r="F419" s="110">
        <v>2023</v>
      </c>
      <c r="G419" s="110" t="s">
        <v>187</v>
      </c>
      <c r="H419" s="110" t="s">
        <v>2436</v>
      </c>
      <c r="I419" s="110" t="s">
        <v>182</v>
      </c>
      <c r="J419" s="110" t="s">
        <v>182</v>
      </c>
      <c r="K419" s="110" t="s">
        <v>999</v>
      </c>
      <c r="L419" s="110" t="s">
        <v>999</v>
      </c>
      <c r="R419" s="110" t="s">
        <v>152</v>
      </c>
      <c r="S419" s="110" t="s">
        <v>443</v>
      </c>
      <c r="T419" s="110" t="s">
        <v>154</v>
      </c>
      <c r="U419" s="110" t="s">
        <v>255</v>
      </c>
      <c r="V419" s="110">
        <v>63.442746990000003</v>
      </c>
      <c r="W419" s="110">
        <v>63.442746990000003</v>
      </c>
      <c r="X419" s="110">
        <v>10.347627340000001</v>
      </c>
      <c r="Y419" s="110" t="s">
        <v>291</v>
      </c>
      <c r="Z419" s="110" t="s">
        <v>155</v>
      </c>
      <c r="AA419" s="110" t="s">
        <v>1788</v>
      </c>
      <c r="AB419" s="110" t="s">
        <v>1999</v>
      </c>
      <c r="AC419" s="110" t="s">
        <v>182</v>
      </c>
      <c r="AD419" s="110" t="s">
        <v>333</v>
      </c>
      <c r="AE419" s="110" t="s">
        <v>187</v>
      </c>
      <c r="AF419" s="110" t="s">
        <v>1745</v>
      </c>
      <c r="AI419" s="110" t="s">
        <v>246</v>
      </c>
      <c r="AJ419" s="110" t="s">
        <v>246</v>
      </c>
      <c r="AK419" s="110" t="s">
        <v>2031</v>
      </c>
      <c r="AL419" s="110" t="s">
        <v>2032</v>
      </c>
      <c r="AN419" s="110" t="s">
        <v>412</v>
      </c>
      <c r="AQ419" s="110" t="s">
        <v>176</v>
      </c>
      <c r="AU419" s="110">
        <v>1.3</v>
      </c>
      <c r="AV419" s="110" t="s">
        <v>1256</v>
      </c>
      <c r="AW419" s="110">
        <v>15</v>
      </c>
      <c r="BA419" s="110">
        <v>15</v>
      </c>
      <c r="BB419" s="110">
        <v>15</v>
      </c>
      <c r="BC419" s="110">
        <v>15</v>
      </c>
      <c r="BD419" s="110">
        <v>0</v>
      </c>
      <c r="BE419" s="110" t="s">
        <v>246</v>
      </c>
      <c r="BF419" s="110" t="s">
        <v>188</v>
      </c>
      <c r="BG419" s="110">
        <v>0</v>
      </c>
      <c r="BI419" s="110" t="s">
        <v>246</v>
      </c>
      <c r="BK419" s="110">
        <v>3</v>
      </c>
      <c r="BL419" s="110">
        <v>3</v>
      </c>
      <c r="BM419" s="110" t="s">
        <v>197</v>
      </c>
      <c r="BN419" s="110">
        <v>2.5000000000000001E-2</v>
      </c>
      <c r="BP419" s="110">
        <v>27.725887220000001</v>
      </c>
      <c r="BS419" s="110">
        <v>65</v>
      </c>
      <c r="BT419" s="110" t="s">
        <v>2458</v>
      </c>
      <c r="BU419" s="110" t="s">
        <v>2606</v>
      </c>
      <c r="BV419" s="110" t="s">
        <v>2458</v>
      </c>
      <c r="BZ419" s="110">
        <v>2.5000000000000001E-2</v>
      </c>
      <c r="CB419" s="110">
        <v>27.725887220000001</v>
      </c>
      <c r="CC419" s="110" t="b">
        <v>0</v>
      </c>
      <c r="CD419" s="110" t="s">
        <v>2256</v>
      </c>
      <c r="CE419" s="110" t="s">
        <v>2256</v>
      </c>
      <c r="CF419" s="110" t="s">
        <v>2256</v>
      </c>
      <c r="CH419" s="110" t="s">
        <v>2491</v>
      </c>
    </row>
    <row r="420" spans="1:88">
      <c r="A420" s="110" t="s">
        <v>2181</v>
      </c>
      <c r="B420" s="110">
        <v>84</v>
      </c>
      <c r="C420" s="110">
        <v>1</v>
      </c>
      <c r="D420" s="110">
        <v>1</v>
      </c>
      <c r="E420" s="110">
        <v>419</v>
      </c>
      <c r="F420" s="110">
        <v>2023</v>
      </c>
      <c r="G420" s="110" t="s">
        <v>187</v>
      </c>
      <c r="H420" s="110" t="s">
        <v>2436</v>
      </c>
      <c r="I420" s="110" t="s">
        <v>182</v>
      </c>
      <c r="J420" s="110" t="s">
        <v>182</v>
      </c>
      <c r="K420" s="110" t="s">
        <v>999</v>
      </c>
      <c r="L420" s="110" t="s">
        <v>999</v>
      </c>
      <c r="R420" s="110" t="s">
        <v>152</v>
      </c>
      <c r="S420" s="110" t="s">
        <v>443</v>
      </c>
      <c r="T420" s="110" t="s">
        <v>154</v>
      </c>
      <c r="U420" s="110" t="s">
        <v>255</v>
      </c>
      <c r="V420" s="110">
        <v>63.442746990000003</v>
      </c>
      <c r="W420" s="110">
        <v>63.442746990000003</v>
      </c>
      <c r="X420" s="110">
        <v>10.347627340000001</v>
      </c>
      <c r="Y420" s="110" t="s">
        <v>291</v>
      </c>
      <c r="Z420" s="110" t="s">
        <v>155</v>
      </c>
      <c r="AA420" s="110" t="s">
        <v>1788</v>
      </c>
      <c r="AB420" s="110" t="s">
        <v>1999</v>
      </c>
      <c r="AC420" s="110" t="s">
        <v>182</v>
      </c>
      <c r="AD420" s="110" t="s">
        <v>333</v>
      </c>
      <c r="AE420" s="110" t="s">
        <v>187</v>
      </c>
      <c r="AF420" s="110" t="s">
        <v>1745</v>
      </c>
      <c r="AI420" s="110" t="s">
        <v>246</v>
      </c>
      <c r="AJ420" s="110" t="s">
        <v>246</v>
      </c>
      <c r="AK420" s="110" t="s">
        <v>2031</v>
      </c>
      <c r="AL420" s="110" t="s">
        <v>2032</v>
      </c>
      <c r="AN420" s="110" t="s">
        <v>412</v>
      </c>
      <c r="AQ420" s="110" t="s">
        <v>176</v>
      </c>
      <c r="AU420" s="110">
        <v>1.5</v>
      </c>
      <c r="AV420" s="110" t="s">
        <v>1256</v>
      </c>
      <c r="AW420" s="110">
        <v>15</v>
      </c>
      <c r="BA420" s="110">
        <v>15</v>
      </c>
      <c r="BB420" s="110">
        <v>15</v>
      </c>
      <c r="BC420" s="110">
        <v>15</v>
      </c>
      <c r="BD420" s="110">
        <v>0</v>
      </c>
      <c r="BE420" s="110" t="s">
        <v>246</v>
      </c>
      <c r="BF420" s="110" t="s">
        <v>188</v>
      </c>
      <c r="BG420" s="110">
        <v>0</v>
      </c>
      <c r="BI420" s="110" t="s">
        <v>246</v>
      </c>
      <c r="BK420" s="110">
        <v>3</v>
      </c>
      <c r="BL420" s="110">
        <v>3</v>
      </c>
      <c r="BM420" s="110" t="s">
        <v>197</v>
      </c>
      <c r="BN420" s="110">
        <v>0.2</v>
      </c>
      <c r="BP420" s="110">
        <v>3.4657359030000001</v>
      </c>
      <c r="BS420" s="110">
        <v>65</v>
      </c>
      <c r="BT420" s="110" t="s">
        <v>2458</v>
      </c>
      <c r="BU420" s="110" t="s">
        <v>2606</v>
      </c>
      <c r="BV420" s="110" t="s">
        <v>2458</v>
      </c>
      <c r="BZ420" s="110">
        <v>0.2</v>
      </c>
      <c r="CB420" s="110">
        <v>3.4657359030000001</v>
      </c>
      <c r="CC420" s="110" t="b">
        <v>0</v>
      </c>
      <c r="CD420" s="110" t="s">
        <v>2256</v>
      </c>
      <c r="CE420" s="110" t="s">
        <v>2256</v>
      </c>
      <c r="CF420" s="110" t="s">
        <v>2256</v>
      </c>
      <c r="CH420" s="110" t="s">
        <v>2491</v>
      </c>
    </row>
    <row r="421" spans="1:88">
      <c r="A421" s="110" t="s">
        <v>2181</v>
      </c>
      <c r="B421" s="110">
        <v>84</v>
      </c>
      <c r="C421" s="110">
        <v>1</v>
      </c>
      <c r="D421" s="110">
        <v>1</v>
      </c>
      <c r="E421" s="110">
        <v>420</v>
      </c>
      <c r="F421" s="110">
        <v>2023</v>
      </c>
      <c r="G421" s="110" t="s">
        <v>187</v>
      </c>
      <c r="H421" s="110" t="s">
        <v>2436</v>
      </c>
      <c r="I421" s="110" t="s">
        <v>182</v>
      </c>
      <c r="J421" s="110" t="s">
        <v>182</v>
      </c>
      <c r="K421" s="110" t="s">
        <v>999</v>
      </c>
      <c r="L421" s="110" t="s">
        <v>999</v>
      </c>
      <c r="R421" s="110" t="s">
        <v>152</v>
      </c>
      <c r="S421" s="110" t="s">
        <v>443</v>
      </c>
      <c r="T421" s="110" t="s">
        <v>154</v>
      </c>
      <c r="U421" s="110" t="s">
        <v>255</v>
      </c>
      <c r="V421" s="110">
        <v>63.442746990000003</v>
      </c>
      <c r="W421" s="110">
        <v>63.442746990000003</v>
      </c>
      <c r="X421" s="110">
        <v>10.347627340000001</v>
      </c>
      <c r="Y421" s="110" t="s">
        <v>291</v>
      </c>
      <c r="Z421" s="110" t="s">
        <v>155</v>
      </c>
      <c r="AA421" s="110" t="s">
        <v>1788</v>
      </c>
      <c r="AB421" s="110" t="s">
        <v>1999</v>
      </c>
      <c r="AC421" s="110" t="s">
        <v>182</v>
      </c>
      <c r="AD421" s="110" t="s">
        <v>333</v>
      </c>
      <c r="AE421" s="110" t="s">
        <v>187</v>
      </c>
      <c r="AF421" s="110" t="s">
        <v>1745</v>
      </c>
      <c r="AI421" s="110" t="s">
        <v>246</v>
      </c>
      <c r="AJ421" s="110" t="s">
        <v>246</v>
      </c>
      <c r="AK421" s="110" t="s">
        <v>2031</v>
      </c>
      <c r="AL421" s="110" t="s">
        <v>2032</v>
      </c>
      <c r="AN421" s="110" t="s">
        <v>412</v>
      </c>
      <c r="AQ421" s="110" t="s">
        <v>176</v>
      </c>
      <c r="AU421" s="110">
        <v>1.7</v>
      </c>
      <c r="AV421" s="110" t="s">
        <v>1256</v>
      </c>
      <c r="AW421" s="110">
        <v>15</v>
      </c>
      <c r="BA421" s="110">
        <v>15</v>
      </c>
      <c r="BB421" s="110">
        <v>15</v>
      </c>
      <c r="BC421" s="110">
        <v>15</v>
      </c>
      <c r="BD421" s="110">
        <v>0</v>
      </c>
      <c r="BE421" s="110" t="s">
        <v>246</v>
      </c>
      <c r="BF421" s="110" t="s">
        <v>188</v>
      </c>
      <c r="BG421" s="110">
        <v>0</v>
      </c>
      <c r="BI421" s="110" t="s">
        <v>246</v>
      </c>
      <c r="BK421" s="110">
        <v>3</v>
      </c>
      <c r="BL421" s="110">
        <v>3</v>
      </c>
      <c r="BM421" s="110" t="s">
        <v>197</v>
      </c>
      <c r="BN421" s="110">
        <v>3.4000000000000002E-2</v>
      </c>
      <c r="BP421" s="110">
        <v>20.38668178</v>
      </c>
      <c r="BS421" s="110">
        <v>65</v>
      </c>
      <c r="BT421" s="110" t="s">
        <v>2458</v>
      </c>
      <c r="BU421" s="110" t="s">
        <v>2606</v>
      </c>
      <c r="BV421" s="110" t="s">
        <v>2458</v>
      </c>
      <c r="BZ421" s="110">
        <v>3.4000000000000002E-2</v>
      </c>
      <c r="CB421" s="110">
        <v>20.38668178</v>
      </c>
      <c r="CC421" s="110" t="b">
        <v>0</v>
      </c>
      <c r="CD421" s="110" t="s">
        <v>2256</v>
      </c>
      <c r="CE421" s="110" t="s">
        <v>2256</v>
      </c>
      <c r="CF421" s="110" t="s">
        <v>2256</v>
      </c>
      <c r="CH421" s="110" t="s">
        <v>2491</v>
      </c>
    </row>
    <row r="422" spans="1:88">
      <c r="A422" s="110" t="s">
        <v>2181</v>
      </c>
      <c r="B422" s="110">
        <v>84</v>
      </c>
      <c r="C422" s="110">
        <v>1</v>
      </c>
      <c r="D422" s="110">
        <v>1</v>
      </c>
      <c r="E422" s="110">
        <v>421</v>
      </c>
      <c r="F422" s="110">
        <v>2023</v>
      </c>
      <c r="G422" s="110" t="s">
        <v>187</v>
      </c>
      <c r="H422" s="110" t="s">
        <v>2436</v>
      </c>
      <c r="I422" s="110" t="s">
        <v>182</v>
      </c>
      <c r="J422" s="110" t="s">
        <v>182</v>
      </c>
      <c r="K422" s="110" t="s">
        <v>999</v>
      </c>
      <c r="L422" s="110" t="s">
        <v>999</v>
      </c>
      <c r="R422" s="110" t="s">
        <v>152</v>
      </c>
      <c r="S422" s="110" t="s">
        <v>443</v>
      </c>
      <c r="T422" s="110" t="s">
        <v>154</v>
      </c>
      <c r="U422" s="110" t="s">
        <v>255</v>
      </c>
      <c r="V422" s="110">
        <v>63.442746990000003</v>
      </c>
      <c r="W422" s="110">
        <v>63.442746990000003</v>
      </c>
      <c r="X422" s="110">
        <v>10.347627340000001</v>
      </c>
      <c r="Y422" s="110" t="s">
        <v>291</v>
      </c>
      <c r="Z422" s="110" t="s">
        <v>155</v>
      </c>
      <c r="AA422" s="110" t="s">
        <v>1788</v>
      </c>
      <c r="AB422" s="110" t="s">
        <v>1999</v>
      </c>
      <c r="AC422" s="110" t="s">
        <v>182</v>
      </c>
      <c r="AD422" s="110" t="s">
        <v>333</v>
      </c>
      <c r="AE422" s="110" t="s">
        <v>187</v>
      </c>
      <c r="AF422" s="110" t="s">
        <v>1745</v>
      </c>
      <c r="AI422" s="110" t="s">
        <v>246</v>
      </c>
      <c r="AJ422" s="110" t="s">
        <v>246</v>
      </c>
      <c r="AK422" s="110" t="s">
        <v>2031</v>
      </c>
      <c r="AL422" s="110" t="s">
        <v>2032</v>
      </c>
      <c r="AN422" s="110" t="s">
        <v>412</v>
      </c>
      <c r="AQ422" s="110" t="s">
        <v>176</v>
      </c>
      <c r="AU422" s="110">
        <v>1.9</v>
      </c>
      <c r="AV422" s="110" t="s">
        <v>1256</v>
      </c>
      <c r="AW422" s="110">
        <v>15</v>
      </c>
      <c r="BA422" s="110">
        <v>15</v>
      </c>
      <c r="BB422" s="110">
        <v>15</v>
      </c>
      <c r="BC422" s="110">
        <v>15</v>
      </c>
      <c r="BD422" s="110">
        <v>0</v>
      </c>
      <c r="BE422" s="110" t="s">
        <v>246</v>
      </c>
      <c r="BF422" s="110" t="s">
        <v>188</v>
      </c>
      <c r="BG422" s="110">
        <v>0</v>
      </c>
      <c r="BI422" s="110" t="s">
        <v>246</v>
      </c>
      <c r="BK422" s="110">
        <v>3</v>
      </c>
      <c r="BL422" s="110">
        <v>3</v>
      </c>
      <c r="BM422" s="110" t="s">
        <v>197</v>
      </c>
      <c r="BN422" s="110">
        <v>2.5000000000000001E-2</v>
      </c>
      <c r="BP422" s="110">
        <v>27.725887220000001</v>
      </c>
      <c r="BS422" s="110">
        <v>65</v>
      </c>
      <c r="BT422" s="110" t="s">
        <v>2458</v>
      </c>
      <c r="BU422" s="110" t="s">
        <v>2606</v>
      </c>
      <c r="BV422" s="110" t="s">
        <v>2458</v>
      </c>
      <c r="BZ422" s="110">
        <v>2.5000000000000001E-2</v>
      </c>
      <c r="CB422" s="110">
        <v>27.725887220000001</v>
      </c>
      <c r="CC422" s="110" t="b">
        <v>0</v>
      </c>
      <c r="CD422" s="110" t="s">
        <v>2256</v>
      </c>
      <c r="CE422" s="110" t="s">
        <v>2256</v>
      </c>
      <c r="CF422" s="110" t="s">
        <v>2256</v>
      </c>
      <c r="CH422" s="110" t="s">
        <v>2491</v>
      </c>
    </row>
    <row r="423" spans="1:88">
      <c r="A423" s="110" t="s">
        <v>2181</v>
      </c>
      <c r="B423" s="110">
        <v>84</v>
      </c>
      <c r="C423" s="110">
        <v>1</v>
      </c>
      <c r="D423" s="110">
        <v>1</v>
      </c>
      <c r="E423" s="110">
        <v>422</v>
      </c>
      <c r="F423" s="110">
        <v>2023</v>
      </c>
      <c r="G423" s="110" t="s">
        <v>187</v>
      </c>
      <c r="H423" s="110" t="s">
        <v>2436</v>
      </c>
      <c r="I423" s="110" t="s">
        <v>182</v>
      </c>
      <c r="J423" s="110" t="s">
        <v>182</v>
      </c>
      <c r="K423" s="110" t="s">
        <v>999</v>
      </c>
      <c r="L423" s="110" t="s">
        <v>999</v>
      </c>
      <c r="R423" s="110" t="s">
        <v>152</v>
      </c>
      <c r="S423" s="110" t="s">
        <v>443</v>
      </c>
      <c r="T423" s="110" t="s">
        <v>154</v>
      </c>
      <c r="U423" s="110" t="s">
        <v>255</v>
      </c>
      <c r="V423" s="110">
        <v>63.442746990000003</v>
      </c>
      <c r="W423" s="110">
        <v>63.442746990000003</v>
      </c>
      <c r="X423" s="110">
        <v>10.347627340000001</v>
      </c>
      <c r="Y423" s="110" t="s">
        <v>291</v>
      </c>
      <c r="Z423" s="110" t="s">
        <v>155</v>
      </c>
      <c r="AA423" s="110" t="s">
        <v>1788</v>
      </c>
      <c r="AB423" s="110" t="s">
        <v>1999</v>
      </c>
      <c r="AC423" s="110" t="s">
        <v>182</v>
      </c>
      <c r="AD423" s="110" t="s">
        <v>333</v>
      </c>
      <c r="AE423" s="110" t="s">
        <v>187</v>
      </c>
      <c r="AF423" s="110" t="s">
        <v>1745</v>
      </c>
      <c r="AI423" s="110" t="s">
        <v>246</v>
      </c>
      <c r="AJ423" s="110" t="s">
        <v>246</v>
      </c>
      <c r="AK423" s="110" t="s">
        <v>2031</v>
      </c>
      <c r="AL423" s="110" t="s">
        <v>2032</v>
      </c>
      <c r="AN423" s="110" t="s">
        <v>412</v>
      </c>
      <c r="AQ423" s="110" t="s">
        <v>176</v>
      </c>
      <c r="AU423" s="110">
        <v>2</v>
      </c>
      <c r="AV423" s="110" t="s">
        <v>1256</v>
      </c>
      <c r="AW423" s="110">
        <v>15</v>
      </c>
      <c r="BA423" s="110">
        <v>15</v>
      </c>
      <c r="BB423" s="110">
        <v>15</v>
      </c>
      <c r="BC423" s="110">
        <v>15</v>
      </c>
      <c r="BD423" s="110">
        <v>0</v>
      </c>
      <c r="BE423" s="110" t="s">
        <v>246</v>
      </c>
      <c r="BF423" s="110" t="s">
        <v>188</v>
      </c>
      <c r="BG423" s="110">
        <v>0</v>
      </c>
      <c r="BI423" s="110" t="s">
        <v>246</v>
      </c>
      <c r="BK423" s="110">
        <v>3</v>
      </c>
      <c r="BL423" s="110">
        <v>3</v>
      </c>
      <c r="BM423" s="110" t="s">
        <v>197</v>
      </c>
      <c r="BN423" s="110">
        <v>2.5000000000000001E-2</v>
      </c>
      <c r="BP423" s="110">
        <v>27.725887220000001</v>
      </c>
      <c r="BS423" s="110">
        <v>65</v>
      </c>
      <c r="BT423" s="110" t="s">
        <v>2458</v>
      </c>
      <c r="BU423" s="110" t="s">
        <v>2606</v>
      </c>
      <c r="BV423" s="110" t="s">
        <v>2458</v>
      </c>
      <c r="BZ423" s="110">
        <v>2.5000000000000001E-2</v>
      </c>
      <c r="CB423" s="110">
        <v>27.725887220000001</v>
      </c>
      <c r="CC423" s="110" t="b">
        <v>0</v>
      </c>
      <c r="CD423" s="110" t="s">
        <v>2256</v>
      </c>
      <c r="CE423" s="110" t="s">
        <v>2256</v>
      </c>
      <c r="CF423" s="110" t="s">
        <v>2256</v>
      </c>
      <c r="CH423" s="110" t="s">
        <v>2491</v>
      </c>
    </row>
    <row r="424" spans="1:88">
      <c r="A424" s="110" t="s">
        <v>2181</v>
      </c>
      <c r="B424" s="110">
        <v>84</v>
      </c>
      <c r="C424" s="110">
        <v>1</v>
      </c>
      <c r="D424" s="110">
        <v>2</v>
      </c>
      <c r="E424" s="110">
        <v>423</v>
      </c>
      <c r="F424" s="110">
        <v>2023</v>
      </c>
      <c r="G424" s="110" t="s">
        <v>187</v>
      </c>
      <c r="H424" s="110" t="s">
        <v>2436</v>
      </c>
      <c r="I424" s="110" t="s">
        <v>182</v>
      </c>
      <c r="J424" s="110" t="s">
        <v>182</v>
      </c>
      <c r="K424" s="110" t="s">
        <v>999</v>
      </c>
      <c r="L424" s="110" t="s">
        <v>999</v>
      </c>
      <c r="R424" s="110" t="s">
        <v>152</v>
      </c>
      <c r="S424" s="110" t="s">
        <v>443</v>
      </c>
      <c r="T424" s="110" t="s">
        <v>154</v>
      </c>
      <c r="U424" s="110" t="s">
        <v>255</v>
      </c>
      <c r="V424" s="110">
        <v>63.442746990000003</v>
      </c>
      <c r="W424" s="110">
        <v>63.442746990000003</v>
      </c>
      <c r="X424" s="110">
        <v>10.347627340000001</v>
      </c>
      <c r="Y424" s="110" t="s">
        <v>291</v>
      </c>
      <c r="Z424" s="110" t="s">
        <v>155</v>
      </c>
      <c r="AA424" s="110" t="s">
        <v>1788</v>
      </c>
      <c r="AB424" s="110" t="s">
        <v>1999</v>
      </c>
      <c r="AC424" s="110" t="s">
        <v>182</v>
      </c>
      <c r="AD424" s="110" t="s">
        <v>333</v>
      </c>
      <c r="AE424" s="110" t="s">
        <v>187</v>
      </c>
      <c r="AF424" s="110" t="s">
        <v>1745</v>
      </c>
      <c r="AI424" s="110" t="s">
        <v>182</v>
      </c>
      <c r="AJ424" s="110" t="s">
        <v>2030</v>
      </c>
      <c r="AK424" s="110" t="s">
        <v>2031</v>
      </c>
      <c r="AL424" s="110" t="s">
        <v>2032</v>
      </c>
      <c r="AN424" s="110" t="s">
        <v>412</v>
      </c>
      <c r="AQ424" s="110" t="s">
        <v>176</v>
      </c>
      <c r="AU424" s="110">
        <v>1</v>
      </c>
      <c r="AV424" s="110" t="s">
        <v>1256</v>
      </c>
      <c r="AW424" s="110">
        <v>15</v>
      </c>
      <c r="BA424" s="110">
        <v>15</v>
      </c>
      <c r="BB424" s="110">
        <v>15</v>
      </c>
      <c r="BC424" s="110">
        <v>15</v>
      </c>
      <c r="BD424" s="110">
        <v>0</v>
      </c>
      <c r="BE424" s="110" t="s">
        <v>246</v>
      </c>
      <c r="BF424" s="110" t="s">
        <v>188</v>
      </c>
      <c r="BG424" s="110">
        <v>0</v>
      </c>
      <c r="BI424" s="110" t="s">
        <v>246</v>
      </c>
      <c r="BK424" s="110">
        <v>3</v>
      </c>
      <c r="BL424" s="110">
        <v>3</v>
      </c>
      <c r="BM424" s="110" t="s">
        <v>197</v>
      </c>
      <c r="BN424" s="110">
        <v>4.1000000000000002E-2</v>
      </c>
      <c r="BP424" s="110">
        <v>16.906028790000001</v>
      </c>
      <c r="BS424" s="110">
        <v>65</v>
      </c>
      <c r="BT424" s="110" t="s">
        <v>2458</v>
      </c>
      <c r="BU424" s="110" t="s">
        <v>2606</v>
      </c>
      <c r="BV424" s="110" t="s">
        <v>2458</v>
      </c>
      <c r="BZ424" s="110">
        <v>4.1000000000000002E-2</v>
      </c>
      <c r="CB424" s="110">
        <v>16.906028790000001</v>
      </c>
      <c r="CC424" s="110" t="b">
        <v>0</v>
      </c>
      <c r="CD424" s="110" t="s">
        <v>2256</v>
      </c>
      <c r="CE424" s="110" t="s">
        <v>2256</v>
      </c>
      <c r="CF424" s="110" t="s">
        <v>2256</v>
      </c>
      <c r="CH424" s="110" t="s">
        <v>2491</v>
      </c>
    </row>
    <row r="425" spans="1:88">
      <c r="A425" s="110" t="s">
        <v>2181</v>
      </c>
      <c r="B425" s="110">
        <v>84</v>
      </c>
      <c r="C425" s="110">
        <v>1</v>
      </c>
      <c r="D425" s="110">
        <v>2</v>
      </c>
      <c r="E425" s="110">
        <v>424</v>
      </c>
      <c r="F425" s="110">
        <v>2023</v>
      </c>
      <c r="G425" s="110" t="s">
        <v>187</v>
      </c>
      <c r="H425" s="110" t="s">
        <v>2436</v>
      </c>
      <c r="I425" s="110" t="s">
        <v>182</v>
      </c>
      <c r="J425" s="110" t="s">
        <v>182</v>
      </c>
      <c r="K425" s="110" t="s">
        <v>999</v>
      </c>
      <c r="L425" s="110" t="s">
        <v>999</v>
      </c>
      <c r="R425" s="110" t="s">
        <v>152</v>
      </c>
      <c r="S425" s="110" t="s">
        <v>443</v>
      </c>
      <c r="T425" s="110" t="s">
        <v>154</v>
      </c>
      <c r="U425" s="110" t="s">
        <v>255</v>
      </c>
      <c r="V425" s="110">
        <v>63.442746990000003</v>
      </c>
      <c r="W425" s="110">
        <v>63.442746990000003</v>
      </c>
      <c r="X425" s="110">
        <v>10.347627340000001</v>
      </c>
      <c r="Y425" s="110" t="s">
        <v>291</v>
      </c>
      <c r="Z425" s="110" t="s">
        <v>155</v>
      </c>
      <c r="AA425" s="110" t="s">
        <v>1788</v>
      </c>
      <c r="AB425" s="110" t="s">
        <v>1999</v>
      </c>
      <c r="AC425" s="110" t="s">
        <v>182</v>
      </c>
      <c r="AD425" s="110" t="s">
        <v>333</v>
      </c>
      <c r="AE425" s="110" t="s">
        <v>187</v>
      </c>
      <c r="AF425" s="110" t="s">
        <v>1745</v>
      </c>
      <c r="AI425" s="110" t="s">
        <v>182</v>
      </c>
      <c r="AJ425" s="110" t="s">
        <v>2030</v>
      </c>
      <c r="AK425" s="110" t="s">
        <v>2031</v>
      </c>
      <c r="AL425" s="110" t="s">
        <v>2032</v>
      </c>
      <c r="AN425" s="110" t="s">
        <v>412</v>
      </c>
      <c r="AQ425" s="110" t="s">
        <v>176</v>
      </c>
      <c r="AU425" s="110">
        <v>2</v>
      </c>
      <c r="AV425" s="110" t="s">
        <v>1256</v>
      </c>
      <c r="AW425" s="110">
        <v>15</v>
      </c>
      <c r="BA425" s="110">
        <v>15</v>
      </c>
      <c r="BB425" s="110">
        <v>15</v>
      </c>
      <c r="BC425" s="110">
        <v>15</v>
      </c>
      <c r="BD425" s="110">
        <v>0</v>
      </c>
      <c r="BE425" s="110" t="s">
        <v>246</v>
      </c>
      <c r="BF425" s="110" t="s">
        <v>188</v>
      </c>
      <c r="BG425" s="110">
        <v>0</v>
      </c>
      <c r="BI425" s="110" t="s">
        <v>246</v>
      </c>
      <c r="BK425" s="110">
        <v>3</v>
      </c>
      <c r="BL425" s="110">
        <v>3</v>
      </c>
      <c r="BM425" s="110" t="s">
        <v>197</v>
      </c>
      <c r="BN425" s="110">
        <v>3.4000000000000002E-2</v>
      </c>
      <c r="BP425" s="110">
        <v>20.38668178</v>
      </c>
      <c r="BS425" s="110">
        <v>65</v>
      </c>
      <c r="BT425" s="110" t="s">
        <v>2458</v>
      </c>
      <c r="BU425" s="110" t="s">
        <v>2606</v>
      </c>
      <c r="BV425" s="110" t="s">
        <v>2458</v>
      </c>
      <c r="BZ425" s="110">
        <v>3.4000000000000002E-2</v>
      </c>
      <c r="CB425" s="110">
        <v>20.38668178</v>
      </c>
      <c r="CC425" s="110" t="b">
        <v>0</v>
      </c>
      <c r="CD425" s="110" t="s">
        <v>2256</v>
      </c>
      <c r="CE425" s="110" t="s">
        <v>2256</v>
      </c>
      <c r="CF425" s="110" t="s">
        <v>2256</v>
      </c>
      <c r="CH425" s="110" t="s">
        <v>243</v>
      </c>
    </row>
    <row r="426" spans="1:88">
      <c r="A426" s="110" t="s">
        <v>2181</v>
      </c>
      <c r="B426" s="110">
        <v>84</v>
      </c>
      <c r="C426" s="110">
        <v>1</v>
      </c>
      <c r="D426" s="110">
        <v>3</v>
      </c>
      <c r="E426" s="110">
        <v>425</v>
      </c>
      <c r="F426" s="110">
        <v>2023</v>
      </c>
      <c r="G426" s="110" t="s">
        <v>187</v>
      </c>
      <c r="H426" s="110" t="s">
        <v>2436</v>
      </c>
      <c r="I426" s="110" t="s">
        <v>182</v>
      </c>
      <c r="J426" s="110" t="s">
        <v>182</v>
      </c>
      <c r="K426" s="110" t="s">
        <v>999</v>
      </c>
      <c r="L426" s="110" t="s">
        <v>999</v>
      </c>
      <c r="R426" s="110" t="s">
        <v>152</v>
      </c>
      <c r="S426" s="110" t="s">
        <v>443</v>
      </c>
      <c r="T426" s="110" t="s">
        <v>154</v>
      </c>
      <c r="U426" s="110" t="s">
        <v>255</v>
      </c>
      <c r="V426" s="110">
        <v>63.442746990000003</v>
      </c>
      <c r="W426" s="110">
        <v>63.442746990000003</v>
      </c>
      <c r="X426" s="110">
        <v>10.347627340000001</v>
      </c>
      <c r="Y426" s="110" t="s">
        <v>291</v>
      </c>
      <c r="Z426" s="110" t="s">
        <v>155</v>
      </c>
      <c r="AA426" s="110" t="s">
        <v>1788</v>
      </c>
      <c r="AB426" s="110" t="s">
        <v>1999</v>
      </c>
      <c r="AC426" s="110" t="s">
        <v>182</v>
      </c>
      <c r="AD426" s="110" t="s">
        <v>333</v>
      </c>
      <c r="AE426" s="110" t="s">
        <v>187</v>
      </c>
      <c r="AF426" s="110" t="s">
        <v>1745</v>
      </c>
      <c r="AI426" s="110" t="s">
        <v>246</v>
      </c>
      <c r="AJ426" s="110" t="s">
        <v>246</v>
      </c>
      <c r="AK426" s="110" t="s">
        <v>2031</v>
      </c>
      <c r="AL426" s="110" t="s">
        <v>2032</v>
      </c>
      <c r="AN426" s="110" t="s">
        <v>412</v>
      </c>
      <c r="AQ426" s="110" t="s">
        <v>176</v>
      </c>
      <c r="AU426" s="110">
        <v>1.3</v>
      </c>
      <c r="AV426" s="110" t="s">
        <v>1256</v>
      </c>
      <c r="AW426" s="110">
        <v>15</v>
      </c>
      <c r="BA426" s="110">
        <v>8</v>
      </c>
      <c r="BB426" s="110">
        <v>8</v>
      </c>
      <c r="BC426" s="110">
        <v>8</v>
      </c>
      <c r="BD426" s="110">
        <v>0</v>
      </c>
      <c r="BE426" s="110" t="s">
        <v>246</v>
      </c>
      <c r="BF426" s="110" t="s">
        <v>188</v>
      </c>
      <c r="BG426" s="110">
        <v>0</v>
      </c>
      <c r="BI426" s="110" t="s">
        <v>246</v>
      </c>
      <c r="BK426" s="110">
        <v>3</v>
      </c>
      <c r="BL426" s="110">
        <v>3</v>
      </c>
      <c r="BM426" s="110" t="s">
        <v>197</v>
      </c>
      <c r="BN426" s="110">
        <v>5.0000000000000001E-3</v>
      </c>
      <c r="BP426" s="110">
        <v>138.62943609999999</v>
      </c>
      <c r="BS426" s="110">
        <v>65</v>
      </c>
      <c r="BT426" s="110" t="s">
        <v>2458</v>
      </c>
      <c r="BU426" s="110" t="s">
        <v>2606</v>
      </c>
      <c r="BV426" s="110" t="s">
        <v>2458</v>
      </c>
      <c r="BZ426" s="110">
        <v>5.0000000000000001E-3</v>
      </c>
      <c r="CB426" s="110">
        <v>138.62943609999999</v>
      </c>
      <c r="CC426" s="110" t="b">
        <v>0</v>
      </c>
      <c r="CD426" s="110" t="s">
        <v>2256</v>
      </c>
      <c r="CE426" s="110" t="s">
        <v>2256</v>
      </c>
      <c r="CF426" s="110" t="s">
        <v>2256</v>
      </c>
      <c r="CH426" s="110" t="s">
        <v>243</v>
      </c>
    </row>
    <row r="427" spans="1:88">
      <c r="A427" s="110" t="s">
        <v>2181</v>
      </c>
      <c r="B427" s="110">
        <v>84</v>
      </c>
      <c r="C427" s="110">
        <v>1</v>
      </c>
      <c r="D427" s="110">
        <v>1</v>
      </c>
      <c r="E427" s="110">
        <v>426</v>
      </c>
      <c r="F427" s="110">
        <v>2023</v>
      </c>
      <c r="G427" s="110" t="s">
        <v>187</v>
      </c>
      <c r="H427" s="110" t="s">
        <v>2436</v>
      </c>
      <c r="I427" s="110" t="s">
        <v>182</v>
      </c>
      <c r="J427" s="110" t="s">
        <v>182</v>
      </c>
      <c r="K427" s="110" t="s">
        <v>999</v>
      </c>
      <c r="L427" s="110" t="s">
        <v>999</v>
      </c>
      <c r="R427" s="110" t="s">
        <v>152</v>
      </c>
      <c r="S427" s="110" t="s">
        <v>443</v>
      </c>
      <c r="T427" s="110" t="s">
        <v>473</v>
      </c>
      <c r="U427" s="110" t="s">
        <v>474</v>
      </c>
      <c r="V427" s="110">
        <v>63.442746990000003</v>
      </c>
      <c r="W427" s="110">
        <v>63.442746990000003</v>
      </c>
      <c r="X427" s="110">
        <v>10.347627340000001</v>
      </c>
      <c r="Y427" s="110" t="s">
        <v>291</v>
      </c>
      <c r="Z427" s="110" t="s">
        <v>155</v>
      </c>
      <c r="AA427" s="110" t="s">
        <v>1788</v>
      </c>
      <c r="AB427" s="110" t="s">
        <v>1999</v>
      </c>
      <c r="AC427" s="110" t="s">
        <v>182</v>
      </c>
      <c r="AD427" s="110" t="s">
        <v>333</v>
      </c>
      <c r="AE427" s="110" t="s">
        <v>187</v>
      </c>
      <c r="AF427" s="110" t="s">
        <v>1745</v>
      </c>
      <c r="AI427" s="110" t="s">
        <v>246</v>
      </c>
      <c r="AJ427" s="110" t="s">
        <v>246</v>
      </c>
      <c r="AK427" s="110" t="s">
        <v>2031</v>
      </c>
      <c r="AL427" s="110" t="s">
        <v>2032</v>
      </c>
      <c r="AN427" s="110" t="s">
        <v>412</v>
      </c>
      <c r="AQ427" s="110" t="s">
        <v>176</v>
      </c>
      <c r="AU427" s="110">
        <v>0.3</v>
      </c>
      <c r="AV427" s="110" t="s">
        <v>1256</v>
      </c>
      <c r="AW427" s="110">
        <v>12.3</v>
      </c>
      <c r="BA427" s="110">
        <v>15</v>
      </c>
      <c r="BB427" s="110">
        <v>15</v>
      </c>
      <c r="BC427" s="110">
        <v>15</v>
      </c>
      <c r="BD427" s="110">
        <v>0</v>
      </c>
      <c r="BE427" s="110" t="s">
        <v>246</v>
      </c>
      <c r="BF427" s="110" t="s">
        <v>188</v>
      </c>
      <c r="BG427" s="110">
        <v>0</v>
      </c>
      <c r="BI427" s="110" t="s">
        <v>246</v>
      </c>
      <c r="BK427" s="110">
        <v>3</v>
      </c>
      <c r="BL427" s="110">
        <v>3</v>
      </c>
      <c r="BM427" s="110" t="s">
        <v>197</v>
      </c>
      <c r="BN427" s="110">
        <v>1.9E-2</v>
      </c>
      <c r="BP427" s="110">
        <v>36.48143056</v>
      </c>
      <c r="BS427" s="110">
        <v>65</v>
      </c>
      <c r="BT427" s="110" t="s">
        <v>2458</v>
      </c>
      <c r="BU427" s="110" t="s">
        <v>2606</v>
      </c>
      <c r="BV427" s="110" t="s">
        <v>2458</v>
      </c>
      <c r="BZ427" s="110">
        <v>1.9E-2</v>
      </c>
      <c r="CB427" s="110">
        <v>36.48143056</v>
      </c>
      <c r="CC427" s="110" t="b">
        <v>0</v>
      </c>
      <c r="CD427" s="110" t="s">
        <v>2256</v>
      </c>
      <c r="CE427" s="110" t="s">
        <v>2256</v>
      </c>
      <c r="CF427" s="110" t="s">
        <v>2256</v>
      </c>
      <c r="CH427" s="110" t="s">
        <v>2491</v>
      </c>
    </row>
    <row r="428" spans="1:88">
      <c r="A428" s="110" t="s">
        <v>2181</v>
      </c>
      <c r="B428" s="110">
        <v>84</v>
      </c>
      <c r="C428" s="110">
        <v>1</v>
      </c>
      <c r="D428" s="110">
        <v>1</v>
      </c>
      <c r="E428" s="110">
        <v>427</v>
      </c>
      <c r="F428" s="110">
        <v>2023</v>
      </c>
      <c r="G428" s="110" t="s">
        <v>187</v>
      </c>
      <c r="H428" s="110" t="s">
        <v>2436</v>
      </c>
      <c r="I428" s="110" t="s">
        <v>182</v>
      </c>
      <c r="J428" s="110" t="s">
        <v>182</v>
      </c>
      <c r="K428" s="110" t="s">
        <v>999</v>
      </c>
      <c r="L428" s="110" t="s">
        <v>999</v>
      </c>
      <c r="R428" s="110" t="s">
        <v>152</v>
      </c>
      <c r="S428" s="110" t="s">
        <v>443</v>
      </c>
      <c r="T428" s="110" t="s">
        <v>473</v>
      </c>
      <c r="U428" s="110" t="s">
        <v>474</v>
      </c>
      <c r="V428" s="110">
        <v>63.442746990000003</v>
      </c>
      <c r="W428" s="110">
        <v>63.442746990000003</v>
      </c>
      <c r="X428" s="110">
        <v>10.347627340000001</v>
      </c>
      <c r="Y428" s="110" t="s">
        <v>291</v>
      </c>
      <c r="Z428" s="110" t="s">
        <v>155</v>
      </c>
      <c r="AA428" s="110" t="s">
        <v>1788</v>
      </c>
      <c r="AB428" s="110" t="s">
        <v>1999</v>
      </c>
      <c r="AC428" s="110" t="s">
        <v>182</v>
      </c>
      <c r="AD428" s="110" t="s">
        <v>333</v>
      </c>
      <c r="AE428" s="110" t="s">
        <v>187</v>
      </c>
      <c r="AF428" s="110" t="s">
        <v>1745</v>
      </c>
      <c r="AI428" s="110" t="s">
        <v>246</v>
      </c>
      <c r="AJ428" s="110" t="s">
        <v>246</v>
      </c>
      <c r="AK428" s="110" t="s">
        <v>2031</v>
      </c>
      <c r="AL428" s="110" t="s">
        <v>2032</v>
      </c>
      <c r="AN428" s="110" t="s">
        <v>412</v>
      </c>
      <c r="AQ428" s="110" t="s">
        <v>176</v>
      </c>
      <c r="AU428" s="110">
        <v>0.5</v>
      </c>
      <c r="AV428" s="110" t="s">
        <v>1256</v>
      </c>
      <c r="AW428" s="110">
        <v>12.3</v>
      </c>
      <c r="BA428" s="110">
        <v>15</v>
      </c>
      <c r="BB428" s="110">
        <v>15</v>
      </c>
      <c r="BC428" s="110">
        <v>15</v>
      </c>
      <c r="BD428" s="110">
        <v>0</v>
      </c>
      <c r="BE428" s="110" t="s">
        <v>246</v>
      </c>
      <c r="BF428" s="110" t="s">
        <v>188</v>
      </c>
      <c r="BG428" s="110">
        <v>0</v>
      </c>
      <c r="BI428" s="110" t="s">
        <v>246</v>
      </c>
      <c r="BK428" s="110">
        <v>3</v>
      </c>
      <c r="BL428" s="110">
        <v>3</v>
      </c>
      <c r="BM428" s="110" t="s">
        <v>197</v>
      </c>
      <c r="BN428" s="110">
        <v>1.9E-2</v>
      </c>
      <c r="BP428" s="110">
        <v>36.48143056</v>
      </c>
      <c r="BS428" s="110">
        <v>65</v>
      </c>
      <c r="BT428" s="110" t="s">
        <v>2458</v>
      </c>
      <c r="BU428" s="110" t="s">
        <v>2606</v>
      </c>
      <c r="BV428" s="110" t="s">
        <v>2458</v>
      </c>
      <c r="BZ428" s="110">
        <v>1.9E-2</v>
      </c>
      <c r="CB428" s="110">
        <v>36.48143056</v>
      </c>
      <c r="CC428" s="110" t="b">
        <v>0</v>
      </c>
      <c r="CD428" s="110" t="s">
        <v>2256</v>
      </c>
      <c r="CE428" s="110" t="s">
        <v>2256</v>
      </c>
      <c r="CF428" s="110" t="s">
        <v>2256</v>
      </c>
      <c r="CH428" s="110" t="s">
        <v>2491</v>
      </c>
    </row>
    <row r="429" spans="1:88">
      <c r="A429" s="110" t="s">
        <v>2181</v>
      </c>
      <c r="B429" s="110">
        <v>84</v>
      </c>
      <c r="C429" s="110">
        <v>1</v>
      </c>
      <c r="D429" s="110">
        <v>1</v>
      </c>
      <c r="E429" s="110">
        <v>428</v>
      </c>
      <c r="F429" s="110">
        <v>2023</v>
      </c>
      <c r="G429" s="110" t="s">
        <v>187</v>
      </c>
      <c r="H429" s="110" t="s">
        <v>2436</v>
      </c>
      <c r="I429" s="110" t="s">
        <v>182</v>
      </c>
      <c r="J429" s="110" t="s">
        <v>182</v>
      </c>
      <c r="K429" s="110" t="s">
        <v>999</v>
      </c>
      <c r="L429" s="110" t="s">
        <v>999</v>
      </c>
      <c r="R429" s="110" t="s">
        <v>152</v>
      </c>
      <c r="S429" s="110" t="s">
        <v>443</v>
      </c>
      <c r="T429" s="110" t="s">
        <v>473</v>
      </c>
      <c r="U429" s="110" t="s">
        <v>474</v>
      </c>
      <c r="V429" s="110">
        <v>63.442746990000003</v>
      </c>
      <c r="W429" s="110">
        <v>63.442746990000003</v>
      </c>
      <c r="X429" s="110">
        <v>10.347627340000001</v>
      </c>
      <c r="Y429" s="110" t="s">
        <v>291</v>
      </c>
      <c r="Z429" s="110" t="s">
        <v>155</v>
      </c>
      <c r="AA429" s="110" t="s">
        <v>1788</v>
      </c>
      <c r="AB429" s="110" t="s">
        <v>1999</v>
      </c>
      <c r="AC429" s="110" t="s">
        <v>182</v>
      </c>
      <c r="AD429" s="110" t="s">
        <v>333</v>
      </c>
      <c r="AE429" s="110" t="s">
        <v>187</v>
      </c>
      <c r="AF429" s="110" t="s">
        <v>1745</v>
      </c>
      <c r="AI429" s="110" t="s">
        <v>246</v>
      </c>
      <c r="AJ429" s="110" t="s">
        <v>246</v>
      </c>
      <c r="AK429" s="110" t="s">
        <v>2031</v>
      </c>
      <c r="AL429" s="110" t="s">
        <v>2032</v>
      </c>
      <c r="AN429" s="110" t="s">
        <v>412</v>
      </c>
      <c r="AQ429" s="110" t="s">
        <v>176</v>
      </c>
      <c r="AU429" s="110">
        <v>0.8</v>
      </c>
      <c r="AV429" s="110" t="s">
        <v>1256</v>
      </c>
      <c r="AW429" s="110">
        <v>12.3</v>
      </c>
      <c r="BA429" s="110">
        <v>15</v>
      </c>
      <c r="BB429" s="110">
        <v>15</v>
      </c>
      <c r="BC429" s="110">
        <v>15</v>
      </c>
      <c r="BD429" s="110">
        <v>0</v>
      </c>
      <c r="BE429" s="110" t="s">
        <v>246</v>
      </c>
      <c r="BF429" s="110" t="s">
        <v>188</v>
      </c>
      <c r="BG429" s="110">
        <v>0</v>
      </c>
      <c r="BI429" s="110" t="s">
        <v>246</v>
      </c>
      <c r="BK429" s="110">
        <v>3</v>
      </c>
      <c r="BL429" s="110">
        <v>3</v>
      </c>
      <c r="BM429" s="110" t="s">
        <v>197</v>
      </c>
      <c r="BN429" s="110">
        <v>1.7999999999999999E-2</v>
      </c>
      <c r="BP429" s="110">
        <v>38.5081767</v>
      </c>
      <c r="BS429" s="110">
        <v>65</v>
      </c>
      <c r="BT429" s="110" t="s">
        <v>2458</v>
      </c>
      <c r="BU429" s="110" t="s">
        <v>2606</v>
      </c>
      <c r="BV429" s="110" t="s">
        <v>2458</v>
      </c>
      <c r="BZ429" s="110">
        <v>1.7999999999999999E-2</v>
      </c>
      <c r="CB429" s="110">
        <v>38.5081767</v>
      </c>
      <c r="CC429" s="110" t="b">
        <v>0</v>
      </c>
      <c r="CD429" s="110" t="s">
        <v>2256</v>
      </c>
      <c r="CE429" s="110" t="s">
        <v>2256</v>
      </c>
      <c r="CF429" s="110" t="s">
        <v>2256</v>
      </c>
      <c r="CH429" s="110" t="s">
        <v>2491</v>
      </c>
    </row>
    <row r="430" spans="1:88">
      <c r="A430" s="110" t="s">
        <v>2181</v>
      </c>
      <c r="B430" s="110">
        <v>84</v>
      </c>
      <c r="C430" s="110">
        <v>1</v>
      </c>
      <c r="D430" s="110">
        <v>1</v>
      </c>
      <c r="E430" s="110">
        <v>429</v>
      </c>
      <c r="F430" s="110">
        <v>2023</v>
      </c>
      <c r="G430" s="110" t="s">
        <v>187</v>
      </c>
      <c r="H430" s="110" t="s">
        <v>2436</v>
      </c>
      <c r="I430" s="110" t="s">
        <v>182</v>
      </c>
      <c r="J430" s="110" t="s">
        <v>182</v>
      </c>
      <c r="K430" s="110" t="s">
        <v>999</v>
      </c>
      <c r="L430" s="110" t="s">
        <v>999</v>
      </c>
      <c r="R430" s="110" t="s">
        <v>152</v>
      </c>
      <c r="S430" s="110" t="s">
        <v>443</v>
      </c>
      <c r="T430" s="110" t="s">
        <v>473</v>
      </c>
      <c r="U430" s="110" t="s">
        <v>474</v>
      </c>
      <c r="V430" s="110">
        <v>63.442746990000003</v>
      </c>
      <c r="W430" s="110">
        <v>63.442746990000003</v>
      </c>
      <c r="X430" s="110">
        <v>10.347627340000001</v>
      </c>
      <c r="Y430" s="110" t="s">
        <v>291</v>
      </c>
      <c r="Z430" s="110" t="s">
        <v>155</v>
      </c>
      <c r="AA430" s="110" t="s">
        <v>1788</v>
      </c>
      <c r="AB430" s="110" t="s">
        <v>1999</v>
      </c>
      <c r="AC430" s="110" t="s">
        <v>182</v>
      </c>
      <c r="AD430" s="110" t="s">
        <v>333</v>
      </c>
      <c r="AE430" s="110" t="s">
        <v>187</v>
      </c>
      <c r="AF430" s="110" t="s">
        <v>1745</v>
      </c>
      <c r="AI430" s="110" t="s">
        <v>246</v>
      </c>
      <c r="AJ430" s="110" t="s">
        <v>246</v>
      </c>
      <c r="AK430" s="110" t="s">
        <v>2031</v>
      </c>
      <c r="AL430" s="110" t="s">
        <v>2032</v>
      </c>
      <c r="AN430" s="110" t="s">
        <v>412</v>
      </c>
      <c r="AQ430" s="110" t="s">
        <v>176</v>
      </c>
      <c r="AU430" s="110">
        <v>1.3</v>
      </c>
      <c r="AV430" s="110" t="s">
        <v>1256</v>
      </c>
      <c r="AW430" s="110">
        <v>12.3</v>
      </c>
      <c r="BA430" s="110">
        <v>15</v>
      </c>
      <c r="BB430" s="110">
        <v>15</v>
      </c>
      <c r="BC430" s="110">
        <v>15</v>
      </c>
      <c r="BD430" s="110">
        <v>0</v>
      </c>
      <c r="BE430" s="110" t="s">
        <v>246</v>
      </c>
      <c r="BF430" s="110" t="s">
        <v>188</v>
      </c>
      <c r="BG430" s="110">
        <v>0</v>
      </c>
      <c r="BI430" s="110" t="s">
        <v>246</v>
      </c>
      <c r="BK430" s="110">
        <v>3</v>
      </c>
      <c r="BL430" s="110">
        <v>3</v>
      </c>
      <c r="BM430" s="110" t="s">
        <v>197</v>
      </c>
      <c r="BN430" s="110">
        <v>1.9E-2</v>
      </c>
      <c r="BP430" s="110">
        <v>36.48143056</v>
      </c>
      <c r="BS430" s="110">
        <v>65</v>
      </c>
      <c r="BT430" s="110" t="s">
        <v>2458</v>
      </c>
      <c r="BU430" s="110" t="s">
        <v>2606</v>
      </c>
      <c r="BV430" s="110" t="s">
        <v>2458</v>
      </c>
      <c r="BZ430" s="110">
        <v>1.9E-2</v>
      </c>
      <c r="CB430" s="110">
        <v>36.48143056</v>
      </c>
      <c r="CC430" s="110" t="b">
        <v>0</v>
      </c>
      <c r="CD430" s="110" t="s">
        <v>2256</v>
      </c>
      <c r="CE430" s="110" t="s">
        <v>2256</v>
      </c>
      <c r="CF430" s="110" t="s">
        <v>2256</v>
      </c>
      <c r="CH430" s="110" t="s">
        <v>2491</v>
      </c>
    </row>
    <row r="431" spans="1:88">
      <c r="A431" s="110" t="s">
        <v>2181</v>
      </c>
      <c r="B431" s="110">
        <v>84</v>
      </c>
      <c r="C431" s="110">
        <v>1</v>
      </c>
      <c r="D431" s="110">
        <v>1</v>
      </c>
      <c r="E431" s="110">
        <v>430</v>
      </c>
      <c r="F431" s="110">
        <v>2023</v>
      </c>
      <c r="G431" s="110" t="s">
        <v>187</v>
      </c>
      <c r="H431" s="110" t="s">
        <v>2436</v>
      </c>
      <c r="I431" s="110" t="s">
        <v>182</v>
      </c>
      <c r="J431" s="110" t="s">
        <v>182</v>
      </c>
      <c r="K431" s="110" t="s">
        <v>999</v>
      </c>
      <c r="L431" s="110" t="s">
        <v>999</v>
      </c>
      <c r="R431" s="110" t="s">
        <v>152</v>
      </c>
      <c r="S431" s="110" t="s">
        <v>443</v>
      </c>
      <c r="T431" s="110" t="s">
        <v>473</v>
      </c>
      <c r="U431" s="110" t="s">
        <v>474</v>
      </c>
      <c r="V431" s="110">
        <v>63.442746990000003</v>
      </c>
      <c r="W431" s="110">
        <v>63.442746990000003</v>
      </c>
      <c r="X431" s="110">
        <v>10.347627340000001</v>
      </c>
      <c r="Y431" s="110" t="s">
        <v>291</v>
      </c>
      <c r="Z431" s="110" t="s">
        <v>155</v>
      </c>
      <c r="AA431" s="110" t="s">
        <v>1788</v>
      </c>
      <c r="AB431" s="110" t="s">
        <v>1999</v>
      </c>
      <c r="AC431" s="110" t="s">
        <v>182</v>
      </c>
      <c r="AD431" s="110" t="s">
        <v>333</v>
      </c>
      <c r="AE431" s="110" t="s">
        <v>187</v>
      </c>
      <c r="AF431" s="110" t="s">
        <v>1745</v>
      </c>
      <c r="AI431" s="110" t="s">
        <v>246</v>
      </c>
      <c r="AJ431" s="110" t="s">
        <v>246</v>
      </c>
      <c r="AK431" s="110" t="s">
        <v>2031</v>
      </c>
      <c r="AL431" s="110" t="s">
        <v>2032</v>
      </c>
      <c r="AN431" s="110" t="s">
        <v>412</v>
      </c>
      <c r="AQ431" s="110" t="s">
        <v>176</v>
      </c>
      <c r="AU431" s="110">
        <v>1.5</v>
      </c>
      <c r="AV431" s="110" t="s">
        <v>1256</v>
      </c>
      <c r="AW431" s="110">
        <v>12.3</v>
      </c>
      <c r="BA431" s="110">
        <v>15</v>
      </c>
      <c r="BB431" s="110">
        <v>15</v>
      </c>
      <c r="BC431" s="110">
        <v>15</v>
      </c>
      <c r="BD431" s="110">
        <v>0</v>
      </c>
      <c r="BE431" s="110" t="s">
        <v>246</v>
      </c>
      <c r="BF431" s="110" t="s">
        <v>188</v>
      </c>
      <c r="BG431" s="110">
        <v>0</v>
      </c>
      <c r="BI431" s="110" t="s">
        <v>246</v>
      </c>
      <c r="BK431" s="110">
        <v>3</v>
      </c>
      <c r="BL431" s="110">
        <v>3</v>
      </c>
      <c r="BM431" s="110" t="s">
        <v>197</v>
      </c>
      <c r="BN431" s="110">
        <v>1.4999999999999999E-2</v>
      </c>
      <c r="BP431" s="110">
        <v>46.209812040000003</v>
      </c>
      <c r="BS431" s="110">
        <v>65</v>
      </c>
      <c r="BT431" s="110" t="s">
        <v>2458</v>
      </c>
      <c r="BU431" s="110" t="s">
        <v>2606</v>
      </c>
      <c r="BV431" s="110" t="s">
        <v>2458</v>
      </c>
      <c r="BZ431" s="110">
        <v>1.4999999999999999E-2</v>
      </c>
      <c r="CB431" s="110">
        <v>46.209812040000003</v>
      </c>
      <c r="CC431" s="110" t="b">
        <v>0</v>
      </c>
      <c r="CD431" s="110" t="s">
        <v>2256</v>
      </c>
      <c r="CE431" s="110" t="s">
        <v>2256</v>
      </c>
      <c r="CF431" s="110" t="s">
        <v>2256</v>
      </c>
      <c r="CH431" s="110" t="s">
        <v>2491</v>
      </c>
    </row>
    <row r="432" spans="1:88">
      <c r="A432" s="110" t="s">
        <v>2181</v>
      </c>
      <c r="B432" s="110">
        <v>84</v>
      </c>
      <c r="C432" s="110">
        <v>1</v>
      </c>
      <c r="D432" s="110">
        <v>1</v>
      </c>
      <c r="E432" s="110">
        <v>431</v>
      </c>
      <c r="F432" s="110">
        <v>2023</v>
      </c>
      <c r="G432" s="110" t="s">
        <v>187</v>
      </c>
      <c r="H432" s="110" t="s">
        <v>2436</v>
      </c>
      <c r="I432" s="110" t="s">
        <v>182</v>
      </c>
      <c r="J432" s="110" t="s">
        <v>182</v>
      </c>
      <c r="K432" s="110" t="s">
        <v>999</v>
      </c>
      <c r="L432" s="110" t="s">
        <v>999</v>
      </c>
      <c r="R432" s="110" t="s">
        <v>152</v>
      </c>
      <c r="S432" s="110" t="s">
        <v>443</v>
      </c>
      <c r="T432" s="110" t="s">
        <v>473</v>
      </c>
      <c r="U432" s="110" t="s">
        <v>474</v>
      </c>
      <c r="V432" s="110">
        <v>63.442746990000003</v>
      </c>
      <c r="W432" s="110">
        <v>63.442746990000003</v>
      </c>
      <c r="X432" s="110">
        <v>10.347627340000001</v>
      </c>
      <c r="Y432" s="110" t="s">
        <v>291</v>
      </c>
      <c r="Z432" s="110" t="s">
        <v>155</v>
      </c>
      <c r="AA432" s="110" t="s">
        <v>1788</v>
      </c>
      <c r="AB432" s="110" t="s">
        <v>1999</v>
      </c>
      <c r="AC432" s="110" t="s">
        <v>182</v>
      </c>
      <c r="AD432" s="110" t="s">
        <v>333</v>
      </c>
      <c r="AE432" s="110" t="s">
        <v>187</v>
      </c>
      <c r="AF432" s="110" t="s">
        <v>1745</v>
      </c>
      <c r="AI432" s="110" t="s">
        <v>246</v>
      </c>
      <c r="AJ432" s="110" t="s">
        <v>246</v>
      </c>
      <c r="AK432" s="110" t="s">
        <v>2031</v>
      </c>
      <c r="AL432" s="110" t="s">
        <v>2032</v>
      </c>
      <c r="AN432" s="110" t="s">
        <v>412</v>
      </c>
      <c r="AQ432" s="110" t="s">
        <v>176</v>
      </c>
      <c r="AU432" s="110">
        <v>1.7</v>
      </c>
      <c r="AV432" s="110" t="s">
        <v>1256</v>
      </c>
      <c r="AW432" s="110">
        <v>12.3</v>
      </c>
      <c r="BA432" s="110">
        <v>15</v>
      </c>
      <c r="BB432" s="110">
        <v>15</v>
      </c>
      <c r="BC432" s="110">
        <v>15</v>
      </c>
      <c r="BD432" s="110">
        <v>0</v>
      </c>
      <c r="BE432" s="110" t="s">
        <v>246</v>
      </c>
      <c r="BF432" s="110" t="s">
        <v>188</v>
      </c>
      <c r="BG432" s="110">
        <v>0</v>
      </c>
      <c r="BI432" s="110" t="s">
        <v>246</v>
      </c>
      <c r="BK432" s="110">
        <v>3</v>
      </c>
      <c r="BL432" s="110">
        <v>3</v>
      </c>
      <c r="BM432" s="110" t="s">
        <v>197</v>
      </c>
      <c r="BN432" s="110">
        <v>1.0999999999999999E-2</v>
      </c>
      <c r="BP432" s="110">
        <v>63.013380050000002</v>
      </c>
      <c r="BS432" s="110">
        <v>65</v>
      </c>
      <c r="BT432" s="110" t="s">
        <v>2458</v>
      </c>
      <c r="BU432" s="110" t="s">
        <v>2606</v>
      </c>
      <c r="BV432" s="110" t="s">
        <v>2458</v>
      </c>
      <c r="BZ432" s="110">
        <v>1.0999999999999999E-2</v>
      </c>
      <c r="CB432" s="110">
        <v>63.013380050000002</v>
      </c>
      <c r="CC432" s="110" t="b">
        <v>0</v>
      </c>
      <c r="CD432" s="110" t="s">
        <v>2256</v>
      </c>
      <c r="CE432" s="110" t="s">
        <v>2256</v>
      </c>
      <c r="CF432" s="110" t="s">
        <v>2256</v>
      </c>
      <c r="CH432" s="110" t="s">
        <v>2491</v>
      </c>
    </row>
    <row r="433" spans="1:88">
      <c r="A433" s="110" t="s">
        <v>2181</v>
      </c>
      <c r="B433" s="110">
        <v>84</v>
      </c>
      <c r="C433" s="110">
        <v>1</v>
      </c>
      <c r="D433" s="110">
        <v>1</v>
      </c>
      <c r="E433" s="110">
        <v>432</v>
      </c>
      <c r="F433" s="110">
        <v>2023</v>
      </c>
      <c r="G433" s="110" t="s">
        <v>187</v>
      </c>
      <c r="H433" s="110" t="s">
        <v>2436</v>
      </c>
      <c r="I433" s="110" t="s">
        <v>182</v>
      </c>
      <c r="J433" s="110" t="s">
        <v>182</v>
      </c>
      <c r="K433" s="110" t="s">
        <v>999</v>
      </c>
      <c r="L433" s="110" t="s">
        <v>999</v>
      </c>
      <c r="R433" s="110" t="s">
        <v>152</v>
      </c>
      <c r="S433" s="110" t="s">
        <v>443</v>
      </c>
      <c r="T433" s="110" t="s">
        <v>473</v>
      </c>
      <c r="U433" s="110" t="s">
        <v>474</v>
      </c>
      <c r="V433" s="110">
        <v>63.442746990000003</v>
      </c>
      <c r="W433" s="110">
        <v>63.442746990000003</v>
      </c>
      <c r="X433" s="110">
        <v>10.347627340000001</v>
      </c>
      <c r="Y433" s="110" t="s">
        <v>291</v>
      </c>
      <c r="Z433" s="110" t="s">
        <v>155</v>
      </c>
      <c r="AA433" s="110" t="s">
        <v>1788</v>
      </c>
      <c r="AB433" s="110" t="s">
        <v>1999</v>
      </c>
      <c r="AC433" s="110" t="s">
        <v>182</v>
      </c>
      <c r="AD433" s="110" t="s">
        <v>333</v>
      </c>
      <c r="AE433" s="110" t="s">
        <v>187</v>
      </c>
      <c r="AF433" s="110" t="s">
        <v>1745</v>
      </c>
      <c r="AI433" s="110" t="s">
        <v>246</v>
      </c>
      <c r="AJ433" s="110" t="s">
        <v>246</v>
      </c>
      <c r="AK433" s="110" t="s">
        <v>2031</v>
      </c>
      <c r="AL433" s="110" t="s">
        <v>2032</v>
      </c>
      <c r="AN433" s="110" t="s">
        <v>412</v>
      </c>
      <c r="AQ433" s="110" t="s">
        <v>176</v>
      </c>
      <c r="AU433" s="110">
        <v>1.9</v>
      </c>
      <c r="AV433" s="110" t="s">
        <v>1256</v>
      </c>
      <c r="AW433" s="110">
        <v>12.3</v>
      </c>
      <c r="BA433" s="110">
        <v>15</v>
      </c>
      <c r="BB433" s="110">
        <v>15</v>
      </c>
      <c r="BC433" s="110">
        <v>15</v>
      </c>
      <c r="BD433" s="110">
        <v>0</v>
      </c>
      <c r="BE433" s="110" t="s">
        <v>246</v>
      </c>
      <c r="BF433" s="110" t="s">
        <v>188</v>
      </c>
      <c r="BG433" s="110">
        <v>0</v>
      </c>
      <c r="BI433" s="110" t="s">
        <v>246</v>
      </c>
      <c r="BK433" s="110">
        <v>3</v>
      </c>
      <c r="BL433" s="110">
        <v>3</v>
      </c>
      <c r="BM433" s="110" t="s">
        <v>197</v>
      </c>
      <c r="BN433" s="110">
        <v>1.4999999999999999E-2</v>
      </c>
      <c r="BP433" s="110">
        <v>46.209812040000003</v>
      </c>
      <c r="BS433" s="110">
        <v>65</v>
      </c>
      <c r="BT433" s="110" t="s">
        <v>2458</v>
      </c>
      <c r="BU433" s="110" t="s">
        <v>2606</v>
      </c>
      <c r="BV433" s="110" t="s">
        <v>2458</v>
      </c>
      <c r="BZ433" s="110">
        <v>1.4999999999999999E-2</v>
      </c>
      <c r="CB433" s="110">
        <v>46.209812040000003</v>
      </c>
      <c r="CC433" s="110" t="b">
        <v>0</v>
      </c>
      <c r="CD433" s="110" t="s">
        <v>2256</v>
      </c>
      <c r="CE433" s="110" t="s">
        <v>2256</v>
      </c>
      <c r="CF433" s="110" t="s">
        <v>2256</v>
      </c>
      <c r="CH433" s="110" t="s">
        <v>2491</v>
      </c>
    </row>
    <row r="434" spans="1:88">
      <c r="A434" s="110" t="s">
        <v>2181</v>
      </c>
      <c r="B434" s="110">
        <v>84</v>
      </c>
      <c r="C434" s="110">
        <v>1</v>
      </c>
      <c r="D434" s="110">
        <v>1</v>
      </c>
      <c r="E434" s="110">
        <v>433</v>
      </c>
      <c r="F434" s="110">
        <v>2023</v>
      </c>
      <c r="G434" s="110" t="s">
        <v>187</v>
      </c>
      <c r="H434" s="110" t="s">
        <v>2436</v>
      </c>
      <c r="I434" s="110" t="s">
        <v>182</v>
      </c>
      <c r="J434" s="110" t="s">
        <v>182</v>
      </c>
      <c r="K434" s="110" t="s">
        <v>999</v>
      </c>
      <c r="L434" s="110" t="s">
        <v>999</v>
      </c>
      <c r="R434" s="110" t="s">
        <v>152</v>
      </c>
      <c r="S434" s="110" t="s">
        <v>443</v>
      </c>
      <c r="T434" s="110" t="s">
        <v>473</v>
      </c>
      <c r="U434" s="110" t="s">
        <v>474</v>
      </c>
      <c r="V434" s="110">
        <v>63.442746990000003</v>
      </c>
      <c r="W434" s="110">
        <v>63.442746990000003</v>
      </c>
      <c r="X434" s="110">
        <v>10.347627340000001</v>
      </c>
      <c r="Y434" s="110" t="s">
        <v>291</v>
      </c>
      <c r="Z434" s="110" t="s">
        <v>155</v>
      </c>
      <c r="AA434" s="110" t="s">
        <v>1788</v>
      </c>
      <c r="AB434" s="110" t="s">
        <v>1999</v>
      </c>
      <c r="AC434" s="110" t="s">
        <v>182</v>
      </c>
      <c r="AD434" s="110" t="s">
        <v>333</v>
      </c>
      <c r="AE434" s="110" t="s">
        <v>187</v>
      </c>
      <c r="AF434" s="110" t="s">
        <v>1745</v>
      </c>
      <c r="AI434" s="110" t="s">
        <v>246</v>
      </c>
      <c r="AJ434" s="110" t="s">
        <v>246</v>
      </c>
      <c r="AK434" s="110" t="s">
        <v>2031</v>
      </c>
      <c r="AL434" s="110" t="s">
        <v>2032</v>
      </c>
      <c r="AN434" s="110" t="s">
        <v>412</v>
      </c>
      <c r="AQ434" s="110" t="s">
        <v>176</v>
      </c>
      <c r="AU434" s="110">
        <v>2</v>
      </c>
      <c r="AV434" s="110" t="s">
        <v>1256</v>
      </c>
      <c r="AW434" s="110">
        <v>12.3</v>
      </c>
      <c r="BA434" s="110">
        <v>15</v>
      </c>
      <c r="BB434" s="110">
        <v>15</v>
      </c>
      <c r="BC434" s="110">
        <v>15</v>
      </c>
      <c r="BD434" s="110">
        <v>0</v>
      </c>
      <c r="BE434" s="110" t="s">
        <v>246</v>
      </c>
      <c r="BF434" s="110" t="s">
        <v>188</v>
      </c>
      <c r="BG434" s="110">
        <v>0</v>
      </c>
      <c r="BI434" s="110" t="s">
        <v>246</v>
      </c>
      <c r="BK434" s="110">
        <v>3</v>
      </c>
      <c r="BL434" s="110">
        <v>3</v>
      </c>
      <c r="BM434" s="110" t="s">
        <v>197</v>
      </c>
      <c r="BN434" s="110">
        <v>0.02</v>
      </c>
      <c r="BP434" s="110">
        <v>34.657359030000002</v>
      </c>
      <c r="BS434" s="110">
        <v>65</v>
      </c>
      <c r="BT434" s="110" t="s">
        <v>2458</v>
      </c>
      <c r="BU434" s="110" t="s">
        <v>2606</v>
      </c>
      <c r="BV434" s="110" t="s">
        <v>2458</v>
      </c>
      <c r="BZ434" s="110">
        <v>0.02</v>
      </c>
      <c r="CB434" s="110">
        <v>34.657359030000002</v>
      </c>
      <c r="CC434" s="110" t="b">
        <v>0</v>
      </c>
      <c r="CD434" s="110" t="s">
        <v>2256</v>
      </c>
      <c r="CE434" s="110" t="s">
        <v>2256</v>
      </c>
      <c r="CF434" s="110" t="s">
        <v>2256</v>
      </c>
      <c r="CH434" s="110" t="s">
        <v>2491</v>
      </c>
    </row>
    <row r="435" spans="1:88">
      <c r="A435" s="110" t="s">
        <v>2181</v>
      </c>
      <c r="B435" s="110">
        <v>84</v>
      </c>
      <c r="C435" s="110">
        <v>1</v>
      </c>
      <c r="D435" s="110">
        <v>2</v>
      </c>
      <c r="E435" s="110">
        <v>434</v>
      </c>
      <c r="F435" s="110">
        <v>2023</v>
      </c>
      <c r="G435" s="110" t="s">
        <v>187</v>
      </c>
      <c r="H435" s="110" t="s">
        <v>2436</v>
      </c>
      <c r="I435" s="110" t="s">
        <v>182</v>
      </c>
      <c r="J435" s="110" t="s">
        <v>182</v>
      </c>
      <c r="K435" s="110" t="s">
        <v>999</v>
      </c>
      <c r="L435" s="110" t="s">
        <v>999</v>
      </c>
      <c r="R435" s="110" t="s">
        <v>152</v>
      </c>
      <c r="S435" s="110" t="s">
        <v>443</v>
      </c>
      <c r="T435" s="110" t="s">
        <v>473</v>
      </c>
      <c r="U435" s="110" t="s">
        <v>474</v>
      </c>
      <c r="V435" s="110">
        <v>63.442746990000003</v>
      </c>
      <c r="W435" s="110">
        <v>63.442746990000003</v>
      </c>
      <c r="X435" s="110">
        <v>10.347627340000001</v>
      </c>
      <c r="Y435" s="110" t="s">
        <v>291</v>
      </c>
      <c r="Z435" s="110" t="s">
        <v>155</v>
      </c>
      <c r="AA435" s="110" t="s">
        <v>1788</v>
      </c>
      <c r="AB435" s="110" t="s">
        <v>1999</v>
      </c>
      <c r="AC435" s="110" t="s">
        <v>182</v>
      </c>
      <c r="AD435" s="110" t="s">
        <v>333</v>
      </c>
      <c r="AE435" s="110" t="s">
        <v>187</v>
      </c>
      <c r="AF435" s="110" t="s">
        <v>1745</v>
      </c>
      <c r="AI435" s="110" t="s">
        <v>182</v>
      </c>
      <c r="AJ435" s="110" t="s">
        <v>2030</v>
      </c>
      <c r="AK435" s="110" t="s">
        <v>2031</v>
      </c>
      <c r="AL435" s="110" t="s">
        <v>2032</v>
      </c>
      <c r="AN435" s="110" t="s">
        <v>412</v>
      </c>
      <c r="AQ435" s="110" t="s">
        <v>176</v>
      </c>
      <c r="AU435" s="110">
        <v>1</v>
      </c>
      <c r="AV435" s="110" t="s">
        <v>1256</v>
      </c>
      <c r="AW435" s="110">
        <v>12.3</v>
      </c>
      <c r="BA435" s="110">
        <v>15</v>
      </c>
      <c r="BB435" s="110">
        <v>15</v>
      </c>
      <c r="BC435" s="110">
        <v>15</v>
      </c>
      <c r="BD435" s="110">
        <v>0</v>
      </c>
      <c r="BE435" s="110" t="s">
        <v>246</v>
      </c>
      <c r="BF435" s="110" t="s">
        <v>188</v>
      </c>
      <c r="BG435" s="110">
        <v>0</v>
      </c>
      <c r="BI435" s="110" t="s">
        <v>246</v>
      </c>
      <c r="BK435" s="110">
        <v>3</v>
      </c>
      <c r="BL435" s="110">
        <v>3</v>
      </c>
      <c r="BM435" s="110" t="s">
        <v>197</v>
      </c>
      <c r="BN435" s="110">
        <v>1.7999999999999999E-2</v>
      </c>
      <c r="BP435" s="110">
        <v>38.5081767</v>
      </c>
      <c r="BS435" s="110">
        <v>65</v>
      </c>
      <c r="BT435" s="110" t="s">
        <v>2458</v>
      </c>
      <c r="BU435" s="110" t="s">
        <v>2606</v>
      </c>
      <c r="BV435" s="110" t="s">
        <v>2458</v>
      </c>
      <c r="BZ435" s="110">
        <v>1.7999999999999999E-2</v>
      </c>
      <c r="CB435" s="110">
        <v>38.5081767</v>
      </c>
      <c r="CC435" s="110" t="b">
        <v>0</v>
      </c>
      <c r="CD435" s="110" t="s">
        <v>2256</v>
      </c>
      <c r="CE435" s="110" t="s">
        <v>2256</v>
      </c>
      <c r="CF435" s="110" t="s">
        <v>2256</v>
      </c>
      <c r="CH435" s="110" t="s">
        <v>2491</v>
      </c>
    </row>
    <row r="436" spans="1:88">
      <c r="A436" s="110" t="s">
        <v>2181</v>
      </c>
      <c r="B436" s="110">
        <v>84</v>
      </c>
      <c r="C436" s="110">
        <v>1</v>
      </c>
      <c r="D436" s="110">
        <v>2</v>
      </c>
      <c r="E436" s="110">
        <v>435</v>
      </c>
      <c r="F436" s="110">
        <v>2023</v>
      </c>
      <c r="G436" s="110" t="s">
        <v>187</v>
      </c>
      <c r="H436" s="110" t="s">
        <v>2436</v>
      </c>
      <c r="I436" s="110" t="s">
        <v>182</v>
      </c>
      <c r="J436" s="110" t="s">
        <v>182</v>
      </c>
      <c r="K436" s="110" t="s">
        <v>999</v>
      </c>
      <c r="L436" s="110" t="s">
        <v>999</v>
      </c>
      <c r="R436" s="110" t="s">
        <v>152</v>
      </c>
      <c r="S436" s="110" t="s">
        <v>443</v>
      </c>
      <c r="T436" s="110" t="s">
        <v>473</v>
      </c>
      <c r="U436" s="110" t="s">
        <v>474</v>
      </c>
      <c r="V436" s="110">
        <v>63.442746990000003</v>
      </c>
      <c r="W436" s="110">
        <v>63.442746990000003</v>
      </c>
      <c r="X436" s="110">
        <v>10.347627340000001</v>
      </c>
      <c r="Y436" s="110" t="s">
        <v>291</v>
      </c>
      <c r="Z436" s="110" t="s">
        <v>155</v>
      </c>
      <c r="AA436" s="110" t="s">
        <v>1788</v>
      </c>
      <c r="AB436" s="110" t="s">
        <v>1999</v>
      </c>
      <c r="AC436" s="110" t="s">
        <v>182</v>
      </c>
      <c r="AD436" s="110" t="s">
        <v>333</v>
      </c>
      <c r="AE436" s="110" t="s">
        <v>187</v>
      </c>
      <c r="AF436" s="110" t="s">
        <v>1745</v>
      </c>
      <c r="AI436" s="110" t="s">
        <v>182</v>
      </c>
      <c r="AJ436" s="110" t="s">
        <v>2030</v>
      </c>
      <c r="AK436" s="110" t="s">
        <v>2031</v>
      </c>
      <c r="AL436" s="110" t="s">
        <v>2032</v>
      </c>
      <c r="AN436" s="110" t="s">
        <v>412</v>
      </c>
      <c r="AQ436" s="110" t="s">
        <v>176</v>
      </c>
      <c r="AU436" s="110">
        <v>2</v>
      </c>
      <c r="AV436" s="110" t="s">
        <v>1256</v>
      </c>
      <c r="AW436" s="110">
        <v>12.3</v>
      </c>
      <c r="BA436" s="110">
        <v>15</v>
      </c>
      <c r="BB436" s="110">
        <v>15</v>
      </c>
      <c r="BC436" s="110">
        <v>15</v>
      </c>
      <c r="BD436" s="110">
        <v>0</v>
      </c>
      <c r="BE436" s="110" t="s">
        <v>246</v>
      </c>
      <c r="BF436" s="110" t="s">
        <v>188</v>
      </c>
      <c r="BG436" s="110">
        <v>0</v>
      </c>
      <c r="BI436" s="110" t="s">
        <v>246</v>
      </c>
      <c r="BK436" s="110">
        <v>3</v>
      </c>
      <c r="BL436" s="110">
        <v>3</v>
      </c>
      <c r="BM436" s="110" t="s">
        <v>197</v>
      </c>
      <c r="BN436" s="110">
        <v>1.2E-2</v>
      </c>
      <c r="BP436" s="110">
        <v>57.762265050000003</v>
      </c>
      <c r="BS436" s="110">
        <v>65</v>
      </c>
      <c r="BT436" s="110" t="s">
        <v>2458</v>
      </c>
      <c r="BU436" s="110" t="s">
        <v>2606</v>
      </c>
      <c r="BV436" s="110" t="s">
        <v>2458</v>
      </c>
      <c r="BZ436" s="110">
        <v>1.2E-2</v>
      </c>
      <c r="CB436" s="110">
        <v>57.762265050000003</v>
      </c>
      <c r="CC436" s="110" t="b">
        <v>0</v>
      </c>
      <c r="CD436" s="110" t="s">
        <v>2256</v>
      </c>
      <c r="CE436" s="110" t="s">
        <v>2256</v>
      </c>
      <c r="CF436" s="110" t="s">
        <v>2256</v>
      </c>
      <c r="CH436" s="110" t="s">
        <v>243</v>
      </c>
    </row>
    <row r="437" spans="1:88">
      <c r="A437" s="110" t="s">
        <v>2181</v>
      </c>
      <c r="B437" s="110">
        <v>84</v>
      </c>
      <c r="C437" s="110">
        <v>1</v>
      </c>
      <c r="D437" s="110">
        <v>3</v>
      </c>
      <c r="E437" s="110">
        <v>436</v>
      </c>
      <c r="F437" s="110">
        <v>2023</v>
      </c>
      <c r="G437" s="110" t="s">
        <v>187</v>
      </c>
      <c r="H437" s="110" t="s">
        <v>2436</v>
      </c>
      <c r="I437" s="110" t="s">
        <v>182</v>
      </c>
      <c r="J437" s="110" t="s">
        <v>182</v>
      </c>
      <c r="K437" s="110" t="s">
        <v>999</v>
      </c>
      <c r="L437" s="110" t="s">
        <v>999</v>
      </c>
      <c r="R437" s="110" t="s">
        <v>152</v>
      </c>
      <c r="S437" s="110" t="s">
        <v>443</v>
      </c>
      <c r="T437" s="110" t="s">
        <v>473</v>
      </c>
      <c r="U437" s="110" t="s">
        <v>474</v>
      </c>
      <c r="V437" s="110">
        <v>63.442746990000003</v>
      </c>
      <c r="W437" s="110">
        <v>63.442746990000003</v>
      </c>
      <c r="X437" s="110">
        <v>10.347627340000001</v>
      </c>
      <c r="Y437" s="110" t="s">
        <v>291</v>
      </c>
      <c r="Z437" s="110" t="s">
        <v>155</v>
      </c>
      <c r="AA437" s="110" t="s">
        <v>1788</v>
      </c>
      <c r="AB437" s="110" t="s">
        <v>1999</v>
      </c>
      <c r="AC437" s="110" t="s">
        <v>182</v>
      </c>
      <c r="AD437" s="110" t="s">
        <v>333</v>
      </c>
      <c r="AE437" s="110" t="s">
        <v>187</v>
      </c>
      <c r="AF437" s="110" t="s">
        <v>1745</v>
      </c>
      <c r="AI437" s="110" t="s">
        <v>246</v>
      </c>
      <c r="AJ437" s="110" t="s">
        <v>246</v>
      </c>
      <c r="AK437" s="110" t="s">
        <v>2031</v>
      </c>
      <c r="AL437" s="110" t="s">
        <v>2032</v>
      </c>
      <c r="AN437" s="110" t="s">
        <v>412</v>
      </c>
      <c r="AQ437" s="110" t="s">
        <v>176</v>
      </c>
      <c r="AU437" s="110">
        <v>1.3</v>
      </c>
      <c r="AV437" s="110" t="s">
        <v>1256</v>
      </c>
      <c r="AW437" s="110">
        <v>12.3</v>
      </c>
      <c r="BA437" s="110">
        <v>8</v>
      </c>
      <c r="BB437" s="110">
        <v>8</v>
      </c>
      <c r="BC437" s="110">
        <v>8</v>
      </c>
      <c r="BD437" s="110">
        <v>0</v>
      </c>
      <c r="BE437" s="110" t="s">
        <v>246</v>
      </c>
      <c r="BF437" s="110" t="s">
        <v>188</v>
      </c>
      <c r="BG437" s="110">
        <v>0</v>
      </c>
      <c r="BI437" s="110" t="s">
        <v>246</v>
      </c>
      <c r="BK437" s="110">
        <v>3</v>
      </c>
      <c r="BL437" s="110">
        <v>3</v>
      </c>
      <c r="BM437" s="110" t="s">
        <v>197</v>
      </c>
      <c r="BN437" s="110">
        <v>2E-3</v>
      </c>
      <c r="BP437" s="110">
        <v>346.57359029999998</v>
      </c>
      <c r="BS437" s="110">
        <v>65</v>
      </c>
      <c r="BT437" s="110" t="s">
        <v>2458</v>
      </c>
      <c r="BU437" s="110" t="s">
        <v>2606</v>
      </c>
      <c r="BV437" s="110" t="s">
        <v>2458</v>
      </c>
      <c r="BZ437" s="110">
        <v>2E-3</v>
      </c>
      <c r="CB437" s="110">
        <v>346.57359029999998</v>
      </c>
      <c r="CC437" s="110" t="b">
        <v>1</v>
      </c>
      <c r="CD437" s="110" t="s">
        <v>2256</v>
      </c>
      <c r="CE437" s="110" t="s">
        <v>2256</v>
      </c>
      <c r="CF437" s="110" t="s">
        <v>2256</v>
      </c>
      <c r="CH437" s="110" t="s">
        <v>243</v>
      </c>
    </row>
    <row r="438" spans="1:88">
      <c r="A438" s="110" t="s">
        <v>2174</v>
      </c>
      <c r="B438" s="110">
        <v>85</v>
      </c>
      <c r="C438" s="110">
        <v>1</v>
      </c>
      <c r="D438" s="110">
        <v>1</v>
      </c>
      <c r="E438" s="110">
        <v>437</v>
      </c>
      <c r="F438" s="110">
        <v>2004</v>
      </c>
      <c r="G438" s="110" t="s">
        <v>161</v>
      </c>
      <c r="H438" s="110" t="s">
        <v>2436</v>
      </c>
      <c r="I438" s="110" t="s">
        <v>182</v>
      </c>
      <c r="J438" s="110" t="s">
        <v>246</v>
      </c>
      <c r="K438" s="110" t="s">
        <v>999</v>
      </c>
      <c r="L438" s="110" t="s">
        <v>999</v>
      </c>
      <c r="R438" s="110" t="s">
        <v>1976</v>
      </c>
      <c r="S438" s="110" t="s">
        <v>444</v>
      </c>
      <c r="T438" s="110" t="s">
        <v>448</v>
      </c>
      <c r="U438" s="110" t="s">
        <v>1188</v>
      </c>
      <c r="V438" s="110">
        <v>59.918889</v>
      </c>
      <c r="W438" s="110">
        <v>59.918889</v>
      </c>
      <c r="X438" s="110">
        <v>22.335833000000001</v>
      </c>
      <c r="Y438" s="110" t="s">
        <v>2037</v>
      </c>
      <c r="Z438" s="110" t="s">
        <v>155</v>
      </c>
      <c r="AA438" s="110" t="s">
        <v>1788</v>
      </c>
      <c r="AB438" s="110" t="s">
        <v>333</v>
      </c>
      <c r="AC438" s="110" t="s">
        <v>246</v>
      </c>
      <c r="AD438" s="110" t="s">
        <v>333</v>
      </c>
      <c r="AE438" s="110" t="s">
        <v>218</v>
      </c>
      <c r="AG438" s="110">
        <v>8</v>
      </c>
      <c r="AI438" s="110" t="s">
        <v>246</v>
      </c>
      <c r="AJ438" s="110" t="s">
        <v>246</v>
      </c>
      <c r="AK438" s="110" t="s">
        <v>171</v>
      </c>
      <c r="AO438" s="110">
        <v>1.2</v>
      </c>
      <c r="AQ438" s="110" t="s">
        <v>176</v>
      </c>
      <c r="AR438" s="110">
        <v>1999</v>
      </c>
      <c r="AS438" s="110" t="s">
        <v>236</v>
      </c>
      <c r="AT438" s="110" t="s">
        <v>420</v>
      </c>
      <c r="AU438" s="110">
        <v>150</v>
      </c>
      <c r="AV438" s="110" t="s">
        <v>1256</v>
      </c>
      <c r="BA438" s="110">
        <v>13</v>
      </c>
      <c r="BB438" s="110">
        <v>16.7</v>
      </c>
      <c r="BC438" s="110">
        <v>14.85</v>
      </c>
      <c r="BD438" s="110">
        <v>3.7</v>
      </c>
      <c r="BE438" s="110" t="s">
        <v>182</v>
      </c>
      <c r="BF438" s="110" t="s">
        <v>412</v>
      </c>
      <c r="BK438" s="110">
        <v>3</v>
      </c>
      <c r="BL438" s="110">
        <v>4</v>
      </c>
      <c r="BS438" s="110">
        <v>95</v>
      </c>
      <c r="BT438" s="110" t="s">
        <v>2347</v>
      </c>
      <c r="BU438" s="110" t="s">
        <v>1394</v>
      </c>
      <c r="BV438" s="110" t="s">
        <v>2603</v>
      </c>
      <c r="BW438" s="110">
        <v>0.99</v>
      </c>
      <c r="BZ438" s="110">
        <v>5.5800000000000002E-2</v>
      </c>
      <c r="CB438" s="110">
        <v>12.42199248</v>
      </c>
      <c r="CC438" s="110" t="b">
        <v>0</v>
      </c>
      <c r="CD438" s="110">
        <v>0</v>
      </c>
      <c r="CE438" s="110">
        <v>0</v>
      </c>
      <c r="CF438" s="110" t="s">
        <v>246</v>
      </c>
      <c r="CH438" s="110" t="s">
        <v>2038</v>
      </c>
    </row>
    <row r="439" spans="1:88">
      <c r="A439" s="110" t="s">
        <v>2174</v>
      </c>
      <c r="B439" s="110">
        <v>85</v>
      </c>
      <c r="C439" s="110">
        <v>1</v>
      </c>
      <c r="D439" s="110">
        <v>1</v>
      </c>
      <c r="E439" s="110">
        <v>438</v>
      </c>
      <c r="F439" s="110">
        <v>2004</v>
      </c>
      <c r="G439" s="110" t="s">
        <v>161</v>
      </c>
      <c r="H439" s="110" t="s">
        <v>2436</v>
      </c>
      <c r="I439" s="110" t="s">
        <v>182</v>
      </c>
      <c r="J439" s="110" t="s">
        <v>246</v>
      </c>
      <c r="K439" s="110" t="s">
        <v>999</v>
      </c>
      <c r="L439" s="110" t="s">
        <v>999</v>
      </c>
      <c r="R439" s="110" t="s">
        <v>1976</v>
      </c>
      <c r="S439" s="110" t="s">
        <v>444</v>
      </c>
      <c r="T439" s="110" t="s">
        <v>448</v>
      </c>
      <c r="U439" s="110" t="s">
        <v>1188</v>
      </c>
      <c r="V439" s="110">
        <v>59.918889</v>
      </c>
      <c r="W439" s="110">
        <v>59.918889</v>
      </c>
      <c r="X439" s="110">
        <v>22.335833000000001</v>
      </c>
      <c r="Y439" s="110" t="s">
        <v>2037</v>
      </c>
      <c r="Z439" s="110" t="s">
        <v>155</v>
      </c>
      <c r="AA439" s="110" t="s">
        <v>1788</v>
      </c>
      <c r="AB439" s="110" t="s">
        <v>333</v>
      </c>
      <c r="AC439" s="110" t="s">
        <v>246</v>
      </c>
      <c r="AD439" s="110" t="s">
        <v>333</v>
      </c>
      <c r="AE439" s="110" t="s">
        <v>1123</v>
      </c>
      <c r="AF439" s="110" t="s">
        <v>1745</v>
      </c>
      <c r="AG439" s="110">
        <v>8</v>
      </c>
      <c r="AI439" s="110" t="s">
        <v>246</v>
      </c>
      <c r="AJ439" s="110" t="s">
        <v>246</v>
      </c>
      <c r="AK439" s="110" t="s">
        <v>171</v>
      </c>
      <c r="AO439" s="110">
        <v>1.2</v>
      </c>
      <c r="AQ439" s="110" t="s">
        <v>176</v>
      </c>
      <c r="AR439" s="110">
        <v>1999</v>
      </c>
      <c r="AS439" s="110" t="s">
        <v>236</v>
      </c>
      <c r="AT439" s="110" t="s">
        <v>420</v>
      </c>
      <c r="AU439" s="110">
        <v>150</v>
      </c>
      <c r="AV439" s="110" t="s">
        <v>1256</v>
      </c>
      <c r="BA439" s="110">
        <v>13</v>
      </c>
      <c r="BB439" s="110">
        <v>16.7</v>
      </c>
      <c r="BC439" s="110">
        <v>14.85</v>
      </c>
      <c r="BD439" s="110">
        <v>3.7</v>
      </c>
      <c r="BE439" s="110" t="s">
        <v>182</v>
      </c>
      <c r="BF439" s="110" t="s">
        <v>412</v>
      </c>
      <c r="BK439" s="110">
        <v>3</v>
      </c>
      <c r="BL439" s="110">
        <v>4</v>
      </c>
      <c r="BS439" s="110">
        <v>95</v>
      </c>
      <c r="BT439" s="110" t="s">
        <v>2347</v>
      </c>
      <c r="BU439" s="110" t="s">
        <v>1394</v>
      </c>
      <c r="BV439" s="110" t="s">
        <v>2603</v>
      </c>
      <c r="BW439" s="110">
        <v>0.99</v>
      </c>
      <c r="BZ439" s="110">
        <v>7.8E-2</v>
      </c>
      <c r="CB439" s="110">
        <v>8.8865023149999995</v>
      </c>
      <c r="CC439" s="110" t="b">
        <v>0</v>
      </c>
      <c r="CD439" s="110">
        <v>0</v>
      </c>
      <c r="CE439" s="110">
        <v>0</v>
      </c>
      <c r="CF439" s="110" t="s">
        <v>246</v>
      </c>
      <c r="CH439" s="110" t="s">
        <v>2038</v>
      </c>
    </row>
    <row r="440" spans="1:88">
      <c r="A440" s="110" t="s">
        <v>2174</v>
      </c>
      <c r="B440" s="110">
        <v>85</v>
      </c>
      <c r="C440" s="110">
        <v>1</v>
      </c>
      <c r="D440" s="110">
        <v>1</v>
      </c>
      <c r="E440" s="110">
        <v>439</v>
      </c>
      <c r="F440" s="110">
        <v>2004</v>
      </c>
      <c r="G440" s="110" t="s">
        <v>161</v>
      </c>
      <c r="H440" s="110" t="s">
        <v>2436</v>
      </c>
      <c r="I440" s="110" t="s">
        <v>182</v>
      </c>
      <c r="J440" s="110" t="s">
        <v>246</v>
      </c>
      <c r="K440" s="110" t="s">
        <v>999</v>
      </c>
      <c r="L440" s="110" t="s">
        <v>999</v>
      </c>
      <c r="R440" s="110" t="s">
        <v>1976</v>
      </c>
      <c r="S440" s="110" t="s">
        <v>444</v>
      </c>
      <c r="T440" s="110" t="s">
        <v>448</v>
      </c>
      <c r="U440" s="110" t="s">
        <v>1188</v>
      </c>
      <c r="V440" s="110">
        <v>59.918889</v>
      </c>
      <c r="W440" s="110">
        <v>59.918889</v>
      </c>
      <c r="X440" s="110">
        <v>22.335833000000001</v>
      </c>
      <c r="Y440" s="110" t="s">
        <v>2037</v>
      </c>
      <c r="Z440" s="110" t="s">
        <v>155</v>
      </c>
      <c r="AA440" s="110" t="s">
        <v>1788</v>
      </c>
      <c r="AB440" s="110" t="s">
        <v>333</v>
      </c>
      <c r="AC440" s="110" t="s">
        <v>246</v>
      </c>
      <c r="AD440" s="110" t="s">
        <v>333</v>
      </c>
      <c r="AE440" s="110" t="s">
        <v>218</v>
      </c>
      <c r="AG440" s="110">
        <v>18</v>
      </c>
      <c r="AI440" s="110" t="s">
        <v>246</v>
      </c>
      <c r="AJ440" s="110" t="s">
        <v>246</v>
      </c>
      <c r="AK440" s="110" t="s">
        <v>171</v>
      </c>
      <c r="AO440" s="110">
        <v>1.2</v>
      </c>
      <c r="AQ440" s="110" t="s">
        <v>176</v>
      </c>
      <c r="AR440" s="110">
        <v>1999</v>
      </c>
      <c r="AS440" s="110" t="s">
        <v>236</v>
      </c>
      <c r="AT440" s="110" t="s">
        <v>420</v>
      </c>
      <c r="AU440" s="110">
        <v>150</v>
      </c>
      <c r="AV440" s="110" t="s">
        <v>1256</v>
      </c>
      <c r="BA440" s="110">
        <v>7.4</v>
      </c>
      <c r="BB440" s="110">
        <v>16.3</v>
      </c>
      <c r="BC440" s="110">
        <v>11.85</v>
      </c>
      <c r="BD440" s="110">
        <v>8.9</v>
      </c>
      <c r="BE440" s="110" t="s">
        <v>182</v>
      </c>
      <c r="BF440" s="110" t="s">
        <v>412</v>
      </c>
      <c r="BK440" s="110">
        <v>3</v>
      </c>
      <c r="BL440" s="110">
        <v>4</v>
      </c>
      <c r="BS440" s="110">
        <v>95</v>
      </c>
      <c r="BT440" s="110" t="s">
        <v>2347</v>
      </c>
      <c r="BU440" s="110" t="s">
        <v>1394</v>
      </c>
      <c r="BV440" s="110" t="s">
        <v>2603</v>
      </c>
      <c r="BW440" s="110">
        <v>0.92</v>
      </c>
      <c r="BZ440" s="110">
        <v>1.9300000000000001E-2</v>
      </c>
      <c r="CB440" s="110">
        <v>35.91436169</v>
      </c>
      <c r="CC440" s="110" t="b">
        <v>0</v>
      </c>
      <c r="CD440" s="110">
        <v>0</v>
      </c>
      <c r="CE440" s="110">
        <v>0</v>
      </c>
      <c r="CF440" s="110" t="s">
        <v>246</v>
      </c>
      <c r="CH440" s="110" t="s">
        <v>2038</v>
      </c>
    </row>
    <row r="441" spans="1:88">
      <c r="A441" s="110" t="s">
        <v>2174</v>
      </c>
      <c r="B441" s="110">
        <v>85</v>
      </c>
      <c r="C441" s="110">
        <v>1</v>
      </c>
      <c r="D441" s="110">
        <v>1</v>
      </c>
      <c r="E441" s="110">
        <v>440</v>
      </c>
      <c r="F441" s="110">
        <v>2004</v>
      </c>
      <c r="G441" s="110" t="s">
        <v>161</v>
      </c>
      <c r="H441" s="110" t="s">
        <v>2436</v>
      </c>
      <c r="I441" s="110" t="s">
        <v>182</v>
      </c>
      <c r="J441" s="110" t="s">
        <v>246</v>
      </c>
      <c r="K441" s="110" t="s">
        <v>999</v>
      </c>
      <c r="L441" s="110" t="s">
        <v>999</v>
      </c>
      <c r="R441" s="110" t="s">
        <v>1976</v>
      </c>
      <c r="S441" s="110" t="s">
        <v>444</v>
      </c>
      <c r="T441" s="110" t="s">
        <v>448</v>
      </c>
      <c r="U441" s="110" t="s">
        <v>1188</v>
      </c>
      <c r="V441" s="110">
        <v>59.918889</v>
      </c>
      <c r="W441" s="110">
        <v>59.918889</v>
      </c>
      <c r="X441" s="110">
        <v>22.335833000000001</v>
      </c>
      <c r="Y441" s="110" t="s">
        <v>2037</v>
      </c>
      <c r="Z441" s="110" t="s">
        <v>155</v>
      </c>
      <c r="AA441" s="110" t="s">
        <v>1788</v>
      </c>
      <c r="AB441" s="110" t="s">
        <v>333</v>
      </c>
      <c r="AC441" s="110" t="s">
        <v>246</v>
      </c>
      <c r="AD441" s="110" t="s">
        <v>333</v>
      </c>
      <c r="AE441" s="110" t="s">
        <v>1123</v>
      </c>
      <c r="AF441" s="110" t="s">
        <v>1745</v>
      </c>
      <c r="AG441" s="110">
        <v>18</v>
      </c>
      <c r="AI441" s="110" t="s">
        <v>246</v>
      </c>
      <c r="AJ441" s="110" t="s">
        <v>246</v>
      </c>
      <c r="AK441" s="110" t="s">
        <v>171</v>
      </c>
      <c r="AO441" s="110">
        <v>1.2</v>
      </c>
      <c r="AQ441" s="110" t="s">
        <v>176</v>
      </c>
      <c r="AR441" s="110">
        <v>1999</v>
      </c>
      <c r="AS441" s="110" t="s">
        <v>236</v>
      </c>
      <c r="AT441" s="110" t="s">
        <v>420</v>
      </c>
      <c r="AU441" s="110">
        <v>150</v>
      </c>
      <c r="AV441" s="110" t="s">
        <v>1256</v>
      </c>
      <c r="BA441" s="110">
        <v>7.4</v>
      </c>
      <c r="BB441" s="110">
        <v>16.3</v>
      </c>
      <c r="BC441" s="110">
        <v>11.85</v>
      </c>
      <c r="BD441" s="110">
        <v>8.9</v>
      </c>
      <c r="BE441" s="110" t="s">
        <v>182</v>
      </c>
      <c r="BF441" s="110" t="s">
        <v>412</v>
      </c>
      <c r="BK441" s="110">
        <v>3</v>
      </c>
      <c r="BL441" s="110">
        <v>4</v>
      </c>
      <c r="BS441" s="110">
        <v>95</v>
      </c>
      <c r="BT441" s="110" t="s">
        <v>2347</v>
      </c>
      <c r="BU441" s="110" t="s">
        <v>1394</v>
      </c>
      <c r="BV441" s="110" t="s">
        <v>2603</v>
      </c>
      <c r="BW441" s="110">
        <v>0.96699999999999997</v>
      </c>
      <c r="BZ441" s="110">
        <v>3.1E-2</v>
      </c>
      <c r="CB441" s="110">
        <v>22.35958647</v>
      </c>
      <c r="CC441" s="110" t="b">
        <v>0</v>
      </c>
      <c r="CD441" s="110">
        <v>0</v>
      </c>
      <c r="CE441" s="110">
        <v>0</v>
      </c>
      <c r="CF441" s="110" t="s">
        <v>246</v>
      </c>
      <c r="CH441" s="110" t="s">
        <v>2038</v>
      </c>
    </row>
    <row r="442" spans="1:88">
      <c r="A442" s="110" t="s">
        <v>2174</v>
      </c>
      <c r="B442" s="110">
        <v>85</v>
      </c>
      <c r="C442" s="110">
        <v>1</v>
      </c>
      <c r="D442" s="110">
        <v>2</v>
      </c>
      <c r="E442" s="110">
        <v>441</v>
      </c>
      <c r="F442" s="110">
        <v>2004</v>
      </c>
      <c r="G442" s="110" t="s">
        <v>161</v>
      </c>
      <c r="H442" s="110" t="s">
        <v>2436</v>
      </c>
      <c r="I442" s="110" t="s">
        <v>182</v>
      </c>
      <c r="J442" s="110" t="s">
        <v>246</v>
      </c>
      <c r="K442" s="110" t="s">
        <v>999</v>
      </c>
      <c r="L442" s="110" t="s">
        <v>999</v>
      </c>
      <c r="R442" s="110" t="s">
        <v>1976</v>
      </c>
      <c r="S442" s="110" t="s">
        <v>443</v>
      </c>
      <c r="T442" s="110" t="s">
        <v>1189</v>
      </c>
      <c r="U442" s="110" t="s">
        <v>1190</v>
      </c>
      <c r="V442" s="110">
        <v>59.918889</v>
      </c>
      <c r="W442" s="110">
        <v>59.918889</v>
      </c>
      <c r="X442" s="110">
        <v>22.335833000000001</v>
      </c>
      <c r="Y442" s="110" t="s">
        <v>2037</v>
      </c>
      <c r="Z442" s="110" t="s">
        <v>155</v>
      </c>
      <c r="AA442" s="110" t="s">
        <v>1788</v>
      </c>
      <c r="AB442" s="110" t="s">
        <v>333</v>
      </c>
      <c r="AC442" s="110" t="s">
        <v>246</v>
      </c>
      <c r="AD442" s="110" t="s">
        <v>333</v>
      </c>
      <c r="AE442" s="110" t="s">
        <v>218</v>
      </c>
      <c r="AG442" s="110">
        <v>4</v>
      </c>
      <c r="AI442" s="110" t="s">
        <v>246</v>
      </c>
      <c r="AJ442" s="110" t="s">
        <v>246</v>
      </c>
      <c r="AK442" s="110" t="s">
        <v>171</v>
      </c>
      <c r="AO442" s="110">
        <v>1.2</v>
      </c>
      <c r="AQ442" s="110" t="s">
        <v>176</v>
      </c>
      <c r="AR442" s="110">
        <v>2000</v>
      </c>
      <c r="AS442" s="110" t="s">
        <v>237</v>
      </c>
      <c r="AT442" s="110" t="s">
        <v>420</v>
      </c>
      <c r="AU442" s="110">
        <v>18.5</v>
      </c>
      <c r="AV442" s="110" t="s">
        <v>1255</v>
      </c>
      <c r="BE442" s="110" t="s">
        <v>182</v>
      </c>
      <c r="BF442" s="110" t="s">
        <v>412</v>
      </c>
      <c r="BK442" s="110">
        <v>3</v>
      </c>
      <c r="BL442" s="110">
        <v>5</v>
      </c>
      <c r="BS442" s="110">
        <v>63</v>
      </c>
      <c r="BT442" s="110" t="s">
        <v>1396</v>
      </c>
      <c r="BU442" s="110" t="s">
        <v>1396</v>
      </c>
      <c r="BV442" s="110" t="s">
        <v>1396</v>
      </c>
      <c r="BW442" s="110">
        <v>0.97</v>
      </c>
      <c r="CA442" s="110">
        <v>1.59</v>
      </c>
      <c r="CB442" s="110">
        <v>31.446540880000001</v>
      </c>
      <c r="CC442" s="110" t="b">
        <v>0</v>
      </c>
      <c r="CD442" s="110">
        <v>7.63</v>
      </c>
      <c r="CE442" s="110">
        <v>0</v>
      </c>
      <c r="CF442" s="110" t="s">
        <v>246</v>
      </c>
      <c r="CH442" s="110" t="s">
        <v>2166</v>
      </c>
    </row>
    <row r="443" spans="1:88">
      <c r="A443" s="110" t="s">
        <v>2174</v>
      </c>
      <c r="B443" s="110">
        <v>85</v>
      </c>
      <c r="C443" s="110">
        <v>1</v>
      </c>
      <c r="D443" s="110">
        <v>2</v>
      </c>
      <c r="E443" s="110">
        <v>442</v>
      </c>
      <c r="F443" s="110">
        <v>2004</v>
      </c>
      <c r="G443" s="110" t="s">
        <v>161</v>
      </c>
      <c r="H443" s="110" t="s">
        <v>2436</v>
      </c>
      <c r="I443" s="110" t="s">
        <v>182</v>
      </c>
      <c r="J443" s="110" t="s">
        <v>246</v>
      </c>
      <c r="K443" s="110" t="s">
        <v>999</v>
      </c>
      <c r="L443" s="110" t="s">
        <v>999</v>
      </c>
      <c r="R443" s="110" t="s">
        <v>1976</v>
      </c>
      <c r="S443" s="110" t="s">
        <v>443</v>
      </c>
      <c r="T443" s="110" t="s">
        <v>1189</v>
      </c>
      <c r="U443" s="110" t="s">
        <v>1190</v>
      </c>
      <c r="V443" s="110">
        <v>59.918889</v>
      </c>
      <c r="W443" s="110">
        <v>59.918889</v>
      </c>
      <c r="X443" s="110">
        <v>22.335833000000001</v>
      </c>
      <c r="Y443" s="110" t="s">
        <v>2037</v>
      </c>
      <c r="Z443" s="110" t="s">
        <v>155</v>
      </c>
      <c r="AA443" s="110" t="s">
        <v>1788</v>
      </c>
      <c r="AB443" s="110" t="s">
        <v>333</v>
      </c>
      <c r="AC443" s="110" t="s">
        <v>246</v>
      </c>
      <c r="AD443" s="110" t="s">
        <v>333</v>
      </c>
      <c r="AE443" s="110" t="s">
        <v>218</v>
      </c>
      <c r="AG443" s="110">
        <v>4</v>
      </c>
      <c r="AI443" s="110" t="s">
        <v>246</v>
      </c>
      <c r="AJ443" s="110" t="s">
        <v>246</v>
      </c>
      <c r="AK443" s="110" t="s">
        <v>171</v>
      </c>
      <c r="AO443" s="110">
        <v>1.2</v>
      </c>
      <c r="AQ443" s="110" t="s">
        <v>176</v>
      </c>
      <c r="AR443" s="110">
        <v>2000</v>
      </c>
      <c r="AS443" s="110" t="s">
        <v>237</v>
      </c>
      <c r="AT443" s="110" t="s">
        <v>420</v>
      </c>
      <c r="AU443" s="110">
        <v>18.5</v>
      </c>
      <c r="AV443" s="110" t="s">
        <v>1255</v>
      </c>
      <c r="BE443" s="110" t="s">
        <v>182</v>
      </c>
      <c r="BF443" s="110" t="s">
        <v>412</v>
      </c>
      <c r="BK443" s="110">
        <v>3</v>
      </c>
      <c r="BL443" s="110">
        <v>5</v>
      </c>
      <c r="BS443" s="110">
        <v>63</v>
      </c>
      <c r="BT443" s="110" t="s">
        <v>1396</v>
      </c>
      <c r="BU443" s="110" t="s">
        <v>1396</v>
      </c>
      <c r="BV443" s="110" t="s">
        <v>1396</v>
      </c>
      <c r="BW443" s="110">
        <v>0.99</v>
      </c>
      <c r="CA443" s="110">
        <v>1.53</v>
      </c>
      <c r="CB443" s="110">
        <v>32.679738559999997</v>
      </c>
      <c r="CC443" s="110" t="b">
        <v>0</v>
      </c>
      <c r="CD443" s="110">
        <v>3.16</v>
      </c>
      <c r="CE443" s="110">
        <v>0</v>
      </c>
      <c r="CF443" s="110" t="s">
        <v>246</v>
      </c>
      <c r="CH443" s="110" t="s">
        <v>2167</v>
      </c>
    </row>
    <row r="444" spans="1:88">
      <c r="A444" s="110" t="s">
        <v>2174</v>
      </c>
      <c r="B444" s="110">
        <v>85</v>
      </c>
      <c r="C444" s="110">
        <v>1</v>
      </c>
      <c r="D444" s="110">
        <v>2</v>
      </c>
      <c r="E444" s="110">
        <v>443</v>
      </c>
      <c r="F444" s="110">
        <v>2004</v>
      </c>
      <c r="G444" s="110" t="s">
        <v>161</v>
      </c>
      <c r="H444" s="110" t="s">
        <v>2436</v>
      </c>
      <c r="I444" s="110" t="s">
        <v>182</v>
      </c>
      <c r="J444" s="110" t="s">
        <v>246</v>
      </c>
      <c r="K444" s="110" t="s">
        <v>999</v>
      </c>
      <c r="L444" s="110" t="s">
        <v>999</v>
      </c>
      <c r="R444" s="110" t="s">
        <v>1976</v>
      </c>
      <c r="S444" s="110" t="s">
        <v>443</v>
      </c>
      <c r="T444" s="110" t="s">
        <v>1189</v>
      </c>
      <c r="U444" s="110" t="s">
        <v>1190</v>
      </c>
      <c r="V444" s="110">
        <v>59.918889</v>
      </c>
      <c r="W444" s="110">
        <v>59.918889</v>
      </c>
      <c r="X444" s="110">
        <v>22.335833000000001</v>
      </c>
      <c r="Y444" s="110" t="s">
        <v>2037</v>
      </c>
      <c r="Z444" s="110" t="s">
        <v>155</v>
      </c>
      <c r="AA444" s="110" t="s">
        <v>1788</v>
      </c>
      <c r="AB444" s="110" t="s">
        <v>333</v>
      </c>
      <c r="AC444" s="110" t="s">
        <v>246</v>
      </c>
      <c r="AD444" s="110" t="s">
        <v>333</v>
      </c>
      <c r="AE444" s="110" t="s">
        <v>218</v>
      </c>
      <c r="AG444" s="110">
        <v>4</v>
      </c>
      <c r="AI444" s="110" t="s">
        <v>246</v>
      </c>
      <c r="AJ444" s="110" t="s">
        <v>246</v>
      </c>
      <c r="AK444" s="110" t="s">
        <v>171</v>
      </c>
      <c r="AO444" s="110">
        <v>1.2</v>
      </c>
      <c r="AQ444" s="110" t="s">
        <v>176</v>
      </c>
      <c r="AR444" s="110">
        <v>2000</v>
      </c>
      <c r="AS444" s="110" t="s">
        <v>237</v>
      </c>
      <c r="AT444" s="110" t="s">
        <v>420</v>
      </c>
      <c r="AU444" s="110">
        <v>18.5</v>
      </c>
      <c r="AV444" s="110" t="s">
        <v>1255</v>
      </c>
      <c r="BE444" s="110" t="s">
        <v>182</v>
      </c>
      <c r="BF444" s="110" t="s">
        <v>412</v>
      </c>
      <c r="BK444" s="110">
        <v>3</v>
      </c>
      <c r="BL444" s="110">
        <v>5</v>
      </c>
      <c r="BS444" s="110">
        <v>63</v>
      </c>
      <c r="BT444" s="110" t="s">
        <v>1396</v>
      </c>
      <c r="BU444" s="110" t="s">
        <v>1396</v>
      </c>
      <c r="BV444" s="110" t="s">
        <v>1396</v>
      </c>
      <c r="BW444" s="110">
        <v>0.95</v>
      </c>
      <c r="CA444" s="110">
        <v>1.6859999999999999</v>
      </c>
      <c r="CB444" s="110">
        <v>29.655990509999999</v>
      </c>
      <c r="CC444" s="110" t="b">
        <v>0</v>
      </c>
      <c r="CD444" s="110">
        <v>7.47</v>
      </c>
      <c r="CE444" s="110">
        <v>0</v>
      </c>
      <c r="CF444" s="110" t="s">
        <v>246</v>
      </c>
      <c r="CH444" s="110" t="s">
        <v>2168</v>
      </c>
    </row>
    <row r="445" spans="1:88">
      <c r="A445" s="110" t="s">
        <v>2174</v>
      </c>
      <c r="B445" s="110">
        <v>85</v>
      </c>
      <c r="C445" s="110">
        <v>1</v>
      </c>
      <c r="D445" s="110">
        <v>2</v>
      </c>
      <c r="E445" s="110">
        <v>444</v>
      </c>
      <c r="F445" s="110">
        <v>2004</v>
      </c>
      <c r="G445" s="110" t="s">
        <v>161</v>
      </c>
      <c r="H445" s="110" t="s">
        <v>2436</v>
      </c>
      <c r="I445" s="110" t="s">
        <v>182</v>
      </c>
      <c r="J445" s="110" t="s">
        <v>246</v>
      </c>
      <c r="K445" s="110" t="s">
        <v>999</v>
      </c>
      <c r="L445" s="110" t="s">
        <v>999</v>
      </c>
      <c r="R445" s="110" t="s">
        <v>1976</v>
      </c>
      <c r="S445" s="110" t="s">
        <v>444</v>
      </c>
      <c r="T445" s="110" t="s">
        <v>448</v>
      </c>
      <c r="U445" s="110" t="s">
        <v>1188</v>
      </c>
      <c r="V445" s="110">
        <v>59.918889</v>
      </c>
      <c r="W445" s="110">
        <v>59.918889</v>
      </c>
      <c r="X445" s="110">
        <v>22.335833000000001</v>
      </c>
      <c r="Y445" s="110" t="s">
        <v>2037</v>
      </c>
      <c r="Z445" s="110" t="s">
        <v>155</v>
      </c>
      <c r="AA445" s="110" t="s">
        <v>1788</v>
      </c>
      <c r="AB445" s="110" t="s">
        <v>333</v>
      </c>
      <c r="AC445" s="110" t="s">
        <v>246</v>
      </c>
      <c r="AD445" s="110" t="s">
        <v>333</v>
      </c>
      <c r="AE445" s="110" t="s">
        <v>218</v>
      </c>
      <c r="AG445" s="110">
        <v>4</v>
      </c>
      <c r="AI445" s="110" t="s">
        <v>246</v>
      </c>
      <c r="AJ445" s="110" t="s">
        <v>246</v>
      </c>
      <c r="AK445" s="110" t="s">
        <v>171</v>
      </c>
      <c r="AO445" s="110">
        <v>1.2</v>
      </c>
      <c r="AQ445" s="110" t="s">
        <v>176</v>
      </c>
      <c r="AR445" s="110">
        <v>2000</v>
      </c>
      <c r="AS445" s="110" t="s">
        <v>237</v>
      </c>
      <c r="AT445" s="110" t="s">
        <v>420</v>
      </c>
      <c r="AU445" s="110">
        <v>18.5</v>
      </c>
      <c r="AV445" s="110" t="s">
        <v>1255</v>
      </c>
      <c r="BE445" s="110" t="s">
        <v>182</v>
      </c>
      <c r="BF445" s="110" t="s">
        <v>412</v>
      </c>
      <c r="BK445" s="110">
        <v>3</v>
      </c>
      <c r="BL445" s="110">
        <v>5</v>
      </c>
      <c r="BS445" s="110">
        <v>68</v>
      </c>
      <c r="BT445" s="110" t="s">
        <v>1396</v>
      </c>
      <c r="BU445" s="110" t="s">
        <v>1396</v>
      </c>
      <c r="BV445" s="110" t="s">
        <v>1396</v>
      </c>
      <c r="BW445" s="110">
        <v>0.97</v>
      </c>
      <c r="CA445" s="110">
        <v>0.96230000000000004</v>
      </c>
      <c r="CB445" s="110">
        <v>51.958848590000002</v>
      </c>
      <c r="CC445" s="110" t="b">
        <v>0</v>
      </c>
      <c r="CD445" s="110">
        <v>30</v>
      </c>
      <c r="CE445" s="110">
        <v>0</v>
      </c>
      <c r="CF445" s="110" t="s">
        <v>246</v>
      </c>
      <c r="CH445" s="110" t="s">
        <v>1185</v>
      </c>
    </row>
    <row r="446" spans="1:88">
      <c r="A446" s="110" t="s">
        <v>2174</v>
      </c>
      <c r="B446" s="110">
        <v>85</v>
      </c>
      <c r="C446" s="110">
        <v>1</v>
      </c>
      <c r="D446" s="110">
        <v>2</v>
      </c>
      <c r="E446" s="110">
        <v>445</v>
      </c>
      <c r="F446" s="110">
        <v>2004</v>
      </c>
      <c r="G446" s="110" t="s">
        <v>161</v>
      </c>
      <c r="H446" s="110" t="s">
        <v>2436</v>
      </c>
      <c r="I446" s="110" t="s">
        <v>182</v>
      </c>
      <c r="J446" s="110" t="s">
        <v>246</v>
      </c>
      <c r="K446" s="110" t="s">
        <v>999</v>
      </c>
      <c r="L446" s="110" t="s">
        <v>999</v>
      </c>
      <c r="R446" s="110" t="s">
        <v>1976</v>
      </c>
      <c r="S446" s="110" t="s">
        <v>444</v>
      </c>
      <c r="T446" s="110" t="s">
        <v>448</v>
      </c>
      <c r="U446" s="110" t="s">
        <v>1188</v>
      </c>
      <c r="V446" s="110">
        <v>59.918889</v>
      </c>
      <c r="W446" s="110">
        <v>59.918889</v>
      </c>
      <c r="X446" s="110">
        <v>22.335833000000001</v>
      </c>
      <c r="Y446" s="110" t="s">
        <v>2037</v>
      </c>
      <c r="Z446" s="110" t="s">
        <v>155</v>
      </c>
      <c r="AA446" s="110" t="s">
        <v>1788</v>
      </c>
      <c r="AB446" s="110" t="s">
        <v>333</v>
      </c>
      <c r="AC446" s="110" t="s">
        <v>246</v>
      </c>
      <c r="AD446" s="110" t="s">
        <v>333</v>
      </c>
      <c r="AE446" s="110" t="s">
        <v>218</v>
      </c>
      <c r="AG446" s="110">
        <v>4</v>
      </c>
      <c r="AI446" s="110" t="s">
        <v>246</v>
      </c>
      <c r="AJ446" s="110" t="s">
        <v>246</v>
      </c>
      <c r="AK446" s="110" t="s">
        <v>171</v>
      </c>
      <c r="AO446" s="110">
        <v>1.2</v>
      </c>
      <c r="AQ446" s="110" t="s">
        <v>176</v>
      </c>
      <c r="AR446" s="110">
        <v>2000</v>
      </c>
      <c r="AS446" s="110" t="s">
        <v>237</v>
      </c>
      <c r="AT446" s="110" t="s">
        <v>420</v>
      </c>
      <c r="AU446" s="110">
        <v>18.5</v>
      </c>
      <c r="AV446" s="110" t="s">
        <v>1255</v>
      </c>
      <c r="BE446" s="110" t="s">
        <v>182</v>
      </c>
      <c r="BF446" s="110" t="s">
        <v>412</v>
      </c>
      <c r="BK446" s="110">
        <v>3</v>
      </c>
      <c r="BL446" s="110">
        <v>5</v>
      </c>
      <c r="BS446" s="110">
        <v>68</v>
      </c>
      <c r="BT446" s="110" t="s">
        <v>1396</v>
      </c>
      <c r="BU446" s="110" t="s">
        <v>1396</v>
      </c>
      <c r="BV446" s="110" t="s">
        <v>1396</v>
      </c>
      <c r="BW446" s="110">
        <v>0.73799999999999999</v>
      </c>
      <c r="CA446" s="110">
        <v>0.69510000000000005</v>
      </c>
      <c r="CB446" s="110">
        <v>71.932096099999995</v>
      </c>
      <c r="CC446" s="110" t="b">
        <v>0</v>
      </c>
      <c r="CD446" s="110">
        <v>35.799999999999997</v>
      </c>
      <c r="CE446" s="110">
        <v>0</v>
      </c>
      <c r="CF446" s="110" t="s">
        <v>246</v>
      </c>
      <c r="CH446" s="110" t="s">
        <v>2164</v>
      </c>
    </row>
    <row r="447" spans="1:88">
      <c r="A447" s="110" t="s">
        <v>2174</v>
      </c>
      <c r="B447" s="110">
        <v>85</v>
      </c>
      <c r="C447" s="110">
        <v>1</v>
      </c>
      <c r="D447" s="110">
        <v>2</v>
      </c>
      <c r="E447" s="110">
        <v>446</v>
      </c>
      <c r="F447" s="110">
        <v>2004</v>
      </c>
      <c r="G447" s="110" t="s">
        <v>161</v>
      </c>
      <c r="H447" s="110" t="s">
        <v>2436</v>
      </c>
      <c r="I447" s="110" t="s">
        <v>182</v>
      </c>
      <c r="J447" s="110" t="s">
        <v>246</v>
      </c>
      <c r="K447" s="110" t="s">
        <v>999</v>
      </c>
      <c r="L447" s="110" t="s">
        <v>999</v>
      </c>
      <c r="R447" s="110" t="s">
        <v>1976</v>
      </c>
      <c r="S447" s="110" t="s">
        <v>444</v>
      </c>
      <c r="T447" s="110" t="s">
        <v>448</v>
      </c>
      <c r="U447" s="110" t="s">
        <v>1188</v>
      </c>
      <c r="V447" s="110">
        <v>59.918889</v>
      </c>
      <c r="W447" s="110">
        <v>59.918889</v>
      </c>
      <c r="X447" s="110">
        <v>22.335833000000001</v>
      </c>
      <c r="Y447" s="110" t="s">
        <v>2037</v>
      </c>
      <c r="Z447" s="110" t="s">
        <v>155</v>
      </c>
      <c r="AA447" s="110" t="s">
        <v>1788</v>
      </c>
      <c r="AB447" s="110" t="s">
        <v>333</v>
      </c>
      <c r="AC447" s="110" t="s">
        <v>246</v>
      </c>
      <c r="AD447" s="110" t="s">
        <v>333</v>
      </c>
      <c r="AE447" s="110" t="s">
        <v>218</v>
      </c>
      <c r="AG447" s="110">
        <v>4</v>
      </c>
      <c r="AI447" s="110" t="s">
        <v>246</v>
      </c>
      <c r="AJ447" s="110" t="s">
        <v>246</v>
      </c>
      <c r="AK447" s="110" t="s">
        <v>171</v>
      </c>
      <c r="AO447" s="110">
        <v>1.2</v>
      </c>
      <c r="AQ447" s="110" t="s">
        <v>176</v>
      </c>
      <c r="AR447" s="110">
        <v>2000</v>
      </c>
      <c r="AS447" s="110" t="s">
        <v>237</v>
      </c>
      <c r="AT447" s="110" t="s">
        <v>420</v>
      </c>
      <c r="AU447" s="110">
        <v>18.5</v>
      </c>
      <c r="AV447" s="110" t="s">
        <v>1255</v>
      </c>
      <c r="BE447" s="110" t="s">
        <v>182</v>
      </c>
      <c r="BF447" s="110" t="s">
        <v>412</v>
      </c>
      <c r="BK447" s="110">
        <v>3</v>
      </c>
      <c r="BL447" s="110">
        <v>5</v>
      </c>
      <c r="BS447" s="110">
        <v>68</v>
      </c>
      <c r="BT447" s="110" t="s">
        <v>1396</v>
      </c>
      <c r="BU447" s="110" t="s">
        <v>1396</v>
      </c>
      <c r="BV447" s="110" t="s">
        <v>1396</v>
      </c>
      <c r="BW447" s="110">
        <v>0.89</v>
      </c>
      <c r="CA447" s="110">
        <v>0.9153</v>
      </c>
      <c r="CB447" s="110">
        <v>54.626898279999999</v>
      </c>
      <c r="CC447" s="110" t="b">
        <v>0</v>
      </c>
      <c r="CD447" s="110">
        <v>27.78</v>
      </c>
      <c r="CE447" s="110">
        <v>0</v>
      </c>
      <c r="CF447" s="110" t="s">
        <v>246</v>
      </c>
      <c r="CH447" s="110" t="s">
        <v>2165</v>
      </c>
    </row>
    <row r="448" spans="1:88">
      <c r="A448" s="110" t="s">
        <v>2177</v>
      </c>
      <c r="B448" s="110">
        <v>86</v>
      </c>
      <c r="C448" s="110">
        <v>3</v>
      </c>
      <c r="D448" s="110">
        <v>1</v>
      </c>
      <c r="E448" s="110">
        <v>447</v>
      </c>
      <c r="F448" s="110">
        <v>2011</v>
      </c>
      <c r="G448" s="110" t="s">
        <v>161</v>
      </c>
      <c r="H448" s="110" t="s">
        <v>2436</v>
      </c>
      <c r="I448" s="110" t="s">
        <v>182</v>
      </c>
      <c r="J448" s="110" t="s">
        <v>246</v>
      </c>
      <c r="K448" s="110" t="s">
        <v>999</v>
      </c>
      <c r="L448" s="110" t="s">
        <v>999</v>
      </c>
      <c r="R448" s="110" t="s">
        <v>272</v>
      </c>
      <c r="S448" s="110" t="s">
        <v>443</v>
      </c>
      <c r="T448" s="110" t="s">
        <v>611</v>
      </c>
      <c r="U448" s="110" t="s">
        <v>612</v>
      </c>
      <c r="V448" s="110">
        <v>40.5</v>
      </c>
      <c r="W448" s="110">
        <v>40.5</v>
      </c>
      <c r="X448" s="110">
        <v>-8.75</v>
      </c>
      <c r="Y448" s="110" t="s">
        <v>1121</v>
      </c>
      <c r="Z448" s="110" t="s">
        <v>155</v>
      </c>
      <c r="AA448" s="110" t="s">
        <v>1788</v>
      </c>
      <c r="AB448" s="110" t="s">
        <v>1724</v>
      </c>
      <c r="AC448" s="110" t="s">
        <v>182</v>
      </c>
      <c r="AD448" s="110" t="s">
        <v>333</v>
      </c>
      <c r="AE448" s="110" t="s">
        <v>1123</v>
      </c>
      <c r="AF448" s="110" t="s">
        <v>1745</v>
      </c>
      <c r="AG448" s="110" t="s">
        <v>1766</v>
      </c>
      <c r="AI448" s="110" t="s">
        <v>246</v>
      </c>
      <c r="AJ448" s="110" t="s">
        <v>246</v>
      </c>
      <c r="AK448" s="110" t="s">
        <v>171</v>
      </c>
      <c r="AO448" s="110">
        <v>5</v>
      </c>
      <c r="AQ448" s="110" t="s">
        <v>176</v>
      </c>
      <c r="AR448" s="110">
        <v>2009</v>
      </c>
      <c r="AS448" s="110" t="s">
        <v>327</v>
      </c>
      <c r="AT448" s="110" t="s">
        <v>385</v>
      </c>
      <c r="AU448" s="110">
        <v>3</v>
      </c>
      <c r="AV448" s="110" t="s">
        <v>1255</v>
      </c>
      <c r="BE448" s="110" t="s">
        <v>182</v>
      </c>
      <c r="BF448" s="110" t="s">
        <v>412</v>
      </c>
      <c r="BK448" s="110">
        <v>4</v>
      </c>
      <c r="BL448" s="110">
        <v>5</v>
      </c>
      <c r="BM448" s="110" t="s">
        <v>197</v>
      </c>
      <c r="BS448" s="110">
        <v>60</v>
      </c>
      <c r="BT448" s="110" t="s">
        <v>2347</v>
      </c>
      <c r="BU448" s="110" t="s">
        <v>1394</v>
      </c>
      <c r="BV448" s="110" t="s">
        <v>2603</v>
      </c>
      <c r="BW448" s="110">
        <v>0.99</v>
      </c>
      <c r="BZ448" s="110">
        <v>9.5500000000000002E-2</v>
      </c>
      <c r="CB448" s="110">
        <v>7.2580856599999999</v>
      </c>
      <c r="CC448" s="110" t="b">
        <v>0</v>
      </c>
      <c r="CD448" s="110">
        <v>0</v>
      </c>
      <c r="CE448" s="110">
        <v>0</v>
      </c>
      <c r="CF448" s="110" t="s">
        <v>246</v>
      </c>
      <c r="CH448" s="110" t="s">
        <v>2045</v>
      </c>
      <c r="CJ448" s="110" t="s">
        <v>2053</v>
      </c>
    </row>
    <row r="449" spans="1:88">
      <c r="A449" s="110" t="s">
        <v>2177</v>
      </c>
      <c r="B449" s="110">
        <v>86</v>
      </c>
      <c r="C449" s="110">
        <v>3</v>
      </c>
      <c r="D449" s="110">
        <v>1</v>
      </c>
      <c r="E449" s="110">
        <v>448</v>
      </c>
      <c r="F449" s="110">
        <v>2011</v>
      </c>
      <c r="G449" s="110" t="s">
        <v>161</v>
      </c>
      <c r="H449" s="110" t="s">
        <v>2436</v>
      </c>
      <c r="I449" s="110" t="s">
        <v>182</v>
      </c>
      <c r="J449" s="110" t="s">
        <v>246</v>
      </c>
      <c r="K449" s="110" t="s">
        <v>999</v>
      </c>
      <c r="L449" s="110" t="s">
        <v>999</v>
      </c>
      <c r="R449" s="110" t="s">
        <v>272</v>
      </c>
      <c r="S449" s="110" t="s">
        <v>443</v>
      </c>
      <c r="T449" s="110" t="s">
        <v>611</v>
      </c>
      <c r="U449" s="110" t="s">
        <v>612</v>
      </c>
      <c r="V449" s="110">
        <v>40.5</v>
      </c>
      <c r="W449" s="110">
        <v>40.5</v>
      </c>
      <c r="X449" s="110">
        <v>-8.75</v>
      </c>
      <c r="Y449" s="110" t="s">
        <v>1121</v>
      </c>
      <c r="Z449" s="110" t="s">
        <v>155</v>
      </c>
      <c r="AA449" s="110" t="s">
        <v>1788</v>
      </c>
      <c r="AB449" s="110" t="s">
        <v>1724</v>
      </c>
      <c r="AC449" s="110" t="s">
        <v>182</v>
      </c>
      <c r="AD449" s="110" t="s">
        <v>333</v>
      </c>
      <c r="AE449" s="110" t="s">
        <v>1123</v>
      </c>
      <c r="AF449" s="110" t="s">
        <v>1745</v>
      </c>
      <c r="AG449" s="110" t="s">
        <v>1766</v>
      </c>
      <c r="AI449" s="110" t="s">
        <v>246</v>
      </c>
      <c r="AJ449" s="110" t="s">
        <v>246</v>
      </c>
      <c r="AK449" s="110" t="s">
        <v>171</v>
      </c>
      <c r="AO449" s="110">
        <v>5</v>
      </c>
      <c r="AQ449" s="110" t="s">
        <v>176</v>
      </c>
      <c r="AR449" s="110">
        <v>2009</v>
      </c>
      <c r="AS449" s="110" t="s">
        <v>327</v>
      </c>
      <c r="AT449" s="110" t="s">
        <v>385</v>
      </c>
      <c r="AU449" s="110">
        <v>3</v>
      </c>
      <c r="AV449" s="110" t="s">
        <v>1255</v>
      </c>
      <c r="BE449" s="110" t="s">
        <v>182</v>
      </c>
      <c r="BF449" s="110" t="s">
        <v>412</v>
      </c>
      <c r="BK449" s="110">
        <v>4</v>
      </c>
      <c r="BL449" s="110">
        <v>5</v>
      </c>
      <c r="BM449" s="110" t="s">
        <v>197</v>
      </c>
      <c r="BS449" s="110">
        <v>60</v>
      </c>
      <c r="BT449" s="110" t="s">
        <v>2347</v>
      </c>
      <c r="BU449" s="110" t="s">
        <v>1394</v>
      </c>
      <c r="BV449" s="110" t="s">
        <v>2603</v>
      </c>
      <c r="BW449" s="110">
        <v>0.98299999999999998</v>
      </c>
      <c r="BZ449" s="110">
        <v>9.4700000000000006E-2</v>
      </c>
      <c r="CB449" s="110">
        <v>7.3194000060000004</v>
      </c>
      <c r="CC449" s="110" t="b">
        <v>0</v>
      </c>
      <c r="CD449" s="110">
        <v>0</v>
      </c>
      <c r="CE449" s="110">
        <v>0</v>
      </c>
      <c r="CF449" s="110" t="s">
        <v>246</v>
      </c>
      <c r="CH449" s="110" t="s">
        <v>2045</v>
      </c>
      <c r="CJ449" s="110" t="s">
        <v>2053</v>
      </c>
    </row>
    <row r="450" spans="1:88">
      <c r="A450" s="110" t="s">
        <v>2177</v>
      </c>
      <c r="B450" s="110">
        <v>86</v>
      </c>
      <c r="C450" s="110">
        <v>3</v>
      </c>
      <c r="D450" s="110">
        <v>1</v>
      </c>
      <c r="E450" s="110">
        <v>449</v>
      </c>
      <c r="F450" s="110">
        <v>2011</v>
      </c>
      <c r="G450" s="110" t="s">
        <v>161</v>
      </c>
      <c r="H450" s="110" t="s">
        <v>2436</v>
      </c>
      <c r="I450" s="110" t="s">
        <v>182</v>
      </c>
      <c r="J450" s="110" t="s">
        <v>246</v>
      </c>
      <c r="K450" s="110" t="s">
        <v>999</v>
      </c>
      <c r="L450" s="110" t="s">
        <v>999</v>
      </c>
      <c r="R450" s="110" t="s">
        <v>272</v>
      </c>
      <c r="S450" s="110" t="s">
        <v>443</v>
      </c>
      <c r="T450" s="110" t="s">
        <v>611</v>
      </c>
      <c r="U450" s="110" t="s">
        <v>612</v>
      </c>
      <c r="V450" s="110">
        <v>40.5</v>
      </c>
      <c r="W450" s="110">
        <v>40.5</v>
      </c>
      <c r="X450" s="110">
        <v>-8.75</v>
      </c>
      <c r="Y450" s="110" t="s">
        <v>1121</v>
      </c>
      <c r="Z450" s="110" t="s">
        <v>155</v>
      </c>
      <c r="AA450" s="110" t="s">
        <v>1788</v>
      </c>
      <c r="AB450" s="110" t="s">
        <v>1724</v>
      </c>
      <c r="AC450" s="110" t="s">
        <v>182</v>
      </c>
      <c r="AD450" s="110" t="s">
        <v>333</v>
      </c>
      <c r="AE450" s="110" t="s">
        <v>1123</v>
      </c>
      <c r="AF450" s="110" t="s">
        <v>1745</v>
      </c>
      <c r="AG450" s="110" t="s">
        <v>1766</v>
      </c>
      <c r="AI450" s="110" t="s">
        <v>246</v>
      </c>
      <c r="AJ450" s="110" t="s">
        <v>246</v>
      </c>
      <c r="AK450" s="110" t="s">
        <v>171</v>
      </c>
      <c r="AO450" s="110">
        <v>5</v>
      </c>
      <c r="AQ450" s="110" t="s">
        <v>176</v>
      </c>
      <c r="AR450" s="110">
        <v>2009</v>
      </c>
      <c r="AS450" s="110" t="s">
        <v>327</v>
      </c>
      <c r="AT450" s="110" t="s">
        <v>385</v>
      </c>
      <c r="AU450" s="110">
        <v>3</v>
      </c>
      <c r="AV450" s="110" t="s">
        <v>1255</v>
      </c>
      <c r="BE450" s="110" t="s">
        <v>182</v>
      </c>
      <c r="BF450" s="110" t="s">
        <v>412</v>
      </c>
      <c r="BK450" s="110">
        <v>4</v>
      </c>
      <c r="BL450" s="110">
        <v>5</v>
      </c>
      <c r="BM450" s="110" t="s">
        <v>197</v>
      </c>
      <c r="BS450" s="110">
        <v>60</v>
      </c>
      <c r="BT450" s="110" t="s">
        <v>2347</v>
      </c>
      <c r="BU450" s="110" t="s">
        <v>1394</v>
      </c>
      <c r="BV450" s="110" t="s">
        <v>2603</v>
      </c>
      <c r="BW450" s="110">
        <v>0.98399999999999999</v>
      </c>
      <c r="BZ450" s="110">
        <v>8.2900000000000001E-2</v>
      </c>
      <c r="CB450" s="110">
        <v>8.3612446390000006</v>
      </c>
      <c r="CC450" s="110" t="b">
        <v>0</v>
      </c>
      <c r="CD450" s="110">
        <v>0</v>
      </c>
      <c r="CE450" s="110">
        <v>0</v>
      </c>
      <c r="CF450" s="110" t="s">
        <v>246</v>
      </c>
      <c r="CH450" s="110" t="s">
        <v>2045</v>
      </c>
      <c r="CJ450" s="110" t="s">
        <v>2053</v>
      </c>
    </row>
    <row r="451" spans="1:88">
      <c r="A451" s="110" t="s">
        <v>2177</v>
      </c>
      <c r="B451" s="110">
        <v>86</v>
      </c>
      <c r="C451" s="110">
        <v>3</v>
      </c>
      <c r="D451" s="110">
        <v>1</v>
      </c>
      <c r="E451" s="110">
        <v>450</v>
      </c>
      <c r="F451" s="110">
        <v>2011</v>
      </c>
      <c r="G451" s="110" t="s">
        <v>161</v>
      </c>
      <c r="H451" s="110" t="s">
        <v>2436</v>
      </c>
      <c r="I451" s="110" t="s">
        <v>182</v>
      </c>
      <c r="J451" s="110" t="s">
        <v>246</v>
      </c>
      <c r="K451" s="110" t="s">
        <v>999</v>
      </c>
      <c r="L451" s="110" t="s">
        <v>999</v>
      </c>
      <c r="R451" s="110" t="s">
        <v>272</v>
      </c>
      <c r="S451" s="110" t="s">
        <v>443</v>
      </c>
      <c r="T451" s="110" t="s">
        <v>611</v>
      </c>
      <c r="U451" s="110" t="s">
        <v>612</v>
      </c>
      <c r="V451" s="110">
        <v>40.5</v>
      </c>
      <c r="W451" s="110">
        <v>40.5</v>
      </c>
      <c r="X451" s="110">
        <v>-8.75</v>
      </c>
      <c r="Y451" s="110" t="s">
        <v>1121</v>
      </c>
      <c r="Z451" s="110" t="s">
        <v>155</v>
      </c>
      <c r="AA451" s="110" t="s">
        <v>1788</v>
      </c>
      <c r="AB451" s="110" t="s">
        <v>1724</v>
      </c>
      <c r="AC451" s="110" t="s">
        <v>182</v>
      </c>
      <c r="AD451" s="110" t="s">
        <v>333</v>
      </c>
      <c r="AE451" s="110" t="s">
        <v>1123</v>
      </c>
      <c r="AF451" s="110" t="s">
        <v>1745</v>
      </c>
      <c r="AG451" s="110" t="s">
        <v>1766</v>
      </c>
      <c r="AI451" s="110" t="s">
        <v>246</v>
      </c>
      <c r="AJ451" s="110" t="s">
        <v>246</v>
      </c>
      <c r="AK451" s="110" t="s">
        <v>171</v>
      </c>
      <c r="AO451" s="110">
        <v>5</v>
      </c>
      <c r="AQ451" s="110" t="s">
        <v>176</v>
      </c>
      <c r="AR451" s="110">
        <v>2009</v>
      </c>
      <c r="AS451" s="110" t="s">
        <v>327</v>
      </c>
      <c r="AT451" s="110" t="s">
        <v>385</v>
      </c>
      <c r="AU451" s="110">
        <v>3</v>
      </c>
      <c r="AV451" s="110" t="s">
        <v>1255</v>
      </c>
      <c r="BE451" s="110" t="s">
        <v>182</v>
      </c>
      <c r="BF451" s="110" t="s">
        <v>412</v>
      </c>
      <c r="BK451" s="110">
        <v>4</v>
      </c>
      <c r="BL451" s="110">
        <v>5</v>
      </c>
      <c r="BM451" s="110" t="s">
        <v>197</v>
      </c>
      <c r="BS451" s="110">
        <v>60</v>
      </c>
      <c r="BT451" s="110" t="s">
        <v>2347</v>
      </c>
      <c r="BU451" s="110" t="s">
        <v>1394</v>
      </c>
      <c r="BV451" s="110" t="s">
        <v>2603</v>
      </c>
      <c r="BW451" s="110">
        <v>0.91300000000000003</v>
      </c>
      <c r="BZ451" s="110">
        <v>5.7200000000000001E-2</v>
      </c>
      <c r="CB451" s="110">
        <v>12.1179577</v>
      </c>
      <c r="CC451" s="110" t="b">
        <v>0</v>
      </c>
      <c r="CD451" s="110">
        <v>44.723333333333329</v>
      </c>
      <c r="CE451" s="110">
        <v>0</v>
      </c>
      <c r="CF451" s="110" t="s">
        <v>246</v>
      </c>
      <c r="CH451" s="110" t="s">
        <v>2045</v>
      </c>
      <c r="CJ451" s="110" t="s">
        <v>2053</v>
      </c>
    </row>
    <row r="452" spans="1:88">
      <c r="A452" s="110" t="s">
        <v>2177</v>
      </c>
      <c r="B452" s="110">
        <v>86</v>
      </c>
      <c r="C452" s="110">
        <v>3</v>
      </c>
      <c r="D452" s="110">
        <v>1</v>
      </c>
      <c r="E452" s="110">
        <v>451</v>
      </c>
      <c r="F452" s="110">
        <v>2011</v>
      </c>
      <c r="G452" s="110" t="s">
        <v>161</v>
      </c>
      <c r="H452" s="110" t="s">
        <v>2436</v>
      </c>
      <c r="I452" s="110" t="s">
        <v>182</v>
      </c>
      <c r="J452" s="110" t="s">
        <v>246</v>
      </c>
      <c r="K452" s="110" t="s">
        <v>999</v>
      </c>
      <c r="L452" s="110" t="s">
        <v>999</v>
      </c>
      <c r="R452" s="110" t="s">
        <v>272</v>
      </c>
      <c r="S452" s="110" t="s">
        <v>443</v>
      </c>
      <c r="T452" s="110" t="s">
        <v>611</v>
      </c>
      <c r="U452" s="110" t="s">
        <v>612</v>
      </c>
      <c r="V452" s="110">
        <v>40.5</v>
      </c>
      <c r="W452" s="110">
        <v>40.5</v>
      </c>
      <c r="X452" s="110">
        <v>-8.75</v>
      </c>
      <c r="Y452" s="110" t="s">
        <v>1121</v>
      </c>
      <c r="Z452" s="110" t="s">
        <v>155</v>
      </c>
      <c r="AA452" s="110" t="s">
        <v>1788</v>
      </c>
      <c r="AB452" s="110" t="s">
        <v>1724</v>
      </c>
      <c r="AC452" s="110" t="s">
        <v>182</v>
      </c>
      <c r="AD452" s="110" t="s">
        <v>333</v>
      </c>
      <c r="AE452" s="110" t="s">
        <v>1123</v>
      </c>
      <c r="AF452" s="110" t="s">
        <v>1745</v>
      </c>
      <c r="AG452" s="110" t="s">
        <v>1766</v>
      </c>
      <c r="AI452" s="110" t="s">
        <v>246</v>
      </c>
      <c r="AJ452" s="110" t="s">
        <v>246</v>
      </c>
      <c r="AK452" s="110" t="s">
        <v>171</v>
      </c>
      <c r="AO452" s="110">
        <v>5</v>
      </c>
      <c r="AQ452" s="110" t="s">
        <v>176</v>
      </c>
      <c r="AR452" s="110">
        <v>2009</v>
      </c>
      <c r="AS452" s="110" t="s">
        <v>327</v>
      </c>
      <c r="AT452" s="110" t="s">
        <v>385</v>
      </c>
      <c r="AU452" s="110">
        <v>3</v>
      </c>
      <c r="AV452" s="110" t="s">
        <v>1255</v>
      </c>
      <c r="BE452" s="110" t="s">
        <v>182</v>
      </c>
      <c r="BF452" s="110" t="s">
        <v>412</v>
      </c>
      <c r="BK452" s="110">
        <v>4</v>
      </c>
      <c r="BL452" s="110">
        <v>5</v>
      </c>
      <c r="BM452" s="110" t="s">
        <v>197</v>
      </c>
      <c r="BS452" s="110">
        <v>60</v>
      </c>
      <c r="BT452" s="110" t="s">
        <v>1385</v>
      </c>
      <c r="BU452" s="110" t="s">
        <v>3207</v>
      </c>
      <c r="BV452" s="110" t="s">
        <v>2603</v>
      </c>
      <c r="BW452" s="110">
        <v>0.81</v>
      </c>
      <c r="BZ452" s="110">
        <v>0.1128</v>
      </c>
      <c r="CB452" s="110">
        <v>39.630000000000003</v>
      </c>
      <c r="CC452" s="110" t="b">
        <v>0</v>
      </c>
      <c r="CD452" s="110">
        <v>49.51</v>
      </c>
      <c r="CE452" s="110">
        <v>49.51</v>
      </c>
      <c r="CF452" s="110" t="s">
        <v>182</v>
      </c>
      <c r="CH452" s="110" t="s">
        <v>2045</v>
      </c>
      <c r="CJ452" s="110" t="s">
        <v>2053</v>
      </c>
    </row>
    <row r="453" spans="1:88">
      <c r="A453" s="110" t="s">
        <v>2179</v>
      </c>
      <c r="B453" s="110">
        <v>87</v>
      </c>
      <c r="C453" s="110">
        <v>1</v>
      </c>
      <c r="D453" s="110">
        <v>1</v>
      </c>
      <c r="E453" s="110">
        <v>452</v>
      </c>
      <c r="F453" s="110">
        <v>2023</v>
      </c>
      <c r="G453" s="110" t="s">
        <v>187</v>
      </c>
      <c r="H453" s="110" t="s">
        <v>2441</v>
      </c>
      <c r="I453" s="110" t="s">
        <v>182</v>
      </c>
      <c r="J453" s="110" t="s">
        <v>246</v>
      </c>
      <c r="K453" s="110" t="s">
        <v>999</v>
      </c>
      <c r="L453" s="110" t="s">
        <v>999</v>
      </c>
      <c r="R453" s="110" t="s">
        <v>1976</v>
      </c>
      <c r="S453" s="110" t="s">
        <v>446</v>
      </c>
      <c r="T453" s="110" t="s">
        <v>702</v>
      </c>
      <c r="U453" s="110" t="s">
        <v>1992</v>
      </c>
      <c r="V453" s="110">
        <v>23.7</v>
      </c>
      <c r="W453" s="110">
        <v>23.7</v>
      </c>
      <c r="X453" s="110">
        <v>117.43</v>
      </c>
      <c r="Y453" s="110" t="s">
        <v>185</v>
      </c>
      <c r="Z453" s="110" t="s">
        <v>380</v>
      </c>
      <c r="AA453" s="110" t="s">
        <v>1788</v>
      </c>
      <c r="AB453" s="110" t="s">
        <v>333</v>
      </c>
      <c r="AC453" s="110" t="s">
        <v>246</v>
      </c>
      <c r="AD453" s="110" t="s">
        <v>333</v>
      </c>
      <c r="AE453" s="110" t="s">
        <v>187</v>
      </c>
      <c r="AF453" s="110" t="s">
        <v>1745</v>
      </c>
      <c r="AI453" s="110" t="s">
        <v>246</v>
      </c>
      <c r="AJ453" s="110" t="s">
        <v>246</v>
      </c>
      <c r="AK453" s="110" t="s">
        <v>2056</v>
      </c>
      <c r="AL453" s="110" t="s">
        <v>2055</v>
      </c>
      <c r="AM453" s="110">
        <v>7500</v>
      </c>
      <c r="AN453" s="110" t="s">
        <v>1903</v>
      </c>
      <c r="AO453" s="110">
        <v>1</v>
      </c>
      <c r="AQ453" s="110" t="s">
        <v>176</v>
      </c>
      <c r="AU453" s="110">
        <v>22.5</v>
      </c>
      <c r="AV453" s="110" t="s">
        <v>1255</v>
      </c>
      <c r="BA453" s="110">
        <v>18.489999999999998</v>
      </c>
      <c r="BB453" s="110">
        <v>22.14</v>
      </c>
      <c r="BC453" s="110">
        <f>AVERAGE(BA453,BB453)</f>
        <v>20.314999999999998</v>
      </c>
      <c r="BE453" s="110" t="s">
        <v>182</v>
      </c>
      <c r="BF453" s="110" t="s">
        <v>412</v>
      </c>
      <c r="BI453" s="110" t="s">
        <v>246</v>
      </c>
      <c r="BK453" s="110">
        <v>1</v>
      </c>
      <c r="BL453" s="110">
        <v>4</v>
      </c>
      <c r="BS453" s="110">
        <v>180</v>
      </c>
      <c r="BT453" s="110" t="s">
        <v>2347</v>
      </c>
      <c r="BU453" s="110" t="s">
        <v>1394</v>
      </c>
      <c r="BV453" s="110" t="s">
        <v>2603</v>
      </c>
      <c r="BW453" s="110">
        <v>0.96</v>
      </c>
      <c r="BZ453" s="110">
        <v>3.61E-2</v>
      </c>
      <c r="CB453" s="110">
        <v>19.200752919999999</v>
      </c>
      <c r="CC453" s="110" t="b">
        <v>0</v>
      </c>
      <c r="CD453" s="110">
        <v>23.200000000000003</v>
      </c>
      <c r="CE453" s="110">
        <v>0</v>
      </c>
      <c r="CF453" s="110" t="s">
        <v>246</v>
      </c>
      <c r="CH453" s="110" t="s">
        <v>187</v>
      </c>
    </row>
    <row r="454" spans="1:88">
      <c r="A454" s="110" t="s">
        <v>2179</v>
      </c>
      <c r="B454" s="110">
        <v>87</v>
      </c>
      <c r="C454" s="110">
        <v>1</v>
      </c>
      <c r="D454" s="110">
        <v>2</v>
      </c>
      <c r="E454" s="110">
        <v>453</v>
      </c>
      <c r="F454" s="110">
        <v>2023</v>
      </c>
      <c r="G454" s="110" t="s">
        <v>161</v>
      </c>
      <c r="H454" s="110" t="s">
        <v>2441</v>
      </c>
      <c r="I454" s="110" t="s">
        <v>182</v>
      </c>
      <c r="J454" s="110" t="s">
        <v>246</v>
      </c>
      <c r="K454" s="110" t="s">
        <v>999</v>
      </c>
      <c r="L454" s="110" t="s">
        <v>999</v>
      </c>
      <c r="R454" s="110" t="s">
        <v>1976</v>
      </c>
      <c r="S454" s="110" t="s">
        <v>446</v>
      </c>
      <c r="T454" s="110" t="s">
        <v>702</v>
      </c>
      <c r="U454" s="110" t="s">
        <v>1992</v>
      </c>
      <c r="V454" s="110">
        <v>23.45</v>
      </c>
      <c r="W454" s="110">
        <v>23.45</v>
      </c>
      <c r="X454" s="110">
        <v>117.06</v>
      </c>
      <c r="Y454" s="110" t="s">
        <v>185</v>
      </c>
      <c r="Z454" s="110" t="s">
        <v>380</v>
      </c>
      <c r="AA454" s="110" t="s">
        <v>1788</v>
      </c>
      <c r="AB454" s="110" t="s">
        <v>2054</v>
      </c>
      <c r="AC454" s="110" t="s">
        <v>182</v>
      </c>
      <c r="AD454" s="110" t="s">
        <v>333</v>
      </c>
      <c r="AE454" s="110" t="s">
        <v>1123</v>
      </c>
      <c r="AF454" s="110" t="s">
        <v>1766</v>
      </c>
      <c r="AG454" s="110">
        <v>1</v>
      </c>
      <c r="AI454" s="110" t="s">
        <v>246</v>
      </c>
      <c r="AJ454" s="110" t="s">
        <v>246</v>
      </c>
      <c r="AK454" s="110" t="s">
        <v>2061</v>
      </c>
      <c r="AO454" s="110">
        <v>1</v>
      </c>
      <c r="AQ454" s="110" t="s">
        <v>176</v>
      </c>
      <c r="AU454" s="110">
        <v>50</v>
      </c>
      <c r="AV454" s="110" t="s">
        <v>1256</v>
      </c>
      <c r="BA454" s="110">
        <v>18.489999999999998</v>
      </c>
      <c r="BB454" s="110">
        <v>22.14</v>
      </c>
      <c r="BC454" s="110">
        <f>AVERAGE(BA454,BB454)</f>
        <v>20.314999999999998</v>
      </c>
      <c r="BE454" s="110" t="s">
        <v>182</v>
      </c>
      <c r="BF454" s="110" t="s">
        <v>412</v>
      </c>
      <c r="BK454" s="110">
        <v>15</v>
      </c>
      <c r="BL454" s="110">
        <v>4</v>
      </c>
      <c r="BS454" s="110">
        <v>50</v>
      </c>
      <c r="BT454" s="110" t="s">
        <v>1396</v>
      </c>
      <c r="BU454" s="110" t="s">
        <v>1396</v>
      </c>
      <c r="BV454" s="110" t="s">
        <v>1396</v>
      </c>
      <c r="BW454" s="110">
        <v>0.98</v>
      </c>
      <c r="CA454" s="110">
        <v>0.46210000000000001</v>
      </c>
      <c r="CB454" s="110">
        <v>108.2016879</v>
      </c>
      <c r="CC454" s="110" t="b">
        <v>0</v>
      </c>
      <c r="CD454" s="110">
        <v>20.574886535552196</v>
      </c>
      <c r="CE454" s="110">
        <v>0</v>
      </c>
      <c r="CF454" s="110" t="s">
        <v>246</v>
      </c>
      <c r="CH454" s="110" t="s">
        <v>161</v>
      </c>
    </row>
    <row r="455" spans="1:88">
      <c r="A455" s="110" t="s">
        <v>2179</v>
      </c>
      <c r="B455" s="110">
        <v>87</v>
      </c>
      <c r="C455" s="110">
        <v>1</v>
      </c>
      <c r="D455" s="110">
        <v>2</v>
      </c>
      <c r="E455" s="110">
        <v>454</v>
      </c>
      <c r="F455" s="110">
        <v>2023</v>
      </c>
      <c r="G455" s="110" t="s">
        <v>161</v>
      </c>
      <c r="H455" s="110" t="s">
        <v>2441</v>
      </c>
      <c r="I455" s="110" t="s">
        <v>182</v>
      </c>
      <c r="J455" s="110" t="s">
        <v>246</v>
      </c>
      <c r="K455" s="110" t="s">
        <v>999</v>
      </c>
      <c r="L455" s="110" t="s">
        <v>999</v>
      </c>
      <c r="R455" s="110" t="s">
        <v>1976</v>
      </c>
      <c r="S455" s="110" t="s">
        <v>446</v>
      </c>
      <c r="T455" s="110" t="s">
        <v>702</v>
      </c>
      <c r="U455" s="110" t="s">
        <v>1992</v>
      </c>
      <c r="V455" s="110">
        <v>23.45</v>
      </c>
      <c r="W455" s="110">
        <v>23.45</v>
      </c>
      <c r="X455" s="110">
        <v>117.06</v>
      </c>
      <c r="Y455" s="110" t="s">
        <v>185</v>
      </c>
      <c r="Z455" s="110" t="s">
        <v>380</v>
      </c>
      <c r="AA455" s="110" t="s">
        <v>1788</v>
      </c>
      <c r="AB455" s="110" t="s">
        <v>333</v>
      </c>
      <c r="AC455" s="110" t="s">
        <v>246</v>
      </c>
      <c r="AD455" s="110" t="s">
        <v>333</v>
      </c>
      <c r="AE455" s="110" t="s">
        <v>1123</v>
      </c>
      <c r="AF455" s="110" t="s">
        <v>1766</v>
      </c>
      <c r="AG455" s="110">
        <v>1</v>
      </c>
      <c r="AI455" s="110" t="s">
        <v>246</v>
      </c>
      <c r="AJ455" s="110" t="s">
        <v>246</v>
      </c>
      <c r="AK455" s="110" t="s">
        <v>2061</v>
      </c>
      <c r="AO455" s="110">
        <v>1</v>
      </c>
      <c r="AQ455" s="110" t="s">
        <v>176</v>
      </c>
      <c r="AU455" s="110">
        <v>50</v>
      </c>
      <c r="AV455" s="110" t="s">
        <v>1256</v>
      </c>
      <c r="BA455" s="110">
        <v>18.489999999999998</v>
      </c>
      <c r="BB455" s="110">
        <v>22.14</v>
      </c>
      <c r="BC455" s="110">
        <f>AVERAGE(BA455,BB455)</f>
        <v>20.314999999999998</v>
      </c>
      <c r="BE455" s="110" t="s">
        <v>182</v>
      </c>
      <c r="BF455" s="110" t="s">
        <v>412</v>
      </c>
      <c r="BK455" s="110">
        <v>15</v>
      </c>
      <c r="BL455" s="110">
        <v>4</v>
      </c>
      <c r="BS455" s="110">
        <v>50</v>
      </c>
      <c r="BT455" s="110" t="s">
        <v>1396</v>
      </c>
      <c r="BU455" s="110" t="s">
        <v>1396</v>
      </c>
      <c r="BV455" s="110" t="s">
        <v>1396</v>
      </c>
      <c r="BW455" s="110">
        <v>0.93</v>
      </c>
      <c r="CA455" s="110">
        <v>1.6712</v>
      </c>
      <c r="CB455" s="110">
        <v>29.918621349999999</v>
      </c>
      <c r="CC455" s="110" t="b">
        <v>0</v>
      </c>
      <c r="CD455" s="110">
        <v>14.868421052631579</v>
      </c>
      <c r="CE455" s="110">
        <v>0</v>
      </c>
      <c r="CF455" s="110" t="s">
        <v>246</v>
      </c>
      <c r="CH455" s="110" t="s">
        <v>2062</v>
      </c>
    </row>
    <row r="456" spans="1:88">
      <c r="A456" s="110" t="s">
        <v>3228</v>
      </c>
      <c r="B456" s="110">
        <v>88</v>
      </c>
      <c r="C456" s="110">
        <v>1</v>
      </c>
      <c r="D456" s="110">
        <v>1</v>
      </c>
      <c r="E456" s="110">
        <v>455</v>
      </c>
      <c r="F456" s="110">
        <v>2018</v>
      </c>
      <c r="G456" s="110" t="s">
        <v>161</v>
      </c>
      <c r="H456" s="110" t="s">
        <v>1219</v>
      </c>
      <c r="I456" s="110" t="s">
        <v>182</v>
      </c>
      <c r="J456" s="110" t="s">
        <v>246</v>
      </c>
      <c r="K456" s="110" t="s">
        <v>3061</v>
      </c>
      <c r="R456" s="110" t="s">
        <v>1976</v>
      </c>
      <c r="S456" s="110" t="s">
        <v>444</v>
      </c>
      <c r="T456" s="110" t="s">
        <v>3063</v>
      </c>
      <c r="U456" s="110" t="s">
        <v>552</v>
      </c>
      <c r="V456" s="110">
        <v>32.017649800000001</v>
      </c>
      <c r="W456" s="110">
        <v>-32.017649800000001</v>
      </c>
      <c r="X456" s="110">
        <v>-52.112569000000001</v>
      </c>
      <c r="Y456" s="110" t="s">
        <v>1322</v>
      </c>
      <c r="Z456" s="110" t="s">
        <v>2185</v>
      </c>
      <c r="AA456" s="110" t="s">
        <v>1788</v>
      </c>
      <c r="AB456" s="110" t="s">
        <v>1999</v>
      </c>
      <c r="AC456" s="110" t="s">
        <v>182</v>
      </c>
      <c r="AD456" s="110" t="s">
        <v>1725</v>
      </c>
      <c r="AE456" s="110" t="s">
        <v>1123</v>
      </c>
      <c r="AF456" s="110" t="s">
        <v>1745</v>
      </c>
      <c r="AG456" s="110">
        <v>0.6</v>
      </c>
      <c r="AI456" s="110" t="s">
        <v>246</v>
      </c>
      <c r="AJ456" s="110" t="s">
        <v>246</v>
      </c>
      <c r="AO456" s="110">
        <v>1</v>
      </c>
      <c r="AR456" s="110">
        <v>2015</v>
      </c>
      <c r="AS456" s="110" t="s">
        <v>319</v>
      </c>
      <c r="AT456" s="110" t="s">
        <v>254</v>
      </c>
      <c r="AU456" s="110">
        <v>50</v>
      </c>
      <c r="AV456" s="110" t="s">
        <v>1256</v>
      </c>
      <c r="BA456" s="110">
        <v>24.5</v>
      </c>
      <c r="BB456" s="110">
        <v>26.9</v>
      </c>
      <c r="BC456" s="110">
        <f>AVERAGE(BA456:BB456)</f>
        <v>25.7</v>
      </c>
      <c r="BD456" s="110">
        <f>BB456-BA456</f>
        <v>2.3999999999999986</v>
      </c>
      <c r="BF456" s="110" t="s">
        <v>412</v>
      </c>
      <c r="BK456" s="110">
        <v>3</v>
      </c>
      <c r="BL456" s="110">
        <v>3</v>
      </c>
      <c r="BN456" s="110">
        <v>0.23200000000000001</v>
      </c>
      <c r="BS456" s="110">
        <v>21</v>
      </c>
      <c r="BT456" s="110" t="s">
        <v>1396</v>
      </c>
      <c r="BU456" s="110" t="s">
        <v>1396</v>
      </c>
      <c r="BV456" s="110" t="s">
        <v>1396</v>
      </c>
      <c r="BW456" s="110">
        <v>0.86360000000000003</v>
      </c>
      <c r="CA456" s="110">
        <v>2.6354000000000002</v>
      </c>
      <c r="CB456" s="110">
        <f>50/CA456</f>
        <v>18.972451999696439</v>
      </c>
      <c r="CC456" s="110" t="b">
        <v>0</v>
      </c>
      <c r="CD456" s="110">
        <v>39.067</v>
      </c>
      <c r="CE456" s="110" t="s">
        <v>2256</v>
      </c>
      <c r="CF456" s="110" t="s">
        <v>2256</v>
      </c>
    </row>
    <row r="457" spans="1:88">
      <c r="A457" s="110" t="s">
        <v>1349</v>
      </c>
      <c r="B457" s="110">
        <v>89</v>
      </c>
      <c r="C457" s="110">
        <v>1</v>
      </c>
      <c r="D457" s="110">
        <v>1</v>
      </c>
      <c r="E457" s="110">
        <v>456</v>
      </c>
      <c r="F457" s="110">
        <v>2017</v>
      </c>
      <c r="G457" s="110" t="s">
        <v>187</v>
      </c>
      <c r="H457" s="110" t="s">
        <v>1219</v>
      </c>
      <c r="I457" s="110" t="s">
        <v>246</v>
      </c>
      <c r="J457" s="110" t="s">
        <v>246</v>
      </c>
      <c r="K457" s="110" t="s">
        <v>3061</v>
      </c>
      <c r="R457" s="110" t="s">
        <v>1976</v>
      </c>
      <c r="S457" s="110" t="s">
        <v>446</v>
      </c>
      <c r="T457" s="110" t="s">
        <v>702</v>
      </c>
      <c r="U457" s="110" t="s">
        <v>856</v>
      </c>
      <c r="V457" s="110">
        <v>56.884753289999999</v>
      </c>
      <c r="W457" s="110">
        <v>56.884753289999999</v>
      </c>
      <c r="X457" s="110">
        <v>8.8504984899999997</v>
      </c>
      <c r="Y457" s="110" t="s">
        <v>973</v>
      </c>
      <c r="Z457" s="110" t="s">
        <v>155</v>
      </c>
      <c r="AA457" s="110" t="s">
        <v>1788</v>
      </c>
      <c r="AB457" s="110" t="s">
        <v>333</v>
      </c>
      <c r="AC457" s="110" t="s">
        <v>246</v>
      </c>
      <c r="AD457" s="110" t="s">
        <v>333</v>
      </c>
      <c r="AE457" s="110" t="s">
        <v>187</v>
      </c>
      <c r="AF457" s="110" t="s">
        <v>1745</v>
      </c>
      <c r="AG457" s="110" t="s">
        <v>190</v>
      </c>
      <c r="AI457" s="110" t="s">
        <v>182</v>
      </c>
      <c r="AJ457" s="110" t="s">
        <v>1761</v>
      </c>
      <c r="AK457" s="110" t="s">
        <v>1344</v>
      </c>
      <c r="AL457" s="110" t="s">
        <v>1803</v>
      </c>
      <c r="AM457" s="110">
        <v>20000</v>
      </c>
      <c r="AN457" s="110" t="s">
        <v>412</v>
      </c>
      <c r="AO457" s="110">
        <v>1</v>
      </c>
      <c r="AP457" s="110" t="s">
        <v>190</v>
      </c>
      <c r="AQ457" s="110" t="s">
        <v>176</v>
      </c>
      <c r="AR457" s="110">
        <v>2013</v>
      </c>
      <c r="AS457" s="110" t="s">
        <v>880</v>
      </c>
      <c r="AT457" s="110" t="s">
        <v>254</v>
      </c>
      <c r="AU457" s="110">
        <v>1.5</v>
      </c>
      <c r="AV457" s="110" t="s">
        <v>1256</v>
      </c>
      <c r="BA457" s="110">
        <v>5</v>
      </c>
      <c r="BB457" s="110">
        <v>5</v>
      </c>
      <c r="BC457" s="110">
        <v>5</v>
      </c>
      <c r="BE457" s="110" t="s">
        <v>246</v>
      </c>
      <c r="BF457" s="110" t="s">
        <v>188</v>
      </c>
      <c r="BH457" s="110" t="s">
        <v>174</v>
      </c>
      <c r="BI457" s="110" t="s">
        <v>182</v>
      </c>
      <c r="BJ457" s="110" t="s">
        <v>1351</v>
      </c>
      <c r="BK457" s="110">
        <v>3</v>
      </c>
      <c r="BL457" s="110">
        <v>7</v>
      </c>
      <c r="BM457" s="110" t="s">
        <v>1394</v>
      </c>
      <c r="BN457" s="110">
        <v>1.2999999999999999E-2</v>
      </c>
      <c r="BO457" s="110" t="s">
        <v>174</v>
      </c>
      <c r="BP457" s="110">
        <v>52.9</v>
      </c>
      <c r="BQ457" s="110" t="s">
        <v>174</v>
      </c>
      <c r="BR457" s="110" t="s">
        <v>174</v>
      </c>
      <c r="BS457" s="110">
        <v>120</v>
      </c>
      <c r="BT457" s="110" t="s">
        <v>1385</v>
      </c>
      <c r="BU457" s="110" t="s">
        <v>3207</v>
      </c>
      <c r="BV457" s="110" t="s">
        <v>2603</v>
      </c>
      <c r="BW457" s="110">
        <v>0.98</v>
      </c>
      <c r="BZ457" s="110">
        <v>1.2800000000000001E-2</v>
      </c>
      <c r="CB457" s="110">
        <v>45.29</v>
      </c>
      <c r="CC457" s="110" t="b">
        <v>0</v>
      </c>
      <c r="CD457" s="110">
        <v>0</v>
      </c>
      <c r="CE457" s="110">
        <v>0</v>
      </c>
      <c r="CF457" s="110" t="s">
        <v>246</v>
      </c>
      <c r="CG457" s="110" t="s">
        <v>174</v>
      </c>
      <c r="CH457" s="110" t="s">
        <v>1358</v>
      </c>
      <c r="CI457" s="110" t="s">
        <v>1352</v>
      </c>
      <c r="CJ457" s="110" t="s">
        <v>1371</v>
      </c>
    </row>
    <row r="458" spans="1:88">
      <c r="A458" s="110" t="s">
        <v>1349</v>
      </c>
      <c r="B458" s="110">
        <v>89</v>
      </c>
      <c r="C458" s="110">
        <v>1</v>
      </c>
      <c r="D458" s="110">
        <v>1</v>
      </c>
      <c r="E458" s="110">
        <v>457</v>
      </c>
      <c r="F458" s="110">
        <v>2017</v>
      </c>
      <c r="G458" s="110" t="s">
        <v>187</v>
      </c>
      <c r="H458" s="110" t="s">
        <v>1219</v>
      </c>
      <c r="I458" s="110" t="s">
        <v>246</v>
      </c>
      <c r="J458" s="110" t="s">
        <v>246</v>
      </c>
      <c r="K458" s="110" t="s">
        <v>3061</v>
      </c>
      <c r="R458" s="110" t="s">
        <v>1976</v>
      </c>
      <c r="S458" s="110" t="s">
        <v>446</v>
      </c>
      <c r="T458" s="110" t="s">
        <v>702</v>
      </c>
      <c r="U458" s="110" t="s">
        <v>856</v>
      </c>
      <c r="V458" s="110">
        <v>56.884753289999999</v>
      </c>
      <c r="W458" s="110">
        <v>56.884753289999999</v>
      </c>
      <c r="X458" s="110">
        <v>8.8504984899999997</v>
      </c>
      <c r="Y458" s="110" t="s">
        <v>973</v>
      </c>
      <c r="Z458" s="110" t="s">
        <v>155</v>
      </c>
      <c r="AA458" s="110" t="s">
        <v>1788</v>
      </c>
      <c r="AB458" s="110" t="s">
        <v>333</v>
      </c>
      <c r="AC458" s="110" t="s">
        <v>246</v>
      </c>
      <c r="AD458" s="110" t="s">
        <v>333</v>
      </c>
      <c r="AE458" s="110" t="s">
        <v>187</v>
      </c>
      <c r="AF458" s="110" t="s">
        <v>1745</v>
      </c>
      <c r="AG458" s="110" t="s">
        <v>190</v>
      </c>
      <c r="AI458" s="110" t="s">
        <v>182</v>
      </c>
      <c r="AJ458" s="110" t="s">
        <v>1761</v>
      </c>
      <c r="AK458" s="110" t="s">
        <v>1344</v>
      </c>
      <c r="AL458" s="110" t="s">
        <v>1803</v>
      </c>
      <c r="AM458" s="110">
        <v>20000</v>
      </c>
      <c r="AN458" s="110" t="s">
        <v>412</v>
      </c>
      <c r="AO458" s="110">
        <v>1</v>
      </c>
      <c r="AP458" s="110" t="s">
        <v>190</v>
      </c>
      <c r="AQ458" s="110" t="s">
        <v>176</v>
      </c>
      <c r="AR458" s="110">
        <v>2013</v>
      </c>
      <c r="AS458" s="110" t="s">
        <v>880</v>
      </c>
      <c r="AT458" s="110" t="s">
        <v>254</v>
      </c>
      <c r="AU458" s="110">
        <v>1.5</v>
      </c>
      <c r="AV458" s="110" t="s">
        <v>1256</v>
      </c>
      <c r="BA458" s="110">
        <v>15</v>
      </c>
      <c r="BB458" s="110">
        <v>15</v>
      </c>
      <c r="BC458" s="110">
        <v>15</v>
      </c>
      <c r="BE458" s="110" t="s">
        <v>246</v>
      </c>
      <c r="BF458" s="110" t="s">
        <v>188</v>
      </c>
      <c r="BH458" s="110" t="s">
        <v>174</v>
      </c>
      <c r="BI458" s="110" t="s">
        <v>182</v>
      </c>
      <c r="BJ458" s="110" t="s">
        <v>1351</v>
      </c>
      <c r="BK458" s="110">
        <v>3</v>
      </c>
      <c r="BL458" s="110">
        <v>9</v>
      </c>
      <c r="BM458" s="110" t="s">
        <v>1394</v>
      </c>
      <c r="BN458" s="110">
        <v>3.2000000000000001E-2</v>
      </c>
      <c r="BO458" s="110" t="s">
        <v>174</v>
      </c>
      <c r="BP458" s="110">
        <v>21.5</v>
      </c>
      <c r="BQ458" s="110" t="s">
        <v>174</v>
      </c>
      <c r="BR458" s="110" t="s">
        <v>174</v>
      </c>
      <c r="BS458" s="110">
        <v>120</v>
      </c>
      <c r="BT458" s="110" t="s">
        <v>1385</v>
      </c>
      <c r="BU458" s="110" t="s">
        <v>3207</v>
      </c>
      <c r="BV458" s="110" t="s">
        <v>2603</v>
      </c>
      <c r="BW458" s="110">
        <v>0.93</v>
      </c>
      <c r="BZ458" s="110">
        <v>3.6299999999999999E-2</v>
      </c>
      <c r="CB458" s="110">
        <v>21.05</v>
      </c>
      <c r="CC458" s="110" t="b">
        <v>0</v>
      </c>
      <c r="CD458" s="110">
        <v>0</v>
      </c>
      <c r="CE458" s="110">
        <v>0</v>
      </c>
      <c r="CF458" s="110" t="s">
        <v>246</v>
      </c>
      <c r="CG458" s="110" t="s">
        <v>174</v>
      </c>
      <c r="CH458" s="110" t="s">
        <v>1359</v>
      </c>
      <c r="CI458" s="110" t="s">
        <v>1352</v>
      </c>
      <c r="CJ458" s="110" t="s">
        <v>1372</v>
      </c>
    </row>
    <row r="459" spans="1:88">
      <c r="A459" s="110" t="s">
        <v>1349</v>
      </c>
      <c r="B459" s="110">
        <v>89</v>
      </c>
      <c r="C459" s="110">
        <v>1</v>
      </c>
      <c r="D459" s="110">
        <v>1</v>
      </c>
      <c r="E459" s="110">
        <v>458</v>
      </c>
      <c r="F459" s="110">
        <v>2017</v>
      </c>
      <c r="G459" s="110" t="s">
        <v>187</v>
      </c>
      <c r="H459" s="110" t="s">
        <v>1219</v>
      </c>
      <c r="I459" s="110" t="s">
        <v>246</v>
      </c>
      <c r="J459" s="110" t="s">
        <v>246</v>
      </c>
      <c r="K459" s="110" t="s">
        <v>3061</v>
      </c>
      <c r="R459" s="110" t="s">
        <v>1976</v>
      </c>
      <c r="S459" s="110" t="s">
        <v>446</v>
      </c>
      <c r="T459" s="110" t="s">
        <v>702</v>
      </c>
      <c r="U459" s="110" t="s">
        <v>856</v>
      </c>
      <c r="V459" s="110">
        <v>56.884753289999999</v>
      </c>
      <c r="W459" s="110">
        <v>56.884753289999999</v>
      </c>
      <c r="X459" s="110">
        <v>8.8504984899999997</v>
      </c>
      <c r="Y459" s="110" t="s">
        <v>973</v>
      </c>
      <c r="Z459" s="110" t="s">
        <v>155</v>
      </c>
      <c r="AA459" s="110" t="s">
        <v>1788</v>
      </c>
      <c r="AB459" s="110" t="s">
        <v>333</v>
      </c>
      <c r="AC459" s="110" t="s">
        <v>246</v>
      </c>
      <c r="AD459" s="110" t="s">
        <v>333</v>
      </c>
      <c r="AE459" s="110" t="s">
        <v>187</v>
      </c>
      <c r="AF459" s="110" t="s">
        <v>1745</v>
      </c>
      <c r="AG459" s="110" t="s">
        <v>190</v>
      </c>
      <c r="AI459" s="110" t="s">
        <v>182</v>
      </c>
      <c r="AJ459" s="110" t="s">
        <v>1761</v>
      </c>
      <c r="AK459" s="110" t="s">
        <v>1344</v>
      </c>
      <c r="AL459" s="110" t="s">
        <v>1803</v>
      </c>
      <c r="AM459" s="110">
        <v>20000</v>
      </c>
      <c r="AN459" s="110" t="s">
        <v>412</v>
      </c>
      <c r="AO459" s="110">
        <v>1</v>
      </c>
      <c r="AP459" s="110" t="s">
        <v>190</v>
      </c>
      <c r="AQ459" s="110" t="s">
        <v>176</v>
      </c>
      <c r="AR459" s="110">
        <v>2013</v>
      </c>
      <c r="AS459" s="110" t="s">
        <v>880</v>
      </c>
      <c r="AT459" s="110" t="s">
        <v>254</v>
      </c>
      <c r="AU459" s="110">
        <v>1.5</v>
      </c>
      <c r="AV459" s="110" t="s">
        <v>1256</v>
      </c>
      <c r="BA459" s="110">
        <v>25</v>
      </c>
      <c r="BB459" s="110">
        <v>25</v>
      </c>
      <c r="BC459" s="110">
        <v>25</v>
      </c>
      <c r="BE459" s="110" t="s">
        <v>246</v>
      </c>
      <c r="BF459" s="110" t="s">
        <v>188</v>
      </c>
      <c r="BH459" s="110" t="s">
        <v>174</v>
      </c>
      <c r="BI459" s="110" t="s">
        <v>182</v>
      </c>
      <c r="BJ459" s="110" t="s">
        <v>1351</v>
      </c>
      <c r="BK459" s="110">
        <v>3</v>
      </c>
      <c r="BL459" s="110">
        <v>9</v>
      </c>
      <c r="BM459" s="110" t="s">
        <v>1394</v>
      </c>
      <c r="BN459" s="110">
        <v>6.5000000000000002E-2</v>
      </c>
      <c r="BO459" s="110" t="s">
        <v>174</v>
      </c>
      <c r="BP459" s="110">
        <v>10.7</v>
      </c>
      <c r="BQ459" s="110" t="s">
        <v>174</v>
      </c>
      <c r="BR459" s="110" t="s">
        <v>174</v>
      </c>
      <c r="BS459" s="110">
        <v>90</v>
      </c>
      <c r="BT459" s="110" t="s">
        <v>1385</v>
      </c>
      <c r="BU459" s="110" t="s">
        <v>3207</v>
      </c>
      <c r="BV459" s="110" t="s">
        <v>2603</v>
      </c>
      <c r="BW459" s="110">
        <v>0.98</v>
      </c>
      <c r="BZ459" s="110">
        <v>8.4000000000000005E-2</v>
      </c>
      <c r="CB459" s="110">
        <v>8.23</v>
      </c>
      <c r="CC459" s="110" t="b">
        <v>0</v>
      </c>
      <c r="CD459" s="110">
        <v>1.5</v>
      </c>
      <c r="CE459" s="110">
        <v>1.5</v>
      </c>
      <c r="CF459" s="110" t="s">
        <v>182</v>
      </c>
      <c r="CG459" s="110" t="s">
        <v>174</v>
      </c>
      <c r="CH459" s="110" t="s">
        <v>1360</v>
      </c>
      <c r="CI459" s="110" t="s">
        <v>1352</v>
      </c>
      <c r="CJ459" s="110" t="s">
        <v>1373</v>
      </c>
    </row>
    <row r="460" spans="1:88">
      <c r="A460" s="110" t="s">
        <v>3227</v>
      </c>
      <c r="B460" s="110">
        <v>90</v>
      </c>
      <c r="C460" s="110">
        <v>1</v>
      </c>
      <c r="D460" s="110">
        <v>1</v>
      </c>
      <c r="E460" s="110">
        <v>459</v>
      </c>
      <c r="F460" s="110">
        <v>2021</v>
      </c>
      <c r="G460" s="110" t="s">
        <v>187</v>
      </c>
      <c r="H460" s="110" t="s">
        <v>1219</v>
      </c>
      <c r="I460" s="110" t="s">
        <v>182</v>
      </c>
      <c r="J460" s="110" t="s">
        <v>246</v>
      </c>
      <c r="K460" s="110" t="s">
        <v>186</v>
      </c>
      <c r="L460" s="110" t="s">
        <v>186</v>
      </c>
      <c r="M460" s="110" t="s">
        <v>3173</v>
      </c>
      <c r="N460" s="110" t="s">
        <v>3167</v>
      </c>
      <c r="O460" s="110">
        <v>2</v>
      </c>
      <c r="Q460" s="110">
        <v>0.2</v>
      </c>
      <c r="R460" s="110" t="s">
        <v>152</v>
      </c>
      <c r="S460" s="110" t="s">
        <v>443</v>
      </c>
      <c r="T460" s="110" t="s">
        <v>437</v>
      </c>
      <c r="U460" s="110" t="s">
        <v>438</v>
      </c>
      <c r="V460" s="110">
        <v>42.783332999999999</v>
      </c>
      <c r="W460" s="110">
        <v>-42.783332999999999</v>
      </c>
      <c r="X460" s="110">
        <v>-64.95</v>
      </c>
      <c r="Y460" s="110" t="s">
        <v>1867</v>
      </c>
      <c r="Z460" s="110" t="s">
        <v>797</v>
      </c>
      <c r="AA460" s="110" t="s">
        <v>1788</v>
      </c>
      <c r="AB460" s="110" t="s">
        <v>3007</v>
      </c>
      <c r="AC460" s="110" t="s">
        <v>246</v>
      </c>
      <c r="AD460" s="110" t="s">
        <v>333</v>
      </c>
      <c r="AE460" s="110" t="s">
        <v>187</v>
      </c>
      <c r="AF460" s="110" t="s">
        <v>190</v>
      </c>
      <c r="AI460" s="110" t="s">
        <v>246</v>
      </c>
      <c r="AJ460" s="110" t="s">
        <v>246</v>
      </c>
      <c r="AK460" s="110" t="s">
        <v>3008</v>
      </c>
      <c r="AL460" s="110" t="s">
        <v>2724</v>
      </c>
      <c r="AM460" s="110">
        <v>300</v>
      </c>
      <c r="AN460" s="110" t="s">
        <v>412</v>
      </c>
      <c r="AQ460" s="110" t="s">
        <v>176</v>
      </c>
      <c r="AR460" s="110">
        <v>2019</v>
      </c>
      <c r="AS460" s="110" t="s">
        <v>253</v>
      </c>
      <c r="AT460" s="110" t="s">
        <v>298</v>
      </c>
      <c r="BC460" s="110">
        <v>13.5</v>
      </c>
      <c r="BE460" s="110" t="s">
        <v>246</v>
      </c>
      <c r="BF460" s="110" t="s">
        <v>188</v>
      </c>
      <c r="BK460" s="110">
        <v>3</v>
      </c>
      <c r="BL460" s="110">
        <v>3</v>
      </c>
      <c r="BS460" s="110">
        <v>5</v>
      </c>
      <c r="BT460" s="110" t="s">
        <v>1387</v>
      </c>
      <c r="BU460" s="110" t="s">
        <v>2606</v>
      </c>
      <c r="BV460" s="110" t="s">
        <v>1387</v>
      </c>
      <c r="CB460" s="110" t="s">
        <v>190</v>
      </c>
      <c r="CC460" s="110" t="b">
        <v>0</v>
      </c>
      <c r="CD460" s="110">
        <v>97.772999999999996</v>
      </c>
      <c r="CE460" s="110" t="s">
        <v>2256</v>
      </c>
      <c r="CF460" s="110" t="s">
        <v>2256</v>
      </c>
      <c r="CH460" s="110" t="s">
        <v>1167</v>
      </c>
    </row>
    <row r="461" spans="1:88">
      <c r="A461" s="110" t="s">
        <v>3227</v>
      </c>
      <c r="B461" s="110">
        <v>90</v>
      </c>
      <c r="C461" s="110">
        <v>1</v>
      </c>
      <c r="D461" s="110">
        <v>1</v>
      </c>
      <c r="E461" s="110">
        <v>460</v>
      </c>
      <c r="F461" s="110">
        <v>2021</v>
      </c>
      <c r="G461" s="110" t="s">
        <v>187</v>
      </c>
      <c r="H461" s="110" t="s">
        <v>1219</v>
      </c>
      <c r="I461" s="110" t="s">
        <v>182</v>
      </c>
      <c r="J461" s="110" t="s">
        <v>246</v>
      </c>
      <c r="K461" s="110" t="s">
        <v>186</v>
      </c>
      <c r="L461" s="110" t="s">
        <v>186</v>
      </c>
      <c r="M461" s="110" t="s">
        <v>3173</v>
      </c>
      <c r="N461" s="110" t="s">
        <v>3167</v>
      </c>
      <c r="O461" s="110">
        <v>2</v>
      </c>
      <c r="Q461" s="110">
        <v>0.2</v>
      </c>
      <c r="R461" s="110" t="s">
        <v>152</v>
      </c>
      <c r="S461" s="110" t="s">
        <v>443</v>
      </c>
      <c r="T461" s="110" t="s">
        <v>437</v>
      </c>
      <c r="U461" s="110" t="s">
        <v>438</v>
      </c>
      <c r="V461" s="110">
        <v>42.783332999999999</v>
      </c>
      <c r="W461" s="110">
        <v>-42.783332999999999</v>
      </c>
      <c r="X461" s="110">
        <v>-64.95</v>
      </c>
      <c r="Y461" s="110" t="s">
        <v>1867</v>
      </c>
      <c r="Z461" s="110" t="s">
        <v>797</v>
      </c>
      <c r="AA461" s="110" t="s">
        <v>1788</v>
      </c>
      <c r="AB461" s="110" t="s">
        <v>3007</v>
      </c>
      <c r="AC461" s="110" t="s">
        <v>246</v>
      </c>
      <c r="AD461" s="110" t="s">
        <v>333</v>
      </c>
      <c r="AE461" s="110" t="s">
        <v>187</v>
      </c>
      <c r="AF461" s="110" t="s">
        <v>190</v>
      </c>
      <c r="AI461" s="110" t="s">
        <v>246</v>
      </c>
      <c r="AJ461" s="110" t="s">
        <v>246</v>
      </c>
      <c r="AK461" s="110" t="s">
        <v>3008</v>
      </c>
      <c r="AL461" s="110" t="s">
        <v>3010</v>
      </c>
      <c r="AM461" s="110">
        <v>300</v>
      </c>
      <c r="AN461" s="110" t="s">
        <v>412</v>
      </c>
      <c r="AQ461" s="110" t="s">
        <v>176</v>
      </c>
      <c r="AR461" s="110">
        <v>2019</v>
      </c>
      <c r="AS461" s="110" t="s">
        <v>253</v>
      </c>
      <c r="AT461" s="110" t="s">
        <v>298</v>
      </c>
      <c r="BC461" s="110">
        <v>13.5</v>
      </c>
      <c r="BE461" s="110" t="s">
        <v>246</v>
      </c>
      <c r="BF461" s="110" t="s">
        <v>188</v>
      </c>
      <c r="BK461" s="110">
        <v>3</v>
      </c>
      <c r="BL461" s="110">
        <v>3</v>
      </c>
      <c r="BS461" s="110">
        <v>5</v>
      </c>
      <c r="BT461" s="110" t="s">
        <v>1387</v>
      </c>
      <c r="BU461" s="110" t="s">
        <v>2606</v>
      </c>
      <c r="BV461" s="110" t="s">
        <v>1387</v>
      </c>
      <c r="CB461" s="110" t="s">
        <v>190</v>
      </c>
      <c r="CC461" s="110" t="b">
        <v>0</v>
      </c>
      <c r="CD461" s="110">
        <v>96.506699999999995</v>
      </c>
      <c r="CE461" s="110" t="s">
        <v>2256</v>
      </c>
      <c r="CF461" s="110" t="s">
        <v>2256</v>
      </c>
      <c r="CH461" s="110" t="s">
        <v>3203</v>
      </c>
    </row>
    <row r="462" spans="1:88">
      <c r="A462" s="110" t="s">
        <v>602</v>
      </c>
      <c r="B462" s="110">
        <v>91</v>
      </c>
      <c r="C462" s="110">
        <v>1</v>
      </c>
      <c r="D462" s="110">
        <v>1</v>
      </c>
      <c r="E462" s="110">
        <v>461</v>
      </c>
      <c r="F462" s="110">
        <v>2021</v>
      </c>
      <c r="G462" s="110" t="s">
        <v>161</v>
      </c>
      <c r="H462" s="110" t="s">
        <v>1119</v>
      </c>
      <c r="I462" s="110" t="s">
        <v>182</v>
      </c>
      <c r="J462" s="110" t="s">
        <v>182</v>
      </c>
      <c r="K462" s="110" t="s">
        <v>3061</v>
      </c>
      <c r="R462" s="110" t="s">
        <v>152</v>
      </c>
      <c r="S462" s="110" t="s">
        <v>443</v>
      </c>
      <c r="T462" s="110" t="s">
        <v>156</v>
      </c>
      <c r="U462" s="110" t="s">
        <v>158</v>
      </c>
      <c r="V462" s="110">
        <v>69.599999999999994</v>
      </c>
      <c r="W462" s="110">
        <v>69.599999999999994</v>
      </c>
      <c r="X462" s="110">
        <v>18</v>
      </c>
      <c r="Y462" s="110" t="s">
        <v>291</v>
      </c>
      <c r="Z462" s="110" t="s">
        <v>155</v>
      </c>
      <c r="AA462" s="110" t="s">
        <v>1788</v>
      </c>
      <c r="AB462" s="110" t="s">
        <v>333</v>
      </c>
      <c r="AC462" s="110" t="s">
        <v>246</v>
      </c>
      <c r="AD462" s="110" t="s">
        <v>333</v>
      </c>
      <c r="AE462" s="110" t="s">
        <v>1123</v>
      </c>
      <c r="AF462" s="110" t="s">
        <v>1745</v>
      </c>
      <c r="AG462" s="110">
        <v>10</v>
      </c>
      <c r="AI462" s="110" t="s">
        <v>246</v>
      </c>
      <c r="AJ462" s="110" t="s">
        <v>246</v>
      </c>
      <c r="AK462" s="110" t="s">
        <v>171</v>
      </c>
      <c r="AL462" s="110" t="s">
        <v>190</v>
      </c>
      <c r="AO462" s="110">
        <v>10</v>
      </c>
      <c r="AP462" s="110" t="s">
        <v>190</v>
      </c>
      <c r="AQ462" s="110" t="s">
        <v>176</v>
      </c>
      <c r="AR462" s="110">
        <v>2018</v>
      </c>
      <c r="AS462" s="110" t="s">
        <v>297</v>
      </c>
      <c r="AT462" s="110" t="s">
        <v>298</v>
      </c>
      <c r="AU462" s="110" t="s">
        <v>174</v>
      </c>
      <c r="AW462" s="110">
        <v>21.4</v>
      </c>
      <c r="AX462" s="110">
        <v>16.600000000000001</v>
      </c>
      <c r="AY462" s="110" t="s">
        <v>174</v>
      </c>
      <c r="AZ462" s="110" t="s">
        <v>174</v>
      </c>
      <c r="BA462" s="110" t="s">
        <v>1766</v>
      </c>
      <c r="BB462" s="110" t="s">
        <v>1766</v>
      </c>
      <c r="BE462" s="110" t="s">
        <v>182</v>
      </c>
      <c r="BF462" s="110" t="s">
        <v>412</v>
      </c>
      <c r="BH462" s="110" t="s">
        <v>190</v>
      </c>
      <c r="BI462" s="110" t="s">
        <v>182</v>
      </c>
      <c r="BJ462" s="110" t="s">
        <v>190</v>
      </c>
      <c r="BK462" s="110">
        <v>4</v>
      </c>
      <c r="BL462" s="110">
        <v>2</v>
      </c>
      <c r="BM462" s="110" t="s">
        <v>174</v>
      </c>
      <c r="BN462" s="110" t="s">
        <v>174</v>
      </c>
      <c r="BO462" s="110" t="s">
        <v>174</v>
      </c>
      <c r="BP462" s="110" t="s">
        <v>174</v>
      </c>
      <c r="BQ462" s="110" t="s">
        <v>174</v>
      </c>
      <c r="BR462" s="110" t="s">
        <v>174</v>
      </c>
      <c r="BS462" s="110">
        <v>121</v>
      </c>
      <c r="BT462" s="110" t="s">
        <v>1387</v>
      </c>
      <c r="BU462" s="110" t="s">
        <v>2606</v>
      </c>
      <c r="BV462" s="110" t="s">
        <v>1387</v>
      </c>
      <c r="CB462" s="110" t="s">
        <v>190</v>
      </c>
      <c r="CC462" s="110" t="b">
        <v>0</v>
      </c>
      <c r="CD462" s="110">
        <v>126.4</v>
      </c>
      <c r="CE462" s="110" t="s">
        <v>2256</v>
      </c>
      <c r="CF462" s="110" t="s">
        <v>2256</v>
      </c>
      <c r="CG462" s="110" t="s">
        <v>174</v>
      </c>
      <c r="CH462" s="110" t="s">
        <v>2308</v>
      </c>
      <c r="CI462" s="110" t="s">
        <v>296</v>
      </c>
    </row>
    <row r="463" spans="1:88">
      <c r="A463" s="110" t="s">
        <v>602</v>
      </c>
      <c r="B463" s="110">
        <v>91</v>
      </c>
      <c r="C463" s="110">
        <v>1</v>
      </c>
      <c r="D463" s="110">
        <v>1</v>
      </c>
      <c r="E463" s="110">
        <v>462</v>
      </c>
      <c r="F463" s="110">
        <v>2021</v>
      </c>
      <c r="G463" s="110" t="s">
        <v>161</v>
      </c>
      <c r="H463" s="110" t="s">
        <v>1119</v>
      </c>
      <c r="I463" s="110" t="s">
        <v>182</v>
      </c>
      <c r="J463" s="110" t="s">
        <v>182</v>
      </c>
      <c r="K463" s="110" t="s">
        <v>999</v>
      </c>
      <c r="L463" s="110" t="s">
        <v>999</v>
      </c>
      <c r="R463" s="110" t="s">
        <v>152</v>
      </c>
      <c r="S463" s="110" t="s">
        <v>443</v>
      </c>
      <c r="T463" s="110" t="s">
        <v>156</v>
      </c>
      <c r="U463" s="110" t="s">
        <v>158</v>
      </c>
      <c r="V463" s="110">
        <v>69.599999999999994</v>
      </c>
      <c r="W463" s="110">
        <v>69.599999999999994</v>
      </c>
      <c r="X463" s="110">
        <v>18</v>
      </c>
      <c r="Y463" s="110" t="s">
        <v>291</v>
      </c>
      <c r="Z463" s="110" t="s">
        <v>155</v>
      </c>
      <c r="AA463" s="110" t="s">
        <v>1788</v>
      </c>
      <c r="AB463" s="110" t="s">
        <v>333</v>
      </c>
      <c r="AC463" s="110" t="s">
        <v>246</v>
      </c>
      <c r="AD463" s="110" t="s">
        <v>333</v>
      </c>
      <c r="AE463" s="110" t="s">
        <v>1123</v>
      </c>
      <c r="AF463" s="110" t="s">
        <v>1745</v>
      </c>
      <c r="AG463" s="110">
        <v>300</v>
      </c>
      <c r="AI463" s="110" t="s">
        <v>246</v>
      </c>
      <c r="AJ463" s="110" t="s">
        <v>246</v>
      </c>
      <c r="AK463" s="110" t="s">
        <v>171</v>
      </c>
      <c r="AL463" s="110" t="s">
        <v>190</v>
      </c>
      <c r="AO463" s="110">
        <v>10</v>
      </c>
      <c r="AP463" s="110" t="s">
        <v>190</v>
      </c>
      <c r="AQ463" s="110" t="s">
        <v>176</v>
      </c>
      <c r="AR463" s="110">
        <v>2018</v>
      </c>
      <c r="AS463" s="110" t="s">
        <v>297</v>
      </c>
      <c r="AT463" s="110" t="s">
        <v>298</v>
      </c>
      <c r="AU463" s="110" t="s">
        <v>174</v>
      </c>
      <c r="AW463" s="110">
        <v>21.4</v>
      </c>
      <c r="AX463" s="110">
        <v>18.3</v>
      </c>
      <c r="AY463" s="110" t="s">
        <v>174</v>
      </c>
      <c r="AZ463" s="110" t="s">
        <v>174</v>
      </c>
      <c r="BA463" s="110" t="s">
        <v>1766</v>
      </c>
      <c r="BB463" s="110" t="s">
        <v>1766</v>
      </c>
      <c r="BE463" s="110" t="s">
        <v>182</v>
      </c>
      <c r="BF463" s="110" t="s">
        <v>412</v>
      </c>
      <c r="BH463" s="110" t="s">
        <v>190</v>
      </c>
      <c r="BI463" s="110" t="s">
        <v>182</v>
      </c>
      <c r="BJ463" s="110" t="s">
        <v>190</v>
      </c>
      <c r="BK463" s="110">
        <v>6</v>
      </c>
      <c r="BL463" s="110">
        <v>1</v>
      </c>
      <c r="BM463" s="110" t="s">
        <v>174</v>
      </c>
      <c r="BN463" s="110" t="s">
        <v>174</v>
      </c>
      <c r="BO463" s="110">
        <v>0.41620000000000001</v>
      </c>
      <c r="BP463" s="110" t="s">
        <v>174</v>
      </c>
      <c r="BQ463" s="110" t="s">
        <v>174</v>
      </c>
      <c r="BR463" s="110" t="s">
        <v>174</v>
      </c>
      <c r="BS463" s="110">
        <v>37</v>
      </c>
      <c r="BT463" s="110" t="s">
        <v>2256</v>
      </c>
      <c r="BU463" s="110" t="s">
        <v>2606</v>
      </c>
      <c r="BV463" s="110" t="s">
        <v>2256</v>
      </c>
      <c r="CA463" s="110">
        <v>0.41620000000000001</v>
      </c>
      <c r="CB463" s="110">
        <v>120.13455070000001</v>
      </c>
      <c r="CC463" s="110" t="b">
        <v>0</v>
      </c>
      <c r="CD463" s="110">
        <v>84.6</v>
      </c>
      <c r="CE463" s="110">
        <v>0</v>
      </c>
      <c r="CF463" s="110" t="s">
        <v>246</v>
      </c>
      <c r="CG463" s="110">
        <v>240.26910140000001</v>
      </c>
      <c r="CH463" s="110" t="s">
        <v>2309</v>
      </c>
      <c r="CI463" s="110" t="s">
        <v>296</v>
      </c>
    </row>
    <row r="464" spans="1:88">
      <c r="A464" s="110" t="s">
        <v>602</v>
      </c>
      <c r="B464" s="110">
        <v>91</v>
      </c>
      <c r="C464" s="110">
        <v>1</v>
      </c>
      <c r="D464" s="110">
        <v>1</v>
      </c>
      <c r="E464" s="110">
        <v>463</v>
      </c>
      <c r="F464" s="110">
        <v>2021</v>
      </c>
      <c r="G464" s="110" t="s">
        <v>187</v>
      </c>
      <c r="H464" s="110" t="s">
        <v>1119</v>
      </c>
      <c r="I464" s="110" t="s">
        <v>182</v>
      </c>
      <c r="J464" s="110" t="s">
        <v>182</v>
      </c>
      <c r="K464" s="110" t="s">
        <v>3061</v>
      </c>
      <c r="R464" s="110" t="s">
        <v>152</v>
      </c>
      <c r="S464" s="110" t="s">
        <v>443</v>
      </c>
      <c r="T464" s="110" t="s">
        <v>156</v>
      </c>
      <c r="U464" s="110" t="s">
        <v>158</v>
      </c>
      <c r="V464" s="110">
        <v>69.599999999999994</v>
      </c>
      <c r="W464" s="110">
        <v>69.599999999999994</v>
      </c>
      <c r="X464" s="110">
        <v>18</v>
      </c>
      <c r="Y464" s="110" t="s">
        <v>291</v>
      </c>
      <c r="Z464" s="110" t="s">
        <v>155</v>
      </c>
      <c r="AA464" s="110" t="s">
        <v>1788</v>
      </c>
      <c r="AB464" s="110" t="s">
        <v>333</v>
      </c>
      <c r="AC464" s="110" t="s">
        <v>246</v>
      </c>
      <c r="AD464" s="110" t="s">
        <v>333</v>
      </c>
      <c r="AE464" s="110" t="s">
        <v>187</v>
      </c>
      <c r="AF464" s="110" t="s">
        <v>1745</v>
      </c>
      <c r="AG464" s="110" t="s">
        <v>190</v>
      </c>
      <c r="AI464" s="110" t="s">
        <v>182</v>
      </c>
      <c r="AJ464" s="110" t="s">
        <v>1763</v>
      </c>
      <c r="AK464" s="110" t="s">
        <v>292</v>
      </c>
      <c r="AL464" s="110" t="s">
        <v>1762</v>
      </c>
      <c r="AN464" s="110" t="s">
        <v>412</v>
      </c>
      <c r="AO464" s="110">
        <v>1</v>
      </c>
      <c r="AP464" s="110" t="s">
        <v>190</v>
      </c>
      <c r="AQ464" s="110" t="s">
        <v>176</v>
      </c>
      <c r="AR464" s="110">
        <v>2016</v>
      </c>
      <c r="AS464" s="110" t="s">
        <v>174</v>
      </c>
      <c r="AT464" s="110" t="s">
        <v>174</v>
      </c>
      <c r="AU464" s="110" t="s">
        <v>174</v>
      </c>
      <c r="AW464" s="110">
        <v>35</v>
      </c>
      <c r="AX464" s="110">
        <v>15.6</v>
      </c>
      <c r="BA464" s="110">
        <v>4</v>
      </c>
      <c r="BB464" s="110">
        <v>4</v>
      </c>
      <c r="BC464" s="110">
        <v>4</v>
      </c>
      <c r="BD464" s="110">
        <v>0</v>
      </c>
      <c r="BE464" s="110" t="s">
        <v>246</v>
      </c>
      <c r="BF464" s="110" t="s">
        <v>188</v>
      </c>
      <c r="BG464" s="110">
        <v>0</v>
      </c>
      <c r="BH464" s="110" t="s">
        <v>190</v>
      </c>
      <c r="BI464" s="110" t="s">
        <v>246</v>
      </c>
      <c r="BJ464" s="110" t="s">
        <v>295</v>
      </c>
      <c r="BK464" s="110">
        <v>4</v>
      </c>
      <c r="BL464" s="110">
        <v>10</v>
      </c>
      <c r="BM464" s="110" t="s">
        <v>1385</v>
      </c>
      <c r="BN464" s="110">
        <v>7.0499999999999993E-2</v>
      </c>
      <c r="BO464" s="110">
        <v>0.27321428599999997</v>
      </c>
      <c r="BP464" s="110" t="s">
        <v>174</v>
      </c>
      <c r="BQ464" s="110">
        <v>26.9</v>
      </c>
      <c r="BR464" s="110" t="s">
        <v>174</v>
      </c>
      <c r="BS464" s="110">
        <v>280</v>
      </c>
      <c r="BT464" s="110" t="s">
        <v>1385</v>
      </c>
      <c r="BU464" s="110" t="s">
        <v>3207</v>
      </c>
      <c r="BV464" s="110" t="s">
        <v>2603</v>
      </c>
      <c r="BW464" s="110">
        <v>0.93500000000000005</v>
      </c>
      <c r="BZ464" s="110">
        <v>5.4600000000000003E-2</v>
      </c>
      <c r="CB464" s="110">
        <v>20.39</v>
      </c>
      <c r="CC464" s="110" t="b">
        <v>0</v>
      </c>
      <c r="CD464" s="110">
        <v>27.7</v>
      </c>
      <c r="CE464" s="110">
        <v>27.7</v>
      </c>
      <c r="CF464" s="110" t="s">
        <v>182</v>
      </c>
      <c r="CG464" s="110" t="s">
        <v>174</v>
      </c>
      <c r="CH464" s="110" t="s">
        <v>2310</v>
      </c>
      <c r="CI464" s="110" t="s">
        <v>296</v>
      </c>
      <c r="CJ464" s="110" t="s">
        <v>293</v>
      </c>
    </row>
    <row r="465" spans="1:88">
      <c r="A465" s="110" t="s">
        <v>602</v>
      </c>
      <c r="B465" s="110">
        <v>91</v>
      </c>
      <c r="C465" s="110">
        <v>1</v>
      </c>
      <c r="D465" s="110">
        <v>1</v>
      </c>
      <c r="E465" s="110">
        <v>464</v>
      </c>
      <c r="F465" s="110">
        <v>2021</v>
      </c>
      <c r="G465" s="110" t="s">
        <v>187</v>
      </c>
      <c r="H465" s="110" t="s">
        <v>1119</v>
      </c>
      <c r="I465" s="110" t="s">
        <v>182</v>
      </c>
      <c r="J465" s="110" t="s">
        <v>182</v>
      </c>
      <c r="K465" s="110" t="s">
        <v>3061</v>
      </c>
      <c r="R465" s="110" t="s">
        <v>152</v>
      </c>
      <c r="S465" s="110" t="s">
        <v>443</v>
      </c>
      <c r="T465" s="110" t="s">
        <v>156</v>
      </c>
      <c r="U465" s="110" t="s">
        <v>158</v>
      </c>
      <c r="V465" s="110">
        <v>69.599999999999994</v>
      </c>
      <c r="W465" s="110">
        <v>69.599999999999994</v>
      </c>
      <c r="X465" s="110">
        <v>18</v>
      </c>
      <c r="Y465" s="110" t="s">
        <v>291</v>
      </c>
      <c r="Z465" s="110" t="s">
        <v>155</v>
      </c>
      <c r="AA465" s="110" t="s">
        <v>1788</v>
      </c>
      <c r="AB465" s="110" t="s">
        <v>333</v>
      </c>
      <c r="AC465" s="110" t="s">
        <v>246</v>
      </c>
      <c r="AD465" s="110" t="s">
        <v>333</v>
      </c>
      <c r="AE465" s="110" t="s">
        <v>187</v>
      </c>
      <c r="AF465" s="110" t="s">
        <v>1745</v>
      </c>
      <c r="AG465" s="110" t="s">
        <v>190</v>
      </c>
      <c r="AI465" s="110" t="s">
        <v>182</v>
      </c>
      <c r="AJ465" s="110" t="s">
        <v>1763</v>
      </c>
      <c r="AK465" s="110" t="s">
        <v>292</v>
      </c>
      <c r="AL465" s="110" t="s">
        <v>1762</v>
      </c>
      <c r="AN465" s="110" t="s">
        <v>412</v>
      </c>
      <c r="AO465" s="110">
        <v>1</v>
      </c>
      <c r="AP465" s="110" t="s">
        <v>190</v>
      </c>
      <c r="AQ465" s="110" t="s">
        <v>176</v>
      </c>
      <c r="AR465" s="110">
        <v>2016</v>
      </c>
      <c r="AS465" s="110" t="s">
        <v>174</v>
      </c>
      <c r="AT465" s="110" t="s">
        <v>174</v>
      </c>
      <c r="AU465" s="110" t="s">
        <v>174</v>
      </c>
      <c r="AW465" s="110">
        <v>31.8</v>
      </c>
      <c r="AX465" s="110">
        <v>15.4</v>
      </c>
      <c r="BA465" s="110">
        <v>4</v>
      </c>
      <c r="BB465" s="110">
        <v>4</v>
      </c>
      <c r="BC465" s="110">
        <v>4</v>
      </c>
      <c r="BD465" s="110">
        <v>0</v>
      </c>
      <c r="BE465" s="110" t="s">
        <v>246</v>
      </c>
      <c r="BF465" s="110" t="s">
        <v>188</v>
      </c>
      <c r="BG465" s="110">
        <v>0</v>
      </c>
      <c r="BH465" s="110" t="s">
        <v>190</v>
      </c>
      <c r="BI465" s="110" t="s">
        <v>182</v>
      </c>
      <c r="BJ465" s="110" t="s">
        <v>294</v>
      </c>
      <c r="BK465" s="110">
        <v>4</v>
      </c>
      <c r="BL465" s="110">
        <v>10</v>
      </c>
      <c r="BM465" s="110" t="s">
        <v>1385</v>
      </c>
      <c r="BN465" s="110">
        <v>6.7100000000000007E-2</v>
      </c>
      <c r="BO465" s="110">
        <v>0.34071428599999998</v>
      </c>
      <c r="BP465" s="110" t="s">
        <v>174</v>
      </c>
      <c r="BQ465" s="110">
        <v>4.0999999999999996</v>
      </c>
      <c r="BR465" s="110" t="s">
        <v>174</v>
      </c>
      <c r="BS465" s="110">
        <v>280</v>
      </c>
      <c r="BT465" s="110" t="s">
        <v>1385</v>
      </c>
      <c r="BU465" s="110" t="s">
        <v>3207</v>
      </c>
      <c r="BV465" s="110" t="s">
        <v>2603</v>
      </c>
      <c r="BW465" s="110">
        <v>0.9</v>
      </c>
      <c r="BZ465" s="110">
        <v>2.4199999999999999E-2</v>
      </c>
      <c r="CB465" s="110">
        <v>28.45</v>
      </c>
      <c r="CC465" s="110" t="b">
        <v>0</v>
      </c>
      <c r="CD465" s="110">
        <v>11.7</v>
      </c>
      <c r="CE465" s="110">
        <v>11.7</v>
      </c>
      <c r="CF465" s="110" t="s">
        <v>182</v>
      </c>
      <c r="CG465" s="110" t="s">
        <v>174</v>
      </c>
      <c r="CH465" s="110" t="s">
        <v>2311</v>
      </c>
      <c r="CI465" s="110" t="s">
        <v>296</v>
      </c>
    </row>
    <row r="466" spans="1:88">
      <c r="A466" s="110" t="s">
        <v>602</v>
      </c>
      <c r="B466" s="110">
        <v>91</v>
      </c>
      <c r="C466" s="110">
        <v>1</v>
      </c>
      <c r="D466" s="110">
        <v>1</v>
      </c>
      <c r="E466" s="110">
        <v>465</v>
      </c>
      <c r="F466" s="110">
        <v>2021</v>
      </c>
      <c r="G466" s="110" t="s">
        <v>187</v>
      </c>
      <c r="H466" s="110" t="s">
        <v>1119</v>
      </c>
      <c r="I466" s="110" t="s">
        <v>182</v>
      </c>
      <c r="J466" s="110" t="s">
        <v>182</v>
      </c>
      <c r="K466" s="110" t="s">
        <v>3061</v>
      </c>
      <c r="R466" s="110" t="s">
        <v>152</v>
      </c>
      <c r="S466" s="110" t="s">
        <v>443</v>
      </c>
      <c r="T466" s="110" t="s">
        <v>156</v>
      </c>
      <c r="U466" s="110" t="s">
        <v>158</v>
      </c>
      <c r="V466" s="110">
        <v>69.599999999999994</v>
      </c>
      <c r="W466" s="110">
        <v>69.599999999999994</v>
      </c>
      <c r="X466" s="110">
        <v>18</v>
      </c>
      <c r="Y466" s="110" t="s">
        <v>291</v>
      </c>
      <c r="Z466" s="110" t="s">
        <v>155</v>
      </c>
      <c r="AA466" s="110" t="s">
        <v>1788</v>
      </c>
      <c r="AB466" s="110" t="s">
        <v>333</v>
      </c>
      <c r="AC466" s="110" t="s">
        <v>246</v>
      </c>
      <c r="AD466" s="110" t="s">
        <v>333</v>
      </c>
      <c r="AE466" s="110" t="s">
        <v>187</v>
      </c>
      <c r="AF466" s="110" t="s">
        <v>1745</v>
      </c>
      <c r="AG466" s="110" t="s">
        <v>190</v>
      </c>
      <c r="AI466" s="110" t="s">
        <v>182</v>
      </c>
      <c r="AJ466" s="110" t="s">
        <v>1763</v>
      </c>
      <c r="AK466" s="110" t="s">
        <v>292</v>
      </c>
      <c r="AL466" s="110" t="s">
        <v>1762</v>
      </c>
      <c r="AN466" s="110" t="s">
        <v>412</v>
      </c>
      <c r="AO466" s="110">
        <v>1</v>
      </c>
      <c r="AP466" s="110" t="s">
        <v>190</v>
      </c>
      <c r="AQ466" s="110" t="s">
        <v>176</v>
      </c>
      <c r="AR466" s="110">
        <v>2016</v>
      </c>
      <c r="AS466" s="110" t="s">
        <v>174</v>
      </c>
      <c r="AT466" s="110" t="s">
        <v>174</v>
      </c>
      <c r="AU466" s="110" t="s">
        <v>174</v>
      </c>
      <c r="AW466" s="110">
        <v>34.9</v>
      </c>
      <c r="AX466" s="110">
        <v>14.4</v>
      </c>
      <c r="BA466" s="110">
        <v>10</v>
      </c>
      <c r="BB466" s="110">
        <v>10</v>
      </c>
      <c r="BC466" s="110">
        <v>10</v>
      </c>
      <c r="BD466" s="110">
        <v>0</v>
      </c>
      <c r="BE466" s="110" t="s">
        <v>246</v>
      </c>
      <c r="BF466" s="110" t="s">
        <v>188</v>
      </c>
      <c r="BG466" s="110">
        <v>0</v>
      </c>
      <c r="BH466" s="110" t="s">
        <v>190</v>
      </c>
      <c r="BI466" s="110" t="s">
        <v>246</v>
      </c>
      <c r="BJ466" s="110" t="s">
        <v>295</v>
      </c>
      <c r="BK466" s="110">
        <v>4</v>
      </c>
      <c r="BL466" s="110">
        <v>10</v>
      </c>
      <c r="BM466" s="110" t="s">
        <v>1385</v>
      </c>
      <c r="BN466" s="110">
        <v>7.4999999999999997E-2</v>
      </c>
      <c r="BO466" s="110">
        <v>0.29321428599999999</v>
      </c>
      <c r="BP466" s="110" t="s">
        <v>174</v>
      </c>
      <c r="BQ466" s="110">
        <v>23.4</v>
      </c>
      <c r="BR466" s="110" t="s">
        <v>174</v>
      </c>
      <c r="BS466" s="110">
        <v>280</v>
      </c>
      <c r="BT466" s="110" t="s">
        <v>1385</v>
      </c>
      <c r="BU466" s="110" t="s">
        <v>3207</v>
      </c>
      <c r="BV466" s="110" t="s">
        <v>2603</v>
      </c>
      <c r="BW466" s="110">
        <v>0.97</v>
      </c>
      <c r="BZ466" s="110">
        <v>0.80800000000000005</v>
      </c>
      <c r="CB466" s="110">
        <v>13.11</v>
      </c>
      <c r="CC466" s="110" t="b">
        <v>0</v>
      </c>
      <c r="CD466" s="110">
        <v>24.5</v>
      </c>
      <c r="CE466" s="110">
        <v>24.5</v>
      </c>
      <c r="CF466" s="110" t="s">
        <v>182</v>
      </c>
      <c r="CG466" s="110" t="s">
        <v>174</v>
      </c>
      <c r="CH466" s="110" t="s">
        <v>2312</v>
      </c>
      <c r="CI466" s="110" t="s">
        <v>296</v>
      </c>
    </row>
    <row r="467" spans="1:88">
      <c r="A467" s="110" t="s">
        <v>602</v>
      </c>
      <c r="B467" s="110">
        <v>91</v>
      </c>
      <c r="C467" s="110">
        <v>1</v>
      </c>
      <c r="D467" s="110">
        <v>1</v>
      </c>
      <c r="E467" s="110">
        <v>466</v>
      </c>
      <c r="F467" s="110">
        <v>2021</v>
      </c>
      <c r="G467" s="110" t="s">
        <v>187</v>
      </c>
      <c r="H467" s="110" t="s">
        <v>1119</v>
      </c>
      <c r="I467" s="110" t="s">
        <v>182</v>
      </c>
      <c r="J467" s="110" t="s">
        <v>182</v>
      </c>
      <c r="K467" s="110" t="s">
        <v>3061</v>
      </c>
      <c r="R467" s="110" t="s">
        <v>152</v>
      </c>
      <c r="S467" s="110" t="s">
        <v>443</v>
      </c>
      <c r="T467" s="110" t="s">
        <v>156</v>
      </c>
      <c r="U467" s="110" t="s">
        <v>158</v>
      </c>
      <c r="V467" s="110">
        <v>69.599999999999994</v>
      </c>
      <c r="W467" s="110">
        <v>69.599999999999994</v>
      </c>
      <c r="X467" s="110">
        <v>18</v>
      </c>
      <c r="Y467" s="110" t="s">
        <v>291</v>
      </c>
      <c r="Z467" s="110" t="s">
        <v>155</v>
      </c>
      <c r="AA467" s="110" t="s">
        <v>1788</v>
      </c>
      <c r="AB467" s="110" t="s">
        <v>333</v>
      </c>
      <c r="AC467" s="110" t="s">
        <v>246</v>
      </c>
      <c r="AD467" s="110" t="s">
        <v>333</v>
      </c>
      <c r="AE467" s="110" t="s">
        <v>187</v>
      </c>
      <c r="AF467" s="110" t="s">
        <v>1745</v>
      </c>
      <c r="AG467" s="110" t="s">
        <v>190</v>
      </c>
      <c r="AI467" s="110" t="s">
        <v>182</v>
      </c>
      <c r="AJ467" s="110" t="s">
        <v>1763</v>
      </c>
      <c r="AK467" s="110" t="s">
        <v>292</v>
      </c>
      <c r="AL467" s="110" t="s">
        <v>1762</v>
      </c>
      <c r="AN467" s="110" t="s">
        <v>412</v>
      </c>
      <c r="AO467" s="110">
        <v>1</v>
      </c>
      <c r="AP467" s="110" t="s">
        <v>190</v>
      </c>
      <c r="AQ467" s="110" t="s">
        <v>176</v>
      </c>
      <c r="AR467" s="110">
        <v>2016</v>
      </c>
      <c r="AS467" s="110" t="s">
        <v>174</v>
      </c>
      <c r="AT467" s="110" t="s">
        <v>174</v>
      </c>
      <c r="AU467" s="110" t="s">
        <v>174</v>
      </c>
      <c r="AW467" s="110">
        <v>29.9</v>
      </c>
      <c r="AX467" s="110">
        <v>8.1999999999999993</v>
      </c>
      <c r="BA467" s="110">
        <v>10</v>
      </c>
      <c r="BB467" s="110">
        <v>10</v>
      </c>
      <c r="BC467" s="110">
        <v>10</v>
      </c>
      <c r="BD467" s="110">
        <v>0</v>
      </c>
      <c r="BE467" s="110" t="s">
        <v>246</v>
      </c>
      <c r="BF467" s="110" t="s">
        <v>188</v>
      </c>
      <c r="BG467" s="110">
        <v>0</v>
      </c>
      <c r="BH467" s="110" t="s">
        <v>190</v>
      </c>
      <c r="BI467" s="110" t="s">
        <v>182</v>
      </c>
      <c r="BJ467" s="110" t="s">
        <v>294</v>
      </c>
      <c r="BK467" s="110">
        <v>4</v>
      </c>
      <c r="BL467" s="110">
        <v>10</v>
      </c>
      <c r="BM467" s="110" t="s">
        <v>1385</v>
      </c>
      <c r="BN467" s="110">
        <v>9.6000000000000002E-2</v>
      </c>
      <c r="BO467" s="110">
        <v>0.35607142899999999</v>
      </c>
      <c r="BP467" s="110" t="s">
        <v>174</v>
      </c>
      <c r="BQ467" s="110">
        <v>-3.7</v>
      </c>
      <c r="BR467" s="110" t="s">
        <v>174</v>
      </c>
      <c r="BS467" s="110">
        <v>280</v>
      </c>
      <c r="BT467" s="110" t="s">
        <v>1385</v>
      </c>
      <c r="BU467" s="110" t="s">
        <v>3207</v>
      </c>
      <c r="BV467" s="110" t="s">
        <v>2603</v>
      </c>
      <c r="BW467" s="110">
        <v>0.9</v>
      </c>
      <c r="BZ467" s="110">
        <v>0.13089999999999999</v>
      </c>
      <c r="CB467" s="110">
        <v>6.01</v>
      </c>
      <c r="CC467" s="110" t="b">
        <v>0</v>
      </c>
      <c r="CD467" s="110">
        <v>9.9</v>
      </c>
      <c r="CE467" s="110">
        <v>9.9</v>
      </c>
      <c r="CF467" s="110" t="s">
        <v>182</v>
      </c>
      <c r="CG467" s="110" t="s">
        <v>174</v>
      </c>
      <c r="CH467" s="110" t="s">
        <v>2313</v>
      </c>
      <c r="CI467" s="110" t="s">
        <v>296</v>
      </c>
    </row>
    <row r="468" spans="1:88">
      <c r="A468" s="110" t="s">
        <v>602</v>
      </c>
      <c r="B468" s="110">
        <v>91</v>
      </c>
      <c r="C468" s="110">
        <v>1</v>
      </c>
      <c r="D468" s="110">
        <v>1</v>
      </c>
      <c r="E468" s="110">
        <v>467</v>
      </c>
      <c r="F468" s="110">
        <v>2021</v>
      </c>
      <c r="G468" s="110" t="s">
        <v>187</v>
      </c>
      <c r="H468" s="110" t="s">
        <v>1119</v>
      </c>
      <c r="I468" s="110" t="s">
        <v>182</v>
      </c>
      <c r="J468" s="110" t="s">
        <v>182</v>
      </c>
      <c r="K468" s="110" t="s">
        <v>3061</v>
      </c>
      <c r="R468" s="110" t="s">
        <v>152</v>
      </c>
      <c r="S468" s="110" t="s">
        <v>443</v>
      </c>
      <c r="T468" s="110" t="s">
        <v>156</v>
      </c>
      <c r="U468" s="110" t="s">
        <v>158</v>
      </c>
      <c r="V468" s="110">
        <v>69.599999999999994</v>
      </c>
      <c r="W468" s="110">
        <v>69.599999999999994</v>
      </c>
      <c r="X468" s="110">
        <v>18</v>
      </c>
      <c r="Y468" s="110" t="s">
        <v>291</v>
      </c>
      <c r="Z468" s="110" t="s">
        <v>155</v>
      </c>
      <c r="AA468" s="110" t="s">
        <v>1788</v>
      </c>
      <c r="AB468" s="110" t="s">
        <v>333</v>
      </c>
      <c r="AC468" s="110" t="s">
        <v>246</v>
      </c>
      <c r="AD468" s="110" t="s">
        <v>333</v>
      </c>
      <c r="AE468" s="110" t="s">
        <v>187</v>
      </c>
      <c r="AF468" s="110" t="s">
        <v>1745</v>
      </c>
      <c r="AG468" s="110" t="s">
        <v>190</v>
      </c>
      <c r="AI468" s="110" t="s">
        <v>182</v>
      </c>
      <c r="AJ468" s="110" t="s">
        <v>1763</v>
      </c>
      <c r="AK468" s="110" t="s">
        <v>292</v>
      </c>
      <c r="AL468" s="110" t="s">
        <v>1762</v>
      </c>
      <c r="AN468" s="110" t="s">
        <v>412</v>
      </c>
      <c r="AO468" s="110">
        <v>1</v>
      </c>
      <c r="AP468" s="110" t="s">
        <v>190</v>
      </c>
      <c r="AQ468" s="110" t="s">
        <v>176</v>
      </c>
      <c r="AR468" s="110">
        <v>2016</v>
      </c>
      <c r="AS468" s="110" t="s">
        <v>174</v>
      </c>
      <c r="AT468" s="110" t="s">
        <v>174</v>
      </c>
      <c r="AU468" s="110" t="s">
        <v>174</v>
      </c>
      <c r="AW468" s="110">
        <v>32.5</v>
      </c>
      <c r="AX468" s="110">
        <v>13</v>
      </c>
      <c r="BA468" s="110">
        <v>4</v>
      </c>
      <c r="BB468" s="110">
        <v>4</v>
      </c>
      <c r="BC468" s="110">
        <v>4</v>
      </c>
      <c r="BD468" s="110">
        <v>0</v>
      </c>
      <c r="BE468" s="110" t="s">
        <v>246</v>
      </c>
      <c r="BF468" s="110" t="s">
        <v>188</v>
      </c>
      <c r="BG468" s="110">
        <v>0</v>
      </c>
      <c r="BH468" s="110" t="s">
        <v>190</v>
      </c>
      <c r="BI468" s="110" t="s">
        <v>246</v>
      </c>
      <c r="BJ468" s="110" t="s">
        <v>295</v>
      </c>
      <c r="BK468" s="110">
        <v>4</v>
      </c>
      <c r="BL468" s="110">
        <v>10</v>
      </c>
      <c r="BM468" s="110" t="s">
        <v>1385</v>
      </c>
      <c r="BN468" s="110">
        <v>2.9000000000000001E-2</v>
      </c>
      <c r="BO468" s="110">
        <v>0.23214285700000001</v>
      </c>
      <c r="BP468" s="110" t="s">
        <v>174</v>
      </c>
      <c r="BQ468" s="110">
        <v>29.2</v>
      </c>
      <c r="BR468" s="110" t="s">
        <v>174</v>
      </c>
      <c r="BS468" s="110">
        <v>308</v>
      </c>
      <c r="BT468" s="110" t="s">
        <v>1385</v>
      </c>
      <c r="BU468" s="110" t="s">
        <v>3207</v>
      </c>
      <c r="BV468" s="110" t="s">
        <v>2603</v>
      </c>
      <c r="BW468" s="110">
        <v>0.8</v>
      </c>
      <c r="BZ468" s="110">
        <v>2.9000000000000001E-2</v>
      </c>
      <c r="CB468" s="110">
        <v>35.119999999999997</v>
      </c>
      <c r="CC468" s="110" t="b">
        <v>0</v>
      </c>
      <c r="CD468" s="110">
        <v>29.4</v>
      </c>
      <c r="CE468" s="110">
        <v>29.4</v>
      </c>
      <c r="CF468" s="110" t="s">
        <v>182</v>
      </c>
      <c r="CG468" s="110" t="s">
        <v>174</v>
      </c>
      <c r="CH468" s="110" t="s">
        <v>2314</v>
      </c>
      <c r="CI468" s="110" t="s">
        <v>296</v>
      </c>
    </row>
    <row r="469" spans="1:88">
      <c r="A469" s="110" t="s">
        <v>602</v>
      </c>
      <c r="B469" s="110">
        <v>91</v>
      </c>
      <c r="C469" s="110">
        <v>1</v>
      </c>
      <c r="D469" s="110">
        <v>1</v>
      </c>
      <c r="E469" s="110">
        <v>468</v>
      </c>
      <c r="F469" s="110">
        <v>2021</v>
      </c>
      <c r="G469" s="110" t="s">
        <v>187</v>
      </c>
      <c r="H469" s="110" t="s">
        <v>1119</v>
      </c>
      <c r="I469" s="110" t="s">
        <v>182</v>
      </c>
      <c r="J469" s="110" t="s">
        <v>182</v>
      </c>
      <c r="K469" s="110" t="s">
        <v>3061</v>
      </c>
      <c r="R469" s="110" t="s">
        <v>152</v>
      </c>
      <c r="S469" s="110" t="s">
        <v>443</v>
      </c>
      <c r="T469" s="110" t="s">
        <v>156</v>
      </c>
      <c r="U469" s="110" t="s">
        <v>158</v>
      </c>
      <c r="V469" s="110">
        <v>69.599999999999994</v>
      </c>
      <c r="W469" s="110">
        <v>69.599999999999994</v>
      </c>
      <c r="X469" s="110">
        <v>18</v>
      </c>
      <c r="Y469" s="110" t="s">
        <v>291</v>
      </c>
      <c r="Z469" s="110" t="s">
        <v>155</v>
      </c>
      <c r="AA469" s="110" t="s">
        <v>1788</v>
      </c>
      <c r="AB469" s="110" t="s">
        <v>333</v>
      </c>
      <c r="AC469" s="110" t="s">
        <v>246</v>
      </c>
      <c r="AD469" s="110" t="s">
        <v>333</v>
      </c>
      <c r="AE469" s="110" t="s">
        <v>187</v>
      </c>
      <c r="AF469" s="110" t="s">
        <v>1745</v>
      </c>
      <c r="AG469" s="110" t="s">
        <v>190</v>
      </c>
      <c r="AI469" s="110" t="s">
        <v>182</v>
      </c>
      <c r="AJ469" s="110" t="s">
        <v>1763</v>
      </c>
      <c r="AK469" s="110" t="s">
        <v>292</v>
      </c>
      <c r="AL469" s="110" t="s">
        <v>1762</v>
      </c>
      <c r="AN469" s="110" t="s">
        <v>412</v>
      </c>
      <c r="AO469" s="110">
        <v>1</v>
      </c>
      <c r="AP469" s="110" t="s">
        <v>190</v>
      </c>
      <c r="AQ469" s="110" t="s">
        <v>176</v>
      </c>
      <c r="AR469" s="110">
        <v>2016</v>
      </c>
      <c r="AS469" s="110" t="s">
        <v>174</v>
      </c>
      <c r="AT469" s="110" t="s">
        <v>174</v>
      </c>
      <c r="AU469" s="110" t="s">
        <v>174</v>
      </c>
      <c r="AW469" s="110">
        <v>32.299999999999997</v>
      </c>
      <c r="AX469" s="110">
        <v>9.3000000000000007</v>
      </c>
      <c r="BA469" s="110">
        <v>4</v>
      </c>
      <c r="BB469" s="110">
        <v>4</v>
      </c>
      <c r="BC469" s="110">
        <v>4</v>
      </c>
      <c r="BD469" s="110">
        <v>0</v>
      </c>
      <c r="BE469" s="110" t="s">
        <v>246</v>
      </c>
      <c r="BF469" s="110" t="s">
        <v>188</v>
      </c>
      <c r="BG469" s="110">
        <v>0</v>
      </c>
      <c r="BH469" s="110" t="s">
        <v>190</v>
      </c>
      <c r="BI469" s="110" t="s">
        <v>182</v>
      </c>
      <c r="BJ469" s="110" t="s">
        <v>294</v>
      </c>
      <c r="BK469" s="110">
        <v>4</v>
      </c>
      <c r="BL469" s="110">
        <v>10</v>
      </c>
      <c r="BM469" s="110" t="s">
        <v>1385</v>
      </c>
      <c r="BN469" s="110">
        <v>1.2999999999999999E-2</v>
      </c>
      <c r="BO469" s="110">
        <v>0.28279220799999999</v>
      </c>
      <c r="BP469" s="110" t="s">
        <v>174</v>
      </c>
      <c r="BQ469" s="110">
        <v>14.3</v>
      </c>
      <c r="BR469" s="110" t="s">
        <v>174</v>
      </c>
      <c r="BS469" s="110">
        <v>308</v>
      </c>
      <c r="BT469" s="110" t="s">
        <v>1385</v>
      </c>
      <c r="BU469" s="110" t="s">
        <v>3207</v>
      </c>
      <c r="BV469" s="110" t="s">
        <v>2603</v>
      </c>
      <c r="BW469" s="110">
        <v>0.92</v>
      </c>
      <c r="BZ469" s="110">
        <v>1.2999999999999999E-2</v>
      </c>
      <c r="CB469" s="110">
        <v>54.68</v>
      </c>
      <c r="CC469" s="110" t="b">
        <v>0</v>
      </c>
      <c r="CD469" s="110">
        <v>14.4</v>
      </c>
      <c r="CE469" s="110">
        <v>14.4</v>
      </c>
      <c r="CF469" s="110" t="s">
        <v>182</v>
      </c>
      <c r="CG469" s="110" t="s">
        <v>174</v>
      </c>
      <c r="CH469" s="110" t="s">
        <v>2315</v>
      </c>
      <c r="CI469" s="110" t="s">
        <v>296</v>
      </c>
    </row>
    <row r="470" spans="1:88">
      <c r="A470" s="110" t="s">
        <v>602</v>
      </c>
      <c r="B470" s="110">
        <v>91</v>
      </c>
      <c r="C470" s="110">
        <v>1</v>
      </c>
      <c r="D470" s="110">
        <v>1</v>
      </c>
      <c r="E470" s="110">
        <v>469</v>
      </c>
      <c r="F470" s="110">
        <v>2021</v>
      </c>
      <c r="G470" s="110" t="s">
        <v>187</v>
      </c>
      <c r="H470" s="110" t="s">
        <v>1119</v>
      </c>
      <c r="I470" s="110" t="s">
        <v>182</v>
      </c>
      <c r="J470" s="110" t="s">
        <v>182</v>
      </c>
      <c r="K470" s="110" t="s">
        <v>3061</v>
      </c>
      <c r="R470" s="110" t="s">
        <v>152</v>
      </c>
      <c r="S470" s="110" t="s">
        <v>443</v>
      </c>
      <c r="T470" s="110" t="s">
        <v>156</v>
      </c>
      <c r="U470" s="110" t="s">
        <v>158</v>
      </c>
      <c r="V470" s="110">
        <v>69.599999999999994</v>
      </c>
      <c r="W470" s="110">
        <v>69.599999999999994</v>
      </c>
      <c r="X470" s="110">
        <v>18</v>
      </c>
      <c r="Y470" s="110" t="s">
        <v>291</v>
      </c>
      <c r="Z470" s="110" t="s">
        <v>155</v>
      </c>
      <c r="AA470" s="110" t="s">
        <v>1788</v>
      </c>
      <c r="AB470" s="110" t="s">
        <v>333</v>
      </c>
      <c r="AC470" s="110" t="s">
        <v>246</v>
      </c>
      <c r="AD470" s="110" t="s">
        <v>333</v>
      </c>
      <c r="AE470" s="110" t="s">
        <v>187</v>
      </c>
      <c r="AF470" s="110" t="s">
        <v>1745</v>
      </c>
      <c r="AG470" s="110" t="s">
        <v>190</v>
      </c>
      <c r="AI470" s="110" t="s">
        <v>182</v>
      </c>
      <c r="AJ470" s="110" t="s">
        <v>1763</v>
      </c>
      <c r="AK470" s="110" t="s">
        <v>292</v>
      </c>
      <c r="AL470" s="110" t="s">
        <v>1762</v>
      </c>
      <c r="AN470" s="110" t="s">
        <v>412</v>
      </c>
      <c r="AO470" s="110">
        <v>1</v>
      </c>
      <c r="AP470" s="110" t="s">
        <v>190</v>
      </c>
      <c r="AQ470" s="110" t="s">
        <v>176</v>
      </c>
      <c r="AR470" s="110">
        <v>2016</v>
      </c>
      <c r="AS470" s="110" t="s">
        <v>174</v>
      </c>
      <c r="AT470" s="110" t="s">
        <v>174</v>
      </c>
      <c r="AU470" s="110" t="s">
        <v>174</v>
      </c>
      <c r="AW470" s="110">
        <v>32</v>
      </c>
      <c r="AX470" s="110">
        <v>13.1</v>
      </c>
      <c r="BA470" s="110">
        <v>10</v>
      </c>
      <c r="BB470" s="110">
        <v>10</v>
      </c>
      <c r="BC470" s="110">
        <v>10</v>
      </c>
      <c r="BD470" s="110">
        <v>0</v>
      </c>
      <c r="BE470" s="110" t="s">
        <v>246</v>
      </c>
      <c r="BF470" s="110" t="s">
        <v>188</v>
      </c>
      <c r="BG470" s="110">
        <v>0</v>
      </c>
      <c r="BH470" s="110" t="s">
        <v>190</v>
      </c>
      <c r="BI470" s="110" t="s">
        <v>246</v>
      </c>
      <c r="BJ470" s="110" t="s">
        <v>295</v>
      </c>
      <c r="BK470" s="110">
        <v>4</v>
      </c>
      <c r="BL470" s="110">
        <v>10</v>
      </c>
      <c r="BM470" s="110" t="s">
        <v>1385</v>
      </c>
      <c r="BN470" s="110">
        <v>3.6999999999999998E-2</v>
      </c>
      <c r="BO470" s="110">
        <v>0.25227272699999997</v>
      </c>
      <c r="BP470" s="110" t="s">
        <v>174</v>
      </c>
      <c r="BQ470" s="110">
        <v>27.3</v>
      </c>
      <c r="BR470" s="110" t="s">
        <v>174</v>
      </c>
      <c r="BS470" s="110">
        <v>308</v>
      </c>
      <c r="BT470" s="110" t="s">
        <v>1385</v>
      </c>
      <c r="BU470" s="110" t="s">
        <v>3207</v>
      </c>
      <c r="BV470" s="110" t="s">
        <v>2603</v>
      </c>
      <c r="BW470" s="110">
        <v>0.9</v>
      </c>
      <c r="BZ470" s="110">
        <v>3.7999999999999999E-2</v>
      </c>
      <c r="CB470" s="110">
        <v>27.63</v>
      </c>
      <c r="CC470" s="110" t="b">
        <v>0</v>
      </c>
      <c r="CD470" s="110">
        <v>26.7</v>
      </c>
      <c r="CE470" s="110">
        <v>26.7</v>
      </c>
      <c r="CF470" s="110" t="s">
        <v>182</v>
      </c>
      <c r="CG470" s="110" t="s">
        <v>174</v>
      </c>
      <c r="CH470" s="110" t="s">
        <v>2316</v>
      </c>
      <c r="CI470" s="110" t="s">
        <v>296</v>
      </c>
    </row>
    <row r="471" spans="1:88">
      <c r="A471" s="110" t="s">
        <v>602</v>
      </c>
      <c r="B471" s="110">
        <v>91</v>
      </c>
      <c r="C471" s="110">
        <v>1</v>
      </c>
      <c r="D471" s="110">
        <v>1</v>
      </c>
      <c r="E471" s="110">
        <v>470</v>
      </c>
      <c r="F471" s="110">
        <v>2021</v>
      </c>
      <c r="G471" s="110" t="s">
        <v>187</v>
      </c>
      <c r="H471" s="110" t="s">
        <v>1119</v>
      </c>
      <c r="I471" s="110" t="s">
        <v>182</v>
      </c>
      <c r="J471" s="110" t="s">
        <v>182</v>
      </c>
      <c r="K471" s="110" t="s">
        <v>3061</v>
      </c>
      <c r="R471" s="110" t="s">
        <v>152</v>
      </c>
      <c r="S471" s="110" t="s">
        <v>443</v>
      </c>
      <c r="T471" s="110" t="s">
        <v>156</v>
      </c>
      <c r="U471" s="110" t="s">
        <v>158</v>
      </c>
      <c r="V471" s="110">
        <v>69.599999999999994</v>
      </c>
      <c r="W471" s="110">
        <v>69.599999999999994</v>
      </c>
      <c r="X471" s="110">
        <v>18</v>
      </c>
      <c r="Y471" s="110" t="s">
        <v>291</v>
      </c>
      <c r="Z471" s="110" t="s">
        <v>155</v>
      </c>
      <c r="AA471" s="110" t="s">
        <v>1788</v>
      </c>
      <c r="AB471" s="110" t="s">
        <v>333</v>
      </c>
      <c r="AC471" s="110" t="s">
        <v>246</v>
      </c>
      <c r="AD471" s="110" t="s">
        <v>333</v>
      </c>
      <c r="AE471" s="110" t="s">
        <v>187</v>
      </c>
      <c r="AF471" s="110" t="s">
        <v>1745</v>
      </c>
      <c r="AG471" s="110" t="s">
        <v>190</v>
      </c>
      <c r="AI471" s="110" t="s">
        <v>182</v>
      </c>
      <c r="AJ471" s="110" t="s">
        <v>1763</v>
      </c>
      <c r="AK471" s="110" t="s">
        <v>292</v>
      </c>
      <c r="AL471" s="110" t="s">
        <v>1762</v>
      </c>
      <c r="AN471" s="110" t="s">
        <v>412</v>
      </c>
      <c r="AO471" s="110">
        <v>1</v>
      </c>
      <c r="AP471" s="110" t="s">
        <v>190</v>
      </c>
      <c r="AQ471" s="110" t="s">
        <v>176</v>
      </c>
      <c r="AR471" s="110">
        <v>2016</v>
      </c>
      <c r="AS471" s="110" t="s">
        <v>174</v>
      </c>
      <c r="AT471" s="110" t="s">
        <v>174</v>
      </c>
      <c r="AU471" s="110" t="s">
        <v>174</v>
      </c>
      <c r="AW471" s="110">
        <v>32</v>
      </c>
      <c r="AX471" s="110">
        <v>9.5</v>
      </c>
      <c r="BA471" s="110">
        <v>10</v>
      </c>
      <c r="BB471" s="110">
        <v>10</v>
      </c>
      <c r="BC471" s="110">
        <v>10</v>
      </c>
      <c r="BD471" s="110">
        <v>0</v>
      </c>
      <c r="BE471" s="110" t="s">
        <v>246</v>
      </c>
      <c r="BF471" s="110" t="s">
        <v>188</v>
      </c>
      <c r="BG471" s="110">
        <v>0</v>
      </c>
      <c r="BH471" s="110" t="s">
        <v>190</v>
      </c>
      <c r="BI471" s="110" t="s">
        <v>182</v>
      </c>
      <c r="BJ471" s="110" t="s">
        <v>294</v>
      </c>
      <c r="BK471" s="110">
        <v>4</v>
      </c>
      <c r="BL471" s="110">
        <v>10</v>
      </c>
      <c r="BM471" s="110" t="s">
        <v>1385</v>
      </c>
      <c r="BN471" s="110">
        <v>1.7999999999999999E-2</v>
      </c>
      <c r="BO471" s="110">
        <v>0.28344155799999998</v>
      </c>
      <c r="BP471" s="110" t="s">
        <v>174</v>
      </c>
      <c r="BQ471" s="110">
        <v>13.8</v>
      </c>
      <c r="BR471" s="110" t="s">
        <v>174</v>
      </c>
      <c r="BS471" s="110">
        <v>308</v>
      </c>
      <c r="BT471" s="110" t="s">
        <v>1385</v>
      </c>
      <c r="BU471" s="110" t="s">
        <v>3207</v>
      </c>
      <c r="BV471" s="110" t="s">
        <v>2603</v>
      </c>
      <c r="BW471" s="110">
        <v>0.9</v>
      </c>
      <c r="BZ471" s="110">
        <v>1.7999999999999999E-2</v>
      </c>
      <c r="CB471" s="110">
        <v>39.5</v>
      </c>
      <c r="CC471" s="110" t="b">
        <v>0</v>
      </c>
      <c r="CD471" s="110">
        <v>13</v>
      </c>
      <c r="CE471" s="110">
        <v>13</v>
      </c>
      <c r="CF471" s="110" t="s">
        <v>182</v>
      </c>
      <c r="CG471" s="110" t="s">
        <v>174</v>
      </c>
      <c r="CH471" s="110" t="s">
        <v>2317</v>
      </c>
      <c r="CI471" s="110" t="s">
        <v>296</v>
      </c>
    </row>
    <row r="472" spans="1:88">
      <c r="A472" s="110" t="s">
        <v>3221</v>
      </c>
      <c r="B472" s="110">
        <v>92</v>
      </c>
      <c r="C472" s="110">
        <v>1</v>
      </c>
      <c r="D472" s="110">
        <v>1</v>
      </c>
      <c r="E472" s="110">
        <v>471</v>
      </c>
      <c r="F472" s="110">
        <v>2022</v>
      </c>
      <c r="G472" s="110" t="s">
        <v>187</v>
      </c>
      <c r="H472" s="110" t="s">
        <v>1119</v>
      </c>
      <c r="I472" s="110" t="s">
        <v>182</v>
      </c>
      <c r="J472" s="110" t="s">
        <v>182</v>
      </c>
      <c r="K472" s="110" t="s">
        <v>186</v>
      </c>
      <c r="L472" s="110" t="s">
        <v>186</v>
      </c>
      <c r="M472" s="110" t="s">
        <v>3173</v>
      </c>
      <c r="N472" s="110" t="s">
        <v>3164</v>
      </c>
      <c r="O472" s="110">
        <v>2</v>
      </c>
      <c r="Q472" s="110">
        <v>0.7</v>
      </c>
      <c r="R472" s="110" t="s">
        <v>152</v>
      </c>
      <c r="S472" s="110" t="s">
        <v>443</v>
      </c>
      <c r="T472" s="110" t="s">
        <v>154</v>
      </c>
      <c r="U472" s="110" t="s">
        <v>326</v>
      </c>
      <c r="V472" s="110">
        <v>37.15</v>
      </c>
      <c r="W472" s="110">
        <v>37.15</v>
      </c>
      <c r="X472" s="110">
        <v>122.583333</v>
      </c>
      <c r="Y472" s="110" t="s">
        <v>185</v>
      </c>
      <c r="Z472" s="110" t="s">
        <v>380</v>
      </c>
      <c r="AA472" s="110" t="s">
        <v>1788</v>
      </c>
      <c r="AB472" s="110" t="s">
        <v>333</v>
      </c>
      <c r="AC472" s="110" t="s">
        <v>246</v>
      </c>
      <c r="AD472" s="110" t="s">
        <v>1725</v>
      </c>
      <c r="AE472" s="110" t="s">
        <v>187</v>
      </c>
      <c r="AF472" s="110" t="s">
        <v>190</v>
      </c>
      <c r="AI472" s="110" t="s">
        <v>246</v>
      </c>
      <c r="AJ472" s="110" t="s">
        <v>246</v>
      </c>
      <c r="AK472" s="110" t="s">
        <v>2703</v>
      </c>
      <c r="AL472" s="110" t="s">
        <v>2115</v>
      </c>
      <c r="AM472" s="110">
        <v>30000</v>
      </c>
      <c r="AN472" s="110" t="s">
        <v>1216</v>
      </c>
      <c r="AQ472" s="110" t="s">
        <v>176</v>
      </c>
      <c r="AR472" s="110">
        <v>2021</v>
      </c>
      <c r="BA472" s="110">
        <v>20</v>
      </c>
      <c r="BB472" s="110">
        <v>26</v>
      </c>
      <c r="BC472" s="110">
        <f>AVERAGE(BA472,BB472)</f>
        <v>23</v>
      </c>
      <c r="BD472" s="110">
        <v>6</v>
      </c>
      <c r="BE472" s="110" t="s">
        <v>246</v>
      </c>
      <c r="BF472" s="110" t="s">
        <v>188</v>
      </c>
      <c r="BG472" s="110">
        <v>0</v>
      </c>
      <c r="BI472" s="110" t="s">
        <v>246</v>
      </c>
      <c r="BK472" s="110">
        <v>3</v>
      </c>
      <c r="BL472" s="110">
        <v>12</v>
      </c>
      <c r="BM472" s="110" t="s">
        <v>197</v>
      </c>
      <c r="BS472" s="110">
        <v>120</v>
      </c>
      <c r="BT472" s="110" t="s">
        <v>1385</v>
      </c>
      <c r="BU472" s="110" t="s">
        <v>3207</v>
      </c>
      <c r="BV472" s="110" t="s">
        <v>2603</v>
      </c>
      <c r="BW472" s="110">
        <v>0.99919999999999998</v>
      </c>
      <c r="BZ472" s="110">
        <v>0.1</v>
      </c>
      <c r="CB472" s="110">
        <v>8.6456900000000001</v>
      </c>
      <c r="CC472" s="110" t="b">
        <v>0</v>
      </c>
      <c r="CD472" s="110">
        <v>14.094914206214254</v>
      </c>
      <c r="CE472" s="110">
        <v>14.094914206214254</v>
      </c>
      <c r="CF472" s="110" t="s">
        <v>182</v>
      </c>
    </row>
    <row r="473" spans="1:88">
      <c r="A473" s="110" t="s">
        <v>3222</v>
      </c>
      <c r="B473" s="110">
        <v>93</v>
      </c>
      <c r="C473" s="110">
        <v>1</v>
      </c>
      <c r="D473" s="110">
        <v>1</v>
      </c>
      <c r="E473" s="110">
        <v>472</v>
      </c>
      <c r="F473" s="110">
        <v>2023</v>
      </c>
      <c r="G473" s="110" t="s">
        <v>187</v>
      </c>
      <c r="H473" s="110" t="s">
        <v>1119</v>
      </c>
      <c r="I473" s="110" t="s">
        <v>182</v>
      </c>
      <c r="J473" s="110" t="s">
        <v>182</v>
      </c>
      <c r="K473" s="110" t="s">
        <v>725</v>
      </c>
      <c r="L473" s="110" t="s">
        <v>725</v>
      </c>
      <c r="M473" s="110" t="s">
        <v>3174</v>
      </c>
      <c r="N473" s="110" t="s">
        <v>3172</v>
      </c>
      <c r="O473" s="110">
        <v>10</v>
      </c>
      <c r="P473" s="110" t="s">
        <v>3178</v>
      </c>
      <c r="R473" s="110" t="s">
        <v>1976</v>
      </c>
      <c r="S473" s="110" t="s">
        <v>444</v>
      </c>
      <c r="T473" s="110" t="s">
        <v>445</v>
      </c>
      <c r="U473" s="110" t="s">
        <v>811</v>
      </c>
      <c r="V473" s="110">
        <v>36.0565</v>
      </c>
      <c r="W473" s="110">
        <v>36.0565</v>
      </c>
      <c r="X473" s="110">
        <v>121.0557</v>
      </c>
      <c r="Y473" s="110" t="s">
        <v>185</v>
      </c>
      <c r="Z473" s="110" t="s">
        <v>380</v>
      </c>
      <c r="AA473" s="110" t="s">
        <v>1788</v>
      </c>
      <c r="AB473" s="110" t="s">
        <v>333</v>
      </c>
      <c r="AC473" s="110" t="s">
        <v>246</v>
      </c>
      <c r="AD473" s="110" t="s">
        <v>1725</v>
      </c>
      <c r="AE473" s="110" t="s">
        <v>187</v>
      </c>
      <c r="AF473" s="110" t="s">
        <v>190</v>
      </c>
      <c r="AI473" s="110" t="s">
        <v>246</v>
      </c>
      <c r="AJ473" s="110" t="s">
        <v>246</v>
      </c>
      <c r="AK473" s="110" t="s">
        <v>439</v>
      </c>
      <c r="AL473" s="110" t="s">
        <v>2716</v>
      </c>
      <c r="AM473" s="110">
        <v>100</v>
      </c>
      <c r="AN473" s="110" t="s">
        <v>1903</v>
      </c>
      <c r="AQ473" s="110" t="s">
        <v>176</v>
      </c>
      <c r="AR473" s="110">
        <v>2019</v>
      </c>
      <c r="AS473" s="110" t="s">
        <v>236</v>
      </c>
      <c r="AT473" s="110" t="s">
        <v>420</v>
      </c>
      <c r="BA473" s="110">
        <v>20</v>
      </c>
      <c r="BB473" s="110">
        <v>25</v>
      </c>
      <c r="BC473" s="110">
        <v>22.5</v>
      </c>
      <c r="BD473" s="110">
        <v>5</v>
      </c>
      <c r="BE473" s="110" t="s">
        <v>246</v>
      </c>
      <c r="BF473" s="110" t="s">
        <v>188</v>
      </c>
      <c r="BG473" s="110">
        <v>0</v>
      </c>
      <c r="BI473" s="110" t="s">
        <v>246</v>
      </c>
      <c r="BK473" s="110">
        <v>3</v>
      </c>
      <c r="BL473" s="110">
        <v>8</v>
      </c>
      <c r="BS473" s="110">
        <v>90</v>
      </c>
      <c r="BT473" s="110" t="s">
        <v>1385</v>
      </c>
      <c r="BU473" s="110" t="s">
        <v>3207</v>
      </c>
      <c r="BV473" s="110" t="s">
        <v>2603</v>
      </c>
      <c r="BW473" s="110">
        <v>0.98960000000000004</v>
      </c>
      <c r="BZ473" s="110">
        <v>0.1152</v>
      </c>
      <c r="CB473" s="110" t="s">
        <v>190</v>
      </c>
      <c r="CC473" s="110" t="b">
        <v>0</v>
      </c>
      <c r="CD473" s="110">
        <v>85.549020074774361</v>
      </c>
      <c r="CE473" s="110">
        <v>85.549020074774361</v>
      </c>
      <c r="CF473" s="110" t="s">
        <v>182</v>
      </c>
      <c r="CH473" s="110" t="s">
        <v>2712</v>
      </c>
      <c r="CJ473" s="110" t="s">
        <v>2713</v>
      </c>
    </row>
    <row r="474" spans="1:88">
      <c r="A474" s="110" t="s">
        <v>3222</v>
      </c>
      <c r="B474" s="110">
        <v>93</v>
      </c>
      <c r="C474" s="110">
        <v>1</v>
      </c>
      <c r="D474" s="110">
        <v>2</v>
      </c>
      <c r="E474" s="110">
        <v>473</v>
      </c>
      <c r="F474" s="110">
        <v>2023</v>
      </c>
      <c r="G474" s="110" t="s">
        <v>187</v>
      </c>
      <c r="H474" s="110" t="s">
        <v>1119</v>
      </c>
      <c r="I474" s="110" t="s">
        <v>182</v>
      </c>
      <c r="J474" s="110" t="s">
        <v>182</v>
      </c>
      <c r="K474" s="110" t="s">
        <v>725</v>
      </c>
      <c r="L474" s="110" t="s">
        <v>725</v>
      </c>
      <c r="M474" s="110" t="s">
        <v>3174</v>
      </c>
      <c r="N474" s="110" t="s">
        <v>3172</v>
      </c>
      <c r="O474" s="110">
        <v>10</v>
      </c>
      <c r="P474" s="110" t="s">
        <v>3178</v>
      </c>
      <c r="R474" s="110" t="s">
        <v>1976</v>
      </c>
      <c r="S474" s="110" t="s">
        <v>444</v>
      </c>
      <c r="T474" s="110" t="s">
        <v>445</v>
      </c>
      <c r="U474" s="110" t="s">
        <v>811</v>
      </c>
      <c r="V474" s="110">
        <v>36.0565</v>
      </c>
      <c r="W474" s="110">
        <v>36.0565</v>
      </c>
      <c r="X474" s="110">
        <v>121.0557</v>
      </c>
      <c r="Y474" s="110" t="s">
        <v>185</v>
      </c>
      <c r="Z474" s="110" t="s">
        <v>380</v>
      </c>
      <c r="AA474" s="110" t="s">
        <v>1788</v>
      </c>
      <c r="AB474" s="110" t="s">
        <v>333</v>
      </c>
      <c r="AC474" s="110" t="s">
        <v>246</v>
      </c>
      <c r="AD474" s="110" t="s">
        <v>1725</v>
      </c>
      <c r="AE474" s="110" t="s">
        <v>187</v>
      </c>
      <c r="AF474" s="110" t="s">
        <v>190</v>
      </c>
      <c r="AI474" s="110" t="s">
        <v>246</v>
      </c>
      <c r="AJ474" s="110" t="s">
        <v>246</v>
      </c>
      <c r="AK474" s="110" t="s">
        <v>439</v>
      </c>
      <c r="AL474" s="110" t="s">
        <v>2716</v>
      </c>
      <c r="AM474" s="110">
        <v>100</v>
      </c>
      <c r="AN474" s="110" t="s">
        <v>1903</v>
      </c>
      <c r="AQ474" s="110" t="s">
        <v>175</v>
      </c>
      <c r="AR474" s="110">
        <v>2019</v>
      </c>
      <c r="AS474" s="110" t="s">
        <v>236</v>
      </c>
      <c r="AT474" s="110" t="s">
        <v>420</v>
      </c>
      <c r="BA474" s="110">
        <v>20</v>
      </c>
      <c r="BB474" s="110">
        <v>25</v>
      </c>
      <c r="BC474" s="110">
        <v>22.5</v>
      </c>
      <c r="BD474" s="110">
        <v>5</v>
      </c>
      <c r="BE474" s="110" t="s">
        <v>246</v>
      </c>
      <c r="BF474" s="110" t="s">
        <v>188</v>
      </c>
      <c r="BG474" s="110">
        <v>0</v>
      </c>
      <c r="BI474" s="110" t="s">
        <v>246</v>
      </c>
      <c r="BK474" s="110">
        <v>3</v>
      </c>
      <c r="BL474" s="110">
        <v>8</v>
      </c>
      <c r="BS474" s="110">
        <v>90</v>
      </c>
      <c r="BT474" s="110" t="s">
        <v>1385</v>
      </c>
      <c r="BU474" s="110" t="s">
        <v>3207</v>
      </c>
      <c r="BV474" s="110" t="s">
        <v>2603</v>
      </c>
      <c r="BW474" s="110">
        <v>0.99870000000000003</v>
      </c>
      <c r="BZ474" s="110">
        <v>0.1268</v>
      </c>
      <c r="CB474" s="110" t="s">
        <v>190</v>
      </c>
      <c r="CC474" s="110" t="b">
        <v>0</v>
      </c>
      <c r="CD474" s="110">
        <v>56.936076953407976</v>
      </c>
      <c r="CE474" s="110">
        <v>56.936076953407976</v>
      </c>
      <c r="CF474" s="110" t="s">
        <v>182</v>
      </c>
      <c r="CH474" s="110" t="s">
        <v>2711</v>
      </c>
      <c r="CJ474" s="110" t="s">
        <v>2713</v>
      </c>
    </row>
    <row r="475" spans="1:88">
      <c r="A475" s="110" t="s">
        <v>3223</v>
      </c>
      <c r="B475" s="110">
        <v>94</v>
      </c>
      <c r="C475" s="110">
        <v>1</v>
      </c>
      <c r="D475" s="110">
        <v>1</v>
      </c>
      <c r="E475" s="110">
        <v>474</v>
      </c>
      <c r="F475" s="110">
        <v>2022</v>
      </c>
      <c r="G475" s="110" t="s">
        <v>187</v>
      </c>
      <c r="H475" s="110" t="s">
        <v>1119</v>
      </c>
      <c r="I475" s="110" t="s">
        <v>182</v>
      </c>
      <c r="J475" s="110" t="s">
        <v>182</v>
      </c>
      <c r="K475" s="110" t="s">
        <v>186</v>
      </c>
      <c r="L475" s="110" t="s">
        <v>186</v>
      </c>
      <c r="M475" s="110" t="s">
        <v>3173</v>
      </c>
      <c r="N475" s="110" t="s">
        <v>3158</v>
      </c>
      <c r="O475" s="110">
        <v>30</v>
      </c>
      <c r="Q475" s="110">
        <v>0.7</v>
      </c>
      <c r="R475" s="110" t="s">
        <v>1976</v>
      </c>
      <c r="S475" s="110" t="s">
        <v>444</v>
      </c>
      <c r="T475" s="110" t="s">
        <v>445</v>
      </c>
      <c r="U475" s="110" t="s">
        <v>811</v>
      </c>
      <c r="V475" s="110">
        <v>36.0565</v>
      </c>
      <c r="W475" s="110">
        <v>36.0565</v>
      </c>
      <c r="X475" s="110">
        <v>121.0557</v>
      </c>
      <c r="Y475" s="110" t="s">
        <v>185</v>
      </c>
      <c r="Z475" s="110" t="s">
        <v>380</v>
      </c>
      <c r="AA475" s="110" t="s">
        <v>1788</v>
      </c>
      <c r="AB475" s="110" t="s">
        <v>333</v>
      </c>
      <c r="AC475" s="110" t="s">
        <v>246</v>
      </c>
      <c r="AD475" s="110" t="s">
        <v>1725</v>
      </c>
      <c r="AE475" s="110" t="s">
        <v>187</v>
      </c>
      <c r="AF475" s="110" t="s">
        <v>190</v>
      </c>
      <c r="AI475" s="110" t="s">
        <v>246</v>
      </c>
      <c r="AJ475" s="110" t="s">
        <v>246</v>
      </c>
      <c r="AK475" s="110" t="s">
        <v>439</v>
      </c>
      <c r="AL475" s="110" t="s">
        <v>2716</v>
      </c>
      <c r="AM475" s="110">
        <v>100</v>
      </c>
      <c r="AN475" s="110" t="s">
        <v>1903</v>
      </c>
      <c r="AQ475" s="110" t="s">
        <v>176</v>
      </c>
      <c r="AR475" s="110">
        <v>2019</v>
      </c>
      <c r="AS475" s="110" t="s">
        <v>236</v>
      </c>
      <c r="AT475" s="110" t="s">
        <v>420</v>
      </c>
      <c r="BA475" s="110">
        <v>20</v>
      </c>
      <c r="BB475" s="110">
        <v>25</v>
      </c>
      <c r="BC475" s="110">
        <v>22.5</v>
      </c>
      <c r="BD475" s="110">
        <v>5</v>
      </c>
      <c r="BE475" s="110" t="s">
        <v>246</v>
      </c>
      <c r="BF475" s="110" t="s">
        <v>188</v>
      </c>
      <c r="BG475" s="110">
        <v>0</v>
      </c>
      <c r="BI475" s="110" t="s">
        <v>246</v>
      </c>
      <c r="BK475" s="110">
        <v>3</v>
      </c>
      <c r="BL475" s="110">
        <v>9</v>
      </c>
      <c r="BS475" s="110">
        <v>90</v>
      </c>
      <c r="BT475" s="110" t="s">
        <v>1385</v>
      </c>
      <c r="BU475" s="110" t="s">
        <v>3207</v>
      </c>
      <c r="BV475" s="110" t="s">
        <v>2603</v>
      </c>
      <c r="BW475" s="110">
        <v>0.97960000000000003</v>
      </c>
      <c r="BZ475" s="110">
        <v>8.0799999999999997E-2</v>
      </c>
      <c r="CB475" s="110" t="s">
        <v>190</v>
      </c>
      <c r="CC475" s="110" t="b">
        <v>0</v>
      </c>
      <c r="CD475" s="110">
        <v>91.293874741913285</v>
      </c>
      <c r="CE475" s="110">
        <v>91.293874741913285</v>
      </c>
      <c r="CF475" s="110" t="s">
        <v>182</v>
      </c>
      <c r="CH475" s="110" t="s">
        <v>2712</v>
      </c>
    </row>
    <row r="476" spans="1:88">
      <c r="A476" s="110" t="s">
        <v>3223</v>
      </c>
      <c r="B476" s="110">
        <v>94</v>
      </c>
      <c r="C476" s="110">
        <v>1</v>
      </c>
      <c r="D476" s="110">
        <v>2</v>
      </c>
      <c r="E476" s="110">
        <v>475</v>
      </c>
      <c r="F476" s="110">
        <v>2022</v>
      </c>
      <c r="G476" s="110" t="s">
        <v>187</v>
      </c>
      <c r="H476" s="110" t="s">
        <v>1119</v>
      </c>
      <c r="I476" s="110" t="s">
        <v>182</v>
      </c>
      <c r="J476" s="110" t="s">
        <v>182</v>
      </c>
      <c r="K476" s="110" t="s">
        <v>186</v>
      </c>
      <c r="L476" s="110" t="s">
        <v>186</v>
      </c>
      <c r="M476" s="110" t="s">
        <v>3173</v>
      </c>
      <c r="N476" s="110" t="s">
        <v>3158</v>
      </c>
      <c r="O476" s="110">
        <v>30</v>
      </c>
      <c r="Q476" s="110">
        <v>0.7</v>
      </c>
      <c r="R476" s="110" t="s">
        <v>1976</v>
      </c>
      <c r="S476" s="110" t="s">
        <v>444</v>
      </c>
      <c r="T476" s="110" t="s">
        <v>445</v>
      </c>
      <c r="U476" s="110" t="s">
        <v>811</v>
      </c>
      <c r="V476" s="110">
        <v>36.0565</v>
      </c>
      <c r="W476" s="110">
        <v>36.0565</v>
      </c>
      <c r="X476" s="110">
        <v>121.0557</v>
      </c>
      <c r="Y476" s="110" t="s">
        <v>185</v>
      </c>
      <c r="Z476" s="110" t="s">
        <v>380</v>
      </c>
      <c r="AA476" s="110" t="s">
        <v>1788</v>
      </c>
      <c r="AB476" s="110" t="s">
        <v>333</v>
      </c>
      <c r="AC476" s="110" t="s">
        <v>246</v>
      </c>
      <c r="AD476" s="110" t="s">
        <v>1725</v>
      </c>
      <c r="AE476" s="110" t="s">
        <v>187</v>
      </c>
      <c r="AF476" s="110" t="s">
        <v>190</v>
      </c>
      <c r="AI476" s="110" t="s">
        <v>246</v>
      </c>
      <c r="AJ476" s="110" t="s">
        <v>246</v>
      </c>
      <c r="AK476" s="110" t="s">
        <v>439</v>
      </c>
      <c r="AL476" s="110" t="s">
        <v>2716</v>
      </c>
      <c r="AM476" s="110">
        <v>100</v>
      </c>
      <c r="AN476" s="110" t="s">
        <v>1903</v>
      </c>
      <c r="AQ476" s="110" t="s">
        <v>175</v>
      </c>
      <c r="AR476" s="110">
        <v>2019</v>
      </c>
      <c r="AS476" s="110" t="s">
        <v>236</v>
      </c>
      <c r="AT476" s="110" t="s">
        <v>420</v>
      </c>
      <c r="BA476" s="110">
        <v>20</v>
      </c>
      <c r="BB476" s="110">
        <v>25</v>
      </c>
      <c r="BC476" s="110">
        <v>22.5</v>
      </c>
      <c r="BD476" s="110">
        <v>5</v>
      </c>
      <c r="BE476" s="110" t="s">
        <v>246</v>
      </c>
      <c r="BF476" s="110" t="s">
        <v>188</v>
      </c>
      <c r="BG476" s="110">
        <v>0</v>
      </c>
      <c r="BI476" s="110" t="s">
        <v>246</v>
      </c>
      <c r="BK476" s="110">
        <v>3</v>
      </c>
      <c r="BL476" s="110">
        <v>9</v>
      </c>
      <c r="BS476" s="110">
        <v>90</v>
      </c>
      <c r="BT476" s="110" t="s">
        <v>1385</v>
      </c>
      <c r="BU476" s="110" t="s">
        <v>3207</v>
      </c>
      <c r="BV476" s="110" t="s">
        <v>2603</v>
      </c>
      <c r="BW476" s="110">
        <v>0.995</v>
      </c>
      <c r="BZ476" s="110">
        <v>0.1003</v>
      </c>
      <c r="CB476" s="110" t="s">
        <v>190</v>
      </c>
      <c r="CC476" s="110" t="b">
        <v>0</v>
      </c>
      <c r="CD476" s="110">
        <v>84.177672896129096</v>
      </c>
      <c r="CE476" s="110">
        <v>84.177672896129096</v>
      </c>
      <c r="CF476" s="110" t="s">
        <v>182</v>
      </c>
      <c r="CH476" s="110" t="s">
        <v>2711</v>
      </c>
    </row>
    <row r="477" spans="1:88">
      <c r="A477" s="110" t="s">
        <v>3224</v>
      </c>
      <c r="B477" s="110">
        <v>95</v>
      </c>
      <c r="C477" s="110">
        <v>1</v>
      </c>
      <c r="D477" s="110">
        <v>1</v>
      </c>
      <c r="E477" s="110">
        <v>476</v>
      </c>
      <c r="F477" s="110">
        <v>2024</v>
      </c>
      <c r="G477" s="110" t="s">
        <v>187</v>
      </c>
      <c r="H477" s="110" t="s">
        <v>1119</v>
      </c>
      <c r="I477" s="110" t="s">
        <v>182</v>
      </c>
      <c r="J477" s="110" t="s">
        <v>182</v>
      </c>
      <c r="K477" s="110" t="s">
        <v>186</v>
      </c>
      <c r="L477" s="110" t="s">
        <v>186</v>
      </c>
      <c r="M477" s="110" t="s">
        <v>3173</v>
      </c>
      <c r="N477" s="110" t="s">
        <v>3165</v>
      </c>
      <c r="O477" s="110">
        <v>2</v>
      </c>
      <c r="Q477" s="110">
        <v>0.22</v>
      </c>
      <c r="R477" s="110" t="s">
        <v>152</v>
      </c>
      <c r="S477" s="110" t="s">
        <v>443</v>
      </c>
      <c r="T477" s="110" t="s">
        <v>437</v>
      </c>
      <c r="U477" s="110" t="s">
        <v>438</v>
      </c>
      <c r="V477" s="110">
        <v>39.066667000000002</v>
      </c>
      <c r="W477" s="110">
        <v>39.066667000000002</v>
      </c>
      <c r="X477" s="110">
        <v>122.15</v>
      </c>
      <c r="Y477" s="110" t="s">
        <v>185</v>
      </c>
      <c r="Z477" s="110" t="s">
        <v>380</v>
      </c>
      <c r="AA477" s="110" t="s">
        <v>1788</v>
      </c>
      <c r="AB477" s="110" t="s">
        <v>2722</v>
      </c>
      <c r="AC477" s="110" t="s">
        <v>246</v>
      </c>
      <c r="AD477" s="110" t="s">
        <v>1725</v>
      </c>
      <c r="AE477" s="110" t="s">
        <v>187</v>
      </c>
      <c r="AF477" s="110" t="s">
        <v>190</v>
      </c>
      <c r="AI477" s="110" t="s">
        <v>246</v>
      </c>
      <c r="AJ477" s="110" t="s">
        <v>246</v>
      </c>
      <c r="AK477" s="110" t="s">
        <v>2723</v>
      </c>
      <c r="AL477" s="110" t="s">
        <v>2724</v>
      </c>
      <c r="AM477" s="110">
        <v>20000</v>
      </c>
      <c r="AN477" s="110" t="s">
        <v>412</v>
      </c>
      <c r="AQ477" s="110" t="s">
        <v>176</v>
      </c>
      <c r="AR477" s="110">
        <v>2022</v>
      </c>
      <c r="AS477" s="110" t="s">
        <v>743</v>
      </c>
      <c r="AT477" s="110" t="s">
        <v>385</v>
      </c>
      <c r="BE477" s="110" t="s">
        <v>246</v>
      </c>
      <c r="BF477" s="110" t="s">
        <v>188</v>
      </c>
      <c r="BG477" s="110">
        <v>0</v>
      </c>
      <c r="BI477" s="110" t="s">
        <v>246</v>
      </c>
      <c r="BK477" s="110">
        <v>3</v>
      </c>
      <c r="BL477" s="110">
        <v>10</v>
      </c>
      <c r="BS477" s="110">
        <v>120</v>
      </c>
      <c r="BT477" s="110" t="s">
        <v>1385</v>
      </c>
      <c r="BU477" s="110" t="s">
        <v>3207</v>
      </c>
      <c r="BV477" s="110" t="s">
        <v>2603</v>
      </c>
      <c r="BW477" s="110">
        <v>0.94920000000000004</v>
      </c>
      <c r="BZ477" s="110">
        <v>0.16619999999999999</v>
      </c>
      <c r="CB477" s="110">
        <v>7.0752230000000003</v>
      </c>
      <c r="CC477" s="110" t="b">
        <v>0</v>
      </c>
      <c r="CD477" s="110">
        <v>26.116392970325553</v>
      </c>
      <c r="CE477" s="110">
        <v>26.116392970325553</v>
      </c>
      <c r="CF477" s="110" t="s">
        <v>182</v>
      </c>
      <c r="CJ477" s="110" t="s">
        <v>2725</v>
      </c>
    </row>
    <row r="478" spans="1:88">
      <c r="A478" s="110" t="s">
        <v>3218</v>
      </c>
      <c r="B478" s="110">
        <v>96</v>
      </c>
      <c r="C478" s="110">
        <v>3</v>
      </c>
      <c r="D478" s="110">
        <v>1</v>
      </c>
      <c r="E478" s="110">
        <v>477</v>
      </c>
      <c r="F478" s="110">
        <v>2024</v>
      </c>
      <c r="G478" s="110" t="s">
        <v>187</v>
      </c>
      <c r="H478" s="110" t="s">
        <v>1119</v>
      </c>
      <c r="I478" s="110" t="s">
        <v>182</v>
      </c>
      <c r="J478" s="110" t="s">
        <v>182</v>
      </c>
      <c r="K478" s="110" t="s">
        <v>186</v>
      </c>
      <c r="L478" s="110" t="s">
        <v>186</v>
      </c>
      <c r="M478" s="110" t="s">
        <v>3173</v>
      </c>
      <c r="N478" s="110" t="s">
        <v>3170</v>
      </c>
      <c r="O478" s="110">
        <v>30</v>
      </c>
      <c r="Q478" s="110">
        <v>0.2</v>
      </c>
      <c r="R478" s="110" t="s">
        <v>1976</v>
      </c>
      <c r="S478" s="110" t="s">
        <v>444</v>
      </c>
      <c r="T478" s="110" t="s">
        <v>1095</v>
      </c>
      <c r="U478" s="110" t="s">
        <v>811</v>
      </c>
      <c r="V478" s="110">
        <v>36.488830999999998</v>
      </c>
      <c r="W478" s="110">
        <v>36.488830999999998</v>
      </c>
      <c r="X478" s="110">
        <v>6.2647360000000001</v>
      </c>
      <c r="Y478" s="110" t="s">
        <v>419</v>
      </c>
      <c r="Z478" s="110" t="s">
        <v>155</v>
      </c>
      <c r="AA478" s="110" t="s">
        <v>1788</v>
      </c>
      <c r="AB478" s="110" t="s">
        <v>333</v>
      </c>
      <c r="AC478" s="110" t="s">
        <v>246</v>
      </c>
      <c r="AD478" s="110" t="s">
        <v>333</v>
      </c>
      <c r="AE478" s="110" t="s">
        <v>187</v>
      </c>
      <c r="AI478" s="110" t="s">
        <v>246</v>
      </c>
      <c r="AJ478" s="110" t="s">
        <v>246</v>
      </c>
      <c r="AK478" s="110" t="s">
        <v>2822</v>
      </c>
      <c r="AL478" s="110" t="s">
        <v>2823</v>
      </c>
      <c r="AM478" s="110">
        <v>600</v>
      </c>
      <c r="AN478" s="110" t="s">
        <v>1903</v>
      </c>
      <c r="AP478" s="110" t="s">
        <v>2825</v>
      </c>
      <c r="AQ478" s="110" t="s">
        <v>175</v>
      </c>
      <c r="BE478" s="110" t="s">
        <v>246</v>
      </c>
      <c r="BF478" s="110" t="s">
        <v>188</v>
      </c>
      <c r="BG478" s="110">
        <v>0</v>
      </c>
      <c r="BI478" s="110" t="s">
        <v>182</v>
      </c>
      <c r="BK478" s="110">
        <v>3</v>
      </c>
      <c r="BL478" s="110">
        <v>6</v>
      </c>
      <c r="BS478" s="110">
        <v>14</v>
      </c>
      <c r="BT478" s="110" t="s">
        <v>1385</v>
      </c>
      <c r="BU478" s="110" t="s">
        <v>3207</v>
      </c>
      <c r="BV478" s="110" t="s">
        <v>2603</v>
      </c>
      <c r="BW478" s="110">
        <v>0.98280000000000001</v>
      </c>
      <c r="BZ478" s="110">
        <v>0.37980000000000003</v>
      </c>
      <c r="CB478" s="110" t="s">
        <v>190</v>
      </c>
      <c r="CC478" s="110" t="b">
        <v>0</v>
      </c>
      <c r="CD478" s="110">
        <v>66.444999999999993</v>
      </c>
      <c r="CE478" s="110">
        <v>66.444999999999993</v>
      </c>
      <c r="CF478" s="110" t="s">
        <v>182</v>
      </c>
      <c r="CJ478" s="110" t="s">
        <v>2827</v>
      </c>
    </row>
    <row r="479" spans="1:88">
      <c r="A479" s="110" t="s">
        <v>3216</v>
      </c>
      <c r="B479" s="110">
        <v>97</v>
      </c>
      <c r="C479" s="110">
        <v>2</v>
      </c>
      <c r="D479" s="110">
        <v>1</v>
      </c>
      <c r="E479" s="110">
        <v>478</v>
      </c>
      <c r="F479" s="110">
        <v>2020</v>
      </c>
      <c r="G479" s="110" t="s">
        <v>187</v>
      </c>
      <c r="H479" s="110" t="s">
        <v>1119</v>
      </c>
      <c r="I479" s="110" t="s">
        <v>246</v>
      </c>
      <c r="J479" s="110" t="s">
        <v>182</v>
      </c>
      <c r="K479" s="110" t="s">
        <v>999</v>
      </c>
      <c r="L479" s="110" t="s">
        <v>999</v>
      </c>
      <c r="R479" s="110" t="s">
        <v>1976</v>
      </c>
      <c r="S479" s="110" t="s">
        <v>444</v>
      </c>
      <c r="T479" s="110" t="s">
        <v>445</v>
      </c>
      <c r="U479" s="110" t="s">
        <v>704</v>
      </c>
      <c r="V479" s="110">
        <v>38.25</v>
      </c>
      <c r="W479" s="110">
        <v>-38.25</v>
      </c>
      <c r="X479" s="110">
        <v>144.716667</v>
      </c>
      <c r="Y479" s="110" t="s">
        <v>349</v>
      </c>
      <c r="Z479" s="110" t="s">
        <v>802</v>
      </c>
      <c r="AA479" s="110" t="s">
        <v>1788</v>
      </c>
      <c r="AB479" s="110" t="s">
        <v>2830</v>
      </c>
      <c r="AC479" s="110" t="s">
        <v>246</v>
      </c>
      <c r="AD479" s="110" t="s">
        <v>1256</v>
      </c>
      <c r="AE479" s="110" t="s">
        <v>187</v>
      </c>
      <c r="AF479" s="110" t="s">
        <v>1745</v>
      </c>
      <c r="AI479" s="110" t="s">
        <v>246</v>
      </c>
      <c r="AJ479" s="110" t="s">
        <v>246</v>
      </c>
      <c r="AK479" s="110" t="s">
        <v>2829</v>
      </c>
      <c r="AL479" s="110" t="s">
        <v>2828</v>
      </c>
      <c r="AN479" s="110" t="s">
        <v>412</v>
      </c>
      <c r="AO479" s="110">
        <v>1</v>
      </c>
      <c r="AQ479" s="110" t="s">
        <v>176</v>
      </c>
      <c r="AR479" s="110">
        <v>2017</v>
      </c>
      <c r="AS479" s="110" t="s">
        <v>297</v>
      </c>
      <c r="AT479" s="110" t="s">
        <v>420</v>
      </c>
      <c r="AU479" s="110">
        <v>2</v>
      </c>
      <c r="AV479" s="110" t="s">
        <v>1256</v>
      </c>
      <c r="BA479" s="110">
        <v>23.58</v>
      </c>
      <c r="BB479" s="110">
        <v>24.75</v>
      </c>
      <c r="BC479" s="110">
        <v>24.22</v>
      </c>
      <c r="BD479" s="110">
        <f>BB479-BA479</f>
        <v>1.1700000000000017</v>
      </c>
      <c r="BE479" s="110" t="s">
        <v>246</v>
      </c>
      <c r="BF479" s="110" t="s">
        <v>188</v>
      </c>
      <c r="BG479" s="110">
        <v>0</v>
      </c>
      <c r="BI479" s="110" t="s">
        <v>182</v>
      </c>
      <c r="BK479" s="110">
        <v>4</v>
      </c>
      <c r="BL479" s="110">
        <v>1</v>
      </c>
      <c r="BS479" s="110">
        <v>62</v>
      </c>
      <c r="BT479" s="110" t="s">
        <v>2256</v>
      </c>
      <c r="BU479" s="110" t="s">
        <v>2606</v>
      </c>
      <c r="BV479" s="110" t="s">
        <v>2256</v>
      </c>
      <c r="CA479" s="110">
        <f>100/62</f>
        <v>1.6129032258064515</v>
      </c>
      <c r="CB479" s="110">
        <f>50/CA479</f>
        <v>31.000000000000004</v>
      </c>
      <c r="CC479" s="110" t="b">
        <v>0</v>
      </c>
      <c r="CD479" s="110">
        <v>0</v>
      </c>
      <c r="CE479" s="110">
        <v>0</v>
      </c>
      <c r="CF479" s="110" t="s">
        <v>246</v>
      </c>
      <c r="CH479" s="110" t="s">
        <v>2831</v>
      </c>
    </row>
    <row r="480" spans="1:88">
      <c r="A480" s="110" t="s">
        <v>3216</v>
      </c>
      <c r="B480" s="110">
        <v>97</v>
      </c>
      <c r="C480" s="110">
        <v>2</v>
      </c>
      <c r="D480" s="110">
        <v>1</v>
      </c>
      <c r="E480" s="110">
        <v>479</v>
      </c>
      <c r="F480" s="110">
        <v>2020</v>
      </c>
      <c r="G480" s="110" t="s">
        <v>187</v>
      </c>
      <c r="H480" s="110" t="s">
        <v>1119</v>
      </c>
      <c r="I480" s="110" t="s">
        <v>246</v>
      </c>
      <c r="J480" s="110" t="s">
        <v>182</v>
      </c>
      <c r="K480" s="110" t="s">
        <v>999</v>
      </c>
      <c r="L480" s="110" t="s">
        <v>999</v>
      </c>
      <c r="R480" s="110" t="s">
        <v>1976</v>
      </c>
      <c r="S480" s="110" t="s">
        <v>444</v>
      </c>
      <c r="T480" s="110" t="s">
        <v>445</v>
      </c>
      <c r="U480" s="110" t="s">
        <v>704</v>
      </c>
      <c r="V480" s="110">
        <v>38.25</v>
      </c>
      <c r="W480" s="110">
        <v>-38.25</v>
      </c>
      <c r="X480" s="110">
        <v>144.716667</v>
      </c>
      <c r="Y480" s="110" t="s">
        <v>349</v>
      </c>
      <c r="Z480" s="110" t="s">
        <v>802</v>
      </c>
      <c r="AA480" s="110" t="s">
        <v>1788</v>
      </c>
      <c r="AB480" s="110" t="s">
        <v>2830</v>
      </c>
      <c r="AC480" s="110" t="s">
        <v>246</v>
      </c>
      <c r="AD480" s="110" t="s">
        <v>1256</v>
      </c>
      <c r="AE480" s="110" t="s">
        <v>187</v>
      </c>
      <c r="AF480" s="110" t="s">
        <v>1745</v>
      </c>
      <c r="AI480" s="110" t="s">
        <v>246</v>
      </c>
      <c r="AJ480" s="110" t="s">
        <v>246</v>
      </c>
      <c r="AK480" s="110" t="s">
        <v>2829</v>
      </c>
      <c r="AL480" s="110" t="s">
        <v>2828</v>
      </c>
      <c r="AN480" s="110" t="s">
        <v>412</v>
      </c>
      <c r="AO480" s="110">
        <v>1</v>
      </c>
      <c r="AQ480" s="110" t="s">
        <v>176</v>
      </c>
      <c r="AR480" s="110">
        <v>2017</v>
      </c>
      <c r="AS480" s="110" t="s">
        <v>297</v>
      </c>
      <c r="AT480" s="110" t="s">
        <v>420</v>
      </c>
      <c r="AU480" s="110">
        <v>15</v>
      </c>
      <c r="AV480" s="110" t="s">
        <v>1256</v>
      </c>
      <c r="BA480" s="110">
        <v>23.58</v>
      </c>
      <c r="BB480" s="110">
        <v>24.75</v>
      </c>
      <c r="BC480" s="110">
        <v>24.22</v>
      </c>
      <c r="BD480" s="110">
        <f>BB480-BA480</f>
        <v>1.1700000000000017</v>
      </c>
      <c r="BE480" s="110" t="s">
        <v>246</v>
      </c>
      <c r="BF480" s="110" t="s">
        <v>188</v>
      </c>
      <c r="BG480" s="110">
        <v>0</v>
      </c>
      <c r="BI480" s="110" t="s">
        <v>182</v>
      </c>
      <c r="BK480" s="110">
        <v>4</v>
      </c>
      <c r="BL480" s="110">
        <v>1</v>
      </c>
      <c r="BS480" s="110">
        <v>62</v>
      </c>
      <c r="BT480" s="110" t="s">
        <v>2256</v>
      </c>
      <c r="BU480" s="110" t="s">
        <v>2606</v>
      </c>
      <c r="BV480" s="110" t="s">
        <v>2256</v>
      </c>
      <c r="CA480" s="110">
        <f>100/62</f>
        <v>1.6129032258064515</v>
      </c>
      <c r="CB480" s="110">
        <f>50/CA480</f>
        <v>31.000000000000004</v>
      </c>
      <c r="CC480" s="110" t="b">
        <v>0</v>
      </c>
      <c r="CD480" s="110">
        <v>0</v>
      </c>
      <c r="CE480" s="110">
        <v>0</v>
      </c>
      <c r="CF480" s="110" t="s">
        <v>246</v>
      </c>
      <c r="CH480" s="110" t="s">
        <v>2832</v>
      </c>
    </row>
    <row r="481" spans="1:88">
      <c r="A481" s="110" t="s">
        <v>3216</v>
      </c>
      <c r="B481" s="110">
        <v>97</v>
      </c>
      <c r="C481" s="110">
        <v>2</v>
      </c>
      <c r="D481" s="110">
        <v>1</v>
      </c>
      <c r="E481" s="110">
        <v>480</v>
      </c>
      <c r="F481" s="110">
        <v>2020</v>
      </c>
      <c r="G481" s="110" t="s">
        <v>187</v>
      </c>
      <c r="H481" s="110" t="s">
        <v>1119</v>
      </c>
      <c r="I481" s="110" t="s">
        <v>246</v>
      </c>
      <c r="J481" s="110" t="s">
        <v>182</v>
      </c>
      <c r="K481" s="110" t="s">
        <v>999</v>
      </c>
      <c r="L481" s="110" t="s">
        <v>999</v>
      </c>
      <c r="R481" s="110" t="s">
        <v>1976</v>
      </c>
      <c r="S481" s="110" t="s">
        <v>444</v>
      </c>
      <c r="T481" s="110" t="s">
        <v>445</v>
      </c>
      <c r="U481" s="110" t="s">
        <v>704</v>
      </c>
      <c r="V481" s="110">
        <v>38.25</v>
      </c>
      <c r="W481" s="110">
        <v>-38.25</v>
      </c>
      <c r="X481" s="110">
        <v>144.716667</v>
      </c>
      <c r="Y481" s="110" t="s">
        <v>349</v>
      </c>
      <c r="Z481" s="110" t="s">
        <v>802</v>
      </c>
      <c r="AA481" s="110" t="s">
        <v>1788</v>
      </c>
      <c r="AB481" s="110" t="s">
        <v>2830</v>
      </c>
      <c r="AC481" s="110" t="s">
        <v>246</v>
      </c>
      <c r="AD481" s="110" t="s">
        <v>1256</v>
      </c>
      <c r="AE481" s="110" t="s">
        <v>187</v>
      </c>
      <c r="AF481" s="110" t="s">
        <v>1745</v>
      </c>
      <c r="AI481" s="110" t="s">
        <v>246</v>
      </c>
      <c r="AJ481" s="110" t="s">
        <v>246</v>
      </c>
      <c r="AK481" s="110" t="s">
        <v>2829</v>
      </c>
      <c r="AL481" s="110" t="s">
        <v>2828</v>
      </c>
      <c r="AN481" s="110" t="s">
        <v>412</v>
      </c>
      <c r="AO481" s="110">
        <v>1</v>
      </c>
      <c r="AQ481" s="110" t="s">
        <v>176</v>
      </c>
      <c r="AR481" s="110">
        <v>2017</v>
      </c>
      <c r="AS481" s="110" t="s">
        <v>297</v>
      </c>
      <c r="AT481" s="110" t="s">
        <v>420</v>
      </c>
      <c r="AU481" s="110">
        <v>2</v>
      </c>
      <c r="AV481" s="110" t="s">
        <v>1256</v>
      </c>
      <c r="BA481" s="110">
        <v>23.58</v>
      </c>
      <c r="BB481" s="110">
        <v>24.75</v>
      </c>
      <c r="BC481" s="110">
        <v>24.22</v>
      </c>
      <c r="BD481" s="110">
        <f>BB481-BA481</f>
        <v>1.1700000000000017</v>
      </c>
      <c r="BE481" s="110" t="s">
        <v>246</v>
      </c>
      <c r="BF481" s="110" t="s">
        <v>188</v>
      </c>
      <c r="BG481" s="110">
        <v>0</v>
      </c>
      <c r="BI481" s="110" t="s">
        <v>182</v>
      </c>
      <c r="BK481" s="110">
        <v>4</v>
      </c>
      <c r="BL481" s="110">
        <v>1</v>
      </c>
      <c r="BS481" s="110">
        <v>62</v>
      </c>
      <c r="BT481" s="110" t="s">
        <v>2256</v>
      </c>
      <c r="BU481" s="110" t="s">
        <v>2606</v>
      </c>
      <c r="BV481" s="110" t="s">
        <v>2256</v>
      </c>
      <c r="CA481" s="110">
        <f>100/62</f>
        <v>1.6129032258064515</v>
      </c>
      <c r="CB481" s="110">
        <f>50/CA481</f>
        <v>31.000000000000004</v>
      </c>
      <c r="CC481" s="110" t="b">
        <v>0</v>
      </c>
      <c r="CD481" s="110">
        <v>0</v>
      </c>
      <c r="CE481" s="110">
        <v>0</v>
      </c>
      <c r="CF481" s="110" t="s">
        <v>246</v>
      </c>
      <c r="CH481" s="110" t="s">
        <v>2833</v>
      </c>
    </row>
    <row r="482" spans="1:88">
      <c r="A482" s="110" t="s">
        <v>3216</v>
      </c>
      <c r="B482" s="110">
        <v>97</v>
      </c>
      <c r="C482" s="110">
        <v>2</v>
      </c>
      <c r="D482" s="110">
        <v>1</v>
      </c>
      <c r="E482" s="110">
        <v>481</v>
      </c>
      <c r="F482" s="110">
        <v>2020</v>
      </c>
      <c r="G482" s="110" t="s">
        <v>187</v>
      </c>
      <c r="H482" s="110" t="s">
        <v>1119</v>
      </c>
      <c r="I482" s="110" t="s">
        <v>246</v>
      </c>
      <c r="J482" s="110" t="s">
        <v>182</v>
      </c>
      <c r="K482" s="110" t="s">
        <v>999</v>
      </c>
      <c r="L482" s="110" t="s">
        <v>999</v>
      </c>
      <c r="R482" s="110" t="s">
        <v>1976</v>
      </c>
      <c r="S482" s="110" t="s">
        <v>444</v>
      </c>
      <c r="T482" s="110" t="s">
        <v>445</v>
      </c>
      <c r="U482" s="110" t="s">
        <v>704</v>
      </c>
      <c r="V482" s="110">
        <v>38.25</v>
      </c>
      <c r="W482" s="110">
        <v>-38.25</v>
      </c>
      <c r="X482" s="110">
        <v>144.716667</v>
      </c>
      <c r="Y482" s="110" t="s">
        <v>349</v>
      </c>
      <c r="Z482" s="110" t="s">
        <v>802</v>
      </c>
      <c r="AA482" s="110" t="s">
        <v>1788</v>
      </c>
      <c r="AB482" s="110" t="s">
        <v>2830</v>
      </c>
      <c r="AC482" s="110" t="s">
        <v>246</v>
      </c>
      <c r="AD482" s="110" t="s">
        <v>1256</v>
      </c>
      <c r="AE482" s="110" t="s">
        <v>187</v>
      </c>
      <c r="AF482" s="110" t="s">
        <v>1745</v>
      </c>
      <c r="AI482" s="110" t="s">
        <v>246</v>
      </c>
      <c r="AJ482" s="110" t="s">
        <v>246</v>
      </c>
      <c r="AK482" s="110" t="s">
        <v>2829</v>
      </c>
      <c r="AL482" s="110" t="s">
        <v>2828</v>
      </c>
      <c r="AN482" s="110" t="s">
        <v>412</v>
      </c>
      <c r="AO482" s="110">
        <v>1</v>
      </c>
      <c r="AQ482" s="110" t="s">
        <v>176</v>
      </c>
      <c r="AR482" s="110">
        <v>2017</v>
      </c>
      <c r="AS482" s="110" t="s">
        <v>297</v>
      </c>
      <c r="AT482" s="110" t="s">
        <v>420</v>
      </c>
      <c r="AU482" s="110">
        <v>15</v>
      </c>
      <c r="AV482" s="110" t="s">
        <v>1256</v>
      </c>
      <c r="BA482" s="110">
        <v>23.58</v>
      </c>
      <c r="BB482" s="110">
        <v>24.75</v>
      </c>
      <c r="BC482" s="110">
        <v>24.22</v>
      </c>
      <c r="BD482" s="110">
        <f>BB482-BA482</f>
        <v>1.1700000000000017</v>
      </c>
      <c r="BE482" s="110" t="s">
        <v>246</v>
      </c>
      <c r="BF482" s="110" t="s">
        <v>188</v>
      </c>
      <c r="BG482" s="110">
        <v>0</v>
      </c>
      <c r="BI482" s="110" t="s">
        <v>182</v>
      </c>
      <c r="BK482" s="110">
        <v>4</v>
      </c>
      <c r="BL482" s="110">
        <v>1</v>
      </c>
      <c r="BS482" s="110">
        <v>62</v>
      </c>
      <c r="BT482" s="110" t="s">
        <v>2256</v>
      </c>
      <c r="BU482" s="110" t="s">
        <v>2606</v>
      </c>
      <c r="BV482" s="110" t="s">
        <v>2256</v>
      </c>
      <c r="CA482" s="110">
        <f>(100-1.4466)/62</f>
        <v>1.5895709677419354</v>
      </c>
      <c r="CB482" s="110">
        <f>50/CA482</f>
        <v>31.455028441433782</v>
      </c>
      <c r="CC482" s="110" t="b">
        <v>0</v>
      </c>
      <c r="CD482" s="110">
        <v>1.446</v>
      </c>
      <c r="CE482" s="110" t="s">
        <v>2256</v>
      </c>
      <c r="CF482" s="110" t="s">
        <v>2256</v>
      </c>
      <c r="CH482" s="110" t="s">
        <v>2834</v>
      </c>
    </row>
    <row r="483" spans="1:88">
      <c r="A483" s="110" t="s">
        <v>3219</v>
      </c>
      <c r="B483" s="110">
        <v>98</v>
      </c>
      <c r="C483" s="110">
        <v>1</v>
      </c>
      <c r="D483" s="110">
        <v>1</v>
      </c>
      <c r="E483" s="110">
        <v>482</v>
      </c>
      <c r="F483" s="110">
        <v>2020</v>
      </c>
      <c r="G483" s="110" t="s">
        <v>187</v>
      </c>
      <c r="H483" s="110" t="s">
        <v>1119</v>
      </c>
      <c r="I483" s="110" t="s">
        <v>182</v>
      </c>
      <c r="J483" s="110" t="s">
        <v>182</v>
      </c>
      <c r="K483" s="110" t="s">
        <v>725</v>
      </c>
      <c r="L483" s="110" t="s">
        <v>725</v>
      </c>
      <c r="M483" s="110" t="s">
        <v>3161</v>
      </c>
      <c r="P483" s="110" t="s">
        <v>3177</v>
      </c>
      <c r="R483" s="110" t="s">
        <v>272</v>
      </c>
      <c r="S483" s="110" t="s">
        <v>443</v>
      </c>
      <c r="T483" s="110" t="s">
        <v>611</v>
      </c>
      <c r="U483" s="110" t="s">
        <v>612</v>
      </c>
      <c r="V483" s="110">
        <v>55.454999999999998</v>
      </c>
      <c r="W483" s="110">
        <v>55.454999999999998</v>
      </c>
      <c r="X483" s="110">
        <v>10.4588</v>
      </c>
      <c r="Y483" s="110" t="s">
        <v>973</v>
      </c>
      <c r="Z483" s="110" t="s">
        <v>155</v>
      </c>
      <c r="AA483" s="110" t="s">
        <v>1788</v>
      </c>
      <c r="AB483" s="110" t="s">
        <v>333</v>
      </c>
      <c r="AC483" s="110" t="s">
        <v>246</v>
      </c>
      <c r="AD483" s="110" t="s">
        <v>1256</v>
      </c>
      <c r="AE483" s="110" t="s">
        <v>187</v>
      </c>
      <c r="AF483" s="110" t="s">
        <v>1745</v>
      </c>
      <c r="AI483" s="110" t="s">
        <v>182</v>
      </c>
      <c r="AJ483" s="110" t="s">
        <v>2836</v>
      </c>
      <c r="AK483" s="110" t="s">
        <v>2837</v>
      </c>
      <c r="AL483" s="110" t="s">
        <v>2838</v>
      </c>
      <c r="AN483" s="110" t="s">
        <v>412</v>
      </c>
      <c r="AQ483" s="110" t="s">
        <v>176</v>
      </c>
      <c r="AU483" s="110">
        <v>5</v>
      </c>
      <c r="AV483" s="110" t="s">
        <v>1256</v>
      </c>
      <c r="AW483" s="110">
        <v>21.6</v>
      </c>
      <c r="AY483" s="110">
        <v>41.4</v>
      </c>
      <c r="BA483" s="110">
        <v>15</v>
      </c>
      <c r="BB483" s="110">
        <v>15</v>
      </c>
      <c r="BC483" s="110">
        <v>15</v>
      </c>
      <c r="BD483" s="110">
        <f>BB483-BA483</f>
        <v>0</v>
      </c>
      <c r="BE483" s="110" t="s">
        <v>246</v>
      </c>
      <c r="BF483" s="110" t="s">
        <v>188</v>
      </c>
      <c r="BG483" s="110">
        <v>0</v>
      </c>
      <c r="BI483" s="110" t="s">
        <v>182</v>
      </c>
      <c r="BK483" s="110">
        <v>3</v>
      </c>
      <c r="BL483" s="110">
        <v>1</v>
      </c>
      <c r="BS483" s="110">
        <v>27</v>
      </c>
      <c r="BT483" s="110" t="s">
        <v>2256</v>
      </c>
      <c r="BU483" s="110" t="s">
        <v>2606</v>
      </c>
      <c r="BV483" s="110" t="s">
        <v>2256</v>
      </c>
      <c r="CA483" s="110">
        <f>(100-43.8)/27</f>
        <v>2.0814814814814815</v>
      </c>
      <c r="CB483" s="110">
        <f>50/CA483</f>
        <v>24.021352313167259</v>
      </c>
      <c r="CC483" s="110" t="b">
        <v>0</v>
      </c>
      <c r="CD483" s="110">
        <v>43.8</v>
      </c>
      <c r="CE483" s="110" t="s">
        <v>2256</v>
      </c>
      <c r="CF483" s="110" t="s">
        <v>2256</v>
      </c>
      <c r="CH483" s="110" t="s">
        <v>2840</v>
      </c>
      <c r="CJ483" s="110" t="s">
        <v>2839</v>
      </c>
    </row>
    <row r="484" spans="1:88">
      <c r="A484" s="110" t="s">
        <v>3219</v>
      </c>
      <c r="B484" s="110">
        <v>98</v>
      </c>
      <c r="C484" s="110">
        <v>1</v>
      </c>
      <c r="D484" s="110">
        <v>1</v>
      </c>
      <c r="E484" s="110">
        <v>483</v>
      </c>
      <c r="F484" s="110">
        <v>2020</v>
      </c>
      <c r="G484" s="110" t="s">
        <v>187</v>
      </c>
      <c r="H484" s="110" t="s">
        <v>1119</v>
      </c>
      <c r="I484" s="110" t="s">
        <v>182</v>
      </c>
      <c r="J484" s="110" t="s">
        <v>182</v>
      </c>
      <c r="K484" s="110" t="s">
        <v>725</v>
      </c>
      <c r="L484" s="110" t="s">
        <v>725</v>
      </c>
      <c r="M484" s="110" t="s">
        <v>3161</v>
      </c>
      <c r="P484" s="110" t="s">
        <v>3177</v>
      </c>
      <c r="R484" s="110" t="s">
        <v>272</v>
      </c>
      <c r="S484" s="110" t="s">
        <v>443</v>
      </c>
      <c r="T484" s="110" t="s">
        <v>611</v>
      </c>
      <c r="U484" s="110" t="s">
        <v>612</v>
      </c>
      <c r="V484" s="110">
        <v>55.454999999999998</v>
      </c>
      <c r="W484" s="110">
        <v>55.454999999999998</v>
      </c>
      <c r="X484" s="110">
        <v>10.4588</v>
      </c>
      <c r="Y484" s="110" t="s">
        <v>973</v>
      </c>
      <c r="Z484" s="110" t="s">
        <v>155</v>
      </c>
      <c r="AA484" s="110" t="s">
        <v>1788</v>
      </c>
      <c r="AB484" s="110" t="s">
        <v>333</v>
      </c>
      <c r="AC484" s="110" t="s">
        <v>246</v>
      </c>
      <c r="AD484" s="110" t="s">
        <v>1256</v>
      </c>
      <c r="AE484" s="110" t="s">
        <v>187</v>
      </c>
      <c r="AF484" s="110" t="s">
        <v>1745</v>
      </c>
      <c r="AI484" s="110" t="s">
        <v>182</v>
      </c>
      <c r="AJ484" s="110" t="s">
        <v>2836</v>
      </c>
      <c r="AK484" s="110" t="s">
        <v>2837</v>
      </c>
      <c r="AL484" s="110" t="s">
        <v>2838</v>
      </c>
      <c r="AN484" s="110" t="s">
        <v>412</v>
      </c>
      <c r="AQ484" s="110" t="s">
        <v>176</v>
      </c>
      <c r="AU484" s="110">
        <v>5</v>
      </c>
      <c r="AV484" s="110" t="s">
        <v>1256</v>
      </c>
      <c r="AW484" s="110">
        <v>21.6</v>
      </c>
      <c r="AY484" s="110">
        <v>41.4</v>
      </c>
      <c r="BA484" s="110">
        <v>15</v>
      </c>
      <c r="BB484" s="110">
        <v>15</v>
      </c>
      <c r="BC484" s="110">
        <v>15</v>
      </c>
      <c r="BD484" s="110">
        <f>BB484-BA484</f>
        <v>0</v>
      </c>
      <c r="BE484" s="110" t="s">
        <v>246</v>
      </c>
      <c r="BF484" s="110" t="s">
        <v>188</v>
      </c>
      <c r="BG484" s="110">
        <v>0</v>
      </c>
      <c r="BI484" s="110" t="s">
        <v>182</v>
      </c>
      <c r="BK484" s="110">
        <v>3</v>
      </c>
      <c r="BL484" s="110">
        <v>1</v>
      </c>
      <c r="BS484" s="110">
        <v>27</v>
      </c>
      <c r="BT484" s="110" t="s">
        <v>2256</v>
      </c>
      <c r="BU484" s="110" t="s">
        <v>2606</v>
      </c>
      <c r="BV484" s="110" t="s">
        <v>2256</v>
      </c>
      <c r="CA484" s="110">
        <f>(100-19.5)/27</f>
        <v>2.9814814814814814</v>
      </c>
      <c r="CB484" s="110">
        <f>50/CA484</f>
        <v>16.770186335403729</v>
      </c>
      <c r="CC484" s="110" t="b">
        <v>0</v>
      </c>
      <c r="CD484" s="110">
        <v>19.5</v>
      </c>
      <c r="CE484" s="110" t="s">
        <v>2256</v>
      </c>
      <c r="CF484" s="110" t="s">
        <v>2256</v>
      </c>
      <c r="CH484" s="110" t="s">
        <v>2841</v>
      </c>
      <c r="CJ484" s="110" t="s">
        <v>2839</v>
      </c>
    </row>
    <row r="485" spans="1:88">
      <c r="A485" s="110" t="s">
        <v>3219</v>
      </c>
      <c r="B485" s="110">
        <v>98</v>
      </c>
      <c r="C485" s="110">
        <v>1</v>
      </c>
      <c r="D485" s="110">
        <v>1</v>
      </c>
      <c r="E485" s="110">
        <v>484</v>
      </c>
      <c r="F485" s="110">
        <v>2020</v>
      </c>
      <c r="G485" s="110" t="s">
        <v>187</v>
      </c>
      <c r="H485" s="110" t="s">
        <v>1119</v>
      </c>
      <c r="I485" s="110" t="s">
        <v>182</v>
      </c>
      <c r="J485" s="110" t="s">
        <v>182</v>
      </c>
      <c r="K485" s="110" t="s">
        <v>725</v>
      </c>
      <c r="L485" s="110" t="s">
        <v>725</v>
      </c>
      <c r="M485" s="110" t="s">
        <v>3161</v>
      </c>
      <c r="P485" s="110" t="s">
        <v>3177</v>
      </c>
      <c r="R485" s="110" t="s">
        <v>272</v>
      </c>
      <c r="S485" s="110" t="s">
        <v>443</v>
      </c>
      <c r="T485" s="110" t="s">
        <v>611</v>
      </c>
      <c r="U485" s="110" t="s">
        <v>612</v>
      </c>
      <c r="V485" s="110">
        <v>55.454999999999998</v>
      </c>
      <c r="W485" s="110">
        <v>55.454999999999998</v>
      </c>
      <c r="X485" s="110">
        <v>10.4588</v>
      </c>
      <c r="Y485" s="110" t="s">
        <v>973</v>
      </c>
      <c r="Z485" s="110" t="s">
        <v>155</v>
      </c>
      <c r="AA485" s="110" t="s">
        <v>1788</v>
      </c>
      <c r="AB485" s="110" t="s">
        <v>333</v>
      </c>
      <c r="AC485" s="110" t="s">
        <v>246</v>
      </c>
      <c r="AD485" s="110" t="s">
        <v>1256</v>
      </c>
      <c r="AE485" s="110" t="s">
        <v>187</v>
      </c>
      <c r="AF485" s="110" t="s">
        <v>1745</v>
      </c>
      <c r="AI485" s="110" t="s">
        <v>182</v>
      </c>
      <c r="AJ485" s="110" t="s">
        <v>2836</v>
      </c>
      <c r="AK485" s="110" t="s">
        <v>2837</v>
      </c>
      <c r="AL485" s="110" t="s">
        <v>2838</v>
      </c>
      <c r="AN485" s="110" t="s">
        <v>412</v>
      </c>
      <c r="AQ485" s="110" t="s">
        <v>176</v>
      </c>
      <c r="AU485" s="110">
        <v>5</v>
      </c>
      <c r="AV485" s="110" t="s">
        <v>1256</v>
      </c>
      <c r="AW485" s="110">
        <v>21.6</v>
      </c>
      <c r="AY485" s="110">
        <v>41.4</v>
      </c>
      <c r="BA485" s="110">
        <v>15</v>
      </c>
      <c r="BB485" s="110">
        <v>15</v>
      </c>
      <c r="BC485" s="110">
        <v>15</v>
      </c>
      <c r="BD485" s="110">
        <f>BB485-BA485</f>
        <v>0</v>
      </c>
      <c r="BE485" s="110" t="s">
        <v>246</v>
      </c>
      <c r="BF485" s="110" t="s">
        <v>188</v>
      </c>
      <c r="BG485" s="110">
        <v>0</v>
      </c>
      <c r="BI485" s="110" t="s">
        <v>182</v>
      </c>
      <c r="BK485" s="110">
        <v>3</v>
      </c>
      <c r="BL485" s="110">
        <v>1</v>
      </c>
      <c r="BS485" s="110">
        <v>27</v>
      </c>
      <c r="BT485" s="110" t="s">
        <v>2256</v>
      </c>
      <c r="BU485" s="110" t="s">
        <v>2606</v>
      </c>
      <c r="BV485" s="110" t="s">
        <v>2256</v>
      </c>
      <c r="CA485" s="110">
        <f>(100-47.1)/27</f>
        <v>1.9592592592592593</v>
      </c>
      <c r="CB485" s="110">
        <f>50/CA485</f>
        <v>25.519848771266542</v>
      </c>
      <c r="CC485" s="110" t="b">
        <v>0</v>
      </c>
      <c r="CD485" s="110">
        <v>47.1</v>
      </c>
      <c r="CE485" s="110" t="s">
        <v>2256</v>
      </c>
      <c r="CF485" s="110" t="s">
        <v>2256</v>
      </c>
      <c r="CH485" s="110" t="s">
        <v>2842</v>
      </c>
      <c r="CJ485" s="110" t="s">
        <v>2839</v>
      </c>
    </row>
    <row r="486" spans="1:88">
      <c r="A486" s="110" t="s">
        <v>3219</v>
      </c>
      <c r="B486" s="110">
        <v>98</v>
      </c>
      <c r="C486" s="110">
        <v>1</v>
      </c>
      <c r="D486" s="110">
        <v>1</v>
      </c>
      <c r="E486" s="110">
        <v>485</v>
      </c>
      <c r="F486" s="110">
        <v>2020</v>
      </c>
      <c r="G486" s="110" t="s">
        <v>187</v>
      </c>
      <c r="H486" s="110" t="s">
        <v>1119</v>
      </c>
      <c r="I486" s="110" t="s">
        <v>182</v>
      </c>
      <c r="J486" s="110" t="s">
        <v>182</v>
      </c>
      <c r="K486" s="110" t="s">
        <v>725</v>
      </c>
      <c r="L486" s="110" t="s">
        <v>725</v>
      </c>
      <c r="M486" s="110" t="s">
        <v>3161</v>
      </c>
      <c r="P486" s="110" t="s">
        <v>3177</v>
      </c>
      <c r="R486" s="110" t="s">
        <v>272</v>
      </c>
      <c r="S486" s="110" t="s">
        <v>443</v>
      </c>
      <c r="T486" s="110" t="s">
        <v>611</v>
      </c>
      <c r="U486" s="110" t="s">
        <v>612</v>
      </c>
      <c r="V486" s="110">
        <v>55.454999999999998</v>
      </c>
      <c r="W486" s="110">
        <v>55.454999999999998</v>
      </c>
      <c r="X486" s="110">
        <v>10.4588</v>
      </c>
      <c r="Y486" s="110" t="s">
        <v>973</v>
      </c>
      <c r="Z486" s="110" t="s">
        <v>155</v>
      </c>
      <c r="AA486" s="110" t="s">
        <v>1788</v>
      </c>
      <c r="AB486" s="110" t="s">
        <v>333</v>
      </c>
      <c r="AC486" s="110" t="s">
        <v>246</v>
      </c>
      <c r="AD486" s="110" t="s">
        <v>1256</v>
      </c>
      <c r="AE486" s="110" t="s">
        <v>187</v>
      </c>
      <c r="AF486" s="110" t="s">
        <v>1745</v>
      </c>
      <c r="AI486" s="110" t="s">
        <v>182</v>
      </c>
      <c r="AJ486" s="110" t="s">
        <v>2836</v>
      </c>
      <c r="AK486" s="110" t="s">
        <v>2837</v>
      </c>
      <c r="AL486" s="110" t="s">
        <v>2838</v>
      </c>
      <c r="AN486" s="110" t="s">
        <v>412</v>
      </c>
      <c r="AQ486" s="110" t="s">
        <v>176</v>
      </c>
      <c r="AU486" s="110">
        <v>5</v>
      </c>
      <c r="AV486" s="110" t="s">
        <v>1256</v>
      </c>
      <c r="AW486" s="110">
        <v>21.6</v>
      </c>
      <c r="AY486" s="110">
        <v>41.4</v>
      </c>
      <c r="BA486" s="110">
        <v>15</v>
      </c>
      <c r="BB486" s="110">
        <v>15</v>
      </c>
      <c r="BC486" s="110">
        <v>15</v>
      </c>
      <c r="BD486" s="110">
        <f>BB486-BA486</f>
        <v>0</v>
      </c>
      <c r="BE486" s="110" t="s">
        <v>246</v>
      </c>
      <c r="BF486" s="110" t="s">
        <v>188</v>
      </c>
      <c r="BG486" s="110">
        <v>0</v>
      </c>
      <c r="BI486" s="110" t="s">
        <v>182</v>
      </c>
      <c r="BK486" s="110">
        <v>3</v>
      </c>
      <c r="BL486" s="110">
        <v>1</v>
      </c>
      <c r="BS486" s="110">
        <v>27</v>
      </c>
      <c r="BT486" s="110" t="s">
        <v>2256</v>
      </c>
      <c r="BU486" s="110" t="s">
        <v>2606</v>
      </c>
      <c r="BV486" s="110" t="s">
        <v>2256</v>
      </c>
      <c r="CA486" s="110">
        <f>(100-32.3)/27</f>
        <v>2.5074074074074075</v>
      </c>
      <c r="CB486" s="110">
        <f>50/CA486</f>
        <v>19.940915805022154</v>
      </c>
      <c r="CC486" s="110" t="b">
        <v>0</v>
      </c>
      <c r="CD486" s="110">
        <v>32.299999999999997</v>
      </c>
      <c r="CE486" s="110" t="s">
        <v>2256</v>
      </c>
      <c r="CF486" s="110" t="s">
        <v>2256</v>
      </c>
      <c r="CH486" s="110" t="s">
        <v>2843</v>
      </c>
      <c r="CJ486" s="110" t="s">
        <v>2839</v>
      </c>
    </row>
    <row r="487" spans="1:88">
      <c r="A487" s="110" t="s">
        <v>3225</v>
      </c>
      <c r="B487" s="110">
        <v>99</v>
      </c>
      <c r="C487" s="110">
        <v>3</v>
      </c>
      <c r="D487" s="110">
        <v>1</v>
      </c>
      <c r="E487" s="110">
        <v>486</v>
      </c>
      <c r="F487" s="110">
        <v>2021</v>
      </c>
      <c r="G487" s="110" t="s">
        <v>187</v>
      </c>
      <c r="H487" s="110" t="s">
        <v>1119</v>
      </c>
      <c r="I487" s="110" t="s">
        <v>182</v>
      </c>
      <c r="J487" s="110" t="s">
        <v>182</v>
      </c>
      <c r="K487" s="110" t="s">
        <v>725</v>
      </c>
      <c r="L487" s="110" t="s">
        <v>725</v>
      </c>
      <c r="M487" s="110" t="s">
        <v>3175</v>
      </c>
      <c r="P487" s="110" t="s">
        <v>3182</v>
      </c>
      <c r="R487" s="110" t="s">
        <v>152</v>
      </c>
      <c r="S487" s="110" t="s">
        <v>443</v>
      </c>
      <c r="T487" s="110" t="s">
        <v>437</v>
      </c>
      <c r="U487" s="110" t="s">
        <v>438</v>
      </c>
      <c r="V487" s="110">
        <v>34.524000000000001</v>
      </c>
      <c r="W487" s="110">
        <v>34.524000000000001</v>
      </c>
      <c r="X487" s="110">
        <v>136.75</v>
      </c>
      <c r="Y487" s="110" t="s">
        <v>379</v>
      </c>
      <c r="Z487" s="110" t="s">
        <v>380</v>
      </c>
      <c r="AA487" s="110" t="s">
        <v>1788</v>
      </c>
      <c r="AB487" s="110" t="s">
        <v>1726</v>
      </c>
      <c r="AC487" s="110" t="s">
        <v>182</v>
      </c>
      <c r="AD487" s="110" t="s">
        <v>1256</v>
      </c>
      <c r="AE487" s="110" t="s">
        <v>187</v>
      </c>
      <c r="AI487" s="110" t="s">
        <v>246</v>
      </c>
      <c r="AJ487" s="110" t="s">
        <v>246</v>
      </c>
      <c r="AK487" s="110" t="s">
        <v>439</v>
      </c>
      <c r="AL487" s="110" t="s">
        <v>2845</v>
      </c>
      <c r="AM487" s="110">
        <v>45</v>
      </c>
      <c r="AN487" s="110" t="s">
        <v>412</v>
      </c>
      <c r="AQ487" s="110" t="s">
        <v>176</v>
      </c>
      <c r="AR487" s="110">
        <v>2018</v>
      </c>
      <c r="AU487" s="110">
        <v>0.1</v>
      </c>
      <c r="AV487" s="110" t="s">
        <v>1255</v>
      </c>
      <c r="AY487" s="110">
        <v>34.17</v>
      </c>
      <c r="BA487" s="110">
        <v>20</v>
      </c>
      <c r="BB487" s="110">
        <v>20</v>
      </c>
      <c r="BC487" s="110">
        <v>20</v>
      </c>
      <c r="BD487" s="110">
        <v>0</v>
      </c>
      <c r="BE487" s="110" t="s">
        <v>246</v>
      </c>
      <c r="BF487" s="110" t="s">
        <v>188</v>
      </c>
      <c r="BG487" s="110">
        <v>0</v>
      </c>
      <c r="BI487" s="110" t="s">
        <v>246</v>
      </c>
      <c r="BK487" s="110">
        <v>3</v>
      </c>
      <c r="BL487" s="110">
        <v>4</v>
      </c>
      <c r="BS487" s="110">
        <v>200</v>
      </c>
      <c r="BT487" s="110" t="s">
        <v>1385</v>
      </c>
      <c r="BU487" s="110" t="s">
        <v>3207</v>
      </c>
      <c r="BV487" s="110" t="s">
        <v>2603</v>
      </c>
      <c r="BW487" s="110">
        <v>0.99109999999999998</v>
      </c>
      <c r="BZ487" s="110">
        <v>0.1031</v>
      </c>
      <c r="CB487" s="110">
        <v>11.892918999999999</v>
      </c>
      <c r="CC487" s="110" t="b">
        <v>0</v>
      </c>
      <c r="CD487" s="110">
        <v>25.12</v>
      </c>
      <c r="CE487" s="110">
        <v>25.12</v>
      </c>
      <c r="CF487" s="110" t="s">
        <v>182</v>
      </c>
    </row>
    <row r="488" spans="1:88">
      <c r="A488" s="110" t="s">
        <v>309</v>
      </c>
      <c r="B488" s="110">
        <v>100</v>
      </c>
      <c r="C488" s="110">
        <v>1</v>
      </c>
      <c r="D488" s="110">
        <v>1</v>
      </c>
      <c r="E488" s="110">
        <v>487</v>
      </c>
      <c r="F488" s="110">
        <v>2021</v>
      </c>
      <c r="G488" s="110" t="s">
        <v>187</v>
      </c>
      <c r="H488" s="110" t="s">
        <v>1119</v>
      </c>
      <c r="I488" s="110" t="s">
        <v>182</v>
      </c>
      <c r="J488" s="110" t="s">
        <v>182</v>
      </c>
      <c r="K488" s="110" t="s">
        <v>999</v>
      </c>
      <c r="L488" s="110" t="s">
        <v>999</v>
      </c>
      <c r="R488" s="110" t="s">
        <v>152</v>
      </c>
      <c r="S488" s="110" t="s">
        <v>443</v>
      </c>
      <c r="T488" s="110" t="s">
        <v>156</v>
      </c>
      <c r="U488" s="110" t="s">
        <v>158</v>
      </c>
      <c r="V488" s="110">
        <v>48.708950000000002</v>
      </c>
      <c r="W488" s="110">
        <v>48.708950000000002</v>
      </c>
      <c r="X488" s="110">
        <v>-3.9013361099999999</v>
      </c>
      <c r="Y488" s="110" t="s">
        <v>310</v>
      </c>
      <c r="Z488" s="110" t="s">
        <v>155</v>
      </c>
      <c r="AA488" s="110" t="s">
        <v>1788</v>
      </c>
      <c r="AB488" s="110" t="s">
        <v>333</v>
      </c>
      <c r="AC488" s="110" t="s">
        <v>246</v>
      </c>
      <c r="AD488" s="110" t="s">
        <v>333</v>
      </c>
      <c r="AE488" s="110" t="s">
        <v>187</v>
      </c>
      <c r="AF488" s="110" t="s">
        <v>190</v>
      </c>
      <c r="AG488" s="110" t="s">
        <v>190</v>
      </c>
      <c r="AI488" s="110" t="s">
        <v>246</v>
      </c>
      <c r="AJ488" s="110" t="s">
        <v>246</v>
      </c>
      <c r="AK488" s="110" t="s">
        <v>902</v>
      </c>
      <c r="AL488" s="110" t="s">
        <v>1167</v>
      </c>
      <c r="AN488" s="110" t="s">
        <v>412</v>
      </c>
      <c r="AO488" s="110" t="s">
        <v>190</v>
      </c>
      <c r="AP488" s="110" t="s">
        <v>190</v>
      </c>
      <c r="AQ488" s="110" t="s">
        <v>176</v>
      </c>
      <c r="AR488" s="110">
        <v>2018</v>
      </c>
      <c r="AS488" s="110" t="s">
        <v>234</v>
      </c>
      <c r="AT488" s="110" t="s">
        <v>298</v>
      </c>
      <c r="AU488" s="110" t="s">
        <v>174</v>
      </c>
      <c r="AW488" s="110" t="s">
        <v>174</v>
      </c>
      <c r="AX488" s="110" t="s">
        <v>174</v>
      </c>
      <c r="AY488" s="110" t="s">
        <v>174</v>
      </c>
      <c r="AZ488" s="110" t="s">
        <v>174</v>
      </c>
      <c r="BA488" s="110">
        <v>16.899999999999999</v>
      </c>
      <c r="BB488" s="110">
        <v>23.7</v>
      </c>
      <c r="BC488" s="110">
        <v>20.3</v>
      </c>
      <c r="BD488" s="110">
        <v>6.8</v>
      </c>
      <c r="BE488" s="110" t="s">
        <v>182</v>
      </c>
      <c r="BF488" s="110" t="s">
        <v>1903</v>
      </c>
      <c r="BG488" s="110">
        <v>98.9</v>
      </c>
      <c r="BH488" s="110" t="s">
        <v>311</v>
      </c>
      <c r="BI488" s="110" t="s">
        <v>182</v>
      </c>
      <c r="BJ488" s="110" t="s">
        <v>1701</v>
      </c>
      <c r="BK488" s="110">
        <v>5</v>
      </c>
      <c r="BL488" s="110">
        <v>5</v>
      </c>
      <c r="BM488" s="110" t="s">
        <v>174</v>
      </c>
      <c r="BN488" s="110" t="s">
        <v>174</v>
      </c>
      <c r="BO488" s="110" t="s">
        <v>174</v>
      </c>
      <c r="BP488" s="110" t="s">
        <v>174</v>
      </c>
      <c r="BQ488" s="110" t="s">
        <v>174</v>
      </c>
      <c r="BR488" s="110" t="s">
        <v>174</v>
      </c>
      <c r="BS488" s="110">
        <v>56</v>
      </c>
      <c r="BT488" s="110" t="s">
        <v>1387</v>
      </c>
      <c r="BU488" s="110" t="s">
        <v>2606</v>
      </c>
      <c r="BV488" s="110" t="s">
        <v>1387</v>
      </c>
      <c r="CB488" s="110" t="s">
        <v>190</v>
      </c>
      <c r="CC488" s="110" t="b">
        <v>0</v>
      </c>
      <c r="CD488" s="110">
        <v>97.4</v>
      </c>
      <c r="CE488" s="110" t="s">
        <v>2256</v>
      </c>
      <c r="CF488" s="110" t="s">
        <v>2256</v>
      </c>
      <c r="CG488" s="110" t="s">
        <v>174</v>
      </c>
      <c r="CH488" s="110" t="s">
        <v>2366</v>
      </c>
      <c r="CI488" s="110" t="s">
        <v>312</v>
      </c>
    </row>
    <row r="489" spans="1:88">
      <c r="A489" s="110" t="s">
        <v>309</v>
      </c>
      <c r="B489" s="110">
        <v>100</v>
      </c>
      <c r="C489" s="110">
        <v>1</v>
      </c>
      <c r="D489" s="110">
        <v>1</v>
      </c>
      <c r="E489" s="110">
        <v>488</v>
      </c>
      <c r="F489" s="110">
        <v>2021</v>
      </c>
      <c r="G489" s="110" t="s">
        <v>187</v>
      </c>
      <c r="H489" s="110" t="s">
        <v>1119</v>
      </c>
      <c r="I489" s="110" t="s">
        <v>182</v>
      </c>
      <c r="J489" s="110" t="s">
        <v>182</v>
      </c>
      <c r="K489" s="110" t="s">
        <v>999</v>
      </c>
      <c r="L489" s="110" t="s">
        <v>999</v>
      </c>
      <c r="R489" s="110" t="s">
        <v>152</v>
      </c>
      <c r="S489" s="110" t="s">
        <v>443</v>
      </c>
      <c r="T489" s="110" t="s">
        <v>156</v>
      </c>
      <c r="U489" s="110" t="s">
        <v>159</v>
      </c>
      <c r="V489" s="110">
        <v>48.692852780000003</v>
      </c>
      <c r="W489" s="110">
        <v>48.692852780000003</v>
      </c>
      <c r="X489" s="110">
        <v>-3.9404222199999999</v>
      </c>
      <c r="Y489" s="110" t="s">
        <v>310</v>
      </c>
      <c r="Z489" s="110" t="s">
        <v>155</v>
      </c>
      <c r="AA489" s="110" t="s">
        <v>1788</v>
      </c>
      <c r="AB489" s="110" t="s">
        <v>333</v>
      </c>
      <c r="AC489" s="110" t="s">
        <v>246</v>
      </c>
      <c r="AD489" s="110" t="s">
        <v>333</v>
      </c>
      <c r="AE489" s="110" t="s">
        <v>187</v>
      </c>
      <c r="AF489" s="110" t="s">
        <v>190</v>
      </c>
      <c r="AG489" s="110" t="s">
        <v>190</v>
      </c>
      <c r="AI489" s="110" t="s">
        <v>246</v>
      </c>
      <c r="AJ489" s="110" t="s">
        <v>246</v>
      </c>
      <c r="AK489" s="110" t="s">
        <v>902</v>
      </c>
      <c r="AL489" s="110" t="s">
        <v>1167</v>
      </c>
      <c r="AN489" s="110" t="s">
        <v>412</v>
      </c>
      <c r="AO489" s="110" t="s">
        <v>190</v>
      </c>
      <c r="AP489" s="110" t="s">
        <v>190</v>
      </c>
      <c r="AQ489" s="110" t="s">
        <v>176</v>
      </c>
      <c r="AR489" s="110">
        <v>2018</v>
      </c>
      <c r="AS489" s="110" t="s">
        <v>234</v>
      </c>
      <c r="AT489" s="110" t="s">
        <v>298</v>
      </c>
      <c r="AU489" s="110" t="s">
        <v>174</v>
      </c>
      <c r="AW489" s="110" t="s">
        <v>174</v>
      </c>
      <c r="AX489" s="110" t="s">
        <v>174</v>
      </c>
      <c r="AY489" s="110" t="s">
        <v>174</v>
      </c>
      <c r="AZ489" s="110" t="s">
        <v>174</v>
      </c>
      <c r="BA489" s="110">
        <v>16.899999999999999</v>
      </c>
      <c r="BB489" s="110">
        <v>23.7</v>
      </c>
      <c r="BC489" s="110">
        <v>20.3</v>
      </c>
      <c r="BD489" s="110">
        <v>6.8</v>
      </c>
      <c r="BE489" s="110" t="s">
        <v>182</v>
      </c>
      <c r="BF489" s="110" t="s">
        <v>1903</v>
      </c>
      <c r="BG489" s="110">
        <v>12.3</v>
      </c>
      <c r="BH489" s="110" t="s">
        <v>311</v>
      </c>
      <c r="BI489" s="110" t="s">
        <v>182</v>
      </c>
      <c r="BJ489" s="110" t="s">
        <v>1701</v>
      </c>
      <c r="BK489" s="110">
        <v>5</v>
      </c>
      <c r="BL489" s="110">
        <v>5</v>
      </c>
      <c r="BM489" s="110" t="s">
        <v>174</v>
      </c>
      <c r="BN489" s="110" t="s">
        <v>174</v>
      </c>
      <c r="BO489" s="110" t="s">
        <v>174</v>
      </c>
      <c r="BP489" s="110" t="s">
        <v>174</v>
      </c>
      <c r="BQ489" s="110" t="s">
        <v>174</v>
      </c>
      <c r="BR489" s="110" t="s">
        <v>174</v>
      </c>
      <c r="BS489" s="110">
        <v>56</v>
      </c>
      <c r="BT489" s="110" t="s">
        <v>2378</v>
      </c>
      <c r="BU489" s="110" t="s">
        <v>1398</v>
      </c>
      <c r="BV489" s="110" t="s">
        <v>2603</v>
      </c>
      <c r="BW489" s="110">
        <v>0.99580000000000002</v>
      </c>
      <c r="BX489" s="110" t="s">
        <v>1396</v>
      </c>
      <c r="BY489" s="110">
        <v>0.71199999999999997</v>
      </c>
      <c r="CA489" s="110">
        <v>0.88670000000000004</v>
      </c>
      <c r="CB489" s="110">
        <v>56.388857559999998</v>
      </c>
      <c r="CC489" s="110" t="b">
        <v>0</v>
      </c>
      <c r="CD489" s="110">
        <v>0</v>
      </c>
      <c r="CE489" s="110">
        <v>0</v>
      </c>
      <c r="CF489" s="110" t="s">
        <v>246</v>
      </c>
      <c r="CG489" s="110" t="s">
        <v>174</v>
      </c>
      <c r="CH489" s="110" t="s">
        <v>2366</v>
      </c>
      <c r="CI489" s="110" t="s">
        <v>312</v>
      </c>
    </row>
    <row r="490" spans="1:88">
      <c r="A490" s="110" t="s">
        <v>309</v>
      </c>
      <c r="B490" s="110">
        <v>100</v>
      </c>
      <c r="C490" s="110">
        <v>1</v>
      </c>
      <c r="D490" s="110">
        <v>1</v>
      </c>
      <c r="E490" s="110">
        <v>489</v>
      </c>
      <c r="F490" s="110">
        <v>2021</v>
      </c>
      <c r="G490" s="110" t="s">
        <v>187</v>
      </c>
      <c r="H490" s="110" t="s">
        <v>1119</v>
      </c>
      <c r="I490" s="110" t="s">
        <v>182</v>
      </c>
      <c r="J490" s="110" t="s">
        <v>182</v>
      </c>
      <c r="K490" s="110" t="s">
        <v>999</v>
      </c>
      <c r="L490" s="110" t="s">
        <v>999</v>
      </c>
      <c r="R490" s="110" t="s">
        <v>152</v>
      </c>
      <c r="S490" s="110" t="s">
        <v>443</v>
      </c>
      <c r="T490" s="110" t="s">
        <v>156</v>
      </c>
      <c r="U490" s="110" t="s">
        <v>158</v>
      </c>
      <c r="V490" s="110">
        <v>48.708950000000002</v>
      </c>
      <c r="W490" s="110">
        <v>48.708950000000002</v>
      </c>
      <c r="X490" s="110">
        <v>-3.9013361099999999</v>
      </c>
      <c r="Y490" s="110" t="s">
        <v>310</v>
      </c>
      <c r="Z490" s="110" t="s">
        <v>155</v>
      </c>
      <c r="AA490" s="110" t="s">
        <v>1788</v>
      </c>
      <c r="AB490" s="110" t="s">
        <v>333</v>
      </c>
      <c r="AC490" s="110" t="s">
        <v>246</v>
      </c>
      <c r="AD490" s="110" t="s">
        <v>333</v>
      </c>
      <c r="AE490" s="110" t="s">
        <v>187</v>
      </c>
      <c r="AF490" s="110" t="s">
        <v>190</v>
      </c>
      <c r="AG490" s="110" t="s">
        <v>190</v>
      </c>
      <c r="AI490" s="110" t="s">
        <v>246</v>
      </c>
      <c r="AJ490" s="110" t="s">
        <v>246</v>
      </c>
      <c r="AK490" s="110" t="s">
        <v>902</v>
      </c>
      <c r="AL490" s="110" t="s">
        <v>1167</v>
      </c>
      <c r="AN490" s="110" t="s">
        <v>412</v>
      </c>
      <c r="AO490" s="110" t="s">
        <v>190</v>
      </c>
      <c r="AP490" s="110" t="s">
        <v>190</v>
      </c>
      <c r="AQ490" s="110" t="s">
        <v>176</v>
      </c>
      <c r="AR490" s="110">
        <v>2018</v>
      </c>
      <c r="AS490" s="110" t="s">
        <v>234</v>
      </c>
      <c r="AT490" s="110" t="s">
        <v>298</v>
      </c>
      <c r="AU490" s="110" t="s">
        <v>174</v>
      </c>
      <c r="AW490" s="110" t="s">
        <v>174</v>
      </c>
      <c r="AX490" s="110" t="s">
        <v>174</v>
      </c>
      <c r="AY490" s="110" t="s">
        <v>174</v>
      </c>
      <c r="AZ490" s="110" t="s">
        <v>174</v>
      </c>
      <c r="BA490" s="110">
        <v>16.899999999999999</v>
      </c>
      <c r="BB490" s="110">
        <v>23.7</v>
      </c>
      <c r="BC490" s="110">
        <v>20.3</v>
      </c>
      <c r="BD490" s="110">
        <v>6.8</v>
      </c>
      <c r="BE490" s="110" t="s">
        <v>182</v>
      </c>
      <c r="BF490" s="110" t="s">
        <v>1903</v>
      </c>
      <c r="BG490" s="110">
        <v>1.5</v>
      </c>
      <c r="BH490" s="110" t="s">
        <v>311</v>
      </c>
      <c r="BI490" s="110" t="s">
        <v>182</v>
      </c>
      <c r="BJ490" s="110" t="s">
        <v>1701</v>
      </c>
      <c r="BK490" s="110">
        <v>5</v>
      </c>
      <c r="BL490" s="110">
        <v>5</v>
      </c>
      <c r="BM490" s="110" t="s">
        <v>174</v>
      </c>
      <c r="BN490" s="110" t="s">
        <v>174</v>
      </c>
      <c r="BO490" s="110" t="s">
        <v>174</v>
      </c>
      <c r="BP490" s="110" t="s">
        <v>174</v>
      </c>
      <c r="BQ490" s="110" t="s">
        <v>174</v>
      </c>
      <c r="BR490" s="110" t="s">
        <v>174</v>
      </c>
      <c r="BS490" s="110">
        <v>56</v>
      </c>
      <c r="BT490" s="110" t="s">
        <v>2382</v>
      </c>
      <c r="BU490" s="110" t="s">
        <v>3206</v>
      </c>
      <c r="BV490" s="110" t="s">
        <v>2603</v>
      </c>
      <c r="BW490" s="110">
        <v>0.99850000000000005</v>
      </c>
      <c r="BX490" s="110" t="s">
        <v>2347</v>
      </c>
      <c r="BY490" s="110">
        <v>0.81950000000000001</v>
      </c>
      <c r="BZ490" s="110">
        <v>8.6E-3</v>
      </c>
      <c r="CB490" s="110">
        <v>80.598509370000002</v>
      </c>
      <c r="CC490" s="110" t="b">
        <v>0</v>
      </c>
      <c r="CD490" s="110">
        <v>51.82</v>
      </c>
      <c r="CE490" s="110">
        <v>51.82</v>
      </c>
      <c r="CF490" s="110" t="s">
        <v>182</v>
      </c>
      <c r="CG490" s="110" t="s">
        <v>174</v>
      </c>
      <c r="CH490" s="110" t="s">
        <v>2365</v>
      </c>
      <c r="CI490" s="110" t="s">
        <v>312</v>
      </c>
    </row>
    <row r="491" spans="1:88">
      <c r="A491" s="110" t="s">
        <v>309</v>
      </c>
      <c r="B491" s="110">
        <v>100</v>
      </c>
      <c r="C491" s="110">
        <v>1</v>
      </c>
      <c r="D491" s="110">
        <v>1</v>
      </c>
      <c r="E491" s="110">
        <v>490</v>
      </c>
      <c r="F491" s="110">
        <v>2021</v>
      </c>
      <c r="G491" s="110" t="s">
        <v>187</v>
      </c>
      <c r="H491" s="110" t="s">
        <v>1119</v>
      </c>
      <c r="I491" s="110" t="s">
        <v>182</v>
      </c>
      <c r="J491" s="110" t="s">
        <v>182</v>
      </c>
      <c r="K491" s="110" t="s">
        <v>999</v>
      </c>
      <c r="L491" s="110" t="s">
        <v>999</v>
      </c>
      <c r="R491" s="110" t="s">
        <v>152</v>
      </c>
      <c r="S491" s="110" t="s">
        <v>443</v>
      </c>
      <c r="T491" s="110" t="s">
        <v>156</v>
      </c>
      <c r="U491" s="110" t="s">
        <v>159</v>
      </c>
      <c r="V491" s="110">
        <v>48.692852780000003</v>
      </c>
      <c r="W491" s="110">
        <v>48.692852780000003</v>
      </c>
      <c r="X491" s="110">
        <v>-3.9404222199999999</v>
      </c>
      <c r="Y491" s="110" t="s">
        <v>310</v>
      </c>
      <c r="Z491" s="110" t="s">
        <v>155</v>
      </c>
      <c r="AA491" s="110" t="s">
        <v>1788</v>
      </c>
      <c r="AB491" s="110" t="s">
        <v>333</v>
      </c>
      <c r="AC491" s="110" t="s">
        <v>246</v>
      </c>
      <c r="AD491" s="110" t="s">
        <v>333</v>
      </c>
      <c r="AE491" s="110" t="s">
        <v>187</v>
      </c>
      <c r="AF491" s="110" t="s">
        <v>190</v>
      </c>
      <c r="AG491" s="110" t="s">
        <v>190</v>
      </c>
      <c r="AI491" s="110" t="s">
        <v>246</v>
      </c>
      <c r="AJ491" s="110" t="s">
        <v>246</v>
      </c>
      <c r="AK491" s="110" t="s">
        <v>902</v>
      </c>
      <c r="AL491" s="110" t="s">
        <v>1167</v>
      </c>
      <c r="AN491" s="110" t="s">
        <v>412</v>
      </c>
      <c r="AO491" s="110" t="s">
        <v>190</v>
      </c>
      <c r="AP491" s="110" t="s">
        <v>190</v>
      </c>
      <c r="AQ491" s="110" t="s">
        <v>176</v>
      </c>
      <c r="AR491" s="110">
        <v>2018</v>
      </c>
      <c r="AS491" s="110" t="s">
        <v>234</v>
      </c>
      <c r="AT491" s="110" t="s">
        <v>298</v>
      </c>
      <c r="AU491" s="110" t="s">
        <v>174</v>
      </c>
      <c r="AW491" s="110" t="s">
        <v>174</v>
      </c>
      <c r="AX491" s="110" t="s">
        <v>174</v>
      </c>
      <c r="AY491" s="110" t="s">
        <v>174</v>
      </c>
      <c r="AZ491" s="110" t="s">
        <v>174</v>
      </c>
      <c r="BA491" s="110">
        <v>16.899999999999999</v>
      </c>
      <c r="BB491" s="110">
        <v>23.7</v>
      </c>
      <c r="BC491" s="110">
        <v>20.3</v>
      </c>
      <c r="BD491" s="110">
        <v>6.8</v>
      </c>
      <c r="BE491" s="110" t="s">
        <v>182</v>
      </c>
      <c r="BF491" s="110" t="s">
        <v>1903</v>
      </c>
      <c r="BG491" s="110">
        <v>98.9</v>
      </c>
      <c r="BH491" s="110" t="s">
        <v>311</v>
      </c>
      <c r="BI491" s="110" t="s">
        <v>182</v>
      </c>
      <c r="BJ491" s="110" t="s">
        <v>1701</v>
      </c>
      <c r="BK491" s="110">
        <v>5</v>
      </c>
      <c r="BL491" s="110">
        <v>5</v>
      </c>
      <c r="BM491" s="110" t="s">
        <v>174</v>
      </c>
      <c r="BN491" s="110" t="s">
        <v>174</v>
      </c>
      <c r="BO491" s="110" t="s">
        <v>174</v>
      </c>
      <c r="BP491" s="110" t="s">
        <v>174</v>
      </c>
      <c r="BQ491" s="110" t="s">
        <v>174</v>
      </c>
      <c r="BR491" s="110" t="s">
        <v>174</v>
      </c>
      <c r="BS491" s="110">
        <v>56</v>
      </c>
      <c r="BT491" s="110" t="s">
        <v>1387</v>
      </c>
      <c r="BU491" s="110" t="s">
        <v>2606</v>
      </c>
      <c r="BV491" s="110" t="s">
        <v>1387</v>
      </c>
      <c r="CB491" s="110" t="s">
        <v>190</v>
      </c>
      <c r="CC491" s="110" t="b">
        <v>0</v>
      </c>
      <c r="CD491" s="110">
        <v>100.7</v>
      </c>
      <c r="CE491" s="110" t="s">
        <v>2256</v>
      </c>
      <c r="CF491" s="110" t="s">
        <v>2256</v>
      </c>
      <c r="CG491" s="110" t="s">
        <v>174</v>
      </c>
      <c r="CH491" s="110" t="s">
        <v>2365</v>
      </c>
      <c r="CI491" s="110" t="s">
        <v>312</v>
      </c>
    </row>
    <row r="492" spans="1:88">
      <c r="A492" s="110" t="s">
        <v>309</v>
      </c>
      <c r="B492" s="110">
        <v>100</v>
      </c>
      <c r="C492" s="110">
        <v>1</v>
      </c>
      <c r="D492" s="110">
        <v>1</v>
      </c>
      <c r="E492" s="110">
        <v>491</v>
      </c>
      <c r="F492" s="110">
        <v>2021</v>
      </c>
      <c r="G492" s="110" t="s">
        <v>187</v>
      </c>
      <c r="H492" s="110" t="s">
        <v>1119</v>
      </c>
      <c r="I492" s="110" t="s">
        <v>182</v>
      </c>
      <c r="J492" s="110" t="s">
        <v>182</v>
      </c>
      <c r="K492" s="110" t="s">
        <v>999</v>
      </c>
      <c r="L492" s="110" t="s">
        <v>999</v>
      </c>
      <c r="R492" s="110" t="s">
        <v>152</v>
      </c>
      <c r="S492" s="110" t="s">
        <v>443</v>
      </c>
      <c r="T492" s="110" t="s">
        <v>156</v>
      </c>
      <c r="U492" s="110" t="s">
        <v>158</v>
      </c>
      <c r="V492" s="110">
        <v>48.708950000000002</v>
      </c>
      <c r="W492" s="110">
        <v>48.708950000000002</v>
      </c>
      <c r="X492" s="110">
        <v>-3.9013361099999999</v>
      </c>
      <c r="Y492" s="110" t="s">
        <v>310</v>
      </c>
      <c r="Z492" s="110" t="s">
        <v>155</v>
      </c>
      <c r="AA492" s="110" t="s">
        <v>1788</v>
      </c>
      <c r="AB492" s="110" t="s">
        <v>333</v>
      </c>
      <c r="AC492" s="110" t="s">
        <v>246</v>
      </c>
      <c r="AD492" s="110" t="s">
        <v>333</v>
      </c>
      <c r="AE492" s="110" t="s">
        <v>187</v>
      </c>
      <c r="AF492" s="110" t="s">
        <v>190</v>
      </c>
      <c r="AG492" s="110" t="s">
        <v>190</v>
      </c>
      <c r="AI492" s="110" t="s">
        <v>246</v>
      </c>
      <c r="AJ492" s="110" t="s">
        <v>246</v>
      </c>
      <c r="AK492" s="110" t="s">
        <v>902</v>
      </c>
      <c r="AL492" s="110" t="s">
        <v>1167</v>
      </c>
      <c r="AN492" s="110" t="s">
        <v>412</v>
      </c>
      <c r="AO492" s="110" t="s">
        <v>190</v>
      </c>
      <c r="AP492" s="110" t="s">
        <v>190</v>
      </c>
      <c r="AQ492" s="110" t="s">
        <v>176</v>
      </c>
      <c r="AR492" s="110">
        <v>2018</v>
      </c>
      <c r="AS492" s="110" t="s">
        <v>234</v>
      </c>
      <c r="AT492" s="110" t="s">
        <v>298</v>
      </c>
      <c r="AU492" s="110" t="s">
        <v>174</v>
      </c>
      <c r="AW492" s="110" t="s">
        <v>174</v>
      </c>
      <c r="AX492" s="110" t="s">
        <v>174</v>
      </c>
      <c r="AY492" s="110" t="s">
        <v>174</v>
      </c>
      <c r="AZ492" s="110" t="s">
        <v>174</v>
      </c>
      <c r="BA492" s="110">
        <v>16.899999999999999</v>
      </c>
      <c r="BB492" s="110">
        <v>23.7</v>
      </c>
      <c r="BC492" s="110">
        <v>20.3</v>
      </c>
      <c r="BD492" s="110">
        <v>6.8</v>
      </c>
      <c r="BE492" s="110" t="s">
        <v>182</v>
      </c>
      <c r="BF492" s="110" t="s">
        <v>1903</v>
      </c>
      <c r="BG492" s="110">
        <v>12.3</v>
      </c>
      <c r="BH492" s="110" t="s">
        <v>311</v>
      </c>
      <c r="BI492" s="110" t="s">
        <v>182</v>
      </c>
      <c r="BJ492" s="110" t="s">
        <v>1701</v>
      </c>
      <c r="BK492" s="110">
        <v>5</v>
      </c>
      <c r="BL492" s="110">
        <v>5</v>
      </c>
      <c r="BM492" s="110" t="s">
        <v>174</v>
      </c>
      <c r="BN492" s="110" t="s">
        <v>174</v>
      </c>
      <c r="BO492" s="110" t="s">
        <v>174</v>
      </c>
      <c r="BP492" s="110" t="s">
        <v>174</v>
      </c>
      <c r="BQ492" s="110" t="s">
        <v>174</v>
      </c>
      <c r="BR492" s="110" t="s">
        <v>174</v>
      </c>
      <c r="BS492" s="110">
        <v>56</v>
      </c>
      <c r="BT492" s="110" t="s">
        <v>2378</v>
      </c>
      <c r="BU492" s="110" t="s">
        <v>1398</v>
      </c>
      <c r="BV492" s="110" t="s">
        <v>2603</v>
      </c>
      <c r="BW492" s="110">
        <v>0.99299999999999999</v>
      </c>
      <c r="BX492" s="110" t="s">
        <v>2347</v>
      </c>
      <c r="BY492" s="110">
        <v>0.85</v>
      </c>
      <c r="BZ492" s="110">
        <v>4.2299999999999997E-2</v>
      </c>
      <c r="CB492" s="110">
        <v>16.386458170000001</v>
      </c>
      <c r="CC492" s="110" t="b">
        <v>0</v>
      </c>
      <c r="CD492" s="110">
        <v>0</v>
      </c>
      <c r="CE492" s="110">
        <v>0</v>
      </c>
      <c r="CF492" s="110" t="s">
        <v>246</v>
      </c>
      <c r="CG492" s="110" t="s">
        <v>174</v>
      </c>
      <c r="CH492" s="110" t="s">
        <v>2364</v>
      </c>
      <c r="CI492" s="110" t="s">
        <v>312</v>
      </c>
    </row>
    <row r="493" spans="1:88">
      <c r="A493" s="110" t="s">
        <v>309</v>
      </c>
      <c r="B493" s="110">
        <v>100</v>
      </c>
      <c r="C493" s="110">
        <v>1</v>
      </c>
      <c r="D493" s="110">
        <v>1</v>
      </c>
      <c r="E493" s="110">
        <v>492</v>
      </c>
      <c r="F493" s="110">
        <v>2021</v>
      </c>
      <c r="G493" s="110" t="s">
        <v>187</v>
      </c>
      <c r="H493" s="110" t="s">
        <v>1119</v>
      </c>
      <c r="I493" s="110" t="s">
        <v>182</v>
      </c>
      <c r="J493" s="110" t="s">
        <v>182</v>
      </c>
      <c r="K493" s="110" t="s">
        <v>999</v>
      </c>
      <c r="L493" s="110" t="s">
        <v>999</v>
      </c>
      <c r="R493" s="110" t="s">
        <v>152</v>
      </c>
      <c r="S493" s="110" t="s">
        <v>443</v>
      </c>
      <c r="T493" s="110" t="s">
        <v>156</v>
      </c>
      <c r="U493" s="110" t="s">
        <v>159</v>
      </c>
      <c r="V493" s="110">
        <v>48.692852780000003</v>
      </c>
      <c r="W493" s="110">
        <v>48.692852780000003</v>
      </c>
      <c r="X493" s="110">
        <v>-3.9404222199999999</v>
      </c>
      <c r="Y493" s="110" t="s">
        <v>310</v>
      </c>
      <c r="Z493" s="110" t="s">
        <v>155</v>
      </c>
      <c r="AA493" s="110" t="s">
        <v>1788</v>
      </c>
      <c r="AB493" s="110" t="s">
        <v>333</v>
      </c>
      <c r="AC493" s="110" t="s">
        <v>246</v>
      </c>
      <c r="AD493" s="110" t="s">
        <v>333</v>
      </c>
      <c r="AE493" s="110" t="s">
        <v>187</v>
      </c>
      <c r="AF493" s="110" t="s">
        <v>190</v>
      </c>
      <c r="AG493" s="110" t="s">
        <v>190</v>
      </c>
      <c r="AI493" s="110" t="s">
        <v>246</v>
      </c>
      <c r="AJ493" s="110" t="s">
        <v>246</v>
      </c>
      <c r="AK493" s="110" t="s">
        <v>902</v>
      </c>
      <c r="AL493" s="110" t="s">
        <v>1167</v>
      </c>
      <c r="AN493" s="110" t="s">
        <v>412</v>
      </c>
      <c r="AO493" s="110" t="s">
        <v>190</v>
      </c>
      <c r="AP493" s="110" t="s">
        <v>190</v>
      </c>
      <c r="AQ493" s="110" t="s">
        <v>176</v>
      </c>
      <c r="AR493" s="110">
        <v>2018</v>
      </c>
      <c r="AS493" s="110" t="s">
        <v>234</v>
      </c>
      <c r="AT493" s="110" t="s">
        <v>298</v>
      </c>
      <c r="AU493" s="110" t="s">
        <v>174</v>
      </c>
      <c r="AW493" s="110" t="s">
        <v>174</v>
      </c>
      <c r="AX493" s="110" t="s">
        <v>174</v>
      </c>
      <c r="AY493" s="110" t="s">
        <v>174</v>
      </c>
      <c r="AZ493" s="110" t="s">
        <v>174</v>
      </c>
      <c r="BA493" s="110">
        <v>16.899999999999999</v>
      </c>
      <c r="BB493" s="110">
        <v>23.7</v>
      </c>
      <c r="BC493" s="110">
        <v>20.3</v>
      </c>
      <c r="BD493" s="110">
        <v>6.8</v>
      </c>
      <c r="BE493" s="110" t="s">
        <v>182</v>
      </c>
      <c r="BF493" s="110" t="s">
        <v>1903</v>
      </c>
      <c r="BG493" s="110">
        <v>1.5</v>
      </c>
      <c r="BH493" s="110" t="s">
        <v>311</v>
      </c>
      <c r="BI493" s="110" t="s">
        <v>182</v>
      </c>
      <c r="BJ493" s="110" t="s">
        <v>1701</v>
      </c>
      <c r="BK493" s="110">
        <v>5</v>
      </c>
      <c r="BL493" s="110">
        <v>5</v>
      </c>
      <c r="BM493" s="110" t="s">
        <v>174</v>
      </c>
      <c r="BN493" s="110" t="s">
        <v>174</v>
      </c>
      <c r="BO493" s="110" t="s">
        <v>174</v>
      </c>
      <c r="BP493" s="110" t="s">
        <v>174</v>
      </c>
      <c r="BQ493" s="110" t="s">
        <v>174</v>
      </c>
      <c r="BR493" s="110" t="s">
        <v>174</v>
      </c>
      <c r="BS493" s="110">
        <v>56</v>
      </c>
      <c r="BT493" s="110" t="s">
        <v>2378</v>
      </c>
      <c r="BU493" s="110" t="s">
        <v>1398</v>
      </c>
      <c r="BV493" s="110" t="s">
        <v>2603</v>
      </c>
      <c r="BW493" s="110">
        <v>0.997</v>
      </c>
      <c r="BX493" s="110" t="s">
        <v>1396</v>
      </c>
      <c r="BY493" s="110">
        <v>0.94740000000000002</v>
      </c>
      <c r="CA493" s="110">
        <v>1.022</v>
      </c>
      <c r="CB493" s="110">
        <v>48.923679059999998</v>
      </c>
      <c r="CC493" s="110" t="b">
        <v>0</v>
      </c>
      <c r="CD493" s="110">
        <v>0</v>
      </c>
      <c r="CE493" s="110">
        <v>0</v>
      </c>
      <c r="CF493" s="110" t="s">
        <v>246</v>
      </c>
      <c r="CG493" s="110" t="s">
        <v>174</v>
      </c>
      <c r="CH493" s="110" t="s">
        <v>2364</v>
      </c>
      <c r="CI493" s="110" t="s">
        <v>312</v>
      </c>
    </row>
    <row r="494" spans="1:88">
      <c r="A494" s="110" t="s">
        <v>2918</v>
      </c>
      <c r="B494" s="110">
        <v>101</v>
      </c>
      <c r="C494" s="110">
        <v>1</v>
      </c>
      <c r="D494" s="110">
        <v>1</v>
      </c>
      <c r="E494" s="110">
        <v>493</v>
      </c>
      <c r="F494" s="110">
        <v>2018</v>
      </c>
      <c r="G494" s="110" t="s">
        <v>161</v>
      </c>
      <c r="H494" s="110" t="s">
        <v>1219</v>
      </c>
      <c r="I494" s="110" t="s">
        <v>182</v>
      </c>
      <c r="J494" s="110" t="s">
        <v>246</v>
      </c>
      <c r="K494" s="110" t="s">
        <v>999</v>
      </c>
      <c r="L494" s="110" t="s">
        <v>999</v>
      </c>
      <c r="R494" s="110" t="s">
        <v>272</v>
      </c>
      <c r="S494" s="110" t="s">
        <v>443</v>
      </c>
      <c r="T494" s="110" t="s">
        <v>256</v>
      </c>
      <c r="U494" s="110" t="s">
        <v>257</v>
      </c>
      <c r="V494" s="110">
        <v>42.201388999999999</v>
      </c>
      <c r="W494" s="110">
        <v>42.201388999999999</v>
      </c>
      <c r="X494" s="110">
        <v>-8.8044440000000002</v>
      </c>
      <c r="Y494" s="110" t="s">
        <v>419</v>
      </c>
      <c r="Z494" s="110" t="s">
        <v>155</v>
      </c>
      <c r="AA494" s="110" t="s">
        <v>1788</v>
      </c>
      <c r="AB494" s="110" t="s">
        <v>333</v>
      </c>
      <c r="AC494" s="110" t="s">
        <v>246</v>
      </c>
      <c r="AD494" s="110" t="s">
        <v>333</v>
      </c>
      <c r="AE494" s="110" t="s">
        <v>1306</v>
      </c>
      <c r="AF494" s="110" t="s">
        <v>1745</v>
      </c>
      <c r="AH494" s="110" t="s">
        <v>3017</v>
      </c>
      <c r="AI494" s="110" t="s">
        <v>246</v>
      </c>
      <c r="AJ494" s="110" t="s">
        <v>246</v>
      </c>
      <c r="AK494" s="110" t="s">
        <v>3019</v>
      </c>
      <c r="AO494" s="110" t="s">
        <v>190</v>
      </c>
      <c r="AQ494" s="110" t="s">
        <v>176</v>
      </c>
      <c r="AR494" s="110">
        <v>2014</v>
      </c>
      <c r="AS494" s="110" t="s">
        <v>236</v>
      </c>
      <c r="AT494" s="110" t="s">
        <v>420</v>
      </c>
      <c r="AU494" s="110">
        <v>3000</v>
      </c>
      <c r="AV494" s="110" t="s">
        <v>1256</v>
      </c>
      <c r="BC494" s="110">
        <v>22.17</v>
      </c>
      <c r="BF494" s="110" t="s">
        <v>412</v>
      </c>
      <c r="BK494" s="110">
        <v>4</v>
      </c>
      <c r="BL494" s="110">
        <v>3</v>
      </c>
      <c r="BS494" s="110">
        <v>20</v>
      </c>
      <c r="BT494" s="110" t="s">
        <v>2347</v>
      </c>
      <c r="BU494" s="110" t="s">
        <v>1394</v>
      </c>
      <c r="BV494" s="110" t="s">
        <v>2603</v>
      </c>
      <c r="BW494" s="110">
        <v>0.98480000000000001</v>
      </c>
      <c r="BZ494" s="110">
        <v>0.67700000000000005</v>
      </c>
      <c r="CB494" s="110">
        <f>LN(2)/BZ494</f>
        <v>1.0238510791136561</v>
      </c>
      <c r="CC494" s="110" t="b">
        <v>0</v>
      </c>
      <c r="CD494" s="110">
        <v>5.3630000000000004</v>
      </c>
      <c r="CE494" s="110" t="s">
        <v>2256</v>
      </c>
      <c r="CF494" s="110" t="s">
        <v>2256</v>
      </c>
      <c r="CH494" s="110" t="s">
        <v>3023</v>
      </c>
      <c r="CJ494" s="110" t="s">
        <v>3022</v>
      </c>
    </row>
    <row r="495" spans="1:88">
      <c r="A495" s="110" t="s">
        <v>3012</v>
      </c>
      <c r="B495" s="110">
        <v>101</v>
      </c>
      <c r="C495" s="110">
        <v>1</v>
      </c>
      <c r="D495" s="110">
        <v>1</v>
      </c>
      <c r="E495" s="110">
        <v>494</v>
      </c>
      <c r="F495" s="110">
        <v>2018</v>
      </c>
      <c r="G495" s="110" t="s">
        <v>161</v>
      </c>
      <c r="H495" s="110" t="s">
        <v>1219</v>
      </c>
      <c r="I495" s="110" t="s">
        <v>182</v>
      </c>
      <c r="J495" s="110" t="s">
        <v>246</v>
      </c>
      <c r="K495" s="110" t="s">
        <v>999</v>
      </c>
      <c r="L495" s="110" t="s">
        <v>999</v>
      </c>
      <c r="R495" s="110" t="s">
        <v>272</v>
      </c>
      <c r="S495" s="110" t="s">
        <v>443</v>
      </c>
      <c r="T495" s="110" t="s">
        <v>256</v>
      </c>
      <c r="U495" s="110" t="s">
        <v>257</v>
      </c>
      <c r="V495" s="110">
        <v>42.201388999999999</v>
      </c>
      <c r="W495" s="110">
        <v>42.201388999999999</v>
      </c>
      <c r="X495" s="110">
        <v>-8.8044440000000002</v>
      </c>
      <c r="Y495" s="110" t="s">
        <v>419</v>
      </c>
      <c r="Z495" s="110" t="s">
        <v>155</v>
      </c>
      <c r="AA495" s="110" t="s">
        <v>424</v>
      </c>
      <c r="AB495" s="110" t="s">
        <v>3016</v>
      </c>
      <c r="AC495" s="110" t="s">
        <v>182</v>
      </c>
      <c r="AD495" s="110" t="s">
        <v>333</v>
      </c>
      <c r="AE495" s="110" t="s">
        <v>1306</v>
      </c>
      <c r="AF495" s="110" t="s">
        <v>1745</v>
      </c>
      <c r="AH495" s="110" t="s">
        <v>3017</v>
      </c>
      <c r="AI495" s="110" t="s">
        <v>246</v>
      </c>
      <c r="AJ495" s="110" t="s">
        <v>246</v>
      </c>
      <c r="AK495" s="110" t="s">
        <v>3019</v>
      </c>
      <c r="AO495" s="110" t="s">
        <v>190</v>
      </c>
      <c r="AQ495" s="110" t="s">
        <v>176</v>
      </c>
      <c r="AR495" s="110">
        <v>2014</v>
      </c>
      <c r="AS495" s="110" t="s">
        <v>236</v>
      </c>
      <c r="AT495" s="110" t="s">
        <v>420</v>
      </c>
      <c r="AU495" s="110">
        <v>3000</v>
      </c>
      <c r="AV495" s="110" t="s">
        <v>1256</v>
      </c>
      <c r="BC495" s="110">
        <v>21.82</v>
      </c>
      <c r="BF495" s="110" t="s">
        <v>412</v>
      </c>
      <c r="BK495" s="110">
        <v>4</v>
      </c>
      <c r="BL495" s="110">
        <v>3</v>
      </c>
      <c r="BS495" s="110">
        <v>20</v>
      </c>
      <c r="BT495" s="110" t="s">
        <v>2347</v>
      </c>
      <c r="BU495" s="110" t="s">
        <v>1394</v>
      </c>
      <c r="BV495" s="110" t="s">
        <v>2603</v>
      </c>
      <c r="BW495" s="110">
        <v>0.99070000000000003</v>
      </c>
      <c r="BZ495" s="110">
        <v>0.68130000000000002</v>
      </c>
      <c r="CB495" s="110">
        <f>LN(2)/BZ495</f>
        <v>1.0173890805224501</v>
      </c>
      <c r="CC495" s="110" t="b">
        <v>0</v>
      </c>
      <c r="CD495" s="110">
        <v>5.3630000000000004</v>
      </c>
      <c r="CE495" s="110" t="s">
        <v>2256</v>
      </c>
      <c r="CF495" s="110" t="s">
        <v>2256</v>
      </c>
      <c r="CH495" s="110" t="s">
        <v>3024</v>
      </c>
      <c r="CJ495" s="110" t="s">
        <v>3022</v>
      </c>
    </row>
    <row r="496" spans="1:88">
      <c r="A496" s="110" t="s">
        <v>3013</v>
      </c>
      <c r="B496" s="110">
        <v>101</v>
      </c>
      <c r="C496" s="110">
        <v>1</v>
      </c>
      <c r="D496" s="110">
        <v>1</v>
      </c>
      <c r="E496" s="110">
        <v>495</v>
      </c>
      <c r="F496" s="110">
        <v>2018</v>
      </c>
      <c r="G496" s="110" t="s">
        <v>161</v>
      </c>
      <c r="H496" s="110" t="s">
        <v>1219</v>
      </c>
      <c r="I496" s="110" t="s">
        <v>182</v>
      </c>
      <c r="J496" s="110" t="s">
        <v>246</v>
      </c>
      <c r="K496" s="110" t="s">
        <v>999</v>
      </c>
      <c r="L496" s="110" t="s">
        <v>999</v>
      </c>
      <c r="R496" s="110" t="s">
        <v>272</v>
      </c>
      <c r="S496" s="110" t="s">
        <v>443</v>
      </c>
      <c r="T496" s="110" t="s">
        <v>256</v>
      </c>
      <c r="U496" s="110" t="s">
        <v>257</v>
      </c>
      <c r="V496" s="110">
        <v>42.201388999999999</v>
      </c>
      <c r="W496" s="110">
        <v>42.201388999999999</v>
      </c>
      <c r="X496" s="110">
        <v>-8.8044440000000002</v>
      </c>
      <c r="Y496" s="110" t="s">
        <v>419</v>
      </c>
      <c r="Z496" s="110" t="s">
        <v>155</v>
      </c>
      <c r="AA496" s="110" t="s">
        <v>1788</v>
      </c>
      <c r="AB496" s="110" t="s">
        <v>333</v>
      </c>
      <c r="AC496" s="110" t="s">
        <v>246</v>
      </c>
      <c r="AD496" s="110" t="s">
        <v>333</v>
      </c>
      <c r="AE496" s="110" t="s">
        <v>1306</v>
      </c>
      <c r="AF496" s="110" t="s">
        <v>1745</v>
      </c>
      <c r="AH496" s="110" t="s">
        <v>3017</v>
      </c>
      <c r="AI496" s="110" t="s">
        <v>246</v>
      </c>
      <c r="AJ496" s="110" t="s">
        <v>246</v>
      </c>
      <c r="AK496" s="110" t="s">
        <v>3018</v>
      </c>
      <c r="AO496" s="110" t="s">
        <v>190</v>
      </c>
      <c r="AQ496" s="110" t="s">
        <v>176</v>
      </c>
      <c r="AR496" s="110">
        <v>2014</v>
      </c>
      <c r="AS496" s="110" t="s">
        <v>236</v>
      </c>
      <c r="AT496" s="110" t="s">
        <v>420</v>
      </c>
      <c r="AU496" s="110">
        <v>3000</v>
      </c>
      <c r="AV496" s="110" t="s">
        <v>1256</v>
      </c>
      <c r="BC496" s="110">
        <v>22.2</v>
      </c>
      <c r="BF496" s="110" t="s">
        <v>412</v>
      </c>
      <c r="BK496" s="110">
        <v>4</v>
      </c>
      <c r="BL496" s="110">
        <v>3</v>
      </c>
      <c r="BS496" s="110">
        <v>20</v>
      </c>
      <c r="BT496" s="110" t="s">
        <v>2347</v>
      </c>
      <c r="BU496" s="110" t="s">
        <v>1394</v>
      </c>
      <c r="BV496" s="110" t="s">
        <v>2603</v>
      </c>
      <c r="BW496" s="110">
        <v>0.97540000000000004</v>
      </c>
      <c r="BZ496" s="110">
        <v>0.43319999999999997</v>
      </c>
      <c r="CB496" s="110">
        <f>LN(2)/BZ496</f>
        <v>1.6000627436748507</v>
      </c>
      <c r="CC496" s="110" t="b">
        <v>0</v>
      </c>
      <c r="CD496" s="110">
        <v>5.1909999999999998</v>
      </c>
      <c r="CE496" s="110" t="s">
        <v>2256</v>
      </c>
      <c r="CF496" s="110" t="s">
        <v>2256</v>
      </c>
      <c r="CH496" s="110" t="s">
        <v>3031</v>
      </c>
      <c r="CJ496" s="110" t="s">
        <v>3022</v>
      </c>
    </row>
    <row r="497" spans="1:88">
      <c r="A497" s="110" t="s">
        <v>3014</v>
      </c>
      <c r="B497" s="110">
        <v>101</v>
      </c>
      <c r="C497" s="110">
        <v>1</v>
      </c>
      <c r="D497" s="110">
        <v>1</v>
      </c>
      <c r="E497" s="110">
        <v>496</v>
      </c>
      <c r="F497" s="110">
        <v>2018</v>
      </c>
      <c r="G497" s="110" t="s">
        <v>161</v>
      </c>
      <c r="H497" s="110" t="s">
        <v>1219</v>
      </c>
      <c r="I497" s="110" t="s">
        <v>182</v>
      </c>
      <c r="J497" s="110" t="s">
        <v>246</v>
      </c>
      <c r="K497" s="110" t="s">
        <v>999</v>
      </c>
      <c r="L497" s="110" t="s">
        <v>999</v>
      </c>
      <c r="R497" s="110" t="s">
        <v>272</v>
      </c>
      <c r="S497" s="110" t="s">
        <v>443</v>
      </c>
      <c r="T497" s="110" t="s">
        <v>256</v>
      </c>
      <c r="U497" s="110" t="s">
        <v>257</v>
      </c>
      <c r="V497" s="110">
        <v>42.201388999999999</v>
      </c>
      <c r="W497" s="110">
        <v>42.201388999999999</v>
      </c>
      <c r="X497" s="110">
        <v>-8.8044440000000002</v>
      </c>
      <c r="Y497" s="110" t="s">
        <v>419</v>
      </c>
      <c r="Z497" s="110" t="s">
        <v>155</v>
      </c>
      <c r="AA497" s="110" t="s">
        <v>424</v>
      </c>
      <c r="AB497" s="110" t="s">
        <v>3016</v>
      </c>
      <c r="AC497" s="110" t="s">
        <v>182</v>
      </c>
      <c r="AD497" s="110" t="s">
        <v>333</v>
      </c>
      <c r="AE497" s="110" t="s">
        <v>1306</v>
      </c>
      <c r="AF497" s="110" t="s">
        <v>1745</v>
      </c>
      <c r="AH497" s="110" t="s">
        <v>3017</v>
      </c>
      <c r="AI497" s="110" t="s">
        <v>246</v>
      </c>
      <c r="AJ497" s="110" t="s">
        <v>246</v>
      </c>
      <c r="AK497" s="110" t="s">
        <v>3018</v>
      </c>
      <c r="AO497" s="110" t="s">
        <v>190</v>
      </c>
      <c r="AQ497" s="110" t="s">
        <v>176</v>
      </c>
      <c r="AR497" s="110">
        <v>2014</v>
      </c>
      <c r="AS497" s="110" t="s">
        <v>236</v>
      </c>
      <c r="AT497" s="110" t="s">
        <v>420</v>
      </c>
      <c r="AU497" s="110">
        <v>3000</v>
      </c>
      <c r="AV497" s="110" t="s">
        <v>1256</v>
      </c>
      <c r="BC497" s="110">
        <v>22.16</v>
      </c>
      <c r="BF497" s="110" t="s">
        <v>412</v>
      </c>
      <c r="BK497" s="110">
        <v>4</v>
      </c>
      <c r="BL497" s="110">
        <v>3</v>
      </c>
      <c r="BS497" s="110">
        <v>20</v>
      </c>
      <c r="BT497" s="110" t="s">
        <v>2347</v>
      </c>
      <c r="BU497" s="110" t="s">
        <v>1394</v>
      </c>
      <c r="BV497" s="110" t="s">
        <v>2603</v>
      </c>
      <c r="BW497" s="110">
        <v>0.98650000000000004</v>
      </c>
      <c r="BZ497" s="110">
        <v>0.51419999999999999</v>
      </c>
      <c r="CB497" s="110">
        <f>LN(2)/BZ497</f>
        <v>1.3480108528975987</v>
      </c>
      <c r="CC497" s="110" t="b">
        <v>0</v>
      </c>
      <c r="CD497" s="110">
        <v>5.1879999999999997</v>
      </c>
      <c r="CE497" s="110" t="s">
        <v>2256</v>
      </c>
      <c r="CF497" s="110" t="s">
        <v>2256</v>
      </c>
      <c r="CH497" s="110" t="s">
        <v>3031</v>
      </c>
      <c r="CJ497" s="110" t="s">
        <v>3022</v>
      </c>
    </row>
    <row r="498" spans="1:88">
      <c r="A498" s="110" t="s">
        <v>2921</v>
      </c>
      <c r="B498" s="110">
        <v>102</v>
      </c>
      <c r="C498" s="110">
        <v>1</v>
      </c>
      <c r="D498" s="110">
        <v>1</v>
      </c>
      <c r="E498" s="110">
        <v>497</v>
      </c>
      <c r="F498" s="110">
        <v>2007</v>
      </c>
      <c r="G498" s="110" t="s">
        <v>161</v>
      </c>
      <c r="H498" s="110" t="s">
        <v>2440</v>
      </c>
      <c r="I498" s="110" t="s">
        <v>182</v>
      </c>
      <c r="J498" s="110" t="s">
        <v>246</v>
      </c>
      <c r="K498" s="110" t="s">
        <v>999</v>
      </c>
      <c r="L498" s="110" t="s">
        <v>999</v>
      </c>
      <c r="R498" s="110" t="s">
        <v>272</v>
      </c>
      <c r="S498" s="110" t="s">
        <v>443</v>
      </c>
      <c r="T498" s="110" t="s">
        <v>256</v>
      </c>
      <c r="U498" s="110" t="s">
        <v>257</v>
      </c>
      <c r="V498" s="110">
        <v>42.580556000000001</v>
      </c>
      <c r="W498" s="110">
        <v>42.580556000000001</v>
      </c>
      <c r="X498" s="110">
        <v>-9.1458329999999997</v>
      </c>
      <c r="Y498" s="110" t="s">
        <v>419</v>
      </c>
      <c r="Z498" s="110" t="s">
        <v>155</v>
      </c>
      <c r="AA498" s="110" t="s">
        <v>1788</v>
      </c>
      <c r="AB498" s="110" t="s">
        <v>333</v>
      </c>
      <c r="AC498" s="110" t="s">
        <v>246</v>
      </c>
      <c r="AD498" s="110" t="s">
        <v>333</v>
      </c>
      <c r="AE498" s="110" t="s">
        <v>1306</v>
      </c>
      <c r="AF498" s="110" t="s">
        <v>1745</v>
      </c>
      <c r="AH498" s="110" t="s">
        <v>3030</v>
      </c>
      <c r="AI498" s="110" t="s">
        <v>246</v>
      </c>
      <c r="AJ498" s="110" t="s">
        <v>246</v>
      </c>
      <c r="AQ498" s="110" t="s">
        <v>176</v>
      </c>
      <c r="AR498" s="110">
        <v>2004</v>
      </c>
      <c r="AS498" s="110" t="s">
        <v>236</v>
      </c>
      <c r="AT498" s="110" t="s">
        <v>420</v>
      </c>
      <c r="AU498" s="110">
        <v>1000</v>
      </c>
      <c r="BA498" s="110">
        <v>18.399999999999999</v>
      </c>
      <c r="BB498" s="110">
        <v>29</v>
      </c>
      <c r="BC498" s="110">
        <f>AVERAGE(BA498:BB498)</f>
        <v>23.7</v>
      </c>
      <c r="BD498" s="110">
        <f>BB498-BA498</f>
        <v>10.600000000000001</v>
      </c>
      <c r="BF498" s="110" t="s">
        <v>412</v>
      </c>
      <c r="BK498" s="110">
        <v>3</v>
      </c>
      <c r="BL498" s="110">
        <v>3</v>
      </c>
      <c r="BS498" s="110">
        <v>21</v>
      </c>
      <c r="BT498" s="110" t="s">
        <v>1385</v>
      </c>
      <c r="BU498" s="110" t="s">
        <v>3207</v>
      </c>
      <c r="BV498" s="110" t="s">
        <v>2603</v>
      </c>
      <c r="BW498" s="110">
        <v>0.98780000000000001</v>
      </c>
      <c r="BZ498" s="110">
        <v>0.35970000000000002</v>
      </c>
      <c r="CB498" s="110">
        <v>3.030859</v>
      </c>
      <c r="CC498" s="110" t="b">
        <v>0</v>
      </c>
      <c r="CD498" s="110">
        <v>22.146999999999998</v>
      </c>
      <c r="CE498" s="110">
        <v>22.146999999999998</v>
      </c>
      <c r="CF498" s="110" t="s">
        <v>182</v>
      </c>
      <c r="CH498" s="110" t="s">
        <v>3032</v>
      </c>
    </row>
    <row r="499" spans="1:88">
      <c r="A499" s="110" t="s">
        <v>3027</v>
      </c>
      <c r="B499" s="110">
        <v>102</v>
      </c>
      <c r="C499" s="110">
        <v>1</v>
      </c>
      <c r="D499" s="110">
        <v>1</v>
      </c>
      <c r="E499" s="110">
        <v>498</v>
      </c>
      <c r="F499" s="110">
        <v>2007</v>
      </c>
      <c r="G499" s="110" t="s">
        <v>161</v>
      </c>
      <c r="H499" s="110" t="s">
        <v>2440</v>
      </c>
      <c r="I499" s="110" t="s">
        <v>182</v>
      </c>
      <c r="J499" s="110" t="s">
        <v>246</v>
      </c>
      <c r="K499" s="110" t="s">
        <v>999</v>
      </c>
      <c r="L499" s="110" t="s">
        <v>999</v>
      </c>
      <c r="R499" s="110" t="s">
        <v>272</v>
      </c>
      <c r="S499" s="110" t="s">
        <v>443</v>
      </c>
      <c r="T499" s="110" t="s">
        <v>256</v>
      </c>
      <c r="U499" s="110" t="s">
        <v>257</v>
      </c>
      <c r="V499" s="110">
        <v>42.580556000000001</v>
      </c>
      <c r="W499" s="110">
        <v>42.580556000000001</v>
      </c>
      <c r="X499" s="110">
        <v>-9.1458329999999997</v>
      </c>
      <c r="Y499" s="110" t="s">
        <v>419</v>
      </c>
      <c r="Z499" s="110" t="s">
        <v>155</v>
      </c>
      <c r="AA499" s="110" t="s">
        <v>1788</v>
      </c>
      <c r="AB499" s="110" t="s">
        <v>333</v>
      </c>
      <c r="AC499" s="110" t="s">
        <v>246</v>
      </c>
      <c r="AD499" s="110" t="s">
        <v>333</v>
      </c>
      <c r="AE499" s="110" t="s">
        <v>1306</v>
      </c>
      <c r="AF499" s="110" t="s">
        <v>1745</v>
      </c>
      <c r="AH499" s="110" t="s">
        <v>3030</v>
      </c>
      <c r="AI499" s="110" t="s">
        <v>246</v>
      </c>
      <c r="AJ499" s="110" t="s">
        <v>246</v>
      </c>
      <c r="AQ499" s="110" t="s">
        <v>176</v>
      </c>
      <c r="AU499" s="110">
        <v>3000</v>
      </c>
      <c r="BA499" s="110">
        <v>18.399999999999999</v>
      </c>
      <c r="BB499" s="110">
        <v>29</v>
      </c>
      <c r="BC499" s="110">
        <f>AVERAGE(BA499:BB499)</f>
        <v>23.7</v>
      </c>
      <c r="BD499" s="110">
        <f>BB499-BA499</f>
        <v>10.600000000000001</v>
      </c>
      <c r="BF499" s="110" t="s">
        <v>412</v>
      </c>
      <c r="BK499" s="110">
        <v>3</v>
      </c>
      <c r="BL499" s="110">
        <v>3</v>
      </c>
      <c r="BS499" s="110">
        <v>21</v>
      </c>
      <c r="BT499" s="110" t="s">
        <v>1385</v>
      </c>
      <c r="BU499" s="110" t="s">
        <v>3207</v>
      </c>
      <c r="BV499" s="110" t="s">
        <v>2603</v>
      </c>
      <c r="BW499" s="110">
        <v>0.99399999999999999</v>
      </c>
      <c r="BZ499" s="110">
        <v>0.55989999999999995</v>
      </c>
      <c r="CB499" s="110">
        <v>2.2201300000000002</v>
      </c>
      <c r="CC499" s="110" t="b">
        <v>0</v>
      </c>
      <c r="CD499" s="110">
        <v>27.067</v>
      </c>
      <c r="CE499" s="110">
        <v>27.067</v>
      </c>
      <c r="CF499" s="110" t="s">
        <v>182</v>
      </c>
      <c r="CH499" s="110" t="s">
        <v>3033</v>
      </c>
    </row>
    <row r="500" spans="1:88">
      <c r="A500" s="110" t="s">
        <v>3028</v>
      </c>
      <c r="B500" s="110">
        <v>102</v>
      </c>
      <c r="C500" s="110">
        <v>1</v>
      </c>
      <c r="D500" s="110">
        <v>1</v>
      </c>
      <c r="E500" s="110">
        <v>499</v>
      </c>
      <c r="F500" s="110">
        <v>2007</v>
      </c>
      <c r="G500" s="110" t="s">
        <v>161</v>
      </c>
      <c r="H500" s="110" t="s">
        <v>2440</v>
      </c>
      <c r="I500" s="110" t="s">
        <v>182</v>
      </c>
      <c r="J500" s="110" t="s">
        <v>246</v>
      </c>
      <c r="K500" s="110" t="s">
        <v>999</v>
      </c>
      <c r="L500" s="110" t="s">
        <v>999</v>
      </c>
      <c r="R500" s="110" t="s">
        <v>272</v>
      </c>
      <c r="S500" s="110" t="s">
        <v>443</v>
      </c>
      <c r="T500" s="110" t="s">
        <v>256</v>
      </c>
      <c r="U500" s="110" t="s">
        <v>257</v>
      </c>
      <c r="V500" s="110">
        <v>42.580556000000001</v>
      </c>
      <c r="W500" s="110">
        <v>42.580556000000001</v>
      </c>
      <c r="X500" s="110">
        <v>-9.1458329999999997</v>
      </c>
      <c r="Y500" s="110" t="s">
        <v>419</v>
      </c>
      <c r="Z500" s="110" t="s">
        <v>155</v>
      </c>
      <c r="AA500" s="110" t="s">
        <v>1788</v>
      </c>
      <c r="AB500" s="110" t="s">
        <v>333</v>
      </c>
      <c r="AC500" s="110" t="s">
        <v>246</v>
      </c>
      <c r="AD500" s="110" t="s">
        <v>333</v>
      </c>
      <c r="AE500" s="110" t="s">
        <v>1306</v>
      </c>
      <c r="AF500" s="110" t="s">
        <v>1745</v>
      </c>
      <c r="AH500" s="110" t="s">
        <v>3030</v>
      </c>
      <c r="AI500" s="110" t="s">
        <v>246</v>
      </c>
      <c r="AJ500" s="110" t="s">
        <v>246</v>
      </c>
      <c r="AU500" s="110">
        <v>5000</v>
      </c>
      <c r="BA500" s="110">
        <v>18.399999999999999</v>
      </c>
      <c r="BB500" s="110">
        <v>29</v>
      </c>
      <c r="BC500" s="110">
        <f>AVERAGE(BA500:BB500)</f>
        <v>23.7</v>
      </c>
      <c r="BD500" s="110">
        <f>BB500-BA500</f>
        <v>10.600000000000001</v>
      </c>
      <c r="BF500" s="110" t="s">
        <v>412</v>
      </c>
      <c r="BK500" s="110">
        <v>3</v>
      </c>
      <c r="BL500" s="110">
        <v>3</v>
      </c>
      <c r="BS500" s="110">
        <v>21</v>
      </c>
      <c r="BT500" s="110" t="s">
        <v>2347</v>
      </c>
      <c r="BU500" s="110" t="s">
        <v>1394</v>
      </c>
      <c r="BV500" s="110" t="s">
        <v>2603</v>
      </c>
      <c r="BW500" s="110">
        <v>0.45610000000000001</v>
      </c>
      <c r="BZ500" s="110">
        <v>0.15629999999999999</v>
      </c>
      <c r="CB500" s="110">
        <f>LN(2)/BZ500</f>
        <v>4.4347228442734821</v>
      </c>
      <c r="CC500" s="110" t="b">
        <v>0</v>
      </c>
      <c r="CD500" s="110">
        <v>31.116</v>
      </c>
      <c r="CE500" s="110" t="s">
        <v>2256</v>
      </c>
      <c r="CF500" s="110" t="s">
        <v>2256</v>
      </c>
      <c r="CH500" s="110" t="s">
        <v>3034</v>
      </c>
    </row>
    <row r="501" spans="1:88">
      <c r="A501" s="110" t="s">
        <v>3217</v>
      </c>
      <c r="B501" s="110">
        <v>103</v>
      </c>
      <c r="C501" s="110">
        <v>1</v>
      </c>
      <c r="D501" s="110">
        <v>1</v>
      </c>
      <c r="E501" s="110">
        <v>500</v>
      </c>
      <c r="F501" s="110">
        <v>2010</v>
      </c>
      <c r="G501" s="110" t="s">
        <v>187</v>
      </c>
      <c r="H501" s="110" t="s">
        <v>2437</v>
      </c>
      <c r="I501" s="110" t="s">
        <v>182</v>
      </c>
      <c r="J501" s="110" t="s">
        <v>246</v>
      </c>
      <c r="K501" s="110" t="s">
        <v>999</v>
      </c>
      <c r="L501" s="110" t="s">
        <v>999</v>
      </c>
      <c r="R501" s="110" t="s">
        <v>1976</v>
      </c>
      <c r="S501" s="110" t="s">
        <v>444</v>
      </c>
      <c r="T501" s="110" t="s">
        <v>445</v>
      </c>
      <c r="U501" s="110" t="s">
        <v>1940</v>
      </c>
      <c r="V501" s="110">
        <v>24.946824779355101</v>
      </c>
      <c r="W501" s="110">
        <v>24.946824779355101</v>
      </c>
      <c r="X501" s="110">
        <v>67.122408829725501</v>
      </c>
      <c r="Y501" s="110" t="s">
        <v>3047</v>
      </c>
      <c r="Z501" s="110" t="s">
        <v>802</v>
      </c>
      <c r="AA501" s="110" t="s">
        <v>1788</v>
      </c>
      <c r="AB501" s="110" t="s">
        <v>333</v>
      </c>
      <c r="AC501" s="110" t="s">
        <v>246</v>
      </c>
      <c r="AD501" s="110" t="s">
        <v>1256</v>
      </c>
      <c r="AE501" s="110" t="s">
        <v>187</v>
      </c>
      <c r="AI501" s="110" t="s">
        <v>246</v>
      </c>
      <c r="AJ501" s="110" t="s">
        <v>246</v>
      </c>
      <c r="AK501" s="110" t="s">
        <v>2829</v>
      </c>
      <c r="AL501" s="110" t="s">
        <v>1167</v>
      </c>
      <c r="AM501" s="110">
        <v>5000</v>
      </c>
      <c r="AO501" s="110">
        <v>1</v>
      </c>
      <c r="AQ501" s="110" t="s">
        <v>176</v>
      </c>
      <c r="AR501" s="110">
        <v>2000</v>
      </c>
      <c r="AS501" s="110" t="s">
        <v>743</v>
      </c>
      <c r="AT501" s="110" t="s">
        <v>385</v>
      </c>
      <c r="AU501" s="110">
        <v>50</v>
      </c>
      <c r="AV501" s="110" t="s">
        <v>1256</v>
      </c>
      <c r="BI501" s="110" t="s">
        <v>182</v>
      </c>
      <c r="BK501" s="110">
        <v>3</v>
      </c>
      <c r="BL501" s="110">
        <v>5</v>
      </c>
      <c r="BS501" s="110">
        <v>30</v>
      </c>
      <c r="BT501" s="110" t="s">
        <v>1385</v>
      </c>
      <c r="BU501" s="110" t="s">
        <v>3207</v>
      </c>
      <c r="BV501" s="110" t="s">
        <v>2603</v>
      </c>
      <c r="BW501" s="110">
        <v>0.93600000000000005</v>
      </c>
      <c r="BZ501" s="110">
        <v>0.60640000000000005</v>
      </c>
      <c r="CB501" s="110">
        <v>1.7673749999999999</v>
      </c>
      <c r="CC501" s="110" t="b">
        <v>0</v>
      </c>
      <c r="CD501" s="110">
        <v>11.955</v>
      </c>
      <c r="CE501" s="110">
        <v>11.955</v>
      </c>
      <c r="CF501" s="110" t="s">
        <v>182</v>
      </c>
      <c r="CH501" s="110" t="s">
        <v>3049</v>
      </c>
    </row>
    <row r="502" spans="1:88">
      <c r="A502" s="110" t="s">
        <v>3217</v>
      </c>
      <c r="B502" s="110">
        <v>103</v>
      </c>
      <c r="C502" s="110">
        <v>1</v>
      </c>
      <c r="D502" s="110">
        <v>1</v>
      </c>
      <c r="E502" s="110">
        <v>501</v>
      </c>
      <c r="F502" s="110">
        <v>2010</v>
      </c>
      <c r="G502" s="110" t="s">
        <v>187</v>
      </c>
      <c r="H502" s="110" t="s">
        <v>2437</v>
      </c>
      <c r="I502" s="110" t="s">
        <v>182</v>
      </c>
      <c r="J502" s="110" t="s">
        <v>246</v>
      </c>
      <c r="K502" s="110" t="s">
        <v>999</v>
      </c>
      <c r="L502" s="110" t="s">
        <v>999</v>
      </c>
      <c r="R502" s="110" t="s">
        <v>1976</v>
      </c>
      <c r="S502" s="110" t="s">
        <v>444</v>
      </c>
      <c r="T502" s="110" t="s">
        <v>445</v>
      </c>
      <c r="U502" s="110" t="s">
        <v>3044</v>
      </c>
      <c r="V502" s="110">
        <v>24.946824779355101</v>
      </c>
      <c r="W502" s="110">
        <v>24.946824779355101</v>
      </c>
      <c r="X502" s="110">
        <v>67.122408829725501</v>
      </c>
      <c r="Y502" s="110" t="s">
        <v>3047</v>
      </c>
      <c r="Z502" s="110" t="s">
        <v>802</v>
      </c>
      <c r="AA502" s="110" t="s">
        <v>1788</v>
      </c>
      <c r="AB502" s="110" t="s">
        <v>333</v>
      </c>
      <c r="AC502" s="110" t="s">
        <v>246</v>
      </c>
      <c r="AD502" s="110" t="s">
        <v>1256</v>
      </c>
      <c r="AE502" s="110" t="s">
        <v>187</v>
      </c>
      <c r="AI502" s="110" t="s">
        <v>246</v>
      </c>
      <c r="AJ502" s="110" t="s">
        <v>246</v>
      </c>
      <c r="AK502" s="110" t="s">
        <v>2829</v>
      </c>
      <c r="AL502" s="110" t="s">
        <v>1167</v>
      </c>
      <c r="AM502" s="110">
        <v>5000</v>
      </c>
      <c r="AO502" s="110">
        <v>1</v>
      </c>
      <c r="AQ502" s="110" t="s">
        <v>176</v>
      </c>
      <c r="AR502" s="110">
        <v>2000</v>
      </c>
      <c r="AS502" s="110" t="s">
        <v>743</v>
      </c>
      <c r="AT502" s="110" t="s">
        <v>385</v>
      </c>
      <c r="AU502" s="110">
        <v>50</v>
      </c>
      <c r="AV502" s="110" t="s">
        <v>1256</v>
      </c>
      <c r="BI502" s="110" t="s">
        <v>182</v>
      </c>
      <c r="BK502" s="110">
        <v>3</v>
      </c>
      <c r="BL502" s="110">
        <v>5</v>
      </c>
      <c r="BS502" s="110">
        <v>30</v>
      </c>
      <c r="BT502" s="110" t="s">
        <v>1385</v>
      </c>
      <c r="BU502" s="110" t="s">
        <v>3207</v>
      </c>
      <c r="BV502" s="110" t="s">
        <v>2603</v>
      </c>
      <c r="BW502" s="110">
        <v>0.92579999999999996</v>
      </c>
      <c r="BZ502" s="110">
        <v>0.14399999999999999</v>
      </c>
      <c r="CB502" s="110">
        <v>6.5625</v>
      </c>
      <c r="CC502" s="110" t="b">
        <v>0</v>
      </c>
      <c r="CD502" s="110">
        <v>17.827999999999999</v>
      </c>
      <c r="CE502" s="110">
        <v>17.827999999999999</v>
      </c>
      <c r="CF502" s="110" t="s">
        <v>182</v>
      </c>
      <c r="CH502" s="110" t="s">
        <v>3050</v>
      </c>
    </row>
    <row r="503" spans="1:88">
      <c r="A503" s="110" t="s">
        <v>3217</v>
      </c>
      <c r="B503" s="110">
        <v>103</v>
      </c>
      <c r="C503" s="110">
        <v>1</v>
      </c>
      <c r="D503" s="110">
        <v>1</v>
      </c>
      <c r="E503" s="110">
        <v>502</v>
      </c>
      <c r="F503" s="110">
        <v>2010</v>
      </c>
      <c r="G503" s="110" t="s">
        <v>187</v>
      </c>
      <c r="H503" s="110" t="s">
        <v>2437</v>
      </c>
      <c r="I503" s="110" t="s">
        <v>182</v>
      </c>
      <c r="J503" s="110" t="s">
        <v>246</v>
      </c>
      <c r="K503" s="110" t="s">
        <v>999</v>
      </c>
      <c r="L503" s="110" t="s">
        <v>999</v>
      </c>
      <c r="R503" s="110" t="s">
        <v>1976</v>
      </c>
      <c r="S503" s="110" t="s">
        <v>444</v>
      </c>
      <c r="T503" s="110" t="s">
        <v>445</v>
      </c>
      <c r="U503" s="110" t="s">
        <v>3045</v>
      </c>
      <c r="V503" s="110">
        <v>24.946824779355101</v>
      </c>
      <c r="W503" s="110">
        <v>24.946824779355101</v>
      </c>
      <c r="X503" s="110">
        <v>67.122408829725501</v>
      </c>
      <c r="Y503" s="110" t="s">
        <v>3047</v>
      </c>
      <c r="Z503" s="110" t="s">
        <v>802</v>
      </c>
      <c r="AA503" s="110" t="s">
        <v>1788</v>
      </c>
      <c r="AB503" s="110" t="s">
        <v>333</v>
      </c>
      <c r="AC503" s="110" t="s">
        <v>246</v>
      </c>
      <c r="AD503" s="110" t="s">
        <v>1256</v>
      </c>
      <c r="AE503" s="110" t="s">
        <v>187</v>
      </c>
      <c r="AI503" s="110" t="s">
        <v>246</v>
      </c>
      <c r="AJ503" s="110" t="s">
        <v>246</v>
      </c>
      <c r="AK503" s="110" t="s">
        <v>2829</v>
      </c>
      <c r="AL503" s="110" t="s">
        <v>1167</v>
      </c>
      <c r="AM503" s="110">
        <v>5000</v>
      </c>
      <c r="AO503" s="110">
        <v>1</v>
      </c>
      <c r="AQ503" s="110" t="s">
        <v>176</v>
      </c>
      <c r="AR503" s="110">
        <v>2000</v>
      </c>
      <c r="AS503" s="110" t="s">
        <v>743</v>
      </c>
      <c r="AT503" s="110" t="s">
        <v>385</v>
      </c>
      <c r="AU503" s="110">
        <v>50</v>
      </c>
      <c r="AV503" s="110" t="s">
        <v>1256</v>
      </c>
      <c r="BI503" s="110" t="s">
        <v>182</v>
      </c>
      <c r="BK503" s="110">
        <v>3</v>
      </c>
      <c r="BL503" s="110">
        <v>5</v>
      </c>
      <c r="BS503" s="110">
        <v>30</v>
      </c>
      <c r="BT503" s="110" t="s">
        <v>1385</v>
      </c>
      <c r="BU503" s="110" t="s">
        <v>3207</v>
      </c>
      <c r="BV503" s="110" t="s">
        <v>2603</v>
      </c>
      <c r="BW503" s="110">
        <v>0.98309999999999997</v>
      </c>
      <c r="BZ503" s="110">
        <v>0.17100000000000001</v>
      </c>
      <c r="CB503" s="110">
        <v>5.2496320000000001</v>
      </c>
      <c r="CC503" s="110" t="b">
        <v>0</v>
      </c>
      <c r="CD503" s="110">
        <v>15.795999999999999</v>
      </c>
      <c r="CE503" s="110">
        <v>15.795999999999999</v>
      </c>
      <c r="CF503" s="110" t="s">
        <v>182</v>
      </c>
      <c r="CH503" s="110" t="s">
        <v>3051</v>
      </c>
    </row>
    <row r="504" spans="1:88">
      <c r="A504" s="110" t="s">
        <v>3226</v>
      </c>
      <c r="B504" s="110">
        <v>104</v>
      </c>
      <c r="C504" s="110">
        <v>1</v>
      </c>
      <c r="D504" s="110">
        <v>1</v>
      </c>
      <c r="E504" s="110">
        <v>503</v>
      </c>
      <c r="F504" s="110">
        <v>2006</v>
      </c>
      <c r="G504" s="110" t="s">
        <v>161</v>
      </c>
      <c r="H504" s="110" t="s">
        <v>2437</v>
      </c>
      <c r="I504" s="110" t="s">
        <v>182</v>
      </c>
      <c r="J504" s="110" t="s">
        <v>246</v>
      </c>
      <c r="K504" s="110" t="s">
        <v>999</v>
      </c>
      <c r="L504" s="110" t="s">
        <v>999</v>
      </c>
      <c r="R504" s="110" t="s">
        <v>152</v>
      </c>
      <c r="S504" s="110" t="s">
        <v>443</v>
      </c>
      <c r="T504" s="110" t="s">
        <v>154</v>
      </c>
      <c r="U504" s="110" t="s">
        <v>3053</v>
      </c>
      <c r="V504" s="110">
        <v>43.383333</v>
      </c>
      <c r="W504" s="110">
        <v>43.383333</v>
      </c>
      <c r="X504" s="110">
        <v>141.433333</v>
      </c>
      <c r="Y504" s="110" t="s">
        <v>379</v>
      </c>
      <c r="Z504" s="110" t="s">
        <v>380</v>
      </c>
      <c r="AA504" s="110" t="s">
        <v>424</v>
      </c>
      <c r="AB504" s="110" t="s">
        <v>333</v>
      </c>
      <c r="AC504" s="110" t="s">
        <v>246</v>
      </c>
      <c r="AE504" s="110" t="s">
        <v>218</v>
      </c>
      <c r="AG504" s="110">
        <v>2</v>
      </c>
      <c r="AI504" s="110" t="s">
        <v>246</v>
      </c>
      <c r="AJ504" s="110" t="s">
        <v>246</v>
      </c>
      <c r="AO504" s="110">
        <v>10</v>
      </c>
      <c r="AQ504" s="110" t="s">
        <v>176</v>
      </c>
      <c r="AR504" s="110">
        <v>2002</v>
      </c>
      <c r="AS504" s="110" t="s">
        <v>236</v>
      </c>
      <c r="AT504" s="110" t="s">
        <v>420</v>
      </c>
      <c r="AU504" s="110">
        <v>5</v>
      </c>
      <c r="AV504" s="110" t="s">
        <v>1256</v>
      </c>
      <c r="BK504" s="110">
        <v>5</v>
      </c>
      <c r="BL504" s="110">
        <v>2</v>
      </c>
      <c r="BS504" s="110">
        <v>28</v>
      </c>
      <c r="BT504" s="110" t="s">
        <v>1396</v>
      </c>
      <c r="BU504" s="110" t="s">
        <v>1396</v>
      </c>
      <c r="BV504" s="110" t="s">
        <v>1396</v>
      </c>
      <c r="BW504" s="110">
        <v>0.86809999999999998</v>
      </c>
      <c r="CA504" s="110">
        <v>3.5714000000000001</v>
      </c>
      <c r="CB504" s="110">
        <f>50/CA504</f>
        <v>14.000112000896006</v>
      </c>
      <c r="CC504" s="110" t="b">
        <v>0</v>
      </c>
      <c r="CD504" s="110">
        <v>0</v>
      </c>
      <c r="CE504" s="110" t="s">
        <v>2256</v>
      </c>
      <c r="CF504" s="110" t="s">
        <v>2256</v>
      </c>
      <c r="CI504" s="110" t="s">
        <v>3058</v>
      </c>
      <c r="CJ504" s="110" t="s">
        <v>3057</v>
      </c>
    </row>
    <row r="505" spans="1:88">
      <c r="A505" s="110" t="s">
        <v>2948</v>
      </c>
      <c r="B505" s="110">
        <v>105</v>
      </c>
      <c r="C505" s="110">
        <v>1</v>
      </c>
      <c r="D505" s="110">
        <v>1</v>
      </c>
      <c r="E505" s="110">
        <v>504</v>
      </c>
      <c r="F505" s="110">
        <v>1986</v>
      </c>
      <c r="G505" s="110" t="s">
        <v>1991</v>
      </c>
      <c r="H505" s="110" t="s">
        <v>2441</v>
      </c>
      <c r="I505" s="110" t="s">
        <v>182</v>
      </c>
      <c r="J505" s="110" t="s">
        <v>246</v>
      </c>
      <c r="K505" s="110" t="s">
        <v>999</v>
      </c>
      <c r="L505" s="110" t="s">
        <v>999</v>
      </c>
      <c r="R505" s="110" t="s">
        <v>152</v>
      </c>
      <c r="S505" s="110" t="s">
        <v>443</v>
      </c>
      <c r="T505" s="110" t="s">
        <v>473</v>
      </c>
      <c r="U505" s="110" t="s">
        <v>474</v>
      </c>
      <c r="V505" s="110">
        <v>47.6282</v>
      </c>
      <c r="W505" s="110">
        <v>47.6282</v>
      </c>
      <c r="X505" s="110">
        <v>-52.662204450479599</v>
      </c>
      <c r="Y505" s="110" t="s">
        <v>585</v>
      </c>
      <c r="Z505" s="110" t="s">
        <v>586</v>
      </c>
      <c r="AA505" s="110" t="s">
        <v>1788</v>
      </c>
      <c r="AB505" s="110" t="s">
        <v>333</v>
      </c>
      <c r="AC505" s="110" t="s">
        <v>246</v>
      </c>
      <c r="AE505" s="110" t="s">
        <v>1123</v>
      </c>
      <c r="AF505" s="110" t="s">
        <v>1789</v>
      </c>
      <c r="AG505" s="110">
        <v>10</v>
      </c>
      <c r="AI505" s="110" t="s">
        <v>246</v>
      </c>
      <c r="AJ505" s="110" t="s">
        <v>246</v>
      </c>
      <c r="AO505" s="110">
        <v>1</v>
      </c>
      <c r="AS505" s="110" t="s">
        <v>236</v>
      </c>
      <c r="AT505" s="110" t="s">
        <v>420</v>
      </c>
      <c r="BA505" s="110">
        <v>5</v>
      </c>
      <c r="BB505" s="110">
        <v>10</v>
      </c>
      <c r="BC505" s="110">
        <v>7.5</v>
      </c>
      <c r="BD505" s="110">
        <v>5</v>
      </c>
      <c r="BF505" s="110" t="s">
        <v>412</v>
      </c>
      <c r="BK505" s="110">
        <v>2</v>
      </c>
      <c r="BL505" s="110">
        <v>3</v>
      </c>
      <c r="BS505" s="110">
        <v>98</v>
      </c>
      <c r="BT505" s="110" t="s">
        <v>1396</v>
      </c>
      <c r="BU505" s="110" t="s">
        <v>1396</v>
      </c>
      <c r="BV505" s="110" t="s">
        <v>1396</v>
      </c>
      <c r="BW505" s="110">
        <v>0.99880000000000002</v>
      </c>
      <c r="CA505" s="110">
        <v>0.70930000000000004</v>
      </c>
      <c r="CB505" s="110">
        <f>50/CA505</f>
        <v>70.492034400112786</v>
      </c>
      <c r="CC505" s="110" t="b">
        <v>0</v>
      </c>
      <c r="CD505" s="110">
        <v>30</v>
      </c>
      <c r="CE505" s="110">
        <v>0</v>
      </c>
      <c r="CF505" s="110" t="s">
        <v>246</v>
      </c>
    </row>
    <row r="507" spans="1:88">
      <c r="CB507" s="110">
        <f>78/504</f>
        <v>0.15476190476190477</v>
      </c>
    </row>
  </sheetData>
  <sortState xmlns:xlrd2="http://schemas.microsoft.com/office/spreadsheetml/2017/richdata2" ref="A2:CJ505">
    <sortCondition ref="B2:B505"/>
  </sortState>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5EFE-5F4B-FF46-AD11-E40E0B066BC7}">
  <dimension ref="A1:CX106"/>
  <sheetViews>
    <sheetView tabSelected="1" topLeftCell="A70" zoomScale="110" zoomScaleNormal="110" workbookViewId="0">
      <selection activeCell="E89" sqref="E89"/>
    </sheetView>
  </sheetViews>
  <sheetFormatPr baseColWidth="10" defaultColWidth="8.83203125" defaultRowHeight="15"/>
  <cols>
    <col min="1" max="1" width="59" style="23" customWidth="1"/>
    <col min="2" max="6" width="8.83203125" style="23"/>
    <col min="7" max="7" width="18" style="23" customWidth="1"/>
    <col min="8" max="24" width="8.83203125" style="23"/>
    <col min="25" max="25" width="12.1640625" style="23" customWidth="1"/>
    <col min="26" max="16384" width="8.83203125" style="23"/>
  </cols>
  <sheetData>
    <row r="1" spans="1:102">
      <c r="A1" s="23" t="s">
        <v>2172</v>
      </c>
      <c r="B1" s="23" t="s">
        <v>1</v>
      </c>
      <c r="C1" s="23" t="s">
        <v>1805</v>
      </c>
      <c r="D1" s="23" t="s">
        <v>1806</v>
      </c>
      <c r="E1" s="23" t="s">
        <v>1809</v>
      </c>
      <c r="F1" s="23" t="s">
        <v>2570</v>
      </c>
      <c r="G1" s="23" t="s">
        <v>756</v>
      </c>
      <c r="H1" s="23" t="s">
        <v>1812</v>
      </c>
      <c r="I1" s="23" t="s">
        <v>1937</v>
      </c>
      <c r="J1" s="23" t="s">
        <v>2143</v>
      </c>
      <c r="K1" s="23" t="s">
        <v>2</v>
      </c>
      <c r="L1" s="23" t="s">
        <v>1996</v>
      </c>
      <c r="M1" s="23" t="s">
        <v>1708</v>
      </c>
      <c r="N1" s="23" t="s">
        <v>194</v>
      </c>
      <c r="O1" s="23" t="s">
        <v>2608</v>
      </c>
      <c r="P1" s="23" t="s">
        <v>3</v>
      </c>
      <c r="Q1" s="23" t="s">
        <v>2607</v>
      </c>
      <c r="R1" s="23" t="s">
        <v>4</v>
      </c>
      <c r="S1" s="23" t="s">
        <v>2524</v>
      </c>
      <c r="T1" s="23" t="s">
        <v>2521</v>
      </c>
      <c r="U1" s="23" t="s">
        <v>2522</v>
      </c>
      <c r="V1" s="23" t="s">
        <v>2523</v>
      </c>
      <c r="W1" s="23" t="s">
        <v>5</v>
      </c>
      <c r="X1" s="23" t="s">
        <v>6</v>
      </c>
      <c r="Y1" s="23" t="s">
        <v>2728</v>
      </c>
      <c r="Z1" s="23" t="s">
        <v>1811</v>
      </c>
      <c r="AA1" s="23" t="s">
        <v>1911</v>
      </c>
      <c r="AB1" s="23" t="s">
        <v>2075</v>
      </c>
      <c r="AC1" s="23" t="s">
        <v>1722</v>
      </c>
      <c r="AD1" s="23" t="s">
        <v>9</v>
      </c>
      <c r="AE1" s="23" t="s">
        <v>1798</v>
      </c>
      <c r="AF1" s="23" t="s">
        <v>1912</v>
      </c>
      <c r="AG1" s="23" t="s">
        <v>1916</v>
      </c>
      <c r="AH1" s="23" t="s">
        <v>1906</v>
      </c>
      <c r="AI1" s="23" t="s">
        <v>1907</v>
      </c>
      <c r="AJ1" s="23" t="s">
        <v>172</v>
      </c>
      <c r="AK1" s="23" t="s">
        <v>974</v>
      </c>
      <c r="AL1" s="23" t="s">
        <v>1832</v>
      </c>
      <c r="AM1" s="23" t="s">
        <v>2513</v>
      </c>
      <c r="AN1" s="23" t="s">
        <v>2520</v>
      </c>
      <c r="AO1" s="23" t="s">
        <v>2704</v>
      </c>
      <c r="AP1" s="23" t="s">
        <v>2826</v>
      </c>
      <c r="AQ1" s="23" t="s">
        <v>1816</v>
      </c>
      <c r="AR1" s="23" t="s">
        <v>1715</v>
      </c>
      <c r="AS1" s="23" t="s">
        <v>2580</v>
      </c>
      <c r="AT1" s="23" t="s">
        <v>2581</v>
      </c>
      <c r="AU1" s="23" t="s">
        <v>1965</v>
      </c>
      <c r="AV1" s="23" t="s">
        <v>2008</v>
      </c>
      <c r="AW1" s="23" t="s">
        <v>1830</v>
      </c>
      <c r="AX1" s="23" t="s">
        <v>1831</v>
      </c>
      <c r="AY1" s="23" t="s">
        <v>1837</v>
      </c>
      <c r="AZ1" s="23" t="s">
        <v>1833</v>
      </c>
      <c r="BA1" s="23" t="s">
        <v>1834</v>
      </c>
      <c r="BB1" s="23" t="s">
        <v>1835</v>
      </c>
      <c r="BC1" s="23" t="s">
        <v>166</v>
      </c>
      <c r="BD1" s="23" t="s">
        <v>167</v>
      </c>
      <c r="BE1" s="23" t="s">
        <v>1847</v>
      </c>
      <c r="BF1" s="23" t="s">
        <v>2369</v>
      </c>
      <c r="BG1" s="23" t="s">
        <v>2595</v>
      </c>
      <c r="BH1" s="23" t="s">
        <v>2371</v>
      </c>
      <c r="BI1" s="23" t="s">
        <v>2370</v>
      </c>
      <c r="BJ1" s="23" t="s">
        <v>2372</v>
      </c>
      <c r="BK1" s="23" t="s">
        <v>165</v>
      </c>
      <c r="BL1" s="23" t="s">
        <v>2460</v>
      </c>
      <c r="BM1" s="23" t="s">
        <v>2459</v>
      </c>
      <c r="BN1" s="23" t="s">
        <v>2593</v>
      </c>
      <c r="BO1" s="23" t="s">
        <v>2597</v>
      </c>
      <c r="BP1" s="23" t="s">
        <v>2594</v>
      </c>
      <c r="BQ1" s="23" t="s">
        <v>2596</v>
      </c>
      <c r="BR1" s="23" t="s">
        <v>1838</v>
      </c>
      <c r="BS1" s="23" t="s">
        <v>1839</v>
      </c>
      <c r="BT1" s="23" t="s">
        <v>3039</v>
      </c>
      <c r="BU1" s="23" t="s">
        <v>1840</v>
      </c>
      <c r="BV1" s="23" t="s">
        <v>1841</v>
      </c>
      <c r="BW1" s="23" t="s">
        <v>1842</v>
      </c>
      <c r="BX1" s="23" t="s">
        <v>1843</v>
      </c>
      <c r="BY1" s="23" t="s">
        <v>1877</v>
      </c>
      <c r="BZ1" s="23" t="s">
        <v>1878</v>
      </c>
      <c r="CA1" s="23" t="s">
        <v>2518</v>
      </c>
      <c r="CB1" s="23" t="s">
        <v>2519</v>
      </c>
      <c r="CC1" s="23" t="s">
        <v>2605</v>
      </c>
      <c r="CD1" s="23" t="s">
        <v>1862</v>
      </c>
      <c r="CE1" s="23" t="s">
        <v>1899</v>
      </c>
      <c r="CF1" s="23" t="s">
        <v>223</v>
      </c>
      <c r="CG1" s="23" t="s">
        <v>1065</v>
      </c>
      <c r="CH1" s="23" t="s">
        <v>1908</v>
      </c>
      <c r="CI1" s="23" t="s">
        <v>177</v>
      </c>
      <c r="CJ1" s="23" t="s">
        <v>8</v>
      </c>
      <c r="CK1" s="23" t="s">
        <v>1846</v>
      </c>
      <c r="CL1" s="23" t="s">
        <v>920</v>
      </c>
      <c r="CM1" s="23" t="s">
        <v>2438</v>
      </c>
      <c r="CN1" s="23" t="s">
        <v>2439</v>
      </c>
      <c r="CO1" s="23" t="s">
        <v>1844</v>
      </c>
      <c r="CP1" s="23" t="s">
        <v>1845</v>
      </c>
      <c r="CQ1" s="23" t="s">
        <v>2182</v>
      </c>
      <c r="CR1" s="23" t="s">
        <v>11</v>
      </c>
      <c r="CS1" s="23" t="s">
        <v>1817</v>
      </c>
      <c r="CT1" s="23" t="s">
        <v>1818</v>
      </c>
      <c r="CU1" s="23" t="s">
        <v>1709</v>
      </c>
      <c r="CV1" s="23" t="s">
        <v>2442</v>
      </c>
      <c r="CW1" s="23" t="s">
        <v>2474</v>
      </c>
      <c r="CX1" s="23" t="s">
        <v>2478</v>
      </c>
    </row>
    <row r="2" spans="1:102" s="102" customFormat="1">
      <c r="A2" s="102" t="s">
        <v>936</v>
      </c>
      <c r="B2" s="102">
        <v>17</v>
      </c>
      <c r="C2" s="102">
        <v>1</v>
      </c>
      <c r="D2" s="102">
        <v>1</v>
      </c>
      <c r="E2" s="102">
        <v>65</v>
      </c>
      <c r="F2" s="102">
        <v>2022</v>
      </c>
      <c r="G2" s="102" t="s">
        <v>1119</v>
      </c>
      <c r="H2" s="102" t="s">
        <v>187</v>
      </c>
      <c r="I2" s="102" t="s">
        <v>182</v>
      </c>
      <c r="J2" s="102" t="s">
        <v>182</v>
      </c>
      <c r="K2" s="102" t="s">
        <v>152</v>
      </c>
      <c r="L2" s="102" t="s">
        <v>443</v>
      </c>
      <c r="M2" s="102" t="s">
        <v>154</v>
      </c>
      <c r="N2" s="102" t="s">
        <v>326</v>
      </c>
      <c r="O2" s="102" t="s">
        <v>2540</v>
      </c>
      <c r="P2" s="102">
        <v>37.09304796</v>
      </c>
      <c r="Q2" s="102">
        <v>37.09304796</v>
      </c>
      <c r="R2" s="102">
        <v>122.4652177</v>
      </c>
      <c r="S2" s="102" t="s">
        <v>2691</v>
      </c>
      <c r="T2" s="102">
        <v>36.756604709999998</v>
      </c>
      <c r="U2" s="102">
        <v>121.8403284</v>
      </c>
      <c r="V2" s="102">
        <v>7</v>
      </c>
      <c r="W2" s="102" t="s">
        <v>185</v>
      </c>
      <c r="X2" s="102" t="s">
        <v>380</v>
      </c>
      <c r="Y2" s="102" t="s">
        <v>2885</v>
      </c>
      <c r="Z2" s="102" t="s">
        <v>1788</v>
      </c>
      <c r="AA2" s="102" t="s">
        <v>333</v>
      </c>
      <c r="AB2" s="102" t="s">
        <v>246</v>
      </c>
      <c r="AC2" s="102" t="s">
        <v>1725</v>
      </c>
      <c r="AD2" s="102" t="s">
        <v>187</v>
      </c>
      <c r="AE2" s="102" t="s">
        <v>190</v>
      </c>
      <c r="AF2" s="102" t="s">
        <v>190</v>
      </c>
      <c r="AH2" s="102" t="s">
        <v>246</v>
      </c>
      <c r="AI2" s="102" t="s">
        <v>246</v>
      </c>
      <c r="AJ2" s="102" t="s">
        <v>1257</v>
      </c>
      <c r="AK2" s="102" t="s">
        <v>1258</v>
      </c>
      <c r="AL2" s="102">
        <v>20000</v>
      </c>
      <c r="AM2" s="102" t="s">
        <v>1216</v>
      </c>
      <c r="AO2" s="102" t="s">
        <v>190</v>
      </c>
      <c r="AP2" s="102">
        <v>5249</v>
      </c>
      <c r="AQ2" s="102" t="s">
        <v>176</v>
      </c>
      <c r="AR2" s="102">
        <v>2020</v>
      </c>
      <c r="AS2" s="102" t="s">
        <v>236</v>
      </c>
      <c r="AT2" s="102" t="s">
        <v>174</v>
      </c>
      <c r="AU2" s="102">
        <v>20</v>
      </c>
      <c r="AV2" s="102" t="s">
        <v>1256</v>
      </c>
      <c r="AW2" s="102" t="s">
        <v>1703</v>
      </c>
      <c r="AX2" s="102" t="s">
        <v>174</v>
      </c>
      <c r="AY2" s="102" t="s">
        <v>174</v>
      </c>
      <c r="AZ2" s="102" t="s">
        <v>174</v>
      </c>
      <c r="BA2" s="102">
        <v>8.85</v>
      </c>
      <c r="BB2" s="102" t="s">
        <v>174</v>
      </c>
      <c r="BC2" s="102">
        <v>3</v>
      </c>
      <c r="BD2" s="102">
        <v>9</v>
      </c>
      <c r="BE2" s="102">
        <v>210</v>
      </c>
      <c r="BF2" s="102" t="s">
        <v>1385</v>
      </c>
      <c r="BG2" s="102" t="s">
        <v>2603</v>
      </c>
      <c r="BH2" s="102">
        <v>0.94699999999999995</v>
      </c>
      <c r="BK2" s="102">
        <v>9.4700000000000006E-2</v>
      </c>
      <c r="BM2" s="102">
        <v>8.5299999999999994</v>
      </c>
      <c r="BN2" s="102" t="b">
        <v>0</v>
      </c>
      <c r="BO2" s="102">
        <v>3.6</v>
      </c>
      <c r="BP2" s="102">
        <v>3.6</v>
      </c>
      <c r="BQ2" s="102" t="s">
        <v>182</v>
      </c>
      <c r="BR2" s="102" t="s">
        <v>174</v>
      </c>
      <c r="BS2" s="102" t="s">
        <v>174</v>
      </c>
      <c r="BU2" s="102" t="s">
        <v>174</v>
      </c>
      <c r="BV2" s="102" t="s">
        <v>174</v>
      </c>
      <c r="BW2" s="102" t="s">
        <v>174</v>
      </c>
      <c r="BX2" s="102" t="s">
        <v>174</v>
      </c>
      <c r="BY2" s="102">
        <v>20</v>
      </c>
      <c r="BZ2" s="102">
        <v>25</v>
      </c>
      <c r="CA2" s="102">
        <v>22.5</v>
      </c>
      <c r="CB2" s="102">
        <v>5</v>
      </c>
      <c r="CC2" s="102" t="s">
        <v>246</v>
      </c>
      <c r="CD2" s="102" t="s">
        <v>188</v>
      </c>
      <c r="CE2" s="102">
        <v>0</v>
      </c>
      <c r="CG2" s="102" t="s">
        <v>182</v>
      </c>
      <c r="CH2" s="102" t="s">
        <v>1108</v>
      </c>
      <c r="CI2" s="102" t="s">
        <v>1260</v>
      </c>
      <c r="CK2" s="102" t="s">
        <v>246</v>
      </c>
      <c r="CO2" s="102" t="s">
        <v>174</v>
      </c>
      <c r="CP2" s="102">
        <v>89</v>
      </c>
      <c r="CQ2" s="102" t="s">
        <v>182</v>
      </c>
      <c r="CR2" s="102" t="s">
        <v>174</v>
      </c>
      <c r="CS2" s="102" t="s">
        <v>174</v>
      </c>
      <c r="CT2" s="102" t="s">
        <v>1268</v>
      </c>
      <c r="CU2" s="102" t="s">
        <v>1770</v>
      </c>
      <c r="CV2" s="102" t="s">
        <v>2448</v>
      </c>
    </row>
    <row r="3" spans="1:102" s="102" customFormat="1">
      <c r="A3" s="102" t="s">
        <v>1118</v>
      </c>
      <c r="B3" s="102">
        <v>18</v>
      </c>
      <c r="C3" s="102">
        <v>1</v>
      </c>
      <c r="D3" s="102">
        <v>1</v>
      </c>
      <c r="E3" s="102">
        <v>82</v>
      </c>
      <c r="F3" s="102">
        <v>2022</v>
      </c>
      <c r="G3" s="102" t="s">
        <v>1119</v>
      </c>
      <c r="H3" s="102" t="s">
        <v>161</v>
      </c>
      <c r="I3" s="102" t="s">
        <v>182</v>
      </c>
      <c r="J3" s="102" t="s">
        <v>182</v>
      </c>
      <c r="K3" s="102" t="s">
        <v>152</v>
      </c>
      <c r="L3" s="102" t="s">
        <v>443</v>
      </c>
      <c r="M3" s="102" t="s">
        <v>156</v>
      </c>
      <c r="N3" s="102" t="s">
        <v>158</v>
      </c>
      <c r="O3" s="102" t="s">
        <v>300</v>
      </c>
      <c r="P3" s="102">
        <v>50.3</v>
      </c>
      <c r="Q3" s="102">
        <v>50.3</v>
      </c>
      <c r="R3" s="102">
        <v>-4.0999999999999996</v>
      </c>
      <c r="S3" s="102" t="s">
        <v>2644</v>
      </c>
      <c r="T3" s="102">
        <v>50.418994769999998</v>
      </c>
      <c r="U3" s="102">
        <v>-4.0909757830000002</v>
      </c>
      <c r="V3" s="102">
        <v>54</v>
      </c>
      <c r="W3" s="102" t="s">
        <v>160</v>
      </c>
      <c r="X3" s="102" t="s">
        <v>155</v>
      </c>
      <c r="Y3" s="102" t="s">
        <v>999</v>
      </c>
      <c r="Z3" s="102" t="s">
        <v>1788</v>
      </c>
      <c r="AA3" s="102" t="s">
        <v>333</v>
      </c>
      <c r="AB3" s="102" t="s">
        <v>246</v>
      </c>
      <c r="AC3" s="102" t="s">
        <v>333</v>
      </c>
      <c r="AD3" s="102" t="s">
        <v>1123</v>
      </c>
      <c r="AE3" s="102" t="s">
        <v>1745</v>
      </c>
      <c r="AF3" s="102">
        <v>10</v>
      </c>
      <c r="AH3" s="102" t="s">
        <v>246</v>
      </c>
      <c r="AI3" s="102" t="s">
        <v>246</v>
      </c>
      <c r="AJ3" s="102" t="s">
        <v>171</v>
      </c>
      <c r="AK3" s="102" t="s">
        <v>190</v>
      </c>
      <c r="AL3" s="102" t="s">
        <v>174</v>
      </c>
      <c r="AN3" s="102">
        <v>10</v>
      </c>
      <c r="AP3" s="102" t="s">
        <v>190</v>
      </c>
      <c r="AQ3" s="102" t="s">
        <v>176</v>
      </c>
      <c r="AR3" s="102">
        <v>2018</v>
      </c>
      <c r="AS3" s="102" t="s">
        <v>237</v>
      </c>
      <c r="AT3" s="102" t="s">
        <v>420</v>
      </c>
      <c r="AU3" s="102">
        <v>20</v>
      </c>
      <c r="AW3" s="102" t="s">
        <v>1703</v>
      </c>
      <c r="AY3" s="102">
        <v>0.1</v>
      </c>
      <c r="AZ3" s="102">
        <v>500</v>
      </c>
      <c r="BA3" s="102" t="s">
        <v>174</v>
      </c>
      <c r="BB3" s="102">
        <v>1000</v>
      </c>
      <c r="BC3" s="102">
        <v>3</v>
      </c>
      <c r="BD3" s="102">
        <v>2</v>
      </c>
      <c r="BE3" s="102">
        <v>61</v>
      </c>
      <c r="BF3" s="102" t="s">
        <v>1387</v>
      </c>
      <c r="BG3" s="102" t="s">
        <v>1387</v>
      </c>
      <c r="BM3" s="102" t="s">
        <v>190</v>
      </c>
      <c r="BN3" s="102" t="b">
        <v>0</v>
      </c>
      <c r="BO3" s="102">
        <v>104.37730000000001</v>
      </c>
      <c r="BP3" s="102" t="s">
        <v>2256</v>
      </c>
      <c r="BQ3" s="102" t="s">
        <v>2256</v>
      </c>
      <c r="BR3" s="102" t="s">
        <v>174</v>
      </c>
      <c r="BS3" s="102" t="s">
        <v>1122</v>
      </c>
      <c r="BU3" s="102">
        <v>17.653224649999999</v>
      </c>
      <c r="BV3" s="102" t="s">
        <v>174</v>
      </c>
      <c r="BW3" s="102">
        <v>29.49</v>
      </c>
      <c r="BX3" s="102">
        <v>32.700000000000003</v>
      </c>
      <c r="BY3" s="102">
        <v>16.899999999999999</v>
      </c>
      <c r="BZ3" s="102">
        <v>16.899999999999999</v>
      </c>
      <c r="CA3" s="102">
        <v>16.899999999999999</v>
      </c>
      <c r="CB3" s="102">
        <v>0</v>
      </c>
      <c r="CC3" s="102" t="s">
        <v>182</v>
      </c>
      <c r="CD3" s="102" t="s">
        <v>412</v>
      </c>
      <c r="CE3" s="102">
        <v>209.2</v>
      </c>
      <c r="CF3" s="102" t="s">
        <v>894</v>
      </c>
      <c r="CG3" s="102" t="s">
        <v>182</v>
      </c>
      <c r="CH3" s="102" t="s">
        <v>412</v>
      </c>
      <c r="CI3" s="102" t="s">
        <v>259</v>
      </c>
      <c r="CJ3" s="102" t="s">
        <v>2270</v>
      </c>
      <c r="CK3" s="102" t="s">
        <v>246</v>
      </c>
      <c r="CO3" s="102" t="s">
        <v>174</v>
      </c>
      <c r="CP3" s="102" t="s">
        <v>174</v>
      </c>
      <c r="CQ3" s="102" t="s">
        <v>246</v>
      </c>
      <c r="CR3" s="102">
        <v>43284</v>
      </c>
      <c r="CS3" s="102">
        <v>1</v>
      </c>
      <c r="CT3" s="102">
        <v>15</v>
      </c>
      <c r="CU3" s="102" t="s">
        <v>168</v>
      </c>
      <c r="CX3" s="102" t="s">
        <v>2492</v>
      </c>
    </row>
    <row r="4" spans="1:102" s="102" customFormat="1">
      <c r="A4" s="102" t="s">
        <v>325</v>
      </c>
      <c r="B4" s="102">
        <v>22</v>
      </c>
      <c r="C4" s="102">
        <v>1</v>
      </c>
      <c r="D4" s="102">
        <v>1</v>
      </c>
      <c r="E4" s="102">
        <v>119</v>
      </c>
      <c r="F4" s="102">
        <v>2021</v>
      </c>
      <c r="G4" s="102" t="s">
        <v>1119</v>
      </c>
      <c r="H4" s="102" t="s">
        <v>187</v>
      </c>
      <c r="I4" s="102" t="s">
        <v>182</v>
      </c>
      <c r="J4" s="102" t="s">
        <v>182</v>
      </c>
      <c r="K4" s="102" t="s">
        <v>152</v>
      </c>
      <c r="L4" s="102" t="s">
        <v>443</v>
      </c>
      <c r="M4" s="102" t="s">
        <v>154</v>
      </c>
      <c r="N4" s="102" t="s">
        <v>326</v>
      </c>
      <c r="O4" s="102" t="s">
        <v>2540</v>
      </c>
      <c r="P4" s="102">
        <v>37.043401850000002</v>
      </c>
      <c r="Q4" s="102">
        <v>37.043401850000002</v>
      </c>
      <c r="R4" s="102">
        <v>122.56745979999999</v>
      </c>
      <c r="S4" s="102" t="s">
        <v>2690</v>
      </c>
      <c r="T4" s="102">
        <v>36.756604709999998</v>
      </c>
      <c r="U4" s="102">
        <v>121.8403284</v>
      </c>
      <c r="V4" s="102">
        <v>7</v>
      </c>
      <c r="W4" s="102" t="s">
        <v>185</v>
      </c>
      <c r="X4" s="102" t="s">
        <v>380</v>
      </c>
      <c r="Y4" s="102" t="s">
        <v>186</v>
      </c>
      <c r="Z4" s="102" t="s">
        <v>1788</v>
      </c>
      <c r="AA4" s="102" t="s">
        <v>1216</v>
      </c>
      <c r="AB4" s="102" t="s">
        <v>182</v>
      </c>
      <c r="AC4" s="102" t="s">
        <v>333</v>
      </c>
      <c r="AD4" s="102" t="s">
        <v>187</v>
      </c>
      <c r="AE4" s="102" t="s">
        <v>190</v>
      </c>
      <c r="AF4" s="102" t="s">
        <v>190</v>
      </c>
      <c r="AH4" s="102" t="s">
        <v>246</v>
      </c>
      <c r="AI4" s="102" t="s">
        <v>246</v>
      </c>
      <c r="AJ4" s="102" t="s">
        <v>329</v>
      </c>
      <c r="AK4" s="102" t="s">
        <v>723</v>
      </c>
      <c r="AL4" s="102">
        <v>1500</v>
      </c>
      <c r="AM4" s="102" t="s">
        <v>1216</v>
      </c>
      <c r="AO4" s="102" t="s">
        <v>190</v>
      </c>
      <c r="AP4" s="102">
        <v>7</v>
      </c>
      <c r="AQ4" s="102" t="s">
        <v>175</v>
      </c>
      <c r="AR4" s="102" t="s">
        <v>174</v>
      </c>
      <c r="AS4" s="102" t="s">
        <v>327</v>
      </c>
      <c r="AT4" s="102" t="s">
        <v>385</v>
      </c>
      <c r="AU4" s="102" t="s">
        <v>190</v>
      </c>
      <c r="AW4" s="102" t="s">
        <v>1385</v>
      </c>
      <c r="AX4" s="102">
        <v>0.04</v>
      </c>
      <c r="AY4" s="102" t="s">
        <v>174</v>
      </c>
      <c r="AZ4" s="102">
        <v>15.8</v>
      </c>
      <c r="BA4" s="102">
        <v>37.299999999999997</v>
      </c>
      <c r="BB4" s="102" t="s">
        <v>174</v>
      </c>
      <c r="BC4" s="102">
        <v>6</v>
      </c>
      <c r="BD4" s="102">
        <v>7</v>
      </c>
      <c r="BE4" s="102">
        <v>150</v>
      </c>
      <c r="BF4" s="102" t="s">
        <v>1385</v>
      </c>
      <c r="BG4" s="102" t="s">
        <v>2603</v>
      </c>
      <c r="BH4" s="102">
        <v>0.95</v>
      </c>
      <c r="BK4" s="102">
        <v>3.3099999999999997E-2</v>
      </c>
      <c r="BM4" s="102">
        <v>49.61</v>
      </c>
      <c r="BN4" s="102" t="b">
        <v>0</v>
      </c>
      <c r="BO4" s="102">
        <v>37.1</v>
      </c>
      <c r="BP4" s="102">
        <v>37.1</v>
      </c>
      <c r="BQ4" s="102" t="s">
        <v>182</v>
      </c>
      <c r="BR4" s="102" t="s">
        <v>174</v>
      </c>
      <c r="BS4" s="102" t="s">
        <v>243</v>
      </c>
      <c r="BU4" s="102" t="s">
        <v>174</v>
      </c>
      <c r="BV4" s="102" t="s">
        <v>174</v>
      </c>
      <c r="BW4" s="102" t="s">
        <v>174</v>
      </c>
      <c r="BX4" s="102" t="s">
        <v>174</v>
      </c>
      <c r="BY4" s="102">
        <v>4</v>
      </c>
      <c r="BZ4" s="102">
        <v>4</v>
      </c>
      <c r="CA4" s="102">
        <v>4</v>
      </c>
      <c r="CB4" s="102">
        <v>0</v>
      </c>
      <c r="CC4" s="102" t="s">
        <v>246</v>
      </c>
      <c r="CD4" s="102" t="s">
        <v>188</v>
      </c>
      <c r="CE4" s="102">
        <v>0</v>
      </c>
      <c r="CG4" s="102" t="s">
        <v>246</v>
      </c>
      <c r="CH4" s="102" t="s">
        <v>330</v>
      </c>
      <c r="CI4" s="102" t="s">
        <v>287</v>
      </c>
      <c r="CJ4" s="102" t="s">
        <v>331</v>
      </c>
      <c r="CK4" s="102" t="s">
        <v>175</v>
      </c>
      <c r="CO4" s="102" t="s">
        <v>174</v>
      </c>
      <c r="CP4" s="102" t="s">
        <v>174</v>
      </c>
      <c r="CQ4" s="102" t="s">
        <v>287</v>
      </c>
      <c r="CR4" s="102" t="s">
        <v>174</v>
      </c>
      <c r="CS4" s="102" t="s">
        <v>190</v>
      </c>
      <c r="CT4" s="102" t="s">
        <v>190</v>
      </c>
      <c r="CU4" s="102" t="s">
        <v>190</v>
      </c>
      <c r="CV4" s="102" t="s">
        <v>2144</v>
      </c>
      <c r="CW4" s="102" t="s">
        <v>2475</v>
      </c>
      <c r="CX4" s="102" t="s">
        <v>2492</v>
      </c>
    </row>
    <row r="5" spans="1:102" s="102" customFormat="1">
      <c r="A5" s="102" t="s">
        <v>942</v>
      </c>
      <c r="B5" s="102">
        <v>32</v>
      </c>
      <c r="C5" s="102">
        <v>2</v>
      </c>
      <c r="D5" s="102">
        <v>2</v>
      </c>
      <c r="E5" s="102">
        <v>154</v>
      </c>
      <c r="F5" s="102">
        <v>2022</v>
      </c>
      <c r="G5" s="102" t="s">
        <v>1119</v>
      </c>
      <c r="H5" s="102" t="s">
        <v>187</v>
      </c>
      <c r="I5" s="102" t="s">
        <v>182</v>
      </c>
      <c r="J5" s="102" t="s">
        <v>182</v>
      </c>
      <c r="K5" s="102" t="s">
        <v>2611</v>
      </c>
      <c r="L5" s="102" t="s">
        <v>444</v>
      </c>
      <c r="M5" s="102" t="s">
        <v>1295</v>
      </c>
      <c r="N5" s="102" t="s">
        <v>1296</v>
      </c>
      <c r="O5" s="102" t="s">
        <v>2731</v>
      </c>
      <c r="P5" s="102">
        <v>39.144333330000002</v>
      </c>
      <c r="Q5" s="102">
        <v>39.144333330000002</v>
      </c>
      <c r="R5" s="102">
        <v>2.9369999999999998</v>
      </c>
      <c r="S5" s="102" t="s">
        <v>2681</v>
      </c>
      <c r="T5" s="102">
        <v>39.144333330000002</v>
      </c>
      <c r="U5" s="102">
        <v>2.9369999999999998</v>
      </c>
      <c r="V5" s="102">
        <v>2</v>
      </c>
      <c r="W5" s="102" t="s">
        <v>419</v>
      </c>
      <c r="X5" s="102" t="s">
        <v>155</v>
      </c>
      <c r="Y5" s="102" t="s">
        <v>186</v>
      </c>
      <c r="Z5" s="102" t="s">
        <v>1788</v>
      </c>
      <c r="AA5" s="102" t="s">
        <v>1216</v>
      </c>
      <c r="AB5" s="102" t="s">
        <v>182</v>
      </c>
      <c r="AC5" s="102" t="s">
        <v>333</v>
      </c>
      <c r="AD5" s="102" t="s">
        <v>187</v>
      </c>
      <c r="AE5" s="102" t="s">
        <v>190</v>
      </c>
      <c r="AF5" s="102" t="s">
        <v>190</v>
      </c>
      <c r="AH5" s="102" t="s">
        <v>246</v>
      </c>
      <c r="AI5" s="102" t="s">
        <v>246</v>
      </c>
      <c r="AJ5" s="102" t="s">
        <v>1756</v>
      </c>
      <c r="AK5" s="102" t="s">
        <v>1297</v>
      </c>
      <c r="AL5" s="102">
        <v>50</v>
      </c>
      <c r="AM5" s="102" t="s">
        <v>1216</v>
      </c>
      <c r="AP5" s="102" t="s">
        <v>190</v>
      </c>
      <c r="AQ5" s="102" t="s">
        <v>175</v>
      </c>
      <c r="AR5" s="102">
        <v>2020</v>
      </c>
      <c r="AS5" s="102" t="s">
        <v>327</v>
      </c>
      <c r="AT5" s="102" t="s">
        <v>385</v>
      </c>
      <c r="AU5" s="102" t="s">
        <v>174</v>
      </c>
      <c r="AV5" s="102" t="s">
        <v>174</v>
      </c>
      <c r="AW5" s="102" t="s">
        <v>1461</v>
      </c>
      <c r="AX5" s="102" t="s">
        <v>174</v>
      </c>
      <c r="AY5" s="102" t="s">
        <v>174</v>
      </c>
      <c r="AZ5" s="102" t="s">
        <v>174</v>
      </c>
      <c r="BA5" s="102" t="s">
        <v>174</v>
      </c>
      <c r="BB5" s="102" t="s">
        <v>174</v>
      </c>
      <c r="BC5" s="102">
        <v>3</v>
      </c>
      <c r="BD5" s="102">
        <v>9</v>
      </c>
      <c r="BE5" s="102">
        <v>15</v>
      </c>
      <c r="BF5" s="102" t="s">
        <v>1385</v>
      </c>
      <c r="BG5" s="102" t="s">
        <v>2603</v>
      </c>
      <c r="BH5" s="102">
        <v>0.98</v>
      </c>
      <c r="BK5" s="102">
        <v>0.1525</v>
      </c>
      <c r="BM5" s="102">
        <v>5.64</v>
      </c>
      <c r="BN5" s="102" t="b">
        <v>0</v>
      </c>
      <c r="BO5" s="102">
        <v>14.5</v>
      </c>
      <c r="BP5" s="102">
        <v>14.5</v>
      </c>
      <c r="BQ5" s="102" t="s">
        <v>182</v>
      </c>
      <c r="BR5" s="102" t="s">
        <v>174</v>
      </c>
      <c r="BS5" s="102" t="s">
        <v>1302</v>
      </c>
      <c r="BY5" s="102">
        <v>18</v>
      </c>
      <c r="BZ5" s="102">
        <v>18</v>
      </c>
      <c r="CA5" s="102">
        <v>18</v>
      </c>
      <c r="CB5" s="102">
        <v>0</v>
      </c>
      <c r="CC5" s="102" t="s">
        <v>246</v>
      </c>
      <c r="CD5" s="102" t="s">
        <v>188</v>
      </c>
      <c r="CE5" s="102">
        <v>0</v>
      </c>
      <c r="CG5" s="102" t="s">
        <v>246</v>
      </c>
      <c r="CH5" s="102" t="s">
        <v>1300</v>
      </c>
      <c r="CI5" s="102" t="s">
        <v>1298</v>
      </c>
      <c r="CK5" s="102" t="s">
        <v>246</v>
      </c>
      <c r="CQ5" s="102" t="s">
        <v>1299</v>
      </c>
      <c r="CR5" s="102" t="s">
        <v>174</v>
      </c>
      <c r="CS5" s="102" t="s">
        <v>174</v>
      </c>
      <c r="CT5" s="102" t="s">
        <v>174</v>
      </c>
      <c r="CU5" s="102" t="s">
        <v>190</v>
      </c>
      <c r="CX5" s="102" t="s">
        <v>10</v>
      </c>
    </row>
    <row r="6" spans="1:102" s="102" customFormat="1">
      <c r="A6" s="102" t="s">
        <v>183</v>
      </c>
      <c r="B6" s="102">
        <v>39</v>
      </c>
      <c r="C6" s="102">
        <v>1</v>
      </c>
      <c r="D6" s="102">
        <v>1</v>
      </c>
      <c r="E6" s="102">
        <v>184</v>
      </c>
      <c r="F6" s="102">
        <v>2022</v>
      </c>
      <c r="G6" s="102" t="s">
        <v>1119</v>
      </c>
      <c r="H6" s="102" t="s">
        <v>187</v>
      </c>
      <c r="I6" s="102" t="s">
        <v>182</v>
      </c>
      <c r="J6" s="102" t="s">
        <v>182</v>
      </c>
      <c r="K6" s="102" t="s">
        <v>152</v>
      </c>
      <c r="L6" s="102" t="s">
        <v>443</v>
      </c>
      <c r="M6" s="102" t="s">
        <v>154</v>
      </c>
      <c r="N6" s="102" t="s">
        <v>326</v>
      </c>
      <c r="O6" s="102" t="s">
        <v>2540</v>
      </c>
      <c r="P6" s="102">
        <v>37.01</v>
      </c>
      <c r="Q6" s="102">
        <v>37.01</v>
      </c>
      <c r="R6" s="102">
        <v>122.24</v>
      </c>
      <c r="S6" s="102" t="s">
        <v>2676</v>
      </c>
      <c r="T6" s="102">
        <v>36.756604709999998</v>
      </c>
      <c r="U6" s="102">
        <v>121.8403284</v>
      </c>
      <c r="V6" s="102">
        <v>7</v>
      </c>
      <c r="W6" s="102" t="s">
        <v>185</v>
      </c>
      <c r="X6" s="102" t="s">
        <v>380</v>
      </c>
      <c r="Y6" s="102" t="s">
        <v>186</v>
      </c>
      <c r="Z6" s="102" t="s">
        <v>1788</v>
      </c>
      <c r="AA6" s="102" t="s">
        <v>1216</v>
      </c>
      <c r="AB6" s="102" t="s">
        <v>182</v>
      </c>
      <c r="AC6" s="102" t="s">
        <v>333</v>
      </c>
      <c r="AD6" s="102" t="s">
        <v>187</v>
      </c>
      <c r="AE6" s="102" t="s">
        <v>190</v>
      </c>
      <c r="AF6" s="102" t="s">
        <v>190</v>
      </c>
      <c r="AH6" s="102" t="s">
        <v>246</v>
      </c>
      <c r="AI6" s="102" t="s">
        <v>246</v>
      </c>
      <c r="AJ6" s="102" t="s">
        <v>196</v>
      </c>
      <c r="AK6" s="102" t="s">
        <v>1217</v>
      </c>
      <c r="AL6" s="102">
        <v>1500</v>
      </c>
      <c r="AM6" s="102" t="s">
        <v>1216</v>
      </c>
      <c r="AO6" s="102" t="s">
        <v>190</v>
      </c>
      <c r="AP6" s="102" t="s">
        <v>193</v>
      </c>
      <c r="AQ6" s="102" t="s">
        <v>175</v>
      </c>
      <c r="AR6" s="102">
        <v>2018</v>
      </c>
      <c r="AS6" s="102" t="s">
        <v>169</v>
      </c>
      <c r="AT6" s="102" t="s">
        <v>298</v>
      </c>
      <c r="AU6" s="102" t="s">
        <v>190</v>
      </c>
      <c r="AW6" s="102" t="s">
        <v>174</v>
      </c>
      <c r="AX6" s="102" t="s">
        <v>174</v>
      </c>
      <c r="AY6" s="102" t="s">
        <v>174</v>
      </c>
      <c r="AZ6" s="102" t="s">
        <v>174</v>
      </c>
      <c r="BA6" s="102">
        <v>58</v>
      </c>
      <c r="BB6" s="102" t="s">
        <v>174</v>
      </c>
      <c r="BC6" s="102">
        <v>3</v>
      </c>
      <c r="BD6" s="102">
        <v>13</v>
      </c>
      <c r="BE6" s="102">
        <v>360</v>
      </c>
      <c r="BF6" s="102" t="s">
        <v>1385</v>
      </c>
      <c r="BG6" s="102" t="s">
        <v>2603</v>
      </c>
      <c r="BH6" s="102">
        <v>0.88</v>
      </c>
      <c r="BK6" s="102">
        <v>2.7099999999999999E-2</v>
      </c>
      <c r="BM6" s="102" t="s">
        <v>190</v>
      </c>
      <c r="BN6" s="102" t="b">
        <v>0</v>
      </c>
      <c r="BO6" s="102">
        <v>61.2355035</v>
      </c>
      <c r="BP6" s="102">
        <v>61.2355035</v>
      </c>
      <c r="BQ6" s="102" t="s">
        <v>182</v>
      </c>
      <c r="BR6" s="102" t="s">
        <v>190</v>
      </c>
      <c r="BS6" s="102" t="s">
        <v>190</v>
      </c>
      <c r="BW6" s="102" t="s">
        <v>190</v>
      </c>
      <c r="BX6" s="102" t="s">
        <v>190</v>
      </c>
      <c r="BY6" s="102">
        <v>22.5</v>
      </c>
      <c r="BZ6" s="102">
        <v>22.5</v>
      </c>
      <c r="CA6" s="102">
        <v>22.5</v>
      </c>
      <c r="CB6" s="102">
        <v>0</v>
      </c>
      <c r="CC6" s="102" t="s">
        <v>246</v>
      </c>
      <c r="CD6" s="102" t="s">
        <v>188</v>
      </c>
      <c r="CE6" s="102">
        <v>0</v>
      </c>
      <c r="CG6" s="102" t="s">
        <v>246</v>
      </c>
      <c r="CH6" s="102" t="s">
        <v>191</v>
      </c>
      <c r="CI6" s="102" t="s">
        <v>192</v>
      </c>
      <c r="CJ6" s="102" t="s">
        <v>206</v>
      </c>
      <c r="CO6" s="102" t="s">
        <v>190</v>
      </c>
      <c r="CP6" s="102" t="s">
        <v>190</v>
      </c>
      <c r="CQ6" s="102" t="s">
        <v>190</v>
      </c>
      <c r="CR6" s="103">
        <v>43247.5</v>
      </c>
      <c r="CS6" s="102" t="s">
        <v>190</v>
      </c>
      <c r="CT6" s="102" t="s">
        <v>190</v>
      </c>
      <c r="CU6" s="102" t="s">
        <v>190</v>
      </c>
    </row>
    <row r="7" spans="1:102" s="102" customFormat="1">
      <c r="A7" s="102" t="s">
        <v>240</v>
      </c>
      <c r="B7" s="102">
        <v>56</v>
      </c>
      <c r="C7" s="102">
        <v>1</v>
      </c>
      <c r="D7" s="102">
        <v>1</v>
      </c>
      <c r="E7" s="102">
        <v>304</v>
      </c>
      <c r="F7" s="102">
        <v>2022</v>
      </c>
      <c r="G7" s="102" t="s">
        <v>1119</v>
      </c>
      <c r="H7" s="102" t="s">
        <v>161</v>
      </c>
      <c r="I7" s="102" t="s">
        <v>182</v>
      </c>
      <c r="J7" s="102" t="s">
        <v>182</v>
      </c>
      <c r="K7" s="102" t="s">
        <v>152</v>
      </c>
      <c r="L7" s="102" t="s">
        <v>443</v>
      </c>
      <c r="M7" s="102" t="s">
        <v>156</v>
      </c>
      <c r="N7" s="102" t="s">
        <v>158</v>
      </c>
      <c r="O7" s="102" t="s">
        <v>300</v>
      </c>
      <c r="P7" s="102">
        <v>59.097384329999997</v>
      </c>
      <c r="Q7" s="102">
        <v>59.097384329999997</v>
      </c>
      <c r="R7" s="102">
        <v>-3.4531541950000002</v>
      </c>
      <c r="S7" s="102" t="s">
        <v>2622</v>
      </c>
      <c r="T7" s="102">
        <v>55.453946250000001</v>
      </c>
      <c r="U7" s="102">
        <v>-6.1988217209999998</v>
      </c>
      <c r="V7" s="102">
        <v>30</v>
      </c>
      <c r="W7" s="102" t="s">
        <v>160</v>
      </c>
      <c r="X7" s="102" t="s">
        <v>155</v>
      </c>
      <c r="Y7" s="102" t="s">
        <v>3098</v>
      </c>
      <c r="Z7" s="102" t="s">
        <v>1788</v>
      </c>
      <c r="AA7" s="102" t="s">
        <v>333</v>
      </c>
      <c r="AB7" s="102" t="s">
        <v>246</v>
      </c>
      <c r="AC7" s="102" t="s">
        <v>333</v>
      </c>
      <c r="AD7" s="102" t="s">
        <v>1123</v>
      </c>
      <c r="AE7" s="102" t="s">
        <v>173</v>
      </c>
      <c r="AF7" s="102">
        <v>3</v>
      </c>
      <c r="AH7" s="102" t="s">
        <v>246</v>
      </c>
      <c r="AI7" s="102" t="s">
        <v>246</v>
      </c>
      <c r="AJ7" s="102" t="s">
        <v>171</v>
      </c>
      <c r="AK7" s="102" t="s">
        <v>1167</v>
      </c>
      <c r="AL7" s="102" t="s">
        <v>174</v>
      </c>
      <c r="AM7" s="102" t="s">
        <v>412</v>
      </c>
      <c r="AN7" s="102">
        <v>2</v>
      </c>
      <c r="AP7" s="102" t="s">
        <v>190</v>
      </c>
      <c r="AQ7" s="102" t="s">
        <v>176</v>
      </c>
      <c r="AR7" s="102">
        <v>2016</v>
      </c>
      <c r="AS7" s="102" t="s">
        <v>234</v>
      </c>
      <c r="AT7" s="102" t="s">
        <v>298</v>
      </c>
      <c r="AU7" s="102">
        <v>500</v>
      </c>
      <c r="AW7" s="102" t="s">
        <v>174</v>
      </c>
      <c r="AX7" s="102" t="s">
        <v>174</v>
      </c>
      <c r="AY7" s="102" t="s">
        <v>174</v>
      </c>
      <c r="AZ7" s="102" t="s">
        <v>174</v>
      </c>
      <c r="BA7" s="102" t="s">
        <v>174</v>
      </c>
      <c r="BB7" s="102" t="s">
        <v>174</v>
      </c>
      <c r="BC7" s="102">
        <v>3</v>
      </c>
      <c r="BD7" s="102">
        <v>1</v>
      </c>
      <c r="BE7" s="102">
        <v>109</v>
      </c>
      <c r="BF7" s="102" t="s">
        <v>2256</v>
      </c>
      <c r="BG7" s="102" t="s">
        <v>2256</v>
      </c>
      <c r="BL7" s="102">
        <v>0.70091743100000004</v>
      </c>
      <c r="BM7" s="102">
        <v>71.335078530000004</v>
      </c>
      <c r="BN7" s="102" t="b">
        <v>0</v>
      </c>
      <c r="BO7" s="102">
        <v>21.8</v>
      </c>
      <c r="BP7" s="102" t="s">
        <v>2256</v>
      </c>
      <c r="BQ7" s="102" t="s">
        <v>2256</v>
      </c>
      <c r="BR7" s="102">
        <v>142.67015710000001</v>
      </c>
      <c r="BS7" s="102" t="s">
        <v>2507</v>
      </c>
      <c r="BW7" s="102" t="s">
        <v>174</v>
      </c>
      <c r="BX7" s="102" t="s">
        <v>174</v>
      </c>
      <c r="BY7" s="102">
        <v>9.6999999999999993</v>
      </c>
      <c r="BZ7" s="102">
        <v>9.6999999999999993</v>
      </c>
      <c r="CA7" s="102">
        <v>9.6999999999999993</v>
      </c>
      <c r="CB7" s="102">
        <v>0</v>
      </c>
      <c r="CC7" s="102" t="s">
        <v>182</v>
      </c>
      <c r="CD7" s="102" t="s">
        <v>412</v>
      </c>
      <c r="CF7" s="102" t="s">
        <v>190</v>
      </c>
      <c r="CG7" s="102" t="s">
        <v>182</v>
      </c>
      <c r="CH7" s="102" t="s">
        <v>190</v>
      </c>
      <c r="CJ7" s="102" t="s">
        <v>244</v>
      </c>
      <c r="CO7" s="102" t="s">
        <v>174</v>
      </c>
      <c r="CP7" s="102" t="s">
        <v>174</v>
      </c>
      <c r="CQ7" s="102" t="s">
        <v>176</v>
      </c>
      <c r="CS7" s="102" t="s">
        <v>242</v>
      </c>
      <c r="CT7" s="102" t="s">
        <v>241</v>
      </c>
      <c r="CU7" s="102" t="s">
        <v>168</v>
      </c>
    </row>
    <row r="8" spans="1:102" s="102" customFormat="1">
      <c r="A8" s="102" t="s">
        <v>604</v>
      </c>
      <c r="B8" s="102">
        <v>63</v>
      </c>
      <c r="C8" s="102">
        <v>1</v>
      </c>
      <c r="D8" s="102">
        <v>1</v>
      </c>
      <c r="E8" s="102">
        <v>337</v>
      </c>
      <c r="F8" s="102">
        <v>2020</v>
      </c>
      <c r="G8" s="102" t="s">
        <v>1119</v>
      </c>
      <c r="H8" s="102" t="s">
        <v>187</v>
      </c>
      <c r="I8" s="102" t="s">
        <v>182</v>
      </c>
      <c r="J8" s="102" t="s">
        <v>182</v>
      </c>
      <c r="K8" s="102" t="s">
        <v>272</v>
      </c>
      <c r="L8" s="102" t="s">
        <v>443</v>
      </c>
      <c r="M8" s="102" t="s">
        <v>273</v>
      </c>
      <c r="N8" s="102" t="s">
        <v>378</v>
      </c>
      <c r="O8" s="102" t="s">
        <v>2656</v>
      </c>
      <c r="P8" s="102">
        <v>33.767138889999998</v>
      </c>
      <c r="Q8" s="102">
        <v>33.767138889999998</v>
      </c>
      <c r="R8" s="102">
        <v>132.25675000000001</v>
      </c>
      <c r="S8" s="102" t="s">
        <v>2655</v>
      </c>
      <c r="T8" s="102">
        <v>33.767138889999998</v>
      </c>
      <c r="U8" s="102">
        <v>132.25675000000001</v>
      </c>
      <c r="V8" s="102">
        <v>2</v>
      </c>
      <c r="W8" s="102" t="s">
        <v>379</v>
      </c>
      <c r="X8" s="102" t="s">
        <v>380</v>
      </c>
      <c r="Y8" s="102" t="s">
        <v>186</v>
      </c>
      <c r="Z8" s="102" t="s">
        <v>1788</v>
      </c>
      <c r="AA8" s="102" t="s">
        <v>1216</v>
      </c>
      <c r="AB8" s="102" t="s">
        <v>182</v>
      </c>
      <c r="AC8" s="102" t="s">
        <v>333</v>
      </c>
      <c r="AD8" s="102" t="s">
        <v>187</v>
      </c>
      <c r="AE8" s="102" t="s">
        <v>190</v>
      </c>
      <c r="AF8" s="102" t="s">
        <v>190</v>
      </c>
      <c r="AH8" s="102" t="s">
        <v>246</v>
      </c>
      <c r="AI8" s="102" t="s">
        <v>246</v>
      </c>
      <c r="AJ8" s="102" t="s">
        <v>381</v>
      </c>
      <c r="AK8" s="102" t="s">
        <v>723</v>
      </c>
      <c r="AL8" s="102">
        <v>40</v>
      </c>
      <c r="AM8" s="102" t="s">
        <v>1216</v>
      </c>
      <c r="AO8" s="102" t="s">
        <v>190</v>
      </c>
      <c r="AP8" s="102">
        <v>136.88</v>
      </c>
      <c r="AQ8" s="102" t="s">
        <v>176</v>
      </c>
      <c r="AR8" s="102">
        <v>2019</v>
      </c>
      <c r="AS8" s="102" t="s">
        <v>384</v>
      </c>
      <c r="AT8" s="102" t="s">
        <v>385</v>
      </c>
      <c r="AU8" s="102" t="s">
        <v>174</v>
      </c>
      <c r="AW8" s="102" t="s">
        <v>1394</v>
      </c>
      <c r="AX8" s="102">
        <v>4.4000000000000003E-3</v>
      </c>
      <c r="AY8" s="102" t="s">
        <v>174</v>
      </c>
      <c r="AZ8" s="102" t="s">
        <v>174</v>
      </c>
      <c r="BA8" s="102">
        <v>56</v>
      </c>
      <c r="BB8" s="102" t="s">
        <v>174</v>
      </c>
      <c r="BC8" s="102">
        <v>3</v>
      </c>
      <c r="BD8" s="102">
        <v>6</v>
      </c>
      <c r="BE8" s="102">
        <v>150</v>
      </c>
      <c r="BF8" s="102" t="s">
        <v>1385</v>
      </c>
      <c r="BG8" s="102" t="s">
        <v>2603</v>
      </c>
      <c r="BH8" s="102">
        <v>0.99</v>
      </c>
      <c r="BK8" s="102">
        <v>2.1999999999999999E-2</v>
      </c>
      <c r="BM8" s="102" t="s">
        <v>190</v>
      </c>
      <c r="BN8" s="102" t="b">
        <v>0</v>
      </c>
      <c r="BO8" s="102">
        <v>52.67</v>
      </c>
      <c r="BP8" s="102">
        <v>52.67</v>
      </c>
      <c r="BQ8" s="102" t="s">
        <v>182</v>
      </c>
      <c r="BR8" s="102" t="s">
        <v>174</v>
      </c>
      <c r="BS8" s="102" t="s">
        <v>333</v>
      </c>
      <c r="BU8" s="102" t="s">
        <v>190</v>
      </c>
      <c r="BV8" s="102" t="s">
        <v>190</v>
      </c>
      <c r="BW8" s="102" t="s">
        <v>190</v>
      </c>
      <c r="BX8" s="102" t="s">
        <v>190</v>
      </c>
      <c r="BY8" s="102">
        <v>22</v>
      </c>
      <c r="BZ8" s="102">
        <v>22</v>
      </c>
      <c r="CA8" s="102">
        <v>22</v>
      </c>
      <c r="CB8" s="102">
        <v>0</v>
      </c>
      <c r="CC8" s="102" t="s">
        <v>246</v>
      </c>
      <c r="CD8" s="102" t="s">
        <v>188</v>
      </c>
      <c r="CE8" s="102">
        <v>0</v>
      </c>
      <c r="CF8" s="102" t="s">
        <v>190</v>
      </c>
      <c r="CG8" s="102" t="s">
        <v>246</v>
      </c>
      <c r="CH8" s="102" t="s">
        <v>382</v>
      </c>
      <c r="CI8" s="102" t="s">
        <v>383</v>
      </c>
      <c r="CK8" s="102" t="s">
        <v>391</v>
      </c>
      <c r="CO8" s="102" t="s">
        <v>190</v>
      </c>
      <c r="CP8" s="102" t="s">
        <v>190</v>
      </c>
      <c r="CQ8" s="102" t="s">
        <v>176</v>
      </c>
      <c r="CR8" s="102" t="s">
        <v>174</v>
      </c>
      <c r="CS8" s="102" t="s">
        <v>174</v>
      </c>
      <c r="CT8" s="102" t="s">
        <v>174</v>
      </c>
      <c r="CU8" s="102" t="s">
        <v>1766</v>
      </c>
    </row>
    <row r="9" spans="1:102" s="102" customFormat="1">
      <c r="A9" s="102" t="s">
        <v>151</v>
      </c>
      <c r="B9" s="102">
        <v>65</v>
      </c>
      <c r="C9" s="102">
        <v>1</v>
      </c>
      <c r="D9" s="102">
        <v>3</v>
      </c>
      <c r="E9" s="102">
        <v>355</v>
      </c>
      <c r="F9" s="102">
        <v>2022</v>
      </c>
      <c r="G9" s="102" t="s">
        <v>1119</v>
      </c>
      <c r="H9" s="102" t="s">
        <v>161</v>
      </c>
      <c r="I9" s="102" t="s">
        <v>182</v>
      </c>
      <c r="J9" s="102" t="s">
        <v>182</v>
      </c>
      <c r="K9" s="102" t="s">
        <v>152</v>
      </c>
      <c r="L9" s="102" t="s">
        <v>443</v>
      </c>
      <c r="M9" s="102" t="s">
        <v>156</v>
      </c>
      <c r="N9" s="102" t="s">
        <v>157</v>
      </c>
      <c r="O9" s="102" t="s">
        <v>2541</v>
      </c>
      <c r="P9" s="102">
        <v>50.363629000000003</v>
      </c>
      <c r="Q9" s="102">
        <v>50.363629000000003</v>
      </c>
      <c r="R9" s="102">
        <v>-4.1449780000000001</v>
      </c>
      <c r="S9" s="102" t="s">
        <v>2624</v>
      </c>
      <c r="T9" s="102">
        <v>50.418994769999998</v>
      </c>
      <c r="U9" s="102">
        <v>-4.0909757830000002</v>
      </c>
      <c r="V9" s="102">
        <v>54</v>
      </c>
      <c r="W9" s="102" t="s">
        <v>160</v>
      </c>
      <c r="X9" s="102" t="s">
        <v>155</v>
      </c>
      <c r="Y9" s="102" t="s">
        <v>999</v>
      </c>
      <c r="Z9" s="102" t="s">
        <v>1788</v>
      </c>
      <c r="AA9" s="102" t="s">
        <v>333</v>
      </c>
      <c r="AB9" s="102" t="s">
        <v>246</v>
      </c>
      <c r="AC9" s="102" t="s">
        <v>333</v>
      </c>
      <c r="AD9" s="102" t="s">
        <v>1123</v>
      </c>
      <c r="AE9" s="102" t="s">
        <v>173</v>
      </c>
      <c r="AF9" s="102">
        <v>2</v>
      </c>
      <c r="AH9" s="102" t="s">
        <v>246</v>
      </c>
      <c r="AI9" s="102" t="s">
        <v>246</v>
      </c>
      <c r="AJ9" s="102" t="s">
        <v>171</v>
      </c>
      <c r="AK9" s="102" t="s">
        <v>190</v>
      </c>
      <c r="AL9" s="102" t="s">
        <v>174</v>
      </c>
      <c r="AN9" s="102">
        <v>13</v>
      </c>
      <c r="AP9" s="102" t="s">
        <v>190</v>
      </c>
      <c r="AQ9" s="102" t="s">
        <v>176</v>
      </c>
      <c r="AR9" s="102">
        <v>2019</v>
      </c>
      <c r="AS9" s="102" t="s">
        <v>169</v>
      </c>
      <c r="AT9" s="102" t="s">
        <v>298</v>
      </c>
      <c r="AU9" s="102">
        <v>20</v>
      </c>
      <c r="AW9" s="102" t="s">
        <v>181</v>
      </c>
      <c r="AX9" s="102" t="s">
        <v>174</v>
      </c>
      <c r="AY9" s="102" t="s">
        <v>174</v>
      </c>
      <c r="AZ9" s="102" t="s">
        <v>174</v>
      </c>
      <c r="BA9" s="102" t="s">
        <v>174</v>
      </c>
      <c r="BB9" s="102" t="s">
        <v>174</v>
      </c>
      <c r="BC9" s="102">
        <v>9</v>
      </c>
      <c r="BD9" s="102">
        <v>3</v>
      </c>
      <c r="BE9" s="102">
        <v>32</v>
      </c>
      <c r="BF9" s="102" t="s">
        <v>2256</v>
      </c>
      <c r="BG9" s="102" t="s">
        <v>2256</v>
      </c>
      <c r="BL9" s="102">
        <v>1.01</v>
      </c>
      <c r="BM9" s="102">
        <v>49.5049505</v>
      </c>
      <c r="BN9" s="102" t="b">
        <v>0</v>
      </c>
      <c r="BO9" s="102" t="s">
        <v>2256</v>
      </c>
      <c r="BP9" s="102" t="s">
        <v>2256</v>
      </c>
      <c r="BQ9" s="102" t="s">
        <v>2256</v>
      </c>
      <c r="BR9" s="102">
        <v>99.009900990000006</v>
      </c>
      <c r="BS9" s="102" t="s">
        <v>2509</v>
      </c>
      <c r="BY9" s="102">
        <v>12.11</v>
      </c>
      <c r="BZ9" s="102">
        <v>15.64</v>
      </c>
      <c r="CA9" s="102">
        <v>13.875</v>
      </c>
      <c r="CB9" s="102">
        <v>3.53</v>
      </c>
      <c r="CC9" s="102" t="s">
        <v>182</v>
      </c>
      <c r="CD9" s="102" t="s">
        <v>412</v>
      </c>
      <c r="CE9" s="102" t="s">
        <v>1882</v>
      </c>
      <c r="CF9" s="102" t="s">
        <v>224</v>
      </c>
      <c r="CG9" s="102" t="s">
        <v>182</v>
      </c>
      <c r="CH9" s="102" t="s">
        <v>190</v>
      </c>
      <c r="CI9" s="102" t="s">
        <v>178</v>
      </c>
      <c r="CJ9" s="102" t="s">
        <v>2567</v>
      </c>
      <c r="CN9" s="102" t="s">
        <v>182</v>
      </c>
      <c r="CQ9" s="102" t="s">
        <v>182</v>
      </c>
      <c r="CR9" s="102">
        <v>43602</v>
      </c>
      <c r="CS9" s="102">
        <v>3</v>
      </c>
      <c r="CT9" s="102" t="s">
        <v>174</v>
      </c>
      <c r="CU9" s="102" t="s">
        <v>168</v>
      </c>
    </row>
    <row r="10" spans="1:102" s="102" customFormat="1">
      <c r="A10" s="102" t="s">
        <v>1961</v>
      </c>
      <c r="B10" s="102">
        <v>76</v>
      </c>
      <c r="C10" s="102">
        <v>1</v>
      </c>
      <c r="D10" s="102">
        <v>1</v>
      </c>
      <c r="E10" s="102">
        <v>414</v>
      </c>
      <c r="F10" s="102">
        <v>2022</v>
      </c>
      <c r="G10" s="102" t="s">
        <v>1119</v>
      </c>
      <c r="H10" s="102" t="s">
        <v>187</v>
      </c>
      <c r="I10" s="102" t="s">
        <v>182</v>
      </c>
      <c r="J10" s="102" t="s">
        <v>182</v>
      </c>
      <c r="K10" s="102" t="s">
        <v>152</v>
      </c>
      <c r="L10" s="102" t="s">
        <v>443</v>
      </c>
      <c r="M10" s="102" t="s">
        <v>347</v>
      </c>
      <c r="N10" s="102" t="s">
        <v>348</v>
      </c>
      <c r="O10" s="102" t="s">
        <v>359</v>
      </c>
      <c r="P10" s="102">
        <v>-30.267582999999998</v>
      </c>
      <c r="Q10" s="102">
        <v>30.267582999999998</v>
      </c>
      <c r="R10" s="102">
        <v>153.14374100000001</v>
      </c>
      <c r="S10" s="102" t="s">
        <v>2667</v>
      </c>
      <c r="T10" s="102">
        <v>-30.341528740000001</v>
      </c>
      <c r="U10" s="102">
        <v>153.11794169999999</v>
      </c>
      <c r="V10" s="102">
        <v>10</v>
      </c>
      <c r="W10" s="102" t="s">
        <v>349</v>
      </c>
      <c r="X10" s="102" t="s">
        <v>802</v>
      </c>
      <c r="Y10" s="102" t="s">
        <v>184</v>
      </c>
      <c r="Z10" s="102" t="s">
        <v>1788</v>
      </c>
      <c r="AA10" s="102" t="s">
        <v>2718</v>
      </c>
      <c r="AB10" s="102" t="s">
        <v>182</v>
      </c>
      <c r="AC10" s="102" t="s">
        <v>1256</v>
      </c>
      <c r="AD10" s="102" t="s">
        <v>187</v>
      </c>
      <c r="AE10" s="102" t="s">
        <v>1745</v>
      </c>
      <c r="AH10" s="102" t="s">
        <v>246</v>
      </c>
      <c r="AI10" s="102" t="s">
        <v>246</v>
      </c>
      <c r="AJ10" s="102" t="s">
        <v>1967</v>
      </c>
      <c r="AK10" s="102" t="s">
        <v>1966</v>
      </c>
      <c r="AM10" s="102" t="s">
        <v>1903</v>
      </c>
      <c r="AN10" s="102">
        <v>3.7999999999999999E-2</v>
      </c>
      <c r="AQ10" s="102" t="s">
        <v>176</v>
      </c>
      <c r="AU10" s="102">
        <v>200</v>
      </c>
      <c r="AV10" s="102" t="s">
        <v>1255</v>
      </c>
      <c r="AW10" s="102" t="s">
        <v>1461</v>
      </c>
      <c r="BC10" s="102">
        <v>1</v>
      </c>
      <c r="BD10" s="102">
        <v>9</v>
      </c>
      <c r="BE10" s="102">
        <v>60</v>
      </c>
      <c r="BF10" s="102" t="s">
        <v>1385</v>
      </c>
      <c r="BG10" s="102" t="s">
        <v>2603</v>
      </c>
      <c r="BH10" s="102">
        <v>0.92200000000000004</v>
      </c>
      <c r="BK10" s="102">
        <v>4.4200000000000003E-2</v>
      </c>
      <c r="BM10" s="102">
        <v>17.22</v>
      </c>
      <c r="BN10" s="102" t="b">
        <v>0</v>
      </c>
      <c r="BO10" s="102">
        <v>18.39</v>
      </c>
      <c r="BP10" s="102">
        <v>18.39</v>
      </c>
      <c r="BQ10" s="102" t="s">
        <v>182</v>
      </c>
      <c r="CC10" s="102" t="s">
        <v>182</v>
      </c>
      <c r="CD10" s="102" t="s">
        <v>412</v>
      </c>
      <c r="CG10" s="102" t="s">
        <v>182</v>
      </c>
      <c r="CH10" s="102" t="s">
        <v>898</v>
      </c>
    </row>
    <row r="11" spans="1:102" s="102" customFormat="1">
      <c r="A11" s="102" t="s">
        <v>602</v>
      </c>
      <c r="B11" s="102">
        <v>91</v>
      </c>
      <c r="C11" s="102">
        <v>1</v>
      </c>
      <c r="D11" s="102">
        <v>1</v>
      </c>
      <c r="E11" s="102">
        <v>245</v>
      </c>
      <c r="F11" s="102">
        <v>2021</v>
      </c>
      <c r="G11" s="102" t="s">
        <v>1119</v>
      </c>
      <c r="H11" s="102" t="s">
        <v>2183</v>
      </c>
      <c r="I11" s="102" t="s">
        <v>182</v>
      </c>
      <c r="J11" s="102" t="s">
        <v>182</v>
      </c>
      <c r="K11" s="102" t="s">
        <v>152</v>
      </c>
      <c r="L11" s="102" t="s">
        <v>443</v>
      </c>
      <c r="M11" s="102" t="s">
        <v>156</v>
      </c>
      <c r="N11" s="102" t="s">
        <v>158</v>
      </c>
      <c r="O11" s="102" t="s">
        <v>300</v>
      </c>
      <c r="P11" s="102">
        <v>69.599999999999994</v>
      </c>
      <c r="Q11" s="102">
        <v>69.599999999999994</v>
      </c>
      <c r="R11" s="102">
        <v>18</v>
      </c>
      <c r="S11" s="102" t="s">
        <v>2620</v>
      </c>
      <c r="T11" s="102">
        <v>69.599999999999994</v>
      </c>
      <c r="U11" s="102">
        <v>18</v>
      </c>
      <c r="V11" s="102">
        <v>12</v>
      </c>
      <c r="W11" s="102" t="s">
        <v>291</v>
      </c>
      <c r="X11" s="102" t="s">
        <v>155</v>
      </c>
      <c r="Y11" s="102" t="s">
        <v>3061</v>
      </c>
      <c r="Z11" s="102" t="s">
        <v>1788</v>
      </c>
      <c r="AA11" s="102" t="s">
        <v>333</v>
      </c>
      <c r="AB11" s="102" t="s">
        <v>246</v>
      </c>
      <c r="AC11" s="102" t="s">
        <v>333</v>
      </c>
      <c r="AD11" s="102" t="s">
        <v>1123</v>
      </c>
      <c r="AE11" s="102" t="s">
        <v>1745</v>
      </c>
      <c r="AF11" s="102">
        <v>10</v>
      </c>
      <c r="AH11" s="102" t="s">
        <v>246</v>
      </c>
      <c r="AI11" s="102" t="s">
        <v>246</v>
      </c>
      <c r="AJ11" s="102" t="s">
        <v>171</v>
      </c>
      <c r="AK11" s="102" t="s">
        <v>190</v>
      </c>
      <c r="AN11" s="102">
        <v>10</v>
      </c>
      <c r="AP11" s="102" t="s">
        <v>190</v>
      </c>
      <c r="AQ11" s="102" t="s">
        <v>176</v>
      </c>
      <c r="AR11" s="102">
        <v>2018</v>
      </c>
      <c r="AS11" s="102" t="s">
        <v>297</v>
      </c>
      <c r="AT11" s="102" t="s">
        <v>298</v>
      </c>
      <c r="AU11" s="102" t="s">
        <v>174</v>
      </c>
      <c r="AW11" s="102" t="s">
        <v>174</v>
      </c>
      <c r="AX11" s="102" t="s">
        <v>174</v>
      </c>
      <c r="AY11" s="102" t="s">
        <v>174</v>
      </c>
      <c r="AZ11" s="102" t="s">
        <v>174</v>
      </c>
      <c r="BA11" s="102" t="s">
        <v>174</v>
      </c>
      <c r="BB11" s="102" t="s">
        <v>174</v>
      </c>
      <c r="BC11" s="102">
        <v>4</v>
      </c>
      <c r="BD11" s="102">
        <v>2</v>
      </c>
      <c r="BE11" s="102">
        <v>121</v>
      </c>
      <c r="BF11" s="102" t="s">
        <v>1387</v>
      </c>
      <c r="BG11" s="102" t="s">
        <v>1387</v>
      </c>
      <c r="BM11" s="102" t="s">
        <v>190</v>
      </c>
      <c r="BN11" s="102" t="b">
        <v>0</v>
      </c>
      <c r="BO11" s="102">
        <v>126.4</v>
      </c>
      <c r="BP11" s="102" t="s">
        <v>2256</v>
      </c>
      <c r="BQ11" s="102" t="s">
        <v>2256</v>
      </c>
      <c r="BR11" s="102" t="s">
        <v>174</v>
      </c>
      <c r="BS11" s="102" t="s">
        <v>2308</v>
      </c>
      <c r="BU11" s="102">
        <v>21.4</v>
      </c>
      <c r="BV11" s="102">
        <v>16.600000000000001</v>
      </c>
      <c r="BW11" s="102" t="s">
        <v>174</v>
      </c>
      <c r="BX11" s="102" t="s">
        <v>174</v>
      </c>
      <c r="BY11" s="102" t="s">
        <v>1766</v>
      </c>
      <c r="BZ11" s="102" t="s">
        <v>1766</v>
      </c>
      <c r="CC11" s="102" t="s">
        <v>182</v>
      </c>
      <c r="CD11" s="102" t="s">
        <v>412</v>
      </c>
      <c r="CF11" s="102" t="s">
        <v>190</v>
      </c>
      <c r="CG11" s="102" t="s">
        <v>182</v>
      </c>
      <c r="CH11" s="102" t="s">
        <v>190</v>
      </c>
      <c r="CI11" s="102" t="s">
        <v>296</v>
      </c>
      <c r="CO11" s="102" t="s">
        <v>174</v>
      </c>
      <c r="CP11" s="102" t="s">
        <v>174</v>
      </c>
      <c r="CQ11" s="102" t="s">
        <v>176</v>
      </c>
      <c r="CR11" s="102">
        <v>43247</v>
      </c>
      <c r="CS11" s="102" t="s">
        <v>242</v>
      </c>
      <c r="CT11" s="102" t="s">
        <v>174</v>
      </c>
      <c r="CU11" s="102" t="s">
        <v>168</v>
      </c>
      <c r="CX11" s="102" t="s">
        <v>308</v>
      </c>
    </row>
    <row r="12" spans="1:102" s="102" customFormat="1">
      <c r="A12" s="102" t="s">
        <v>2884</v>
      </c>
      <c r="B12" s="102">
        <v>92</v>
      </c>
      <c r="C12" s="102">
        <v>1</v>
      </c>
      <c r="D12" s="102">
        <v>1</v>
      </c>
      <c r="E12" s="102">
        <v>504</v>
      </c>
      <c r="F12" s="102">
        <v>2022</v>
      </c>
      <c r="G12" s="102" t="s">
        <v>1119</v>
      </c>
      <c r="H12" s="102" t="s">
        <v>187</v>
      </c>
      <c r="I12" s="102" t="s">
        <v>182</v>
      </c>
      <c r="J12" s="102" t="s">
        <v>182</v>
      </c>
      <c r="K12" s="102" t="s">
        <v>152</v>
      </c>
      <c r="L12" s="102" t="s">
        <v>443</v>
      </c>
      <c r="M12" s="102" t="s">
        <v>154</v>
      </c>
      <c r="N12" s="102" t="s">
        <v>326</v>
      </c>
      <c r="O12" s="102" t="s">
        <v>2540</v>
      </c>
      <c r="P12" s="102">
        <v>37.15</v>
      </c>
      <c r="Q12" s="102">
        <v>37.15</v>
      </c>
      <c r="R12" s="102">
        <v>122.583333</v>
      </c>
      <c r="S12" s="102" t="s">
        <v>2702</v>
      </c>
      <c r="W12" s="102" t="s">
        <v>185</v>
      </c>
      <c r="X12" s="102" t="s">
        <v>380</v>
      </c>
      <c r="Y12" s="102" t="s">
        <v>186</v>
      </c>
      <c r="Z12" s="102" t="s">
        <v>1788</v>
      </c>
      <c r="AA12" s="102" t="s">
        <v>333</v>
      </c>
      <c r="AB12" s="102" t="s">
        <v>246</v>
      </c>
      <c r="AC12" s="102" t="s">
        <v>1725</v>
      </c>
      <c r="AD12" s="102" t="s">
        <v>187</v>
      </c>
      <c r="AE12" s="102" t="s">
        <v>190</v>
      </c>
      <c r="AH12" s="102" t="s">
        <v>246</v>
      </c>
      <c r="AI12" s="102" t="s">
        <v>246</v>
      </c>
      <c r="AJ12" s="102" t="s">
        <v>2703</v>
      </c>
      <c r="AK12" s="102" t="s">
        <v>2115</v>
      </c>
      <c r="AL12" s="102">
        <v>30000</v>
      </c>
      <c r="AM12" s="102" t="s">
        <v>1216</v>
      </c>
      <c r="AO12" s="102">
        <v>6.9999999999999999E-4</v>
      </c>
      <c r="AQ12" s="102" t="s">
        <v>176</v>
      </c>
      <c r="AR12" s="102">
        <v>2021</v>
      </c>
      <c r="AW12" s="102" t="s">
        <v>197</v>
      </c>
      <c r="BC12" s="102">
        <v>3</v>
      </c>
      <c r="BD12" s="102">
        <v>12</v>
      </c>
      <c r="BE12" s="102">
        <v>120</v>
      </c>
      <c r="BF12" s="102" t="s">
        <v>1385</v>
      </c>
      <c r="BG12" s="102" t="s">
        <v>2603</v>
      </c>
      <c r="BH12" s="102">
        <v>0.99919999999999998</v>
      </c>
      <c r="BK12" s="102">
        <v>0.1</v>
      </c>
      <c r="BM12" s="102">
        <v>8.6456900000000001</v>
      </c>
      <c r="BN12" s="102" t="b">
        <v>0</v>
      </c>
      <c r="BO12" s="102">
        <v>14.094914206214254</v>
      </c>
      <c r="BP12" s="102">
        <v>14.094914206214254</v>
      </c>
      <c r="BQ12" s="102" t="s">
        <v>182</v>
      </c>
      <c r="BY12" s="102">
        <v>20</v>
      </c>
      <c r="BZ12" s="102">
        <v>26</v>
      </c>
      <c r="CA12" s="102">
        <v>23</v>
      </c>
      <c r="CB12" s="102">
        <v>6</v>
      </c>
      <c r="CC12" s="102" t="s">
        <v>246</v>
      </c>
      <c r="CD12" s="102" t="s">
        <v>188</v>
      </c>
      <c r="CE12" s="102">
        <v>0</v>
      </c>
      <c r="CG12" s="102" t="s">
        <v>246</v>
      </c>
    </row>
    <row r="13" spans="1:102" s="102" customFormat="1">
      <c r="A13" s="102" t="s">
        <v>2883</v>
      </c>
      <c r="B13" s="102">
        <v>93</v>
      </c>
      <c r="C13" s="102">
        <v>1</v>
      </c>
      <c r="D13" s="102">
        <v>1</v>
      </c>
      <c r="E13" s="102">
        <v>505</v>
      </c>
      <c r="F13" s="102">
        <v>2023</v>
      </c>
      <c r="G13" s="102" t="s">
        <v>1119</v>
      </c>
      <c r="H13" s="102" t="s">
        <v>187</v>
      </c>
      <c r="I13" s="102" t="s">
        <v>182</v>
      </c>
      <c r="J13" s="102" t="s">
        <v>182</v>
      </c>
      <c r="K13" s="102" t="s">
        <v>1976</v>
      </c>
      <c r="L13" s="102" t="s">
        <v>444</v>
      </c>
      <c r="M13" s="102" t="s">
        <v>445</v>
      </c>
      <c r="N13" s="102" t="s">
        <v>811</v>
      </c>
      <c r="O13" s="102" t="s">
        <v>2550</v>
      </c>
      <c r="P13" s="102">
        <v>36.0565</v>
      </c>
      <c r="Q13" s="102">
        <v>36.0565</v>
      </c>
      <c r="R13" s="102">
        <v>121.0557</v>
      </c>
      <c r="S13" s="102" t="s">
        <v>2706</v>
      </c>
      <c r="W13" s="102" t="s">
        <v>185</v>
      </c>
      <c r="X13" s="102" t="s">
        <v>380</v>
      </c>
      <c r="Y13" s="102" t="s">
        <v>725</v>
      </c>
      <c r="Z13" s="102" t="s">
        <v>1788</v>
      </c>
      <c r="AA13" s="102" t="s">
        <v>333</v>
      </c>
      <c r="AB13" s="102" t="s">
        <v>246</v>
      </c>
      <c r="AC13" s="102" t="s">
        <v>1725</v>
      </c>
      <c r="AD13" s="102" t="s">
        <v>187</v>
      </c>
      <c r="AE13" s="102" t="s">
        <v>190</v>
      </c>
      <c r="AH13" s="102" t="s">
        <v>246</v>
      </c>
      <c r="AI13" s="102" t="s">
        <v>246</v>
      </c>
      <c r="AJ13" s="102" t="s">
        <v>439</v>
      </c>
      <c r="AK13" s="102" t="s">
        <v>2716</v>
      </c>
      <c r="AL13" s="102">
        <v>100</v>
      </c>
      <c r="AM13" s="102" t="s">
        <v>1903</v>
      </c>
      <c r="AO13" s="102">
        <v>6.9999999999999999E-4</v>
      </c>
      <c r="AQ13" s="102" t="s">
        <v>176</v>
      </c>
      <c r="AR13" s="102">
        <v>2019</v>
      </c>
      <c r="AS13" s="102" t="s">
        <v>236</v>
      </c>
      <c r="AT13" s="102" t="s">
        <v>420</v>
      </c>
      <c r="BC13" s="102">
        <v>3</v>
      </c>
      <c r="BD13" s="102">
        <v>8</v>
      </c>
      <c r="BE13" s="102">
        <v>90</v>
      </c>
      <c r="BF13" s="102" t="s">
        <v>1385</v>
      </c>
      <c r="BG13" s="102" t="s">
        <v>2603</v>
      </c>
      <c r="BH13" s="102">
        <v>0.98960000000000004</v>
      </c>
      <c r="BK13" s="102">
        <v>0.1152</v>
      </c>
      <c r="BM13" s="102" t="s">
        <v>190</v>
      </c>
      <c r="BN13" s="102" t="b">
        <v>0</v>
      </c>
      <c r="BO13" s="102">
        <v>85.549020074774361</v>
      </c>
      <c r="BP13" s="102">
        <v>85.549020074774361</v>
      </c>
      <c r="BQ13" s="102" t="s">
        <v>182</v>
      </c>
      <c r="BS13" s="102" t="s">
        <v>2712</v>
      </c>
      <c r="BY13" s="102">
        <v>20</v>
      </c>
      <c r="BZ13" s="102">
        <v>25</v>
      </c>
      <c r="CA13" s="102">
        <v>22.5</v>
      </c>
      <c r="CB13" s="102">
        <v>5</v>
      </c>
      <c r="CC13" s="102" t="s">
        <v>246</v>
      </c>
      <c r="CD13" s="102" t="s">
        <v>188</v>
      </c>
      <c r="CE13" s="102">
        <v>0</v>
      </c>
      <c r="CG13" s="102" t="s">
        <v>246</v>
      </c>
      <c r="CJ13" s="102" t="s">
        <v>2713</v>
      </c>
    </row>
    <row r="14" spans="1:102" s="102" customFormat="1">
      <c r="A14" s="102" t="s">
        <v>2882</v>
      </c>
      <c r="B14" s="102">
        <v>94</v>
      </c>
      <c r="C14" s="102">
        <v>1</v>
      </c>
      <c r="D14" s="102">
        <v>1</v>
      </c>
      <c r="E14" s="102">
        <v>507</v>
      </c>
      <c r="F14" s="102">
        <v>2022</v>
      </c>
      <c r="G14" s="102" t="s">
        <v>1119</v>
      </c>
      <c r="H14" s="102" t="s">
        <v>187</v>
      </c>
      <c r="I14" s="102" t="s">
        <v>182</v>
      </c>
      <c r="J14" s="102" t="s">
        <v>182</v>
      </c>
      <c r="K14" s="102" t="s">
        <v>1976</v>
      </c>
      <c r="L14" s="102" t="s">
        <v>444</v>
      </c>
      <c r="M14" s="102" t="s">
        <v>445</v>
      </c>
      <c r="N14" s="102" t="s">
        <v>811</v>
      </c>
      <c r="O14" s="102" t="s">
        <v>2550</v>
      </c>
      <c r="P14" s="102">
        <v>36.0565</v>
      </c>
      <c r="Q14" s="102">
        <v>36.0565</v>
      </c>
      <c r="R14" s="102">
        <v>121.0557</v>
      </c>
      <c r="S14" s="102" t="s">
        <v>2707</v>
      </c>
      <c r="W14" s="102" t="s">
        <v>185</v>
      </c>
      <c r="X14" s="102" t="s">
        <v>380</v>
      </c>
      <c r="Y14" s="102" t="s">
        <v>186</v>
      </c>
      <c r="Z14" s="102" t="s">
        <v>1788</v>
      </c>
      <c r="AA14" s="102" t="s">
        <v>333</v>
      </c>
      <c r="AB14" s="102" t="s">
        <v>246</v>
      </c>
      <c r="AC14" s="102" t="s">
        <v>1725</v>
      </c>
      <c r="AD14" s="102" t="s">
        <v>187</v>
      </c>
      <c r="AE14" s="102" t="s">
        <v>190</v>
      </c>
      <c r="AH14" s="102" t="s">
        <v>246</v>
      </c>
      <c r="AI14" s="102" t="s">
        <v>246</v>
      </c>
      <c r="AJ14" s="102" t="s">
        <v>439</v>
      </c>
      <c r="AK14" s="102" t="s">
        <v>2716</v>
      </c>
      <c r="AL14" s="102">
        <v>100</v>
      </c>
      <c r="AM14" s="102" t="s">
        <v>1903</v>
      </c>
      <c r="AO14" s="102">
        <v>6.9999999999999999E-4</v>
      </c>
      <c r="AQ14" s="102" t="s">
        <v>176</v>
      </c>
      <c r="AR14" s="102">
        <v>2019</v>
      </c>
      <c r="AS14" s="102" t="s">
        <v>236</v>
      </c>
      <c r="AT14" s="102" t="s">
        <v>420</v>
      </c>
      <c r="BC14" s="102">
        <v>3</v>
      </c>
      <c r="BD14" s="102">
        <v>9</v>
      </c>
      <c r="BE14" s="102">
        <v>90</v>
      </c>
      <c r="BF14" s="102" t="s">
        <v>1385</v>
      </c>
      <c r="BG14" s="102" t="s">
        <v>2603</v>
      </c>
      <c r="BH14" s="102">
        <v>0.97960000000000003</v>
      </c>
      <c r="BK14" s="102">
        <v>8.0799999999999997E-2</v>
      </c>
      <c r="BM14" s="102" t="s">
        <v>190</v>
      </c>
      <c r="BN14" s="102" t="b">
        <v>0</v>
      </c>
      <c r="BO14" s="102">
        <v>91.293874741913285</v>
      </c>
      <c r="BP14" s="102">
        <v>91.293874741913285</v>
      </c>
      <c r="BQ14" s="102" t="s">
        <v>182</v>
      </c>
      <c r="BS14" s="102" t="s">
        <v>2712</v>
      </c>
      <c r="BY14" s="102">
        <v>20</v>
      </c>
      <c r="BZ14" s="102">
        <v>25</v>
      </c>
      <c r="CA14" s="102">
        <v>22.5</v>
      </c>
      <c r="CB14" s="102">
        <v>5</v>
      </c>
      <c r="CC14" s="102" t="s">
        <v>246</v>
      </c>
      <c r="CD14" s="102" t="s">
        <v>188</v>
      </c>
      <c r="CE14" s="102">
        <v>0</v>
      </c>
      <c r="CG14" s="102" t="s">
        <v>246</v>
      </c>
    </row>
    <row r="15" spans="1:102" s="102" customFormat="1">
      <c r="A15" s="102" t="s">
        <v>2881</v>
      </c>
      <c r="B15" s="102">
        <v>95</v>
      </c>
      <c r="C15" s="102">
        <v>1</v>
      </c>
      <c r="D15" s="102">
        <v>1</v>
      </c>
      <c r="E15" s="102">
        <v>509</v>
      </c>
      <c r="F15" s="102">
        <v>2024</v>
      </c>
      <c r="G15" s="102" t="s">
        <v>1119</v>
      </c>
      <c r="H15" s="102" t="s">
        <v>187</v>
      </c>
      <c r="I15" s="102" t="s">
        <v>182</v>
      </c>
      <c r="J15" s="102" t="s">
        <v>182</v>
      </c>
      <c r="K15" s="102" t="s">
        <v>152</v>
      </c>
      <c r="L15" s="102" t="s">
        <v>443</v>
      </c>
      <c r="M15" s="102" t="s">
        <v>437</v>
      </c>
      <c r="N15" s="102" t="s">
        <v>438</v>
      </c>
      <c r="O15" s="102" t="s">
        <v>441</v>
      </c>
      <c r="P15" s="102">
        <v>39.066667000000002</v>
      </c>
      <c r="Q15" s="102">
        <v>39.066667000000002</v>
      </c>
      <c r="R15" s="102">
        <v>122.15</v>
      </c>
      <c r="S15" s="102" t="s">
        <v>2721</v>
      </c>
      <c r="W15" s="102" t="s">
        <v>185</v>
      </c>
      <c r="X15" s="102" t="s">
        <v>380</v>
      </c>
      <c r="Y15" s="102" t="s">
        <v>186</v>
      </c>
      <c r="Z15" s="102" t="s">
        <v>1788</v>
      </c>
      <c r="AA15" s="102" t="s">
        <v>2722</v>
      </c>
      <c r="AB15" s="102" t="s">
        <v>246</v>
      </c>
      <c r="AC15" s="102" t="s">
        <v>1725</v>
      </c>
      <c r="AD15" s="102" t="s">
        <v>187</v>
      </c>
      <c r="AE15" s="102" t="s">
        <v>190</v>
      </c>
      <c r="AH15" s="102" t="s">
        <v>246</v>
      </c>
      <c r="AI15" s="102" t="s">
        <v>246</v>
      </c>
      <c r="AJ15" s="102" t="s">
        <v>2723</v>
      </c>
      <c r="AK15" s="102" t="s">
        <v>2724</v>
      </c>
      <c r="AL15" s="102">
        <v>20000</v>
      </c>
      <c r="AM15" s="102" t="s">
        <v>412</v>
      </c>
      <c r="AO15" s="102">
        <v>2.2000000000000001E-4</v>
      </c>
      <c r="AQ15" s="102" t="s">
        <v>176</v>
      </c>
      <c r="AR15" s="102">
        <v>2022</v>
      </c>
      <c r="AS15" s="102" t="s">
        <v>743</v>
      </c>
      <c r="AT15" s="102" t="s">
        <v>385</v>
      </c>
      <c r="BC15" s="102">
        <v>3</v>
      </c>
      <c r="BD15" s="102">
        <v>10</v>
      </c>
      <c r="BE15" s="102">
        <v>120</v>
      </c>
      <c r="BF15" s="102" t="s">
        <v>1385</v>
      </c>
      <c r="BG15" s="102" t="s">
        <v>2603</v>
      </c>
      <c r="BH15" s="102">
        <v>0.94920000000000004</v>
      </c>
      <c r="BK15" s="102">
        <v>0.16619999999999999</v>
      </c>
      <c r="BM15" s="102">
        <v>7.0752230000000003</v>
      </c>
      <c r="BN15" s="102" t="b">
        <v>0</v>
      </c>
      <c r="BO15" s="102">
        <v>26.116392970325553</v>
      </c>
      <c r="BP15" s="102">
        <v>26.116392970325553</v>
      </c>
      <c r="BQ15" s="102" t="s">
        <v>182</v>
      </c>
      <c r="CC15" s="102" t="s">
        <v>246</v>
      </c>
      <c r="CD15" s="102" t="s">
        <v>188</v>
      </c>
      <c r="CE15" s="102">
        <v>0</v>
      </c>
      <c r="CG15" s="102" t="s">
        <v>246</v>
      </c>
      <c r="CJ15" s="102" t="s">
        <v>2725</v>
      </c>
    </row>
    <row r="16" spans="1:102" s="102" customFormat="1">
      <c r="A16" s="102" t="s">
        <v>2880</v>
      </c>
      <c r="B16" s="102">
        <v>96</v>
      </c>
      <c r="C16" s="102">
        <v>3</v>
      </c>
      <c r="D16" s="102">
        <v>1</v>
      </c>
      <c r="E16" s="102">
        <v>510</v>
      </c>
      <c r="F16" s="102">
        <v>2024</v>
      </c>
      <c r="G16" s="102" t="s">
        <v>1119</v>
      </c>
      <c r="H16" s="102" t="s">
        <v>187</v>
      </c>
      <c r="I16" s="102" t="s">
        <v>182</v>
      </c>
      <c r="J16" s="102" t="s">
        <v>182</v>
      </c>
      <c r="K16" s="102" t="s">
        <v>1976</v>
      </c>
      <c r="L16" s="102" t="s">
        <v>444</v>
      </c>
      <c r="M16" s="102" t="s">
        <v>1095</v>
      </c>
      <c r="N16" s="102" t="s">
        <v>811</v>
      </c>
      <c r="O16" s="102" t="s">
        <v>2819</v>
      </c>
      <c r="P16" s="102">
        <v>36.488830999999998</v>
      </c>
      <c r="Q16" s="102">
        <v>36.488830999999998</v>
      </c>
      <c r="R16" s="102">
        <v>6.2647360000000001</v>
      </c>
      <c r="S16" s="102" t="s">
        <v>2821</v>
      </c>
      <c r="W16" s="102" t="s">
        <v>419</v>
      </c>
      <c r="X16" s="102" t="s">
        <v>155</v>
      </c>
      <c r="Y16" s="102" t="s">
        <v>186</v>
      </c>
      <c r="Z16" s="102" t="s">
        <v>1788</v>
      </c>
      <c r="AB16" s="102" t="s">
        <v>246</v>
      </c>
      <c r="AC16" s="102" t="s">
        <v>333</v>
      </c>
      <c r="AD16" s="102" t="s">
        <v>187</v>
      </c>
      <c r="AH16" s="102" t="s">
        <v>246</v>
      </c>
      <c r="AI16" s="102" t="s">
        <v>246</v>
      </c>
      <c r="AJ16" s="102" t="s">
        <v>2822</v>
      </c>
      <c r="AK16" s="102" t="s">
        <v>2823</v>
      </c>
      <c r="AL16" s="102">
        <v>600</v>
      </c>
      <c r="AM16" s="102" t="s">
        <v>1903</v>
      </c>
      <c r="AO16" s="102">
        <v>2.0000000000000001E-4</v>
      </c>
      <c r="AP16" s="102" t="s">
        <v>2825</v>
      </c>
      <c r="AQ16" s="102" t="s">
        <v>175</v>
      </c>
      <c r="BC16" s="102">
        <v>3</v>
      </c>
      <c r="BD16" s="102">
        <v>6</v>
      </c>
      <c r="BE16" s="102">
        <v>14</v>
      </c>
      <c r="BF16" s="102" t="s">
        <v>1385</v>
      </c>
      <c r="BG16" s="102" t="s">
        <v>2603</v>
      </c>
      <c r="BH16" s="102">
        <v>0.98280000000000001</v>
      </c>
      <c r="BK16" s="102">
        <v>0.37980000000000003</v>
      </c>
      <c r="BM16" s="102" t="s">
        <v>190</v>
      </c>
      <c r="BN16" s="102" t="b">
        <v>0</v>
      </c>
      <c r="BO16" s="102">
        <v>66.444999999999993</v>
      </c>
      <c r="BP16" s="102">
        <v>66.444999999999993</v>
      </c>
      <c r="BQ16" s="102" t="s">
        <v>182</v>
      </c>
      <c r="CC16" s="102" t="s">
        <v>246</v>
      </c>
      <c r="CD16" s="102" t="s">
        <v>188</v>
      </c>
      <c r="CE16" s="102">
        <v>0</v>
      </c>
      <c r="CG16" s="102" t="s">
        <v>182</v>
      </c>
      <c r="CJ16" s="102" t="s">
        <v>2827</v>
      </c>
    </row>
    <row r="17" spans="1:102" s="102" customFormat="1">
      <c r="A17" s="102" t="s">
        <v>2879</v>
      </c>
      <c r="B17" s="102">
        <v>97</v>
      </c>
      <c r="C17" s="102">
        <v>2</v>
      </c>
      <c r="D17" s="102">
        <v>1</v>
      </c>
      <c r="E17" s="102">
        <v>512</v>
      </c>
      <c r="F17" s="102">
        <v>2020</v>
      </c>
      <c r="G17" s="102" t="s">
        <v>1119</v>
      </c>
      <c r="H17" s="102" t="s">
        <v>187</v>
      </c>
      <c r="I17" s="102" t="s">
        <v>246</v>
      </c>
      <c r="J17" s="102" t="s">
        <v>182</v>
      </c>
      <c r="K17" s="102" t="s">
        <v>1976</v>
      </c>
      <c r="L17" s="102" t="s">
        <v>444</v>
      </c>
      <c r="M17" s="102" t="s">
        <v>445</v>
      </c>
      <c r="N17" s="102" t="s">
        <v>704</v>
      </c>
      <c r="O17" s="102" t="s">
        <v>979</v>
      </c>
      <c r="P17" s="102">
        <v>-38.25</v>
      </c>
      <c r="Q17" s="102">
        <v>38.25</v>
      </c>
      <c r="R17" s="102">
        <v>144.716667</v>
      </c>
      <c r="S17" s="102" t="s">
        <v>2878</v>
      </c>
      <c r="W17" s="102" t="s">
        <v>349</v>
      </c>
      <c r="X17" s="102" t="s">
        <v>802</v>
      </c>
      <c r="Y17" s="102" t="s">
        <v>999</v>
      </c>
      <c r="Z17" s="102" t="s">
        <v>1788</v>
      </c>
      <c r="AA17" s="102" t="s">
        <v>2830</v>
      </c>
      <c r="AB17" s="102" t="s">
        <v>246</v>
      </c>
      <c r="AC17" s="102" t="s">
        <v>1256</v>
      </c>
      <c r="AD17" s="102" t="s">
        <v>187</v>
      </c>
      <c r="AE17" s="102" t="s">
        <v>1745</v>
      </c>
      <c r="AH17" s="102" t="s">
        <v>246</v>
      </c>
      <c r="AI17" s="102" t="s">
        <v>246</v>
      </c>
      <c r="AJ17" s="102" t="s">
        <v>2829</v>
      </c>
      <c r="AK17" s="102" t="s">
        <v>2828</v>
      </c>
      <c r="AM17" s="102" t="s">
        <v>412</v>
      </c>
      <c r="AN17" s="102">
        <v>1</v>
      </c>
      <c r="AQ17" s="102" t="s">
        <v>176</v>
      </c>
      <c r="AR17" s="102">
        <v>2017</v>
      </c>
      <c r="AS17" s="102" t="s">
        <v>297</v>
      </c>
      <c r="AT17" s="102" t="s">
        <v>420</v>
      </c>
      <c r="AU17" s="102">
        <v>2</v>
      </c>
      <c r="AV17" s="102" t="s">
        <v>1256</v>
      </c>
      <c r="BC17" s="102">
        <v>4</v>
      </c>
      <c r="BD17" s="102">
        <v>1</v>
      </c>
      <c r="BE17" s="102">
        <v>62</v>
      </c>
      <c r="BF17" s="102" t="s">
        <v>2256</v>
      </c>
      <c r="BG17" s="102" t="s">
        <v>2256</v>
      </c>
      <c r="BL17" s="102">
        <v>1.6129032258064515</v>
      </c>
      <c r="BM17" s="102">
        <v>31.000000000000004</v>
      </c>
      <c r="BN17" s="102" t="b">
        <v>0</v>
      </c>
      <c r="BO17" s="102">
        <v>0</v>
      </c>
      <c r="BP17" s="102">
        <v>0</v>
      </c>
      <c r="BQ17" s="102" t="s">
        <v>246</v>
      </c>
      <c r="BS17" s="102" t="s">
        <v>2831</v>
      </c>
      <c r="BY17" s="102">
        <v>23.58</v>
      </c>
      <c r="BZ17" s="102">
        <v>24.75</v>
      </c>
      <c r="CA17" s="102">
        <v>24.22</v>
      </c>
      <c r="CB17" s="102">
        <v>1.1700000000000017</v>
      </c>
      <c r="CC17" s="102" t="s">
        <v>246</v>
      </c>
      <c r="CD17" s="102" t="s">
        <v>188</v>
      </c>
      <c r="CE17" s="102">
        <v>0</v>
      </c>
      <c r="CG17" s="102" t="s">
        <v>182</v>
      </c>
    </row>
    <row r="18" spans="1:102" s="102" customFormat="1">
      <c r="A18" s="102" t="s">
        <v>2844</v>
      </c>
      <c r="B18" s="102">
        <v>98</v>
      </c>
      <c r="C18" s="102">
        <v>1</v>
      </c>
      <c r="D18" s="102">
        <v>1</v>
      </c>
      <c r="E18" s="102">
        <v>516</v>
      </c>
      <c r="F18" s="102">
        <v>2020</v>
      </c>
      <c r="G18" s="102" t="s">
        <v>1119</v>
      </c>
      <c r="H18" s="102" t="s">
        <v>187</v>
      </c>
      <c r="I18" s="102" t="s">
        <v>182</v>
      </c>
      <c r="J18" s="102" t="s">
        <v>182</v>
      </c>
      <c r="K18" s="102" t="s">
        <v>272</v>
      </c>
      <c r="L18" s="102" t="s">
        <v>443</v>
      </c>
      <c r="M18" s="102" t="s">
        <v>611</v>
      </c>
      <c r="N18" s="102" t="s">
        <v>612</v>
      </c>
      <c r="O18" s="102" t="s">
        <v>2531</v>
      </c>
      <c r="P18" s="102">
        <v>55.454999999999998</v>
      </c>
      <c r="Q18" s="102">
        <v>55.454999999999998</v>
      </c>
      <c r="R18" s="102">
        <v>10.4588</v>
      </c>
      <c r="S18" s="102" t="s">
        <v>2835</v>
      </c>
      <c r="W18" s="102" t="s">
        <v>973</v>
      </c>
      <c r="X18" s="102" t="s">
        <v>155</v>
      </c>
      <c r="Y18" s="102" t="s">
        <v>725</v>
      </c>
      <c r="Z18" s="102" t="s">
        <v>1788</v>
      </c>
      <c r="AA18" s="102" t="s">
        <v>333</v>
      </c>
      <c r="AB18" s="102" t="s">
        <v>246</v>
      </c>
      <c r="AC18" s="102" t="s">
        <v>1256</v>
      </c>
      <c r="AD18" s="102" t="s">
        <v>187</v>
      </c>
      <c r="AE18" s="102" t="s">
        <v>1745</v>
      </c>
      <c r="AH18" s="102" t="s">
        <v>182</v>
      </c>
      <c r="AI18" s="102" t="s">
        <v>2836</v>
      </c>
      <c r="AJ18" s="102" t="s">
        <v>2837</v>
      </c>
      <c r="AK18" s="102" t="s">
        <v>2838</v>
      </c>
      <c r="AM18" s="102" t="s">
        <v>412</v>
      </c>
      <c r="AQ18" s="102" t="s">
        <v>176</v>
      </c>
      <c r="AU18" s="102">
        <v>5</v>
      </c>
      <c r="AV18" s="102" t="s">
        <v>1256</v>
      </c>
      <c r="BC18" s="102">
        <v>3</v>
      </c>
      <c r="BD18" s="102">
        <v>1</v>
      </c>
      <c r="BE18" s="102">
        <v>27</v>
      </c>
      <c r="BF18" s="102" t="s">
        <v>2256</v>
      </c>
      <c r="BG18" s="102" t="s">
        <v>2256</v>
      </c>
      <c r="BL18" s="102">
        <v>2.0814814814814815</v>
      </c>
      <c r="BM18" s="102">
        <v>24.021352313167259</v>
      </c>
      <c r="BN18" s="102" t="b">
        <v>0</v>
      </c>
      <c r="BO18" s="102">
        <v>43.8</v>
      </c>
      <c r="BP18" s="102" t="s">
        <v>2256</v>
      </c>
      <c r="BQ18" s="102" t="s">
        <v>2256</v>
      </c>
      <c r="BS18" s="102" t="s">
        <v>2840</v>
      </c>
      <c r="BU18" s="102">
        <v>21.6</v>
      </c>
      <c r="BW18" s="102">
        <v>41.4</v>
      </c>
      <c r="BY18" s="102">
        <v>15</v>
      </c>
      <c r="BZ18" s="102">
        <v>15</v>
      </c>
      <c r="CA18" s="102">
        <v>15</v>
      </c>
      <c r="CB18" s="102">
        <v>0</v>
      </c>
      <c r="CC18" s="102" t="s">
        <v>246</v>
      </c>
      <c r="CD18" s="102" t="s">
        <v>188</v>
      </c>
      <c r="CE18" s="102">
        <v>0</v>
      </c>
      <c r="CG18" s="102" t="s">
        <v>182</v>
      </c>
      <c r="CJ18" s="102" t="s">
        <v>2839</v>
      </c>
    </row>
    <row r="19" spans="1:102" s="102" customFormat="1">
      <c r="A19" s="102" t="s">
        <v>2877</v>
      </c>
      <c r="B19" s="102">
        <v>99</v>
      </c>
      <c r="C19" s="102">
        <v>3</v>
      </c>
      <c r="D19" s="102">
        <v>1</v>
      </c>
      <c r="E19" s="102">
        <v>520</v>
      </c>
      <c r="F19" s="102">
        <v>2021</v>
      </c>
      <c r="G19" s="102" t="s">
        <v>1119</v>
      </c>
      <c r="H19" s="102" t="s">
        <v>187</v>
      </c>
      <c r="I19" s="102" t="s">
        <v>182</v>
      </c>
      <c r="J19" s="102" t="s">
        <v>182</v>
      </c>
      <c r="K19" s="102" t="s">
        <v>152</v>
      </c>
      <c r="L19" s="102" t="s">
        <v>443</v>
      </c>
      <c r="M19" s="102" t="s">
        <v>437</v>
      </c>
      <c r="N19" s="102" t="s">
        <v>438</v>
      </c>
      <c r="O19" s="102" t="s">
        <v>441</v>
      </c>
      <c r="P19" s="102">
        <v>34.524000000000001</v>
      </c>
      <c r="Q19" s="102">
        <v>34.524000000000001</v>
      </c>
      <c r="R19" s="102">
        <v>136.75</v>
      </c>
      <c r="S19" s="102" t="s">
        <v>2876</v>
      </c>
      <c r="W19" s="102" t="s">
        <v>379</v>
      </c>
      <c r="X19" s="102" t="s">
        <v>380</v>
      </c>
      <c r="Y19" s="102" t="s">
        <v>184</v>
      </c>
      <c r="Z19" s="102" t="s">
        <v>1788</v>
      </c>
      <c r="AA19" s="102" t="s">
        <v>1726</v>
      </c>
      <c r="AB19" s="102" t="s">
        <v>182</v>
      </c>
      <c r="AC19" s="102" t="s">
        <v>1256</v>
      </c>
      <c r="AD19" s="102" t="s">
        <v>187</v>
      </c>
      <c r="AH19" s="102" t="s">
        <v>246</v>
      </c>
      <c r="AI19" s="102" t="s">
        <v>246</v>
      </c>
      <c r="AJ19" s="102" t="s">
        <v>439</v>
      </c>
      <c r="AK19" s="102" t="s">
        <v>2845</v>
      </c>
      <c r="AL19" s="102">
        <v>45</v>
      </c>
      <c r="AM19" s="102" t="s">
        <v>412</v>
      </c>
      <c r="AQ19" s="102" t="s">
        <v>176</v>
      </c>
      <c r="AR19" s="102">
        <v>2018</v>
      </c>
      <c r="AU19" s="102">
        <v>0.1</v>
      </c>
      <c r="AV19" s="102" t="s">
        <v>1255</v>
      </c>
      <c r="BC19" s="102">
        <v>3</v>
      </c>
      <c r="BD19" s="102">
        <v>4</v>
      </c>
      <c r="BE19" s="102">
        <v>200</v>
      </c>
      <c r="BF19" s="102" t="s">
        <v>1385</v>
      </c>
      <c r="BG19" s="102" t="s">
        <v>2603</v>
      </c>
      <c r="BH19" s="102">
        <v>0.99109999999999998</v>
      </c>
      <c r="BK19" s="102">
        <v>0.1031</v>
      </c>
      <c r="BM19" s="102">
        <v>11.892918999999999</v>
      </c>
      <c r="BN19" s="102" t="b">
        <v>0</v>
      </c>
      <c r="BO19" s="102">
        <v>25.12</v>
      </c>
      <c r="BP19" s="102">
        <v>25.12</v>
      </c>
      <c r="BQ19" s="102" t="s">
        <v>182</v>
      </c>
      <c r="BW19" s="102">
        <v>34.17</v>
      </c>
      <c r="BY19" s="102">
        <v>20</v>
      </c>
      <c r="BZ19" s="102">
        <v>20</v>
      </c>
      <c r="CA19" s="102">
        <v>20</v>
      </c>
      <c r="CB19" s="102">
        <v>0</v>
      </c>
      <c r="CC19" s="102" t="s">
        <v>246</v>
      </c>
      <c r="CD19" s="102" t="s">
        <v>188</v>
      </c>
      <c r="CE19" s="102">
        <v>0</v>
      </c>
      <c r="CG19" s="102" t="s">
        <v>246</v>
      </c>
    </row>
    <row r="20" spans="1:102" s="102" customFormat="1">
      <c r="A20" s="102" t="s">
        <v>309</v>
      </c>
      <c r="B20" s="102">
        <v>100</v>
      </c>
      <c r="C20" s="102">
        <v>1</v>
      </c>
      <c r="D20" s="102">
        <v>1</v>
      </c>
      <c r="E20" s="102">
        <v>85</v>
      </c>
      <c r="F20" s="102">
        <v>2021</v>
      </c>
      <c r="G20" s="102" t="s">
        <v>1119</v>
      </c>
      <c r="H20" s="102" t="s">
        <v>187</v>
      </c>
      <c r="I20" s="102" t="s">
        <v>182</v>
      </c>
      <c r="J20" s="102" t="s">
        <v>182</v>
      </c>
      <c r="K20" s="102" t="s">
        <v>152</v>
      </c>
      <c r="L20" s="102" t="s">
        <v>443</v>
      </c>
      <c r="M20" s="102" t="s">
        <v>156</v>
      </c>
      <c r="N20" s="102" t="s">
        <v>158</v>
      </c>
      <c r="O20" s="102" t="s">
        <v>300</v>
      </c>
      <c r="P20" s="102">
        <v>48.708950000000002</v>
      </c>
      <c r="Q20" s="102">
        <v>48.708950000000002</v>
      </c>
      <c r="R20" s="102">
        <v>-3.9013361099999999</v>
      </c>
      <c r="S20" s="102" t="s">
        <v>2652</v>
      </c>
      <c r="T20" s="102">
        <v>48.709260200000003</v>
      </c>
      <c r="U20" s="102">
        <v>-3.9511435490000002</v>
      </c>
      <c r="V20" s="102">
        <v>15</v>
      </c>
      <c r="W20" s="102" t="s">
        <v>310</v>
      </c>
      <c r="X20" s="102" t="s">
        <v>155</v>
      </c>
      <c r="Y20" s="102" t="s">
        <v>999</v>
      </c>
      <c r="Z20" s="102" t="s">
        <v>1788</v>
      </c>
      <c r="AA20" s="102" t="s">
        <v>333</v>
      </c>
      <c r="AB20" s="102" t="s">
        <v>246</v>
      </c>
      <c r="AC20" s="102" t="s">
        <v>333</v>
      </c>
      <c r="AD20" s="102" t="s">
        <v>187</v>
      </c>
      <c r="AE20" s="102" t="s">
        <v>190</v>
      </c>
      <c r="AF20" s="102" t="s">
        <v>190</v>
      </c>
      <c r="AH20" s="102" t="s">
        <v>246</v>
      </c>
      <c r="AI20" s="102" t="s">
        <v>246</v>
      </c>
      <c r="AJ20" s="102" t="s">
        <v>902</v>
      </c>
      <c r="AK20" s="102" t="s">
        <v>1167</v>
      </c>
      <c r="AM20" s="102" t="s">
        <v>412</v>
      </c>
      <c r="AN20" s="102" t="s">
        <v>190</v>
      </c>
      <c r="AP20" s="102" t="s">
        <v>190</v>
      </c>
      <c r="AQ20" s="102" t="s">
        <v>176</v>
      </c>
      <c r="AR20" s="102">
        <v>2018</v>
      </c>
      <c r="AS20" s="102" t="s">
        <v>234</v>
      </c>
      <c r="AT20" s="102" t="s">
        <v>298</v>
      </c>
      <c r="AU20" s="102" t="s">
        <v>174</v>
      </c>
      <c r="AW20" s="102" t="s">
        <v>174</v>
      </c>
      <c r="AX20" s="102" t="s">
        <v>174</v>
      </c>
      <c r="AY20" s="102" t="s">
        <v>174</v>
      </c>
      <c r="AZ20" s="102" t="s">
        <v>174</v>
      </c>
      <c r="BA20" s="102" t="s">
        <v>174</v>
      </c>
      <c r="BB20" s="102" t="s">
        <v>174</v>
      </c>
      <c r="BC20" s="102">
        <v>5</v>
      </c>
      <c r="BD20" s="102">
        <v>5</v>
      </c>
      <c r="BE20" s="102">
        <v>56</v>
      </c>
      <c r="BF20" s="102" t="s">
        <v>1387</v>
      </c>
      <c r="BG20" s="102" t="s">
        <v>1387</v>
      </c>
      <c r="BM20" s="102" t="s">
        <v>190</v>
      </c>
      <c r="BN20" s="102" t="b">
        <v>0</v>
      </c>
      <c r="BO20" s="102">
        <v>97.4</v>
      </c>
      <c r="BP20" s="102" t="s">
        <v>2256</v>
      </c>
      <c r="BQ20" s="102" t="s">
        <v>2256</v>
      </c>
      <c r="BR20" s="102" t="s">
        <v>174</v>
      </c>
      <c r="BS20" s="102" t="s">
        <v>2366</v>
      </c>
      <c r="BU20" s="102" t="s">
        <v>174</v>
      </c>
      <c r="BV20" s="102" t="s">
        <v>174</v>
      </c>
      <c r="BW20" s="102" t="s">
        <v>174</v>
      </c>
      <c r="BX20" s="102" t="s">
        <v>174</v>
      </c>
      <c r="BY20" s="102">
        <v>16.899999999999999</v>
      </c>
      <c r="BZ20" s="102">
        <v>23.7</v>
      </c>
      <c r="CA20" s="102">
        <v>20.3</v>
      </c>
      <c r="CB20" s="102">
        <v>6.8</v>
      </c>
      <c r="CC20" s="102" t="s">
        <v>182</v>
      </c>
      <c r="CD20" s="102" t="s">
        <v>1903</v>
      </c>
      <c r="CE20" s="102">
        <v>98.9</v>
      </c>
      <c r="CF20" s="102" t="s">
        <v>311</v>
      </c>
      <c r="CG20" s="102" t="s">
        <v>182</v>
      </c>
      <c r="CH20" s="102" t="s">
        <v>1701</v>
      </c>
      <c r="CI20" s="102" t="s">
        <v>312</v>
      </c>
      <c r="CO20" s="102" t="s">
        <v>174</v>
      </c>
      <c r="CP20" s="102" t="s">
        <v>174</v>
      </c>
      <c r="CQ20" s="102" t="s">
        <v>175</v>
      </c>
      <c r="CR20" s="102" t="s">
        <v>174</v>
      </c>
      <c r="CS20" s="102">
        <v>1</v>
      </c>
      <c r="CT20" s="102">
        <v>20</v>
      </c>
      <c r="CU20" s="102" t="s">
        <v>168</v>
      </c>
      <c r="CX20" s="102" t="s">
        <v>308</v>
      </c>
    </row>
    <row r="21" spans="1:102" s="104" customFormat="1">
      <c r="A21" s="104" t="s">
        <v>651</v>
      </c>
      <c r="B21" s="104">
        <v>5</v>
      </c>
      <c r="C21" s="104">
        <v>1</v>
      </c>
      <c r="D21" s="104">
        <v>2</v>
      </c>
      <c r="E21" s="104">
        <v>20</v>
      </c>
      <c r="F21" s="104">
        <v>1996</v>
      </c>
      <c r="G21" s="104" t="s">
        <v>2437</v>
      </c>
      <c r="H21" s="104" t="s">
        <v>2183</v>
      </c>
      <c r="I21" s="104" t="s">
        <v>182</v>
      </c>
      <c r="J21" s="104" t="s">
        <v>246</v>
      </c>
      <c r="K21" s="104" t="s">
        <v>1976</v>
      </c>
      <c r="L21" s="104" t="s">
        <v>444</v>
      </c>
      <c r="M21" s="104" t="s">
        <v>2186</v>
      </c>
      <c r="N21" s="104" t="s">
        <v>2187</v>
      </c>
      <c r="O21" s="104" t="s">
        <v>2548</v>
      </c>
      <c r="P21" s="104">
        <v>44.654307350000003</v>
      </c>
      <c r="Q21" s="104">
        <v>44.654307350000003</v>
      </c>
      <c r="R21" s="104">
        <v>-1.1406765459999999</v>
      </c>
      <c r="S21" s="104" t="s">
        <v>2636</v>
      </c>
      <c r="T21" s="104">
        <v>44.654307350000003</v>
      </c>
      <c r="U21" s="104">
        <v>-1.1406765459999999</v>
      </c>
      <c r="V21" s="104">
        <v>5</v>
      </c>
      <c r="W21" s="104" t="s">
        <v>310</v>
      </c>
      <c r="X21" s="104" t="s">
        <v>155</v>
      </c>
      <c r="Y21" s="104" t="s">
        <v>999</v>
      </c>
      <c r="Z21" s="104" t="s">
        <v>1788</v>
      </c>
      <c r="AA21" s="104" t="s">
        <v>333</v>
      </c>
      <c r="AB21" s="104" t="s">
        <v>246</v>
      </c>
      <c r="AC21" s="104" t="s">
        <v>1725</v>
      </c>
      <c r="AD21" s="104" t="s">
        <v>1306</v>
      </c>
      <c r="AE21" s="104" t="s">
        <v>1745</v>
      </c>
      <c r="AH21" s="104" t="s">
        <v>182</v>
      </c>
      <c r="AI21" s="104" t="s">
        <v>1747</v>
      </c>
      <c r="AJ21" s="104" t="s">
        <v>171</v>
      </c>
      <c r="AK21" s="104" t="s">
        <v>190</v>
      </c>
      <c r="AN21" s="104">
        <v>1</v>
      </c>
      <c r="AP21" s="104" t="s">
        <v>190</v>
      </c>
      <c r="AQ21" s="104" t="s">
        <v>176</v>
      </c>
      <c r="AR21" s="104">
        <v>1992</v>
      </c>
      <c r="AS21" s="104" t="s">
        <v>174</v>
      </c>
      <c r="AT21" s="104" t="s">
        <v>420</v>
      </c>
      <c r="AU21" s="104" t="s">
        <v>652</v>
      </c>
      <c r="AW21" s="104" t="s">
        <v>1394</v>
      </c>
      <c r="AX21" s="104">
        <v>8.2000000000000003E-2</v>
      </c>
      <c r="AY21" s="104" t="s">
        <v>174</v>
      </c>
      <c r="AZ21" s="104" t="s">
        <v>174</v>
      </c>
      <c r="BA21" s="104" t="s">
        <v>174</v>
      </c>
      <c r="BB21" s="104" t="s">
        <v>174</v>
      </c>
      <c r="BC21" s="104" t="s">
        <v>1766</v>
      </c>
      <c r="BD21" s="104">
        <v>6</v>
      </c>
      <c r="BE21" s="104">
        <v>25</v>
      </c>
      <c r="BF21" s="104" t="s">
        <v>1385</v>
      </c>
      <c r="BG21" s="104" t="s">
        <v>2603</v>
      </c>
      <c r="BH21" s="104">
        <v>0.82</v>
      </c>
      <c r="BK21" s="104">
        <v>0.23380000000000001</v>
      </c>
      <c r="BM21" s="104">
        <v>5.31</v>
      </c>
      <c r="BN21" s="104" t="b">
        <v>0</v>
      </c>
      <c r="BO21" s="104">
        <v>29.6</v>
      </c>
      <c r="BP21" s="104">
        <v>29.6</v>
      </c>
      <c r="BQ21" s="104" t="s">
        <v>182</v>
      </c>
      <c r="BR21" s="104">
        <v>24.324324319999999</v>
      </c>
      <c r="BS21" s="104" t="s">
        <v>217</v>
      </c>
      <c r="BU21" s="104" t="s">
        <v>174</v>
      </c>
      <c r="BV21" s="104" t="s">
        <v>174</v>
      </c>
      <c r="BW21" s="104" t="s">
        <v>174</v>
      </c>
      <c r="BX21" s="104" t="s">
        <v>174</v>
      </c>
      <c r="BY21" s="104" t="s">
        <v>1766</v>
      </c>
      <c r="BZ21" s="104" t="s">
        <v>1766</v>
      </c>
      <c r="CC21" s="104" t="s">
        <v>246</v>
      </c>
      <c r="CD21" s="104" t="s">
        <v>188</v>
      </c>
      <c r="CE21" s="104">
        <v>0</v>
      </c>
      <c r="CF21" s="104" t="s">
        <v>174</v>
      </c>
      <c r="CG21" s="104" t="s">
        <v>246</v>
      </c>
      <c r="CH21" s="104" t="s">
        <v>653</v>
      </c>
      <c r="CI21" s="104" t="s">
        <v>654</v>
      </c>
      <c r="CK21" s="104" t="s">
        <v>175</v>
      </c>
      <c r="CO21" s="104" t="s">
        <v>174</v>
      </c>
      <c r="CP21" s="104" t="s">
        <v>174</v>
      </c>
      <c r="CQ21" s="104" t="s">
        <v>176</v>
      </c>
      <c r="CR21" s="104" t="s">
        <v>174</v>
      </c>
      <c r="CS21" s="104" t="s">
        <v>174</v>
      </c>
      <c r="CT21" s="104" t="s">
        <v>174</v>
      </c>
      <c r="CU21" s="104" t="s">
        <v>518</v>
      </c>
      <c r="CV21" s="104" t="s">
        <v>2445</v>
      </c>
      <c r="CX21" s="104" t="s">
        <v>10</v>
      </c>
    </row>
    <row r="22" spans="1:102" s="104" customFormat="1">
      <c r="A22" s="104" t="s">
        <v>377</v>
      </c>
      <c r="B22" s="104">
        <v>12</v>
      </c>
      <c r="C22" s="104">
        <v>2</v>
      </c>
      <c r="D22" s="104">
        <v>7</v>
      </c>
      <c r="E22" s="104">
        <v>47</v>
      </c>
      <c r="F22" s="104">
        <v>2016</v>
      </c>
      <c r="G22" s="104" t="s">
        <v>2437</v>
      </c>
      <c r="H22" s="104" t="s">
        <v>161</v>
      </c>
      <c r="I22" s="104" t="s">
        <v>182</v>
      </c>
      <c r="J22" s="104" t="s">
        <v>246</v>
      </c>
      <c r="K22" s="104" t="s">
        <v>1976</v>
      </c>
      <c r="L22" s="104" t="s">
        <v>444</v>
      </c>
      <c r="M22" s="104" t="s">
        <v>445</v>
      </c>
      <c r="N22" s="104" t="s">
        <v>853</v>
      </c>
      <c r="O22" s="104" t="s">
        <v>2549</v>
      </c>
      <c r="P22" s="104">
        <v>41.832166669999999</v>
      </c>
      <c r="Q22" s="104">
        <v>41.832166669999999</v>
      </c>
      <c r="R22" s="104">
        <v>-71.441416669999995</v>
      </c>
      <c r="S22" s="104" t="s">
        <v>2612</v>
      </c>
      <c r="T22" s="104">
        <v>41.973549300000002</v>
      </c>
      <c r="U22" s="104">
        <v>-70.943533619999997</v>
      </c>
      <c r="V22" s="104">
        <v>37</v>
      </c>
      <c r="W22" s="104" t="s">
        <v>276</v>
      </c>
      <c r="X22" s="104" t="s">
        <v>586</v>
      </c>
      <c r="Y22" s="104" t="s">
        <v>999</v>
      </c>
      <c r="Z22" s="104" t="s">
        <v>1788</v>
      </c>
      <c r="AA22" s="104" t="s">
        <v>1741</v>
      </c>
      <c r="AB22" s="104" t="s">
        <v>182</v>
      </c>
      <c r="AC22" s="104" t="s">
        <v>182</v>
      </c>
      <c r="AD22" s="104" t="s">
        <v>1123</v>
      </c>
      <c r="AE22" s="104" t="s">
        <v>1745</v>
      </c>
      <c r="AF22" s="104">
        <v>0.2</v>
      </c>
      <c r="AH22" s="104" t="s">
        <v>246</v>
      </c>
      <c r="AI22" s="104" t="s">
        <v>246</v>
      </c>
      <c r="AJ22" s="104" t="s">
        <v>171</v>
      </c>
      <c r="AK22" s="104" t="s">
        <v>190</v>
      </c>
      <c r="AN22" s="104">
        <v>0.5</v>
      </c>
      <c r="AP22" s="104" t="s">
        <v>190</v>
      </c>
      <c r="AQ22" s="104" t="s">
        <v>176</v>
      </c>
      <c r="AR22" s="104">
        <v>2010</v>
      </c>
      <c r="AS22" s="104" t="s">
        <v>220</v>
      </c>
      <c r="AT22" s="104" t="s">
        <v>420</v>
      </c>
      <c r="AU22" s="104">
        <v>4.9000000000000004</v>
      </c>
      <c r="AW22" s="104" t="s">
        <v>1703</v>
      </c>
      <c r="AX22" s="104">
        <v>0.36</v>
      </c>
      <c r="AY22" s="104" t="s">
        <v>174</v>
      </c>
      <c r="AZ22" s="104">
        <v>1.925408835</v>
      </c>
      <c r="BA22" s="104" t="s">
        <v>174</v>
      </c>
      <c r="BB22" s="104" t="s">
        <v>174</v>
      </c>
      <c r="BC22" s="104">
        <v>1</v>
      </c>
      <c r="BD22" s="104">
        <v>6</v>
      </c>
      <c r="BE22" s="104">
        <v>24</v>
      </c>
      <c r="BF22" s="104" t="s">
        <v>2458</v>
      </c>
      <c r="BG22" s="104" t="s">
        <v>2458</v>
      </c>
      <c r="BK22" s="104">
        <v>0.36</v>
      </c>
      <c r="BM22" s="104">
        <v>1.925408835</v>
      </c>
      <c r="BN22" s="104" t="b">
        <v>0</v>
      </c>
      <c r="BO22" s="104" t="s">
        <v>2256</v>
      </c>
      <c r="BP22" s="104" t="s">
        <v>2256</v>
      </c>
      <c r="BQ22" s="104" t="s">
        <v>2256</v>
      </c>
      <c r="BR22" s="104" t="s">
        <v>174</v>
      </c>
      <c r="BS22" s="104" t="s">
        <v>243</v>
      </c>
      <c r="BU22" s="104" t="s">
        <v>445</v>
      </c>
      <c r="BV22" s="104" t="s">
        <v>853</v>
      </c>
      <c r="BW22" s="104" t="s">
        <v>174</v>
      </c>
      <c r="BX22" s="104" t="s">
        <v>174</v>
      </c>
      <c r="BY22" s="104">
        <v>22.7</v>
      </c>
      <c r="BZ22" s="104">
        <v>22.7</v>
      </c>
      <c r="CA22" s="104">
        <v>22.7</v>
      </c>
      <c r="CB22" s="104">
        <v>0</v>
      </c>
      <c r="CC22" s="104" t="s">
        <v>182</v>
      </c>
      <c r="CD22" s="104" t="s">
        <v>412</v>
      </c>
      <c r="CF22" s="104" t="s">
        <v>174</v>
      </c>
      <c r="CG22" s="104" t="s">
        <v>182</v>
      </c>
      <c r="CH22" s="104" t="s">
        <v>412</v>
      </c>
      <c r="CI22" s="104" t="s">
        <v>858</v>
      </c>
      <c r="CJ22" s="104" t="s">
        <v>859</v>
      </c>
      <c r="CK22" s="104" t="s">
        <v>182</v>
      </c>
      <c r="CO22" s="104" t="s">
        <v>174</v>
      </c>
      <c r="CP22" s="104" t="s">
        <v>174</v>
      </c>
      <c r="CQ22" s="104" t="s">
        <v>246</v>
      </c>
      <c r="CR22" s="104">
        <v>40407</v>
      </c>
      <c r="CS22" s="104" t="s">
        <v>857</v>
      </c>
      <c r="CT22" s="104" t="s">
        <v>174</v>
      </c>
      <c r="CU22" s="104" t="s">
        <v>518</v>
      </c>
      <c r="CV22" s="104" t="s">
        <v>2145</v>
      </c>
      <c r="CX22" s="104" t="s">
        <v>243</v>
      </c>
    </row>
    <row r="23" spans="1:102" s="104" customFormat="1">
      <c r="A23" s="104" t="s">
        <v>252</v>
      </c>
      <c r="B23" s="104">
        <v>23</v>
      </c>
      <c r="C23" s="104">
        <v>1</v>
      </c>
      <c r="D23" s="104">
        <v>1</v>
      </c>
      <c r="E23" s="104">
        <v>121</v>
      </c>
      <c r="F23" s="104">
        <v>2021</v>
      </c>
      <c r="G23" s="104" t="s">
        <v>2437</v>
      </c>
      <c r="H23" s="104" t="s">
        <v>161</v>
      </c>
      <c r="I23" s="104" t="s">
        <v>182</v>
      </c>
      <c r="J23" s="104" t="s">
        <v>182</v>
      </c>
      <c r="K23" s="104" t="s">
        <v>152</v>
      </c>
      <c r="L23" s="104" t="s">
        <v>443</v>
      </c>
      <c r="M23" s="104" t="s">
        <v>156</v>
      </c>
      <c r="N23" s="104" t="s">
        <v>158</v>
      </c>
      <c r="O23" s="104" t="s">
        <v>300</v>
      </c>
      <c r="P23" s="104">
        <v>55.264000000000003</v>
      </c>
      <c r="Q23" s="104">
        <v>55.264000000000003</v>
      </c>
      <c r="R23" s="104">
        <v>-7.6749999999999998</v>
      </c>
      <c r="S23" s="104" t="s">
        <v>2618</v>
      </c>
      <c r="T23" s="104">
        <v>55.453946250000001</v>
      </c>
      <c r="U23" s="104">
        <v>-6.1988217209999998</v>
      </c>
      <c r="V23" s="104">
        <v>30</v>
      </c>
      <c r="W23" s="104" t="s">
        <v>160</v>
      </c>
      <c r="X23" s="104" t="s">
        <v>155</v>
      </c>
      <c r="Y23" s="104" t="s">
        <v>999</v>
      </c>
      <c r="Z23" s="104" t="s">
        <v>424</v>
      </c>
      <c r="AA23" s="104" t="s">
        <v>333</v>
      </c>
      <c r="AB23" s="104" t="s">
        <v>246</v>
      </c>
      <c r="AC23" s="104" t="s">
        <v>333</v>
      </c>
      <c r="AD23" s="104" t="s">
        <v>1306</v>
      </c>
      <c r="AE23" s="104" t="s">
        <v>173</v>
      </c>
      <c r="AG23" s="104" t="s">
        <v>1775</v>
      </c>
      <c r="AH23" s="104" t="s">
        <v>246</v>
      </c>
      <c r="AI23" s="104" t="s">
        <v>246</v>
      </c>
      <c r="AJ23" s="104" t="s">
        <v>171</v>
      </c>
      <c r="AK23" s="104" t="s">
        <v>190</v>
      </c>
      <c r="AL23" s="104" t="s">
        <v>174</v>
      </c>
      <c r="AN23" s="104">
        <v>0.2</v>
      </c>
      <c r="AP23" s="104" t="s">
        <v>190</v>
      </c>
      <c r="AQ23" s="104" t="s">
        <v>176</v>
      </c>
      <c r="AR23" s="104">
        <v>2017</v>
      </c>
      <c r="AS23" s="104" t="s">
        <v>253</v>
      </c>
      <c r="AT23" s="104" t="s">
        <v>254</v>
      </c>
      <c r="AU23" s="104">
        <v>600</v>
      </c>
      <c r="AW23" s="104" t="s">
        <v>174</v>
      </c>
      <c r="AX23" s="104" t="s">
        <v>174</v>
      </c>
      <c r="AY23" s="104" t="s">
        <v>174</v>
      </c>
      <c r="AZ23" s="104" t="s">
        <v>174</v>
      </c>
      <c r="BA23" s="104" t="s">
        <v>174</v>
      </c>
      <c r="BB23" s="104" t="s">
        <v>174</v>
      </c>
      <c r="BC23" s="104">
        <v>10</v>
      </c>
      <c r="BD23" s="104">
        <v>1</v>
      </c>
      <c r="BE23" s="104">
        <v>28</v>
      </c>
      <c r="BF23" s="104" t="s">
        <v>2256</v>
      </c>
      <c r="BG23" s="104" t="s">
        <v>2256</v>
      </c>
      <c r="BL23" s="104">
        <v>0.33400000000000002</v>
      </c>
      <c r="BM23" s="104">
        <v>149.70059879999999</v>
      </c>
      <c r="BN23" s="104" t="b">
        <v>0</v>
      </c>
      <c r="BO23" s="104" t="s">
        <v>2256</v>
      </c>
      <c r="BP23" s="104" t="s">
        <v>2256</v>
      </c>
      <c r="BQ23" s="104" t="s">
        <v>2256</v>
      </c>
      <c r="BR23" s="104">
        <v>299.40119759999999</v>
      </c>
      <c r="BS23" s="104" t="s">
        <v>3040</v>
      </c>
      <c r="BT23" s="104" t="s">
        <v>182</v>
      </c>
      <c r="BU23" s="104">
        <v>37.200000000000003</v>
      </c>
      <c r="BW23" s="104" t="s">
        <v>174</v>
      </c>
      <c r="BX23" s="104" t="s">
        <v>174</v>
      </c>
      <c r="BY23" s="104" t="s">
        <v>1766</v>
      </c>
      <c r="BZ23" s="104" t="s">
        <v>1766</v>
      </c>
      <c r="CC23" s="104" t="s">
        <v>182</v>
      </c>
      <c r="CD23" s="104" t="s">
        <v>412</v>
      </c>
      <c r="CF23" s="104" t="s">
        <v>174</v>
      </c>
      <c r="CG23" s="104" t="s">
        <v>182</v>
      </c>
      <c r="CH23" s="104" t="s">
        <v>412</v>
      </c>
      <c r="CI23" s="104" t="s">
        <v>264</v>
      </c>
      <c r="CL23" s="104" t="s">
        <v>2255</v>
      </c>
      <c r="CO23" s="104">
        <v>34.4</v>
      </c>
      <c r="CP23" s="104" t="s">
        <v>174</v>
      </c>
      <c r="CQ23" s="104" t="s">
        <v>176</v>
      </c>
      <c r="CR23" s="104" t="s">
        <v>174</v>
      </c>
      <c r="CS23" s="104" t="s">
        <v>242</v>
      </c>
      <c r="CT23" s="104" t="s">
        <v>174</v>
      </c>
      <c r="CU23" s="104" t="s">
        <v>195</v>
      </c>
      <c r="CV23" s="104" t="s">
        <v>2451</v>
      </c>
    </row>
    <row r="24" spans="1:102" s="104" customFormat="1">
      <c r="A24" s="104" t="s">
        <v>680</v>
      </c>
      <c r="B24" s="104">
        <v>30</v>
      </c>
      <c r="C24" s="104">
        <v>3</v>
      </c>
      <c r="D24" s="104">
        <v>1</v>
      </c>
      <c r="E24" s="104">
        <v>148</v>
      </c>
      <c r="F24" s="104">
        <v>1976</v>
      </c>
      <c r="G24" s="104" t="s">
        <v>2437</v>
      </c>
      <c r="H24" s="104" t="s">
        <v>161</v>
      </c>
      <c r="I24" s="104" t="s">
        <v>182</v>
      </c>
      <c r="J24" s="104" t="s">
        <v>246</v>
      </c>
      <c r="K24" s="104" t="s">
        <v>272</v>
      </c>
      <c r="L24" s="104" t="s">
        <v>443</v>
      </c>
      <c r="M24" s="104" t="s">
        <v>611</v>
      </c>
      <c r="N24" s="104" t="s">
        <v>612</v>
      </c>
      <c r="O24" s="104" t="s">
        <v>2531</v>
      </c>
      <c r="P24" s="104">
        <v>41.525787680000001</v>
      </c>
      <c r="Q24" s="104">
        <v>41.525787680000001</v>
      </c>
      <c r="R24" s="104">
        <v>-70.672420900000006</v>
      </c>
      <c r="S24" s="104" t="s">
        <v>2684</v>
      </c>
      <c r="T24" s="104">
        <v>41.973549300000002</v>
      </c>
      <c r="U24" s="104">
        <v>-70.943533619999997</v>
      </c>
      <c r="V24" s="104">
        <v>37</v>
      </c>
      <c r="W24" s="104" t="s">
        <v>276</v>
      </c>
      <c r="X24" s="104" t="s">
        <v>586</v>
      </c>
      <c r="Y24" s="104" t="s">
        <v>999</v>
      </c>
      <c r="Z24" s="104" t="s">
        <v>1788</v>
      </c>
      <c r="AA24" s="104" t="s">
        <v>333</v>
      </c>
      <c r="AB24" s="104" t="s">
        <v>246</v>
      </c>
      <c r="AC24" s="104" t="s">
        <v>333</v>
      </c>
      <c r="AD24" s="104" t="s">
        <v>1123</v>
      </c>
      <c r="AE24" s="104" t="s">
        <v>173</v>
      </c>
      <c r="AF24" s="104">
        <v>0.8</v>
      </c>
      <c r="AH24" s="104" t="s">
        <v>246</v>
      </c>
      <c r="AI24" s="104" t="s">
        <v>246</v>
      </c>
      <c r="AJ24" s="104" t="s">
        <v>171</v>
      </c>
      <c r="AK24" s="104" t="s">
        <v>190</v>
      </c>
      <c r="AN24" s="104">
        <v>1</v>
      </c>
      <c r="AP24" s="104" t="s">
        <v>190</v>
      </c>
      <c r="AQ24" s="104" t="s">
        <v>176</v>
      </c>
      <c r="AR24" s="104">
        <v>1974</v>
      </c>
      <c r="AS24" s="104" t="s">
        <v>236</v>
      </c>
      <c r="AT24" s="104" t="s">
        <v>420</v>
      </c>
      <c r="AU24" s="104" t="s">
        <v>949</v>
      </c>
      <c r="AW24" s="104" t="s">
        <v>174</v>
      </c>
      <c r="AX24" s="104" t="s">
        <v>174</v>
      </c>
      <c r="AY24" s="104" t="s">
        <v>174</v>
      </c>
      <c r="AZ24" s="104" t="s">
        <v>174</v>
      </c>
      <c r="BA24" s="104" t="s">
        <v>174</v>
      </c>
      <c r="BB24" s="104" t="s">
        <v>174</v>
      </c>
      <c r="BC24" s="104" t="s">
        <v>1766</v>
      </c>
      <c r="BD24" s="104">
        <v>9</v>
      </c>
      <c r="BE24" s="104">
        <v>63</v>
      </c>
      <c r="BF24" s="104" t="s">
        <v>2347</v>
      </c>
      <c r="BG24" s="104" t="s">
        <v>2603</v>
      </c>
      <c r="BH24" s="104">
        <v>0.94</v>
      </c>
      <c r="BK24" s="104">
        <v>3.9100000000000003E-2</v>
      </c>
      <c r="BM24" s="104">
        <v>17.727549369999998</v>
      </c>
      <c r="BN24" s="104" t="b">
        <v>0</v>
      </c>
      <c r="BO24" s="104">
        <v>32.96</v>
      </c>
      <c r="BP24" s="104">
        <v>0</v>
      </c>
      <c r="BQ24" s="104" t="s">
        <v>246</v>
      </c>
      <c r="BR24" s="104" t="s">
        <v>174</v>
      </c>
      <c r="BS24" s="104" t="s">
        <v>2498</v>
      </c>
      <c r="BU24" s="104">
        <v>26</v>
      </c>
      <c r="BV24" s="104">
        <v>13</v>
      </c>
      <c r="BY24" s="104">
        <v>21.6</v>
      </c>
      <c r="BZ24" s="104">
        <v>21.6</v>
      </c>
      <c r="CA24" s="104">
        <v>21.6</v>
      </c>
      <c r="CB24" s="104">
        <v>0</v>
      </c>
      <c r="CC24" s="104" t="s">
        <v>182</v>
      </c>
      <c r="CD24" s="104" t="s">
        <v>412</v>
      </c>
      <c r="CF24" s="104" t="s">
        <v>190</v>
      </c>
      <c r="CG24" s="104" t="s">
        <v>182</v>
      </c>
      <c r="CH24" s="104" t="s">
        <v>412</v>
      </c>
      <c r="CI24" s="104" t="s">
        <v>923</v>
      </c>
      <c r="CJ24" s="104" t="s">
        <v>944</v>
      </c>
      <c r="CK24" s="104" t="s">
        <v>182</v>
      </c>
      <c r="CQ24" s="104" t="s">
        <v>246</v>
      </c>
      <c r="CR24" s="104">
        <v>27198</v>
      </c>
      <c r="CS24" s="104" t="s">
        <v>922</v>
      </c>
      <c r="CT24" s="104" t="s">
        <v>943</v>
      </c>
      <c r="CU24" s="104" t="s">
        <v>518</v>
      </c>
      <c r="CV24" s="104" t="s">
        <v>2452</v>
      </c>
      <c r="CX24" s="104" t="s">
        <v>1773</v>
      </c>
    </row>
    <row r="25" spans="1:102" s="104" customFormat="1">
      <c r="A25" s="104" t="s">
        <v>681</v>
      </c>
      <c r="B25" s="104">
        <v>33</v>
      </c>
      <c r="C25" s="104">
        <v>1</v>
      </c>
      <c r="D25" s="104">
        <v>2</v>
      </c>
      <c r="E25" s="104">
        <v>157</v>
      </c>
      <c r="F25" s="104">
        <v>1980</v>
      </c>
      <c r="G25" s="104" t="s">
        <v>2437</v>
      </c>
      <c r="H25" s="104" t="s">
        <v>161</v>
      </c>
      <c r="I25" s="104" t="s">
        <v>182</v>
      </c>
      <c r="J25" s="104" t="s">
        <v>246</v>
      </c>
      <c r="K25" s="104" t="s">
        <v>272</v>
      </c>
      <c r="L25" s="104" t="s">
        <v>443</v>
      </c>
      <c r="M25" s="104" t="s">
        <v>616</v>
      </c>
      <c r="N25" s="104" t="s">
        <v>617</v>
      </c>
      <c r="O25" s="104" t="s">
        <v>622</v>
      </c>
      <c r="P25" s="104">
        <v>43.120888049999998</v>
      </c>
      <c r="Q25" s="104">
        <v>43.120888049999998</v>
      </c>
      <c r="R25" s="104">
        <v>-70.86151366</v>
      </c>
      <c r="S25" s="104" t="s">
        <v>2609</v>
      </c>
      <c r="T25" s="104">
        <v>41.973549300000002</v>
      </c>
      <c r="U25" s="104">
        <v>-70.943533619999997</v>
      </c>
      <c r="V25" s="104">
        <v>37</v>
      </c>
      <c r="W25" s="104" t="s">
        <v>276</v>
      </c>
      <c r="X25" s="104" t="s">
        <v>586</v>
      </c>
      <c r="Y25" s="104" t="s">
        <v>999</v>
      </c>
      <c r="Z25" s="104" t="s">
        <v>1788</v>
      </c>
      <c r="AA25" s="104" t="s">
        <v>1724</v>
      </c>
      <c r="AB25" s="104" t="s">
        <v>182</v>
      </c>
      <c r="AC25" s="104" t="s">
        <v>333</v>
      </c>
      <c r="AD25" s="104" t="s">
        <v>1123</v>
      </c>
      <c r="AE25" s="104" t="s">
        <v>1745</v>
      </c>
      <c r="AF25" s="104" t="s">
        <v>1766</v>
      </c>
      <c r="AH25" s="104" t="s">
        <v>246</v>
      </c>
      <c r="AI25" s="104" t="s">
        <v>246</v>
      </c>
      <c r="AJ25" s="104" t="s">
        <v>171</v>
      </c>
      <c r="AK25" s="104" t="s">
        <v>190</v>
      </c>
      <c r="AN25" s="104">
        <v>2.5</v>
      </c>
      <c r="AP25" s="104" t="s">
        <v>190</v>
      </c>
      <c r="AQ25" s="104" t="s">
        <v>176</v>
      </c>
      <c r="AR25" s="104" t="s">
        <v>174</v>
      </c>
      <c r="AS25" s="104" t="s">
        <v>174</v>
      </c>
      <c r="AT25" s="104" t="s">
        <v>174</v>
      </c>
      <c r="AU25" s="104" t="s">
        <v>174</v>
      </c>
      <c r="AW25" s="104" t="s">
        <v>1394</v>
      </c>
      <c r="AX25" s="104">
        <v>6.25E-2</v>
      </c>
      <c r="AY25" s="104" t="s">
        <v>174</v>
      </c>
      <c r="AZ25" s="104">
        <v>11.1</v>
      </c>
      <c r="BA25" s="104" t="s">
        <v>174</v>
      </c>
      <c r="BB25" s="104" t="s">
        <v>174</v>
      </c>
      <c r="BC25" s="104">
        <v>3</v>
      </c>
      <c r="BD25" s="104">
        <v>5</v>
      </c>
      <c r="BE25" s="104">
        <v>35</v>
      </c>
      <c r="BF25" s="104" t="s">
        <v>2458</v>
      </c>
      <c r="BG25" s="104" t="s">
        <v>2458</v>
      </c>
      <c r="BK25" s="104">
        <v>6.25E-2</v>
      </c>
      <c r="BM25" s="104">
        <v>11.09035489</v>
      </c>
      <c r="BN25" s="104" t="b">
        <v>0</v>
      </c>
      <c r="BO25" s="104" t="s">
        <v>2256</v>
      </c>
      <c r="BP25" s="104" t="s">
        <v>2256</v>
      </c>
      <c r="BQ25" s="104" t="s">
        <v>2256</v>
      </c>
      <c r="BR25" s="104" t="s">
        <v>174</v>
      </c>
      <c r="BS25" s="104" t="s">
        <v>2457</v>
      </c>
      <c r="BU25" s="104">
        <v>29.4</v>
      </c>
      <c r="BV25" s="104">
        <v>10.39</v>
      </c>
      <c r="BW25" s="104" t="s">
        <v>174</v>
      </c>
      <c r="BX25" s="104" t="s">
        <v>174</v>
      </c>
      <c r="BY25" s="104" t="s">
        <v>1766</v>
      </c>
      <c r="BZ25" s="104" t="s">
        <v>1766</v>
      </c>
      <c r="CC25" s="104" t="s">
        <v>182</v>
      </c>
      <c r="CD25" s="104" t="s">
        <v>412</v>
      </c>
      <c r="CF25" s="104" t="s">
        <v>174</v>
      </c>
      <c r="CG25" s="104" t="s">
        <v>182</v>
      </c>
      <c r="CH25" s="104" t="s">
        <v>412</v>
      </c>
      <c r="CI25" s="104" t="s">
        <v>965</v>
      </c>
      <c r="CK25" s="104" t="s">
        <v>182</v>
      </c>
      <c r="CO25" s="104" t="s">
        <v>174</v>
      </c>
      <c r="CP25" s="104" t="s">
        <v>174</v>
      </c>
      <c r="CQ25" s="104" t="s">
        <v>246</v>
      </c>
      <c r="CR25" s="104" t="s">
        <v>174</v>
      </c>
      <c r="CS25" s="104" t="s">
        <v>174</v>
      </c>
      <c r="CT25" s="104" t="s">
        <v>174</v>
      </c>
      <c r="CU25" s="104" t="s">
        <v>1766</v>
      </c>
      <c r="CX25" s="104" t="s">
        <v>2494</v>
      </c>
    </row>
    <row r="26" spans="1:102" s="104" customFormat="1">
      <c r="A26" s="104" t="s">
        <v>608</v>
      </c>
      <c r="B26" s="104">
        <v>36</v>
      </c>
      <c r="C26" s="104">
        <v>1</v>
      </c>
      <c r="D26" s="104">
        <v>1</v>
      </c>
      <c r="E26" s="104">
        <v>178</v>
      </c>
      <c r="F26" s="104">
        <v>2012</v>
      </c>
      <c r="G26" s="104" t="s">
        <v>2437</v>
      </c>
      <c r="H26" s="104" t="s">
        <v>161</v>
      </c>
      <c r="I26" s="104" t="s">
        <v>182</v>
      </c>
      <c r="J26" s="104" t="s">
        <v>246</v>
      </c>
      <c r="K26" s="104" t="s">
        <v>2611</v>
      </c>
      <c r="L26" s="104" t="s">
        <v>444</v>
      </c>
      <c r="M26" s="104" t="s">
        <v>587</v>
      </c>
      <c r="N26" s="104" t="s">
        <v>588</v>
      </c>
      <c r="O26" s="104" t="s">
        <v>2544</v>
      </c>
      <c r="P26" s="104">
        <v>44.559161109999998</v>
      </c>
      <c r="Q26" s="104">
        <v>44.559161109999998</v>
      </c>
      <c r="R26" s="104">
        <v>-64.032430559999995</v>
      </c>
      <c r="S26" s="104" t="s">
        <v>2678</v>
      </c>
      <c r="T26" s="104">
        <v>44.582391370000003</v>
      </c>
      <c r="U26" s="104">
        <v>-63.992866999999997</v>
      </c>
      <c r="V26" s="104">
        <v>5</v>
      </c>
      <c r="W26" s="104" t="s">
        <v>585</v>
      </c>
      <c r="X26" s="104" t="s">
        <v>586</v>
      </c>
      <c r="Y26" s="104" t="s">
        <v>999</v>
      </c>
      <c r="Z26" s="104" t="s">
        <v>1788</v>
      </c>
      <c r="AA26" s="104" t="s">
        <v>333</v>
      </c>
      <c r="AB26" s="104" t="s">
        <v>246</v>
      </c>
      <c r="AC26" s="104" t="s">
        <v>333</v>
      </c>
      <c r="AD26" s="104" t="s">
        <v>1123</v>
      </c>
      <c r="AE26" s="104" t="s">
        <v>1745</v>
      </c>
      <c r="AF26" s="104">
        <v>19</v>
      </c>
      <c r="AH26" s="104" t="s">
        <v>246</v>
      </c>
      <c r="AI26" s="104" t="s">
        <v>246</v>
      </c>
      <c r="AJ26" s="104" t="s">
        <v>171</v>
      </c>
      <c r="AK26" s="104" t="s">
        <v>190</v>
      </c>
      <c r="AN26" s="104">
        <v>5</v>
      </c>
      <c r="AP26" s="104" t="s">
        <v>190</v>
      </c>
      <c r="AQ26" s="104" t="s">
        <v>176</v>
      </c>
      <c r="AR26" s="104">
        <v>2010</v>
      </c>
      <c r="AS26" s="104" t="s">
        <v>475</v>
      </c>
      <c r="AT26" s="104" t="s">
        <v>420</v>
      </c>
      <c r="AU26" s="104">
        <v>500</v>
      </c>
      <c r="AW26" s="104" t="s">
        <v>174</v>
      </c>
      <c r="AX26" s="104" t="s">
        <v>174</v>
      </c>
      <c r="AY26" s="104" t="s">
        <v>174</v>
      </c>
      <c r="AZ26" s="104" t="s">
        <v>174</v>
      </c>
      <c r="BA26" s="104" t="s">
        <v>174</v>
      </c>
      <c r="BB26" s="104" t="s">
        <v>174</v>
      </c>
      <c r="BC26" s="104">
        <v>3</v>
      </c>
      <c r="BD26" s="104">
        <v>4</v>
      </c>
      <c r="BE26" s="104">
        <v>112</v>
      </c>
      <c r="BF26" s="104" t="s">
        <v>2378</v>
      </c>
      <c r="BG26" s="104" t="s">
        <v>2603</v>
      </c>
      <c r="BH26" s="104">
        <v>0.99009999999999998</v>
      </c>
      <c r="BI26" s="104" t="s">
        <v>1396</v>
      </c>
      <c r="BJ26" s="104">
        <v>0.94</v>
      </c>
      <c r="BL26" s="104">
        <v>0.78580000000000005</v>
      </c>
      <c r="BM26" s="104">
        <v>63.629422239999997</v>
      </c>
      <c r="BN26" s="104" t="b">
        <v>0</v>
      </c>
      <c r="BO26" s="104">
        <v>20.019646365422396</v>
      </c>
      <c r="BP26" s="104">
        <v>0</v>
      </c>
      <c r="BQ26" s="104" t="s">
        <v>246</v>
      </c>
      <c r="BR26" s="104" t="s">
        <v>174</v>
      </c>
      <c r="BS26" s="104" t="s">
        <v>263</v>
      </c>
      <c r="BU26" s="104">
        <v>19</v>
      </c>
      <c r="BV26" s="104">
        <v>9.9</v>
      </c>
      <c r="BW26" s="104">
        <v>17.2</v>
      </c>
      <c r="BX26" s="104">
        <v>16.899999999999999</v>
      </c>
      <c r="BY26" s="104">
        <v>9.6</v>
      </c>
      <c r="BZ26" s="104">
        <v>11.2</v>
      </c>
      <c r="CA26" s="104">
        <v>10.4</v>
      </c>
      <c r="CB26" s="104">
        <v>1.6</v>
      </c>
      <c r="CC26" s="104" t="s">
        <v>182</v>
      </c>
      <c r="CD26" s="104" t="s">
        <v>412</v>
      </c>
      <c r="CF26" s="104" t="s">
        <v>174</v>
      </c>
      <c r="CG26" s="104" t="s">
        <v>182</v>
      </c>
      <c r="CH26" s="104" t="s">
        <v>190</v>
      </c>
      <c r="CI26" s="104" t="s">
        <v>594</v>
      </c>
      <c r="CJ26" s="104" t="s">
        <v>590</v>
      </c>
      <c r="CK26" s="104" t="s">
        <v>175</v>
      </c>
      <c r="CL26" s="104" t="s">
        <v>2255</v>
      </c>
      <c r="CO26" s="104" t="s">
        <v>174</v>
      </c>
      <c r="CP26" s="104" t="s">
        <v>174</v>
      </c>
      <c r="CQ26" s="104" t="s">
        <v>176</v>
      </c>
      <c r="CR26" s="104">
        <v>40430</v>
      </c>
      <c r="CS26" s="104" t="s">
        <v>174</v>
      </c>
      <c r="CT26" s="104" t="s">
        <v>589</v>
      </c>
      <c r="CU26" s="104" t="s">
        <v>518</v>
      </c>
      <c r="CV26" s="104" t="s">
        <v>2151</v>
      </c>
    </row>
    <row r="27" spans="1:102" s="104" customFormat="1">
      <c r="A27" s="104" t="s">
        <v>862</v>
      </c>
      <c r="B27" s="104">
        <v>46</v>
      </c>
      <c r="C27" s="104">
        <v>1</v>
      </c>
      <c r="D27" s="104">
        <v>2</v>
      </c>
      <c r="E27" s="104">
        <v>232</v>
      </c>
      <c r="F27" s="104">
        <v>2002</v>
      </c>
      <c r="G27" s="104" t="s">
        <v>2437</v>
      </c>
      <c r="H27" s="104" t="s">
        <v>2183</v>
      </c>
      <c r="I27" s="104" t="s">
        <v>182</v>
      </c>
      <c r="J27" s="104" t="s">
        <v>246</v>
      </c>
      <c r="K27" s="104" t="s">
        <v>1976</v>
      </c>
      <c r="L27" s="104" t="s">
        <v>444</v>
      </c>
      <c r="M27" s="104" t="s">
        <v>448</v>
      </c>
      <c r="N27" s="104" t="s">
        <v>1188</v>
      </c>
      <c r="O27" s="104" t="s">
        <v>2552</v>
      </c>
      <c r="P27" s="104">
        <v>58.465236590000004</v>
      </c>
      <c r="Q27" s="104">
        <v>58.465236590000004</v>
      </c>
      <c r="R27" s="104">
        <v>24.475314789999999</v>
      </c>
      <c r="S27" s="104" t="s">
        <v>2641</v>
      </c>
      <c r="T27" s="104">
        <v>58.417885570000003</v>
      </c>
      <c r="U27" s="104">
        <v>22.655798919999999</v>
      </c>
      <c r="V27" s="104">
        <v>24</v>
      </c>
      <c r="W27" s="104" t="s">
        <v>1323</v>
      </c>
      <c r="X27" s="104" t="s">
        <v>155</v>
      </c>
      <c r="Y27" s="104" t="s">
        <v>999</v>
      </c>
      <c r="Z27" s="104" t="s">
        <v>1788</v>
      </c>
      <c r="AA27" s="104" t="s">
        <v>333</v>
      </c>
      <c r="AB27" s="104" t="s">
        <v>246</v>
      </c>
      <c r="AC27" s="104" t="s">
        <v>333</v>
      </c>
      <c r="AD27" s="104" t="s">
        <v>218</v>
      </c>
      <c r="AE27" s="104" t="s">
        <v>190</v>
      </c>
      <c r="AF27" s="104">
        <v>2</v>
      </c>
      <c r="AH27" s="104" t="s">
        <v>246</v>
      </c>
      <c r="AI27" s="104" t="s">
        <v>246</v>
      </c>
      <c r="AJ27" s="104" t="s">
        <v>171</v>
      </c>
      <c r="AK27" s="104" t="s">
        <v>1167</v>
      </c>
      <c r="AL27" s="104" t="s">
        <v>174</v>
      </c>
      <c r="AM27" s="104" t="s">
        <v>412</v>
      </c>
      <c r="AN27" s="104">
        <v>1</v>
      </c>
      <c r="AP27" s="104" t="s">
        <v>190</v>
      </c>
      <c r="AQ27" s="104" t="s">
        <v>176</v>
      </c>
      <c r="AR27" s="104">
        <v>2000</v>
      </c>
      <c r="AS27" s="104" t="s">
        <v>174</v>
      </c>
      <c r="AT27" s="104" t="s">
        <v>298</v>
      </c>
      <c r="AU27" s="104">
        <v>20</v>
      </c>
      <c r="AW27" s="104" t="s">
        <v>174</v>
      </c>
      <c r="AX27" s="104" t="s">
        <v>174</v>
      </c>
      <c r="AY27" s="104" t="s">
        <v>174</v>
      </c>
      <c r="AZ27" s="104" t="s">
        <v>174</v>
      </c>
      <c r="BA27" s="104" t="s">
        <v>174</v>
      </c>
      <c r="BB27" s="104" t="s">
        <v>174</v>
      </c>
      <c r="BC27" s="104">
        <v>3</v>
      </c>
      <c r="BD27" s="104">
        <v>2</v>
      </c>
      <c r="BE27" s="104">
        <v>21</v>
      </c>
      <c r="BF27" s="104" t="s">
        <v>1387</v>
      </c>
      <c r="BG27" s="104" t="s">
        <v>1387</v>
      </c>
      <c r="BM27" s="104" t="s">
        <v>190</v>
      </c>
      <c r="BN27" s="104" t="b">
        <v>0</v>
      </c>
      <c r="BO27" s="104">
        <v>110.9</v>
      </c>
      <c r="BP27" s="104" t="s">
        <v>2256</v>
      </c>
      <c r="BQ27" s="104" t="s">
        <v>2256</v>
      </c>
      <c r="BR27" s="104" t="s">
        <v>174</v>
      </c>
      <c r="BS27" s="104" t="s">
        <v>10</v>
      </c>
      <c r="BU27" s="104" t="s">
        <v>174</v>
      </c>
      <c r="BV27" s="104" t="s">
        <v>174</v>
      </c>
      <c r="BW27" s="104" t="s">
        <v>174</v>
      </c>
      <c r="BX27" s="104" t="s">
        <v>174</v>
      </c>
      <c r="BY27" s="104">
        <v>13.5</v>
      </c>
      <c r="BZ27" s="104">
        <v>13.5</v>
      </c>
      <c r="CA27" s="104">
        <v>13.5</v>
      </c>
      <c r="CB27" s="104">
        <v>0</v>
      </c>
      <c r="CC27" s="104" t="s">
        <v>182</v>
      </c>
      <c r="CD27" s="104" t="s">
        <v>412</v>
      </c>
      <c r="CF27" s="104" t="s">
        <v>174</v>
      </c>
      <c r="CG27" s="104" t="s">
        <v>182</v>
      </c>
      <c r="CH27" s="104" t="s">
        <v>412</v>
      </c>
      <c r="CI27" s="104" t="s">
        <v>1195</v>
      </c>
      <c r="CK27" s="104" t="s">
        <v>246</v>
      </c>
      <c r="CL27" s="104" t="s">
        <v>2255</v>
      </c>
      <c r="CO27" s="104" t="s">
        <v>174</v>
      </c>
      <c r="CP27" s="104" t="s">
        <v>174</v>
      </c>
      <c r="CQ27" s="104" t="s">
        <v>182</v>
      </c>
      <c r="CR27" s="104" t="s">
        <v>174</v>
      </c>
      <c r="CS27" s="104" t="s">
        <v>174</v>
      </c>
      <c r="CT27" s="104" t="s">
        <v>174</v>
      </c>
      <c r="CU27" s="104" t="s">
        <v>518</v>
      </c>
      <c r="CV27" s="104" t="s">
        <v>2145</v>
      </c>
      <c r="CX27" s="104" t="s">
        <v>2504</v>
      </c>
    </row>
    <row r="28" spans="1:102" s="104" customFormat="1">
      <c r="A28" s="104" t="s">
        <v>972</v>
      </c>
      <c r="B28" s="104">
        <v>47</v>
      </c>
      <c r="C28" s="104">
        <v>1</v>
      </c>
      <c r="D28" s="104">
        <v>1</v>
      </c>
      <c r="E28" s="104">
        <v>240</v>
      </c>
      <c r="F28" s="104">
        <v>2005</v>
      </c>
      <c r="G28" s="104" t="s">
        <v>2437</v>
      </c>
      <c r="H28" s="104" t="s">
        <v>187</v>
      </c>
      <c r="I28" s="104" t="s">
        <v>182</v>
      </c>
      <c r="J28" s="104" t="s">
        <v>246</v>
      </c>
      <c r="K28" s="104" t="s">
        <v>272</v>
      </c>
      <c r="L28" s="104" t="s">
        <v>443</v>
      </c>
      <c r="M28" s="104" t="s">
        <v>273</v>
      </c>
      <c r="N28" s="104" t="s">
        <v>1134</v>
      </c>
      <c r="O28" s="104" t="s">
        <v>2535</v>
      </c>
      <c r="P28" s="104">
        <v>56.884753289999999</v>
      </c>
      <c r="Q28" s="104">
        <v>56.884753289999999</v>
      </c>
      <c r="R28" s="104">
        <v>8.8504984899999997</v>
      </c>
      <c r="S28" s="104" t="s">
        <v>2669</v>
      </c>
      <c r="T28" s="104">
        <v>55.78060464</v>
      </c>
      <c r="U28" s="104">
        <v>10.44472844</v>
      </c>
      <c r="V28" s="104">
        <v>17</v>
      </c>
      <c r="W28" s="104" t="s">
        <v>973</v>
      </c>
      <c r="X28" s="104" t="s">
        <v>155</v>
      </c>
      <c r="Y28" s="104" t="s">
        <v>999</v>
      </c>
      <c r="Z28" s="104" t="s">
        <v>1788</v>
      </c>
      <c r="AA28" s="104" t="s">
        <v>333</v>
      </c>
      <c r="AB28" s="104" t="s">
        <v>246</v>
      </c>
      <c r="AC28" s="104" t="s">
        <v>182</v>
      </c>
      <c r="AD28" s="104" t="s">
        <v>187</v>
      </c>
      <c r="AE28" s="104" t="s">
        <v>1745</v>
      </c>
      <c r="AF28" s="104" t="s">
        <v>190</v>
      </c>
      <c r="AH28" s="104" t="s">
        <v>182</v>
      </c>
      <c r="AI28" s="104" t="s">
        <v>1760</v>
      </c>
      <c r="AJ28" s="104" t="s">
        <v>1344</v>
      </c>
      <c r="AK28" s="104" t="s">
        <v>1803</v>
      </c>
      <c r="AL28" s="104">
        <v>20000</v>
      </c>
      <c r="AM28" s="104" t="s">
        <v>412</v>
      </c>
      <c r="AN28" s="104">
        <v>1</v>
      </c>
      <c r="AP28" s="104" t="s">
        <v>190</v>
      </c>
      <c r="AQ28" s="104" t="s">
        <v>176</v>
      </c>
      <c r="AR28" s="104" t="s">
        <v>174</v>
      </c>
      <c r="AS28" s="104" t="s">
        <v>174</v>
      </c>
      <c r="AT28" s="104" t="s">
        <v>174</v>
      </c>
      <c r="AU28" s="104">
        <v>25</v>
      </c>
      <c r="AV28" s="104" t="s">
        <v>1256</v>
      </c>
      <c r="AW28" s="104" t="s">
        <v>1394</v>
      </c>
      <c r="AX28" s="104">
        <v>1.6E-2</v>
      </c>
      <c r="AY28" s="104" t="s">
        <v>174</v>
      </c>
      <c r="AZ28" s="104" t="s">
        <v>174</v>
      </c>
      <c r="BA28" s="104" t="s">
        <v>174</v>
      </c>
      <c r="BB28" s="104" t="s">
        <v>174</v>
      </c>
      <c r="BC28" s="104">
        <v>3</v>
      </c>
      <c r="BD28" s="104">
        <v>9</v>
      </c>
      <c r="BE28" s="104">
        <v>416</v>
      </c>
      <c r="BF28" s="104" t="s">
        <v>2347</v>
      </c>
      <c r="BG28" s="104" t="s">
        <v>2603</v>
      </c>
      <c r="BH28" s="104">
        <v>0.95</v>
      </c>
      <c r="BK28" s="104">
        <v>1.7100000000000001E-2</v>
      </c>
      <c r="BM28" s="104">
        <v>40.53492284</v>
      </c>
      <c r="BN28" s="104" t="b">
        <v>0</v>
      </c>
      <c r="BO28" s="104">
        <v>0</v>
      </c>
      <c r="BP28" s="104">
        <v>0</v>
      </c>
      <c r="BQ28" s="104" t="s">
        <v>246</v>
      </c>
      <c r="BR28" s="104" t="s">
        <v>174</v>
      </c>
      <c r="BS28" s="104" t="s">
        <v>194</v>
      </c>
      <c r="BY28" s="104">
        <v>15</v>
      </c>
      <c r="BZ28" s="104">
        <v>15</v>
      </c>
      <c r="CA28" s="104">
        <v>15</v>
      </c>
      <c r="CB28" s="104">
        <v>0</v>
      </c>
      <c r="CC28" s="104" t="s">
        <v>246</v>
      </c>
      <c r="CD28" s="104" t="s">
        <v>188</v>
      </c>
      <c r="CE28" s="104">
        <v>0</v>
      </c>
      <c r="CF28" s="104" t="s">
        <v>174</v>
      </c>
      <c r="CG28" s="104" t="s">
        <v>246</v>
      </c>
      <c r="CH28" s="104" t="s">
        <v>1345</v>
      </c>
      <c r="CI28" s="104" t="s">
        <v>174</v>
      </c>
      <c r="CJ28" s="104" t="s">
        <v>1346</v>
      </c>
      <c r="CK28" s="104" t="s">
        <v>246</v>
      </c>
      <c r="CQ28" s="104" t="s">
        <v>246</v>
      </c>
      <c r="CR28" s="104" t="s">
        <v>174</v>
      </c>
      <c r="CS28" s="104" t="s">
        <v>174</v>
      </c>
      <c r="CT28" s="104" t="s">
        <v>174</v>
      </c>
      <c r="CU28" s="104" t="s">
        <v>518</v>
      </c>
      <c r="CV28" s="104" t="s">
        <v>2151</v>
      </c>
    </row>
    <row r="29" spans="1:102" s="104" customFormat="1">
      <c r="A29" s="104" t="s">
        <v>605</v>
      </c>
      <c r="B29" s="104">
        <v>50</v>
      </c>
      <c r="C29" s="104">
        <v>1</v>
      </c>
      <c r="D29" s="104">
        <v>1</v>
      </c>
      <c r="E29" s="104">
        <v>255</v>
      </c>
      <c r="F29" s="104">
        <v>2018</v>
      </c>
      <c r="G29" s="104" t="s">
        <v>2437</v>
      </c>
      <c r="H29" s="104" t="s">
        <v>161</v>
      </c>
      <c r="I29" s="104" t="s">
        <v>182</v>
      </c>
      <c r="J29" s="104" t="s">
        <v>182</v>
      </c>
      <c r="K29" s="104" t="s">
        <v>152</v>
      </c>
      <c r="L29" s="104" t="s">
        <v>443</v>
      </c>
      <c r="M29" s="104" t="s">
        <v>156</v>
      </c>
      <c r="N29" s="104" t="s">
        <v>158</v>
      </c>
      <c r="O29" s="104" t="s">
        <v>300</v>
      </c>
      <c r="P29" s="104">
        <v>50.35571625</v>
      </c>
      <c r="Q29" s="104">
        <v>50.35571625</v>
      </c>
      <c r="R29" s="104">
        <v>-4.1539040390000004</v>
      </c>
      <c r="S29" s="104" t="s">
        <v>2632</v>
      </c>
      <c r="T29" s="104">
        <v>50.418994769999998</v>
      </c>
      <c r="U29" s="104">
        <v>-4.0909757830000002</v>
      </c>
      <c r="V29" s="104">
        <v>54</v>
      </c>
      <c r="W29" s="104" t="s">
        <v>160</v>
      </c>
      <c r="X29" s="104" t="s">
        <v>155</v>
      </c>
      <c r="Y29" s="104" t="s">
        <v>999</v>
      </c>
      <c r="Z29" s="104" t="s">
        <v>1788</v>
      </c>
      <c r="AA29" s="104" t="s">
        <v>333</v>
      </c>
      <c r="AB29" s="104" t="s">
        <v>246</v>
      </c>
      <c r="AC29" s="104" t="s">
        <v>333</v>
      </c>
      <c r="AD29" s="104" t="s">
        <v>1123</v>
      </c>
      <c r="AE29" s="104" t="s">
        <v>1745</v>
      </c>
      <c r="AF29" s="104">
        <v>4</v>
      </c>
      <c r="AH29" s="104" t="s">
        <v>246</v>
      </c>
      <c r="AI29" s="104" t="s">
        <v>246</v>
      </c>
      <c r="AJ29" s="104" t="s">
        <v>171</v>
      </c>
      <c r="AK29" s="104" t="s">
        <v>190</v>
      </c>
      <c r="AN29" s="104">
        <v>20</v>
      </c>
      <c r="AP29" s="104" t="s">
        <v>190</v>
      </c>
      <c r="AQ29" s="104" t="s">
        <v>176</v>
      </c>
      <c r="AR29" s="104">
        <v>2016</v>
      </c>
      <c r="AS29" s="104" t="s">
        <v>297</v>
      </c>
      <c r="AT29" s="104" t="s">
        <v>298</v>
      </c>
      <c r="AU29" s="104">
        <v>105</v>
      </c>
      <c r="AW29" s="104" t="s">
        <v>174</v>
      </c>
      <c r="AX29" s="104" t="s">
        <v>174</v>
      </c>
      <c r="AY29" s="104">
        <v>4.2860000000000002E-2</v>
      </c>
      <c r="AZ29" s="104" t="s">
        <v>174</v>
      </c>
      <c r="BA29" s="104" t="s">
        <v>174</v>
      </c>
      <c r="BB29" s="104" t="s">
        <v>174</v>
      </c>
      <c r="BC29" s="104">
        <v>4</v>
      </c>
      <c r="BD29" s="104">
        <v>1</v>
      </c>
      <c r="BE29" s="104">
        <v>40</v>
      </c>
      <c r="BF29" s="104" t="s">
        <v>2256</v>
      </c>
      <c r="BG29" s="104" t="s">
        <v>2256</v>
      </c>
      <c r="BL29" s="104">
        <v>4.2860000000000002E-2</v>
      </c>
      <c r="BM29" s="104">
        <v>1166.588894</v>
      </c>
      <c r="BN29" s="104" t="b">
        <v>1</v>
      </c>
      <c r="BO29" s="104" t="s">
        <v>2256</v>
      </c>
      <c r="BP29" s="104" t="s">
        <v>2256</v>
      </c>
      <c r="BQ29" s="104" t="s">
        <v>2256</v>
      </c>
      <c r="BR29" s="104">
        <v>2333.333333</v>
      </c>
      <c r="BS29" s="104" t="s">
        <v>263</v>
      </c>
      <c r="BU29" s="104" t="s">
        <v>174</v>
      </c>
      <c r="BV29" s="104" t="s">
        <v>174</v>
      </c>
      <c r="BW29" s="104" t="s">
        <v>174</v>
      </c>
      <c r="BX29" s="104" t="s">
        <v>174</v>
      </c>
      <c r="BY29" s="104" t="s">
        <v>1766</v>
      </c>
      <c r="BZ29" s="104" t="s">
        <v>1766</v>
      </c>
      <c r="CC29" s="104" t="s">
        <v>182</v>
      </c>
      <c r="CD29" s="104" t="s">
        <v>412</v>
      </c>
      <c r="CF29" s="104" t="s">
        <v>174</v>
      </c>
      <c r="CG29" s="104" t="s">
        <v>182</v>
      </c>
      <c r="CH29" s="104" t="s">
        <v>190</v>
      </c>
      <c r="CK29" s="104" t="s">
        <v>175</v>
      </c>
      <c r="CO29" s="104" t="s">
        <v>174</v>
      </c>
      <c r="CP29" s="104" t="s">
        <v>174</v>
      </c>
      <c r="CQ29" s="104" t="s">
        <v>176</v>
      </c>
      <c r="CR29" s="104" t="s">
        <v>174</v>
      </c>
      <c r="CS29" s="104" t="s">
        <v>242</v>
      </c>
      <c r="CT29" s="104" t="s">
        <v>408</v>
      </c>
      <c r="CU29" s="104" t="s">
        <v>168</v>
      </c>
      <c r="CV29" s="104" t="s">
        <v>2151</v>
      </c>
    </row>
    <row r="30" spans="1:102" s="104" customFormat="1">
      <c r="A30" s="104" t="s">
        <v>1133</v>
      </c>
      <c r="B30" s="104">
        <v>54</v>
      </c>
      <c r="C30" s="104">
        <v>1</v>
      </c>
      <c r="D30" s="104">
        <v>1</v>
      </c>
      <c r="E30" s="104">
        <v>291</v>
      </c>
      <c r="F30" s="104">
        <v>2008</v>
      </c>
      <c r="G30" s="104" t="s">
        <v>2437</v>
      </c>
      <c r="H30" s="104" t="s">
        <v>161</v>
      </c>
      <c r="I30" s="104" t="s">
        <v>246</v>
      </c>
      <c r="J30" s="104" t="s">
        <v>246</v>
      </c>
      <c r="K30" s="104" t="s">
        <v>272</v>
      </c>
      <c r="L30" s="104" t="s">
        <v>443</v>
      </c>
      <c r="M30" s="104" t="s">
        <v>256</v>
      </c>
      <c r="N30" s="104" t="s">
        <v>257</v>
      </c>
      <c r="O30" s="104" t="s">
        <v>2536</v>
      </c>
      <c r="P30" s="104">
        <v>42.575833330000002</v>
      </c>
      <c r="Q30" s="104">
        <v>42.575833330000002</v>
      </c>
      <c r="R30" s="104">
        <v>-9.0544444399999993</v>
      </c>
      <c r="S30" s="104" t="s">
        <v>2662</v>
      </c>
      <c r="T30" s="104">
        <v>42.575833330000002</v>
      </c>
      <c r="U30" s="104">
        <v>-9.0544444399999993</v>
      </c>
      <c r="V30" s="104">
        <v>11</v>
      </c>
      <c r="W30" s="104" t="s">
        <v>419</v>
      </c>
      <c r="X30" s="104" t="s">
        <v>155</v>
      </c>
      <c r="Y30" s="104" t="s">
        <v>999</v>
      </c>
      <c r="Z30" s="104" t="s">
        <v>424</v>
      </c>
      <c r="AA30" s="104" t="s">
        <v>333</v>
      </c>
      <c r="AB30" s="104" t="s">
        <v>246</v>
      </c>
      <c r="AC30" s="104" t="s">
        <v>333</v>
      </c>
      <c r="AD30" s="104" t="s">
        <v>1306</v>
      </c>
      <c r="AE30" s="104" t="s">
        <v>1745</v>
      </c>
      <c r="AG30" s="104" t="s">
        <v>1135</v>
      </c>
      <c r="AH30" s="104" t="s">
        <v>246</v>
      </c>
      <c r="AI30" s="104" t="s">
        <v>246</v>
      </c>
      <c r="AJ30" s="104" t="s">
        <v>333</v>
      </c>
      <c r="AK30" s="104" t="s">
        <v>190</v>
      </c>
      <c r="AL30" s="104" t="s">
        <v>174</v>
      </c>
      <c r="AN30" s="104" t="s">
        <v>190</v>
      </c>
      <c r="AP30" s="104" t="s">
        <v>190</v>
      </c>
      <c r="AQ30" s="104" t="s">
        <v>176</v>
      </c>
      <c r="AR30" s="104">
        <v>2006</v>
      </c>
      <c r="AS30" s="104" t="s">
        <v>236</v>
      </c>
      <c r="AT30" s="104" t="s">
        <v>420</v>
      </c>
      <c r="AU30" s="104">
        <v>2500</v>
      </c>
      <c r="AV30" s="104" t="s">
        <v>1256</v>
      </c>
      <c r="AW30" s="104" t="s">
        <v>1394</v>
      </c>
      <c r="AX30" s="104">
        <v>2.1000000000000001E-2</v>
      </c>
      <c r="AY30" s="104">
        <v>2.06</v>
      </c>
      <c r="AZ30" s="104" t="s">
        <v>174</v>
      </c>
      <c r="BA30" s="104" t="s">
        <v>174</v>
      </c>
      <c r="BB30" s="104" t="s">
        <v>174</v>
      </c>
      <c r="BC30" s="104">
        <v>3</v>
      </c>
      <c r="BD30" s="104">
        <v>4</v>
      </c>
      <c r="BE30" s="104">
        <v>21</v>
      </c>
      <c r="BF30" s="104" t="s">
        <v>1385</v>
      </c>
      <c r="BG30" s="104" t="s">
        <v>2603</v>
      </c>
      <c r="BH30" s="104">
        <v>0.97</v>
      </c>
      <c r="BK30" s="104">
        <v>0.92200000000000004</v>
      </c>
      <c r="BM30" s="104" t="s">
        <v>190</v>
      </c>
      <c r="BN30" s="104" t="b">
        <v>0</v>
      </c>
      <c r="BO30" s="104">
        <v>58.5</v>
      </c>
      <c r="BP30" s="104">
        <v>58.5</v>
      </c>
      <c r="BQ30" s="104" t="s">
        <v>182</v>
      </c>
      <c r="BR30" s="104" t="s">
        <v>174</v>
      </c>
      <c r="BS30" s="104" t="s">
        <v>1137</v>
      </c>
      <c r="BU30" s="104" t="s">
        <v>174</v>
      </c>
      <c r="BV30" s="104" t="s">
        <v>174</v>
      </c>
      <c r="BW30" s="104" t="s">
        <v>174</v>
      </c>
      <c r="BX30" s="104" t="s">
        <v>174</v>
      </c>
      <c r="BY30" s="104" t="s">
        <v>1766</v>
      </c>
      <c r="BZ30" s="104" t="s">
        <v>1766</v>
      </c>
      <c r="CC30" s="104" t="s">
        <v>182</v>
      </c>
      <c r="CD30" s="104" t="s">
        <v>412</v>
      </c>
      <c r="CF30" s="104" t="s">
        <v>174</v>
      </c>
      <c r="CG30" s="104" t="s">
        <v>182</v>
      </c>
      <c r="CH30" s="104" t="s">
        <v>412</v>
      </c>
      <c r="CI30" s="104" t="s">
        <v>174</v>
      </c>
      <c r="CK30" s="104" t="s">
        <v>246</v>
      </c>
      <c r="CL30" s="104" t="s">
        <v>2255</v>
      </c>
      <c r="CO30" s="104" t="s">
        <v>174</v>
      </c>
      <c r="CP30" s="104" t="s">
        <v>174</v>
      </c>
      <c r="CQ30" s="104" t="s">
        <v>246</v>
      </c>
      <c r="CR30" s="104">
        <v>38881</v>
      </c>
      <c r="CS30" s="104" t="s">
        <v>174</v>
      </c>
      <c r="CT30" s="104" t="s">
        <v>174</v>
      </c>
      <c r="CU30" s="104" t="s">
        <v>518</v>
      </c>
      <c r="CX30" s="104" t="s">
        <v>2506</v>
      </c>
    </row>
    <row r="31" spans="1:102" s="104" customFormat="1">
      <c r="A31" s="104" t="s">
        <v>582</v>
      </c>
      <c r="B31" s="104">
        <v>57</v>
      </c>
      <c r="C31" s="104">
        <v>1</v>
      </c>
      <c r="D31" s="104">
        <v>1</v>
      </c>
      <c r="E31" s="104">
        <v>312</v>
      </c>
      <c r="F31" s="104">
        <v>1984</v>
      </c>
      <c r="G31" s="104" t="s">
        <v>2437</v>
      </c>
      <c r="H31" s="104" t="s">
        <v>2183</v>
      </c>
      <c r="I31" s="104" t="s">
        <v>182</v>
      </c>
      <c r="J31" s="104" t="s">
        <v>246</v>
      </c>
      <c r="K31" s="104" t="s">
        <v>272</v>
      </c>
      <c r="L31" s="104" t="s">
        <v>443</v>
      </c>
      <c r="M31" s="104" t="s">
        <v>611</v>
      </c>
      <c r="N31" s="104" t="s">
        <v>931</v>
      </c>
      <c r="O31" s="104" t="s">
        <v>1035</v>
      </c>
      <c r="P31" s="104">
        <v>49.08</v>
      </c>
      <c r="Q31" s="104">
        <v>49.08</v>
      </c>
      <c r="R31" s="104">
        <v>-123.4</v>
      </c>
      <c r="S31" s="104" t="s">
        <v>2610</v>
      </c>
      <c r="T31" s="104">
        <v>48.932014420000002</v>
      </c>
      <c r="U31" s="104">
        <v>-123.4</v>
      </c>
      <c r="V31" s="104">
        <v>57</v>
      </c>
      <c r="W31" s="104" t="s">
        <v>585</v>
      </c>
      <c r="X31" s="104" t="s">
        <v>275</v>
      </c>
      <c r="Y31" s="104" t="s">
        <v>999</v>
      </c>
      <c r="Z31" s="104" t="s">
        <v>1788</v>
      </c>
      <c r="AA31" s="104" t="s">
        <v>1736</v>
      </c>
      <c r="AB31" s="104" t="s">
        <v>182</v>
      </c>
      <c r="AC31" s="104" t="s">
        <v>333</v>
      </c>
      <c r="AD31" s="104" t="s">
        <v>1123</v>
      </c>
      <c r="AE31" s="104" t="s">
        <v>173</v>
      </c>
      <c r="AF31" s="104">
        <v>6</v>
      </c>
      <c r="AH31" s="104" t="s">
        <v>246</v>
      </c>
      <c r="AI31" s="104" t="s">
        <v>246</v>
      </c>
      <c r="AJ31" s="104" t="s">
        <v>2195</v>
      </c>
      <c r="AK31" s="104" t="s">
        <v>190</v>
      </c>
      <c r="AL31" s="104" t="s">
        <v>174</v>
      </c>
      <c r="AN31" s="104">
        <v>2</v>
      </c>
      <c r="AP31" s="104" t="s">
        <v>190</v>
      </c>
      <c r="AQ31" s="104" t="s">
        <v>176</v>
      </c>
      <c r="AR31" s="104">
        <v>1976</v>
      </c>
      <c r="AS31" s="104" t="s">
        <v>237</v>
      </c>
      <c r="AT31" s="104" t="s">
        <v>420</v>
      </c>
      <c r="AU31" s="104">
        <v>40</v>
      </c>
      <c r="AV31" s="104" t="s">
        <v>1256</v>
      </c>
      <c r="AW31" s="104" t="s">
        <v>2208</v>
      </c>
      <c r="AX31" s="104">
        <v>5.8999999999999997E-2</v>
      </c>
      <c r="AY31" s="104" t="s">
        <v>174</v>
      </c>
      <c r="AZ31" s="104" t="s">
        <v>174</v>
      </c>
      <c r="BA31" s="104" t="s">
        <v>174</v>
      </c>
      <c r="BB31" s="104">
        <v>70</v>
      </c>
      <c r="BC31" s="104">
        <v>3</v>
      </c>
      <c r="BD31" s="104">
        <v>3</v>
      </c>
      <c r="BE31" s="104">
        <v>30</v>
      </c>
      <c r="BF31" s="104" t="s">
        <v>2458</v>
      </c>
      <c r="BG31" s="104" t="s">
        <v>2458</v>
      </c>
      <c r="BK31" s="104">
        <v>5.8999999999999997E-2</v>
      </c>
      <c r="BL31" s="104">
        <v>1.428571429</v>
      </c>
      <c r="BM31" s="104">
        <v>11.748257300000001</v>
      </c>
      <c r="BN31" s="104" t="b">
        <v>0</v>
      </c>
      <c r="BO31" s="104" t="s">
        <v>2256</v>
      </c>
      <c r="BP31" s="104" t="s">
        <v>2256</v>
      </c>
      <c r="BQ31" s="104" t="s">
        <v>2256</v>
      </c>
      <c r="BR31" s="104" t="s">
        <v>174</v>
      </c>
      <c r="BS31" s="104" t="s">
        <v>611</v>
      </c>
      <c r="BY31" s="104">
        <v>13.4</v>
      </c>
      <c r="BZ31" s="104">
        <v>13.4</v>
      </c>
      <c r="CA31" s="104">
        <v>13.4</v>
      </c>
      <c r="CB31" s="104">
        <v>0</v>
      </c>
      <c r="CC31" s="104" t="s">
        <v>182</v>
      </c>
      <c r="CD31" s="104" t="s">
        <v>412</v>
      </c>
      <c r="CF31" s="104" t="s">
        <v>174</v>
      </c>
      <c r="CG31" s="104" t="s">
        <v>182</v>
      </c>
      <c r="CH31" s="104" t="s">
        <v>412</v>
      </c>
      <c r="CI31" s="104" t="s">
        <v>1063</v>
      </c>
      <c r="CJ31" s="104" t="s">
        <v>1051</v>
      </c>
      <c r="CK31" s="104" t="s">
        <v>246</v>
      </c>
      <c r="CQ31" s="104" t="s">
        <v>246</v>
      </c>
      <c r="CR31" s="104" t="s">
        <v>174</v>
      </c>
      <c r="CS31" s="104" t="s">
        <v>174</v>
      </c>
      <c r="CU31" s="104" t="s">
        <v>518</v>
      </c>
    </row>
    <row r="32" spans="1:102" s="104" customFormat="1">
      <c r="A32" s="104" t="s">
        <v>579</v>
      </c>
      <c r="B32" s="104">
        <v>58</v>
      </c>
      <c r="C32" s="104">
        <v>2</v>
      </c>
      <c r="D32" s="104">
        <v>1</v>
      </c>
      <c r="E32" s="104">
        <v>323</v>
      </c>
      <c r="F32" s="104">
        <v>1984</v>
      </c>
      <c r="G32" s="104" t="s">
        <v>2437</v>
      </c>
      <c r="H32" s="104" t="s">
        <v>187</v>
      </c>
      <c r="I32" s="104" t="s">
        <v>246</v>
      </c>
      <c r="J32" s="104" t="s">
        <v>246</v>
      </c>
      <c r="K32" s="104" t="s">
        <v>1976</v>
      </c>
      <c r="L32" s="104" t="s">
        <v>446</v>
      </c>
      <c r="M32" s="104" t="s">
        <v>702</v>
      </c>
      <c r="N32" s="104" t="s">
        <v>1148</v>
      </c>
      <c r="O32" s="104" t="s">
        <v>2561</v>
      </c>
      <c r="P32" s="104">
        <v>38.987039189999997</v>
      </c>
      <c r="Q32" s="104">
        <v>38.987039189999997</v>
      </c>
      <c r="R32" s="104">
        <v>-76.942489929999994</v>
      </c>
      <c r="S32" s="104" t="s">
        <v>2659</v>
      </c>
      <c r="T32" s="104">
        <v>38.81696324</v>
      </c>
      <c r="U32" s="104">
        <v>-76.6352002</v>
      </c>
      <c r="V32" s="104">
        <v>2</v>
      </c>
      <c r="W32" s="104" t="s">
        <v>276</v>
      </c>
      <c r="X32" s="104" t="s">
        <v>586</v>
      </c>
      <c r="Y32" s="104" t="s">
        <v>184</v>
      </c>
      <c r="Z32" s="104" t="s">
        <v>1788</v>
      </c>
      <c r="AA32" s="104" t="s">
        <v>1737</v>
      </c>
      <c r="AB32" s="104" t="s">
        <v>182</v>
      </c>
      <c r="AC32" s="104" t="s">
        <v>1256</v>
      </c>
      <c r="AD32" s="104" t="s">
        <v>187</v>
      </c>
      <c r="AE32" s="104" t="s">
        <v>190</v>
      </c>
      <c r="AF32" s="104" t="s">
        <v>190</v>
      </c>
      <c r="AH32" s="104" t="s">
        <v>246</v>
      </c>
      <c r="AI32" s="104" t="s">
        <v>246</v>
      </c>
      <c r="AJ32" s="104" t="s">
        <v>1149</v>
      </c>
      <c r="AK32" s="104" t="s">
        <v>1151</v>
      </c>
      <c r="AL32" s="104">
        <v>470</v>
      </c>
      <c r="AM32" s="104" t="s">
        <v>1216</v>
      </c>
      <c r="AN32" s="104" t="s">
        <v>190</v>
      </c>
      <c r="AP32" s="104" t="s">
        <v>190</v>
      </c>
      <c r="AQ32" s="104" t="s">
        <v>176</v>
      </c>
      <c r="AR32" s="104" t="s">
        <v>174</v>
      </c>
      <c r="AS32" s="104" t="s">
        <v>174</v>
      </c>
      <c r="AT32" s="104" t="s">
        <v>174</v>
      </c>
      <c r="AU32" s="104">
        <v>10</v>
      </c>
      <c r="AV32" s="104" t="s">
        <v>1255</v>
      </c>
      <c r="AW32" s="104" t="s">
        <v>174</v>
      </c>
      <c r="AX32" s="104" t="s">
        <v>174</v>
      </c>
      <c r="AY32" s="104" t="s">
        <v>174</v>
      </c>
      <c r="AZ32" s="104" t="s">
        <v>174</v>
      </c>
      <c r="BA32" s="104" t="s">
        <v>174</v>
      </c>
      <c r="BB32" s="104" t="s">
        <v>174</v>
      </c>
      <c r="BC32" s="104" t="s">
        <v>1766</v>
      </c>
      <c r="BD32" s="104">
        <v>8</v>
      </c>
      <c r="BE32" s="104">
        <v>16</v>
      </c>
      <c r="BF32" s="104" t="s">
        <v>1385</v>
      </c>
      <c r="BG32" s="104" t="s">
        <v>2603</v>
      </c>
      <c r="BH32" s="104">
        <v>0.87</v>
      </c>
      <c r="BK32" s="104">
        <v>0.23380000000000001</v>
      </c>
      <c r="BM32" s="104">
        <v>4.6500000000000004</v>
      </c>
      <c r="BN32" s="104" t="b">
        <v>0</v>
      </c>
      <c r="BO32" s="104">
        <v>29</v>
      </c>
      <c r="BP32" s="104">
        <v>29</v>
      </c>
      <c r="BQ32" s="104" t="s">
        <v>182</v>
      </c>
      <c r="BR32" s="104" t="s">
        <v>174</v>
      </c>
      <c r="BS32" s="104" t="s">
        <v>2346</v>
      </c>
      <c r="BV32" s="104" t="s">
        <v>174</v>
      </c>
      <c r="BW32" s="104" t="s">
        <v>174</v>
      </c>
      <c r="BX32" s="104" t="s">
        <v>174</v>
      </c>
      <c r="BY32" s="104">
        <v>20</v>
      </c>
      <c r="BZ32" s="104">
        <v>20</v>
      </c>
      <c r="CA32" s="104">
        <v>20</v>
      </c>
      <c r="CB32" s="104">
        <v>0</v>
      </c>
      <c r="CC32" s="104" t="s">
        <v>2606</v>
      </c>
      <c r="CD32" s="104" t="s">
        <v>2606</v>
      </c>
      <c r="CF32" s="104" t="s">
        <v>174</v>
      </c>
      <c r="CG32" s="104" t="s">
        <v>182</v>
      </c>
      <c r="CH32" s="104" t="s">
        <v>1150</v>
      </c>
      <c r="CI32" s="104" t="s">
        <v>1153</v>
      </c>
      <c r="CK32" s="104" t="s">
        <v>246</v>
      </c>
      <c r="CL32" s="104" t="s">
        <v>2255</v>
      </c>
      <c r="CO32" s="104" t="s">
        <v>174</v>
      </c>
      <c r="CP32" s="104" t="s">
        <v>174</v>
      </c>
      <c r="CQ32" s="104" t="s">
        <v>174</v>
      </c>
      <c r="CR32" s="104" t="s">
        <v>174</v>
      </c>
      <c r="CS32" s="104" t="s">
        <v>174</v>
      </c>
      <c r="CT32" s="104" t="s">
        <v>1152</v>
      </c>
      <c r="CU32" s="104" t="s">
        <v>518</v>
      </c>
    </row>
    <row r="33" spans="1:102" s="104" customFormat="1">
      <c r="A33" s="104" t="s">
        <v>686</v>
      </c>
      <c r="B33" s="104">
        <v>59</v>
      </c>
      <c r="C33" s="104">
        <v>3</v>
      </c>
      <c r="D33" s="104">
        <v>1</v>
      </c>
      <c r="E33" s="104">
        <v>324</v>
      </c>
      <c r="F33" s="104">
        <v>1986</v>
      </c>
      <c r="G33" s="104" t="s">
        <v>2437</v>
      </c>
      <c r="H33" s="104" t="s">
        <v>187</v>
      </c>
      <c r="I33" s="104" t="s">
        <v>182</v>
      </c>
      <c r="J33" s="104" t="s">
        <v>246</v>
      </c>
      <c r="K33" s="104" t="s">
        <v>1976</v>
      </c>
      <c r="L33" s="104" t="s">
        <v>444</v>
      </c>
      <c r="M33" s="104" t="s">
        <v>445</v>
      </c>
      <c r="N33" s="104" t="s">
        <v>704</v>
      </c>
      <c r="O33" s="104" t="s">
        <v>979</v>
      </c>
      <c r="P33" s="104">
        <v>38.646887290000002</v>
      </c>
      <c r="Q33" s="104">
        <v>38.646887290000002</v>
      </c>
      <c r="R33" s="104">
        <v>-76.327910470000006</v>
      </c>
      <c r="S33" s="104" t="s">
        <v>2658</v>
      </c>
      <c r="T33" s="104">
        <v>44.869277150000002</v>
      </c>
      <c r="U33" s="104">
        <v>-36.880483230000003</v>
      </c>
      <c r="V33" s="104">
        <v>2</v>
      </c>
      <c r="W33" s="104" t="s">
        <v>276</v>
      </c>
      <c r="X33" s="104" t="s">
        <v>586</v>
      </c>
      <c r="Y33" s="104" t="s">
        <v>999</v>
      </c>
      <c r="Z33" s="104" t="s">
        <v>1788</v>
      </c>
      <c r="AA33" s="104" t="s">
        <v>333</v>
      </c>
      <c r="AB33" s="104" t="s">
        <v>246</v>
      </c>
      <c r="AC33" s="104" t="s">
        <v>333</v>
      </c>
      <c r="AD33" s="104" t="s">
        <v>187</v>
      </c>
      <c r="AE33" s="104" t="s">
        <v>190</v>
      </c>
      <c r="AF33" s="104" t="s">
        <v>190</v>
      </c>
      <c r="AH33" s="104" t="s">
        <v>246</v>
      </c>
      <c r="AI33" s="104" t="s">
        <v>246</v>
      </c>
      <c r="AJ33" s="104" t="s">
        <v>1780</v>
      </c>
      <c r="AK33" s="104" t="s">
        <v>1067</v>
      </c>
      <c r="AL33" s="104">
        <v>25000</v>
      </c>
      <c r="AM33" s="104" t="s">
        <v>1216</v>
      </c>
      <c r="AN33" s="104">
        <v>1</v>
      </c>
      <c r="AP33" s="104" t="s">
        <v>190</v>
      </c>
      <c r="AQ33" s="104" t="s">
        <v>176</v>
      </c>
      <c r="AR33" s="104" t="s">
        <v>174</v>
      </c>
      <c r="AS33" s="104" t="s">
        <v>174</v>
      </c>
      <c r="AT33" s="104" t="s">
        <v>174</v>
      </c>
      <c r="AU33" s="104">
        <v>120</v>
      </c>
      <c r="AV33" s="104" t="s">
        <v>1256</v>
      </c>
      <c r="AW33" s="104" t="s">
        <v>174</v>
      </c>
      <c r="AX33" s="104" t="s">
        <v>174</v>
      </c>
      <c r="AY33" s="104" t="s">
        <v>174</v>
      </c>
      <c r="AZ33" s="104" t="s">
        <v>174</v>
      </c>
      <c r="BA33" s="104" t="s">
        <v>174</v>
      </c>
      <c r="BB33" s="104" t="s">
        <v>174</v>
      </c>
      <c r="BC33" s="104">
        <v>2</v>
      </c>
      <c r="BD33" s="104">
        <v>4</v>
      </c>
      <c r="BE33" s="104">
        <v>93</v>
      </c>
      <c r="BF33" s="104" t="s">
        <v>2378</v>
      </c>
      <c r="BG33" s="104" t="s">
        <v>2603</v>
      </c>
      <c r="BH33" s="104">
        <v>1</v>
      </c>
      <c r="BI33" s="104" t="s">
        <v>2418</v>
      </c>
      <c r="BJ33" s="104">
        <v>0.89800000000000002</v>
      </c>
      <c r="BK33" s="104">
        <v>3.1800000000000002E-2</v>
      </c>
      <c r="BM33" s="104">
        <v>21.79708115</v>
      </c>
      <c r="BN33" s="104" t="b">
        <v>0</v>
      </c>
      <c r="BO33" s="104">
        <v>1.9</v>
      </c>
      <c r="BP33" s="104">
        <v>0</v>
      </c>
      <c r="BQ33" s="104" t="s">
        <v>246</v>
      </c>
      <c r="BR33" s="104" t="s">
        <v>174</v>
      </c>
      <c r="BS33" s="104" t="s">
        <v>174</v>
      </c>
      <c r="BU33" s="104">
        <v>13</v>
      </c>
      <c r="BV33" s="104">
        <v>8.6</v>
      </c>
      <c r="BW33" s="104" t="s">
        <v>174</v>
      </c>
      <c r="BX33" s="104" t="s">
        <v>174</v>
      </c>
      <c r="BY33" s="104">
        <v>20</v>
      </c>
      <c r="BZ33" s="104">
        <v>20</v>
      </c>
      <c r="CA33" s="104">
        <v>20</v>
      </c>
      <c r="CB33" s="104">
        <v>0</v>
      </c>
      <c r="CC33" s="104" t="s">
        <v>246</v>
      </c>
      <c r="CD33" s="104" t="s">
        <v>188</v>
      </c>
      <c r="CE33" s="104">
        <v>0</v>
      </c>
      <c r="CF33" s="104" t="s">
        <v>174</v>
      </c>
      <c r="CG33" s="104" t="s">
        <v>182</v>
      </c>
      <c r="CH33" s="104" t="s">
        <v>1065</v>
      </c>
      <c r="CI33" s="104" t="s">
        <v>1066</v>
      </c>
      <c r="CJ33" s="104" t="s">
        <v>174</v>
      </c>
      <c r="CK33" s="104" t="s">
        <v>246</v>
      </c>
      <c r="CL33" s="104" t="s">
        <v>2255</v>
      </c>
      <c r="CO33" s="104" t="s">
        <v>174</v>
      </c>
      <c r="CP33" s="104" t="s">
        <v>174</v>
      </c>
      <c r="CQ33" s="104" t="s">
        <v>182</v>
      </c>
      <c r="CR33" s="104" t="s">
        <v>174</v>
      </c>
      <c r="CS33" s="104" t="s">
        <v>174</v>
      </c>
      <c r="CT33" s="104" t="s">
        <v>174</v>
      </c>
      <c r="CU33" s="104" t="s">
        <v>518</v>
      </c>
    </row>
    <row r="34" spans="1:102" s="104" customFormat="1">
      <c r="A34" s="104" t="s">
        <v>682</v>
      </c>
      <c r="B34" s="104">
        <v>66</v>
      </c>
      <c r="C34" s="104">
        <v>3</v>
      </c>
      <c r="D34" s="104">
        <v>2</v>
      </c>
      <c r="E34" s="104">
        <v>363</v>
      </c>
      <c r="F34" s="104">
        <v>1981</v>
      </c>
      <c r="G34" s="104" t="s">
        <v>2437</v>
      </c>
      <c r="H34" s="104" t="s">
        <v>161</v>
      </c>
      <c r="I34" s="104" t="s">
        <v>182</v>
      </c>
      <c r="J34" s="104" t="s">
        <v>246</v>
      </c>
      <c r="K34" s="104" t="s">
        <v>2611</v>
      </c>
      <c r="L34" s="104" t="s">
        <v>443</v>
      </c>
      <c r="M34" s="104" t="s">
        <v>983</v>
      </c>
      <c r="N34" s="104" t="s">
        <v>984</v>
      </c>
      <c r="O34" s="104" t="s">
        <v>2530</v>
      </c>
      <c r="P34" s="104">
        <v>-62.162500000000001</v>
      </c>
      <c r="Q34" s="104">
        <v>62.162500000000001</v>
      </c>
      <c r="R34" s="104">
        <v>-58.462499999999999</v>
      </c>
      <c r="S34" s="104" t="s">
        <v>2653</v>
      </c>
      <c r="T34" s="104">
        <v>-62.215489120000001</v>
      </c>
      <c r="U34" s="104">
        <v>-58.600482820000003</v>
      </c>
      <c r="V34" s="104">
        <v>28</v>
      </c>
      <c r="W34" s="104" t="s">
        <v>538</v>
      </c>
      <c r="X34" s="104" t="s">
        <v>797</v>
      </c>
      <c r="Y34" s="104" t="s">
        <v>999</v>
      </c>
      <c r="Z34" s="104" t="s">
        <v>424</v>
      </c>
      <c r="AA34" s="104" t="s">
        <v>333</v>
      </c>
      <c r="AB34" s="104" t="s">
        <v>246</v>
      </c>
      <c r="AC34" s="104" t="s">
        <v>333</v>
      </c>
      <c r="AD34" s="104" t="s">
        <v>1306</v>
      </c>
      <c r="AE34" s="104" t="s">
        <v>1789</v>
      </c>
      <c r="AG34" s="104" t="s">
        <v>1774</v>
      </c>
      <c r="AH34" s="104" t="s">
        <v>246</v>
      </c>
      <c r="AI34" s="104" t="s">
        <v>246</v>
      </c>
      <c r="AJ34" s="104" t="s">
        <v>171</v>
      </c>
      <c r="AK34" s="104" t="s">
        <v>190</v>
      </c>
      <c r="AL34" s="104" t="s">
        <v>174</v>
      </c>
      <c r="AN34" s="104" t="s">
        <v>1766</v>
      </c>
      <c r="AP34" s="104" t="s">
        <v>190</v>
      </c>
      <c r="AQ34" s="104" t="s">
        <v>176</v>
      </c>
      <c r="AR34" s="104">
        <v>1979</v>
      </c>
      <c r="AT34" s="104" t="s">
        <v>298</v>
      </c>
      <c r="AU34" s="104" t="s">
        <v>174</v>
      </c>
      <c r="AW34" s="104" t="s">
        <v>1394</v>
      </c>
      <c r="AX34" s="104" t="s">
        <v>174</v>
      </c>
      <c r="AY34" s="104" t="s">
        <v>174</v>
      </c>
      <c r="AZ34" s="104" t="s">
        <v>174</v>
      </c>
      <c r="BA34" s="104" t="s">
        <v>174</v>
      </c>
      <c r="BB34" s="104" t="s">
        <v>174</v>
      </c>
      <c r="BC34" s="104" t="s">
        <v>1766</v>
      </c>
      <c r="BD34" s="104">
        <v>7</v>
      </c>
      <c r="BE34" s="104">
        <v>35</v>
      </c>
      <c r="BF34" s="104" t="s">
        <v>2347</v>
      </c>
      <c r="BG34" s="104" t="s">
        <v>2603</v>
      </c>
      <c r="BH34" s="104">
        <v>1</v>
      </c>
      <c r="BK34" s="104">
        <v>2.6700000000000002E-2</v>
      </c>
      <c r="BM34" s="104">
        <v>25.960568559999999</v>
      </c>
      <c r="BN34" s="104" t="b">
        <v>0</v>
      </c>
      <c r="BO34" s="104">
        <v>25</v>
      </c>
      <c r="BP34" s="104">
        <v>0</v>
      </c>
      <c r="BQ34" s="104" t="s">
        <v>246</v>
      </c>
      <c r="BR34" s="104" t="s">
        <v>174</v>
      </c>
      <c r="BS34" s="104" t="s">
        <v>1173</v>
      </c>
      <c r="BV34" s="104" t="s">
        <v>174</v>
      </c>
      <c r="BW34" s="104" t="s">
        <v>174</v>
      </c>
      <c r="BX34" s="104" t="s">
        <v>174</v>
      </c>
      <c r="BY34" s="104" t="s">
        <v>1766</v>
      </c>
      <c r="BZ34" s="104" t="s">
        <v>1766</v>
      </c>
      <c r="CC34" s="104" t="s">
        <v>182</v>
      </c>
      <c r="CD34" s="104" t="s">
        <v>412</v>
      </c>
      <c r="CF34" s="104" t="s">
        <v>174</v>
      </c>
      <c r="CG34" s="104" t="s">
        <v>182</v>
      </c>
      <c r="CH34" s="104" t="s">
        <v>412</v>
      </c>
      <c r="CI34" s="104" t="s">
        <v>1168</v>
      </c>
      <c r="CK34" s="104" t="s">
        <v>246</v>
      </c>
      <c r="CO34" s="104" t="s">
        <v>174</v>
      </c>
      <c r="CP34" s="104" t="s">
        <v>174</v>
      </c>
      <c r="CQ34" s="104" t="s">
        <v>246</v>
      </c>
      <c r="CR34" s="104">
        <v>29164</v>
      </c>
      <c r="CS34" s="104" t="s">
        <v>174</v>
      </c>
      <c r="CT34" s="104" t="s">
        <v>174</v>
      </c>
      <c r="CU34" s="104" t="s">
        <v>518</v>
      </c>
      <c r="CV34" s="104" t="s">
        <v>2456</v>
      </c>
    </row>
    <row r="35" spans="1:102" s="104" customFormat="1">
      <c r="A35" s="104" t="s">
        <v>581</v>
      </c>
      <c r="B35" s="104">
        <v>72</v>
      </c>
      <c r="C35" s="104">
        <v>1</v>
      </c>
      <c r="D35" s="104">
        <v>1</v>
      </c>
      <c r="E35" s="104">
        <v>391</v>
      </c>
      <c r="F35" s="104">
        <v>1994</v>
      </c>
      <c r="G35" s="104" t="s">
        <v>2437</v>
      </c>
      <c r="H35" s="104" t="s">
        <v>187</v>
      </c>
      <c r="I35" s="104" t="s">
        <v>182</v>
      </c>
      <c r="J35" s="104" t="s">
        <v>246</v>
      </c>
      <c r="K35" s="104" t="s">
        <v>1976</v>
      </c>
      <c r="L35" s="104" t="s">
        <v>444</v>
      </c>
      <c r="M35" s="104" t="s">
        <v>445</v>
      </c>
      <c r="N35" s="104" t="s">
        <v>704</v>
      </c>
      <c r="O35" s="104" t="s">
        <v>979</v>
      </c>
      <c r="P35" s="104">
        <v>55.504906839999997</v>
      </c>
      <c r="Q35" s="104">
        <v>55.504906839999997</v>
      </c>
      <c r="R35" s="104">
        <v>10.538050950000001</v>
      </c>
      <c r="S35" s="104" t="s">
        <v>2679</v>
      </c>
      <c r="T35" s="104">
        <v>55.78060464</v>
      </c>
      <c r="U35" s="104">
        <v>10.44472844</v>
      </c>
      <c r="V35" s="104">
        <v>17</v>
      </c>
      <c r="W35" s="104" t="s">
        <v>973</v>
      </c>
      <c r="X35" s="104" t="s">
        <v>155</v>
      </c>
      <c r="Y35" s="104" t="s">
        <v>2184</v>
      </c>
      <c r="Z35" s="104" t="s">
        <v>1788</v>
      </c>
      <c r="AA35" s="104" t="s">
        <v>1734</v>
      </c>
      <c r="AB35" s="104" t="s">
        <v>182</v>
      </c>
      <c r="AC35" s="104" t="s">
        <v>333</v>
      </c>
      <c r="AD35" s="104" t="s">
        <v>187</v>
      </c>
      <c r="AE35" s="104" t="s">
        <v>190</v>
      </c>
      <c r="AF35" s="104" t="s">
        <v>190</v>
      </c>
      <c r="AH35" s="104" t="s">
        <v>246</v>
      </c>
      <c r="AJ35" s="104" t="s">
        <v>976</v>
      </c>
      <c r="AK35" s="104" t="s">
        <v>975</v>
      </c>
      <c r="AL35" s="104">
        <v>200</v>
      </c>
      <c r="AM35" s="104" t="s">
        <v>1216</v>
      </c>
      <c r="AO35" s="104">
        <v>4.4999999999999999E-4</v>
      </c>
      <c r="AP35" s="104" t="s">
        <v>978</v>
      </c>
      <c r="AQ35" s="104" t="s">
        <v>175</v>
      </c>
      <c r="AR35" s="104" t="s">
        <v>174</v>
      </c>
      <c r="AS35" s="104" t="s">
        <v>174</v>
      </c>
      <c r="AT35" s="104" t="s">
        <v>174</v>
      </c>
      <c r="AU35" s="104" t="s">
        <v>174</v>
      </c>
      <c r="AW35" s="104" t="s">
        <v>1394</v>
      </c>
      <c r="AX35" s="104" t="s">
        <v>174</v>
      </c>
      <c r="AY35" s="104" t="s">
        <v>174</v>
      </c>
      <c r="AZ35" s="104" t="s">
        <v>174</v>
      </c>
      <c r="BA35" s="104" t="s">
        <v>174</v>
      </c>
      <c r="BB35" s="104" t="s">
        <v>174</v>
      </c>
      <c r="BC35" s="104">
        <v>2</v>
      </c>
      <c r="BD35" s="104">
        <v>10</v>
      </c>
      <c r="BE35" s="104">
        <v>70</v>
      </c>
      <c r="BF35" s="104" t="s">
        <v>1385</v>
      </c>
      <c r="BG35" s="104" t="s">
        <v>2603</v>
      </c>
      <c r="BH35" s="104">
        <v>0.97</v>
      </c>
      <c r="BK35" s="104">
        <v>0.1162</v>
      </c>
      <c r="BL35" s="104" t="s">
        <v>174</v>
      </c>
      <c r="BM35" s="104">
        <v>8.32</v>
      </c>
      <c r="BN35" s="104" t="b">
        <v>0</v>
      </c>
      <c r="BO35" s="104">
        <v>11.9</v>
      </c>
      <c r="BP35" s="104">
        <v>11.9</v>
      </c>
      <c r="BQ35" s="104" t="s">
        <v>182</v>
      </c>
      <c r="BR35" s="104" t="s">
        <v>174</v>
      </c>
      <c r="BS35" s="104" t="s">
        <v>174</v>
      </c>
      <c r="BU35" s="104" t="s">
        <v>174</v>
      </c>
      <c r="BV35" s="104" t="s">
        <v>174</v>
      </c>
      <c r="BW35" s="104" t="s">
        <v>174</v>
      </c>
      <c r="BX35" s="104" t="s">
        <v>174</v>
      </c>
      <c r="BY35" s="104">
        <v>21</v>
      </c>
      <c r="BZ35" s="104">
        <v>21</v>
      </c>
      <c r="CA35" s="104">
        <v>21</v>
      </c>
      <c r="CB35" s="104">
        <v>0</v>
      </c>
      <c r="CC35" s="104" t="s">
        <v>246</v>
      </c>
      <c r="CD35" s="104" t="s">
        <v>188</v>
      </c>
      <c r="CE35" s="104">
        <v>0</v>
      </c>
      <c r="CF35" s="104" t="s">
        <v>190</v>
      </c>
      <c r="CG35" s="104" t="s">
        <v>182</v>
      </c>
      <c r="CH35" s="104" t="s">
        <v>966</v>
      </c>
      <c r="CI35" s="104" t="s">
        <v>967</v>
      </c>
      <c r="CJ35" s="104" t="s">
        <v>977</v>
      </c>
      <c r="CK35" s="104" t="s">
        <v>246</v>
      </c>
      <c r="CO35" s="104" t="s">
        <v>174</v>
      </c>
      <c r="CP35" s="104" t="s">
        <v>174</v>
      </c>
      <c r="CQ35" s="104" t="s">
        <v>182</v>
      </c>
      <c r="CR35" s="104" t="s">
        <v>174</v>
      </c>
      <c r="CS35" s="104" t="s">
        <v>174</v>
      </c>
      <c r="CT35" s="104" t="s">
        <v>174</v>
      </c>
    </row>
    <row r="36" spans="1:102" s="104" customFormat="1">
      <c r="A36" s="104" t="s">
        <v>2173</v>
      </c>
      <c r="B36" s="104">
        <v>82</v>
      </c>
      <c r="C36" s="104">
        <v>1</v>
      </c>
      <c r="D36" s="104">
        <v>1</v>
      </c>
      <c r="E36" s="104">
        <v>437</v>
      </c>
      <c r="F36" s="104">
        <v>2023</v>
      </c>
      <c r="G36" s="104" t="s">
        <v>2437</v>
      </c>
      <c r="H36" s="104" t="s">
        <v>161</v>
      </c>
      <c r="I36" s="104" t="s">
        <v>246</v>
      </c>
      <c r="J36" s="104" t="s">
        <v>182</v>
      </c>
      <c r="K36" s="104" t="s">
        <v>152</v>
      </c>
      <c r="L36" s="104" t="s">
        <v>443</v>
      </c>
      <c r="M36" s="104" t="s">
        <v>156</v>
      </c>
      <c r="N36" s="104" t="s">
        <v>157</v>
      </c>
      <c r="O36" s="104" t="s">
        <v>2541</v>
      </c>
      <c r="P36" s="104">
        <v>54.384239000000001</v>
      </c>
      <c r="Q36" s="104">
        <v>54.384239000000001</v>
      </c>
      <c r="R36" s="104">
        <v>-5.5577930000000002</v>
      </c>
      <c r="S36" s="104" t="s">
        <v>2625</v>
      </c>
      <c r="T36" s="104">
        <v>55.453946250000001</v>
      </c>
      <c r="U36" s="104">
        <v>-6.1988217209999998</v>
      </c>
      <c r="V36" s="104">
        <v>30</v>
      </c>
      <c r="W36" s="104" t="s">
        <v>160</v>
      </c>
      <c r="X36" s="104" t="s">
        <v>155</v>
      </c>
      <c r="Y36" s="104" t="s">
        <v>999</v>
      </c>
      <c r="Z36" s="104" t="s">
        <v>1788</v>
      </c>
      <c r="AA36" s="104" t="s">
        <v>333</v>
      </c>
      <c r="AB36" s="104" t="s">
        <v>246</v>
      </c>
      <c r="AC36" s="104" t="s">
        <v>333</v>
      </c>
      <c r="AD36" s="104" t="s">
        <v>1123</v>
      </c>
      <c r="AE36" s="104" t="s">
        <v>1745</v>
      </c>
      <c r="AF36" s="104">
        <v>1.2</v>
      </c>
      <c r="AH36" s="104" t="s">
        <v>246</v>
      </c>
      <c r="AI36" s="104" t="s">
        <v>246</v>
      </c>
      <c r="AJ36" s="104" t="s">
        <v>171</v>
      </c>
      <c r="AN36" s="104">
        <v>2</v>
      </c>
      <c r="AQ36" s="104" t="s">
        <v>176</v>
      </c>
      <c r="AR36" s="104">
        <v>2021</v>
      </c>
      <c r="AS36" s="104" t="s">
        <v>880</v>
      </c>
      <c r="AT36" s="104" t="s">
        <v>385</v>
      </c>
      <c r="BC36" s="104">
        <v>3</v>
      </c>
      <c r="BD36" s="104">
        <v>4</v>
      </c>
      <c r="BE36" s="104">
        <v>46</v>
      </c>
      <c r="BF36" s="104" t="s">
        <v>1387</v>
      </c>
      <c r="BG36" s="104" t="s">
        <v>1387</v>
      </c>
      <c r="BM36" s="104" t="s">
        <v>190</v>
      </c>
      <c r="BN36" s="104" t="b">
        <v>0</v>
      </c>
      <c r="BO36" s="104">
        <v>97.10076162</v>
      </c>
      <c r="BP36" s="104" t="s">
        <v>2256</v>
      </c>
      <c r="BQ36" s="104" t="s">
        <v>2256</v>
      </c>
      <c r="BS36" s="104" t="s">
        <v>194</v>
      </c>
      <c r="BY36" s="104">
        <v>11.13</v>
      </c>
      <c r="BZ36" s="104">
        <v>12.96</v>
      </c>
      <c r="CA36" s="104">
        <v>12.045</v>
      </c>
      <c r="CB36" s="104">
        <v>1.83</v>
      </c>
      <c r="CC36" s="104" t="s">
        <v>182</v>
      </c>
      <c r="CD36" s="104" t="s">
        <v>412</v>
      </c>
      <c r="CE36" s="104" t="s">
        <v>2013</v>
      </c>
      <c r="CF36" s="104" t="s">
        <v>2014</v>
      </c>
      <c r="CG36" s="104" t="s">
        <v>182</v>
      </c>
      <c r="CI36" s="104" t="s">
        <v>2023</v>
      </c>
      <c r="CJ36" s="104" t="s">
        <v>2015</v>
      </c>
      <c r="CL36" s="104" t="s">
        <v>2255</v>
      </c>
    </row>
    <row r="37" spans="1:102" s="104" customFormat="1">
      <c r="A37" s="104" t="s">
        <v>3093</v>
      </c>
      <c r="B37" s="104">
        <v>103</v>
      </c>
      <c r="C37" s="104">
        <v>1</v>
      </c>
      <c r="D37" s="104">
        <v>1</v>
      </c>
      <c r="E37" s="104">
        <v>532</v>
      </c>
      <c r="F37" s="104">
        <v>2010</v>
      </c>
      <c r="G37" s="104" t="s">
        <v>2437</v>
      </c>
      <c r="H37" s="104" t="s">
        <v>187</v>
      </c>
      <c r="I37" s="104" t="s">
        <v>182</v>
      </c>
      <c r="J37" s="104" t="s">
        <v>246</v>
      </c>
      <c r="K37" s="104" t="s">
        <v>1976</v>
      </c>
      <c r="L37" s="104" t="s">
        <v>444</v>
      </c>
      <c r="M37" s="104" t="s">
        <v>445</v>
      </c>
      <c r="N37" s="104" t="s">
        <v>1940</v>
      </c>
      <c r="O37" s="104" t="s">
        <v>2551</v>
      </c>
      <c r="P37" s="104">
        <v>24.946824779355101</v>
      </c>
      <c r="Q37" s="104">
        <v>24.946824779355101</v>
      </c>
      <c r="R37" s="104">
        <v>67.122408829725501</v>
      </c>
      <c r="S37" s="104" t="s">
        <v>3048</v>
      </c>
      <c r="W37" s="104" t="s">
        <v>3047</v>
      </c>
      <c r="X37" s="104" t="s">
        <v>802</v>
      </c>
      <c r="Y37" s="104" t="s">
        <v>999</v>
      </c>
      <c r="Z37" s="104" t="s">
        <v>1788</v>
      </c>
      <c r="AA37" s="104" t="s">
        <v>333</v>
      </c>
      <c r="AB37" s="104" t="s">
        <v>246</v>
      </c>
      <c r="AC37" s="104" t="s">
        <v>1256</v>
      </c>
      <c r="AD37" s="104" t="s">
        <v>187</v>
      </c>
      <c r="AH37" s="104" t="s">
        <v>246</v>
      </c>
      <c r="AI37" s="104" t="s">
        <v>246</v>
      </c>
      <c r="AJ37" s="104" t="s">
        <v>2829</v>
      </c>
      <c r="AK37" s="104" t="s">
        <v>1167</v>
      </c>
      <c r="AL37" s="104">
        <v>5000</v>
      </c>
      <c r="AN37" s="104">
        <v>1</v>
      </c>
      <c r="AR37" s="104">
        <v>2000</v>
      </c>
      <c r="AS37" s="104" t="s">
        <v>743</v>
      </c>
      <c r="AT37" s="104" t="s">
        <v>385</v>
      </c>
      <c r="AU37" s="104">
        <v>50</v>
      </c>
      <c r="AV37" s="104" t="s">
        <v>1256</v>
      </c>
      <c r="BC37" s="104">
        <v>3</v>
      </c>
      <c r="BD37" s="104">
        <v>5</v>
      </c>
      <c r="BE37" s="104">
        <v>30</v>
      </c>
      <c r="BF37" s="104" t="s">
        <v>1385</v>
      </c>
      <c r="BG37" s="104" t="s">
        <v>2603</v>
      </c>
      <c r="BH37" s="104">
        <v>0.93600000000000005</v>
      </c>
      <c r="BK37" s="104">
        <v>0.60640000000000005</v>
      </c>
      <c r="BM37" s="104">
        <v>1.7673749999999999</v>
      </c>
      <c r="BN37" s="104" t="b">
        <v>0</v>
      </c>
      <c r="BO37" s="104">
        <v>11.955</v>
      </c>
      <c r="BP37" s="104">
        <v>11.955</v>
      </c>
      <c r="BQ37" s="104" t="s">
        <v>182</v>
      </c>
      <c r="BS37" s="104" t="s">
        <v>3049</v>
      </c>
      <c r="CG37" s="104" t="s">
        <v>182</v>
      </c>
    </row>
    <row r="38" spans="1:102" s="104" customFormat="1">
      <c r="A38" s="104" t="s">
        <v>3092</v>
      </c>
      <c r="B38" s="104">
        <v>104</v>
      </c>
      <c r="C38" s="104">
        <v>1</v>
      </c>
      <c r="D38" s="104">
        <v>1</v>
      </c>
      <c r="E38" s="104">
        <v>535</v>
      </c>
      <c r="F38" s="104">
        <v>2006</v>
      </c>
      <c r="G38" s="104" t="s">
        <v>2437</v>
      </c>
      <c r="H38" s="104" t="s">
        <v>161</v>
      </c>
      <c r="I38" s="104" t="s">
        <v>182</v>
      </c>
      <c r="J38" s="104" t="s">
        <v>246</v>
      </c>
      <c r="K38" s="104" t="s">
        <v>152</v>
      </c>
      <c r="L38" s="104" t="s">
        <v>443</v>
      </c>
      <c r="M38" s="104" t="s">
        <v>154</v>
      </c>
      <c r="N38" s="104" t="s">
        <v>3053</v>
      </c>
      <c r="O38" s="104" t="s">
        <v>3054</v>
      </c>
      <c r="P38" s="104">
        <v>43.383333</v>
      </c>
      <c r="Q38" s="104">
        <v>43.383333</v>
      </c>
      <c r="R38" s="104">
        <v>141.433333</v>
      </c>
      <c r="S38" s="104" t="s">
        <v>3055</v>
      </c>
      <c r="W38" s="104" t="s">
        <v>379</v>
      </c>
      <c r="X38" s="104" t="s">
        <v>380</v>
      </c>
      <c r="Y38" s="104" t="s">
        <v>999</v>
      </c>
      <c r="Z38" s="104" t="s">
        <v>424</v>
      </c>
      <c r="AA38" s="104" t="s">
        <v>333</v>
      </c>
      <c r="AB38" s="104" t="s">
        <v>246</v>
      </c>
      <c r="AD38" s="104" t="s">
        <v>218</v>
      </c>
      <c r="AF38" s="104">
        <v>2</v>
      </c>
      <c r="AH38" s="104" t="s">
        <v>246</v>
      </c>
      <c r="AI38" s="104" t="s">
        <v>246</v>
      </c>
      <c r="AN38" s="104">
        <v>10</v>
      </c>
      <c r="AR38" s="104">
        <v>2002</v>
      </c>
      <c r="AS38" s="104" t="s">
        <v>236</v>
      </c>
      <c r="AT38" s="104" t="s">
        <v>420</v>
      </c>
      <c r="AU38" s="104">
        <v>5</v>
      </c>
      <c r="AV38" s="104" t="s">
        <v>1256</v>
      </c>
      <c r="BC38" s="104">
        <v>5</v>
      </c>
      <c r="BD38" s="104">
        <v>2</v>
      </c>
      <c r="BE38" s="104">
        <v>28</v>
      </c>
      <c r="BF38" s="104" t="s">
        <v>1396</v>
      </c>
      <c r="BG38" s="104" t="s">
        <v>1396</v>
      </c>
      <c r="BH38" s="104">
        <v>0.86809999999999998</v>
      </c>
      <c r="BL38" s="104">
        <v>3.5714000000000001</v>
      </c>
      <c r="BM38" s="104">
        <v>14.000112000896006</v>
      </c>
      <c r="BN38" s="104" t="b">
        <v>0</v>
      </c>
      <c r="BO38" s="104">
        <v>0</v>
      </c>
      <c r="BP38" s="104" t="s">
        <v>2256</v>
      </c>
      <c r="BQ38" s="104" t="s">
        <v>2256</v>
      </c>
      <c r="CI38" s="104" t="s">
        <v>3058</v>
      </c>
      <c r="CJ38" s="104" t="s">
        <v>3057</v>
      </c>
    </row>
    <row r="39" spans="1:102" s="98" customFormat="1">
      <c r="A39" s="98" t="s">
        <v>216</v>
      </c>
      <c r="B39" s="98">
        <v>19</v>
      </c>
      <c r="C39" s="98">
        <v>1</v>
      </c>
      <c r="D39" s="98">
        <v>3</v>
      </c>
      <c r="E39" s="98">
        <v>104</v>
      </c>
      <c r="F39" s="98">
        <v>2022</v>
      </c>
      <c r="G39" s="98" t="s">
        <v>2436</v>
      </c>
      <c r="H39" s="98" t="s">
        <v>2183</v>
      </c>
      <c r="I39" s="98" t="s">
        <v>182</v>
      </c>
      <c r="J39" s="98" t="s">
        <v>182</v>
      </c>
      <c r="K39" s="98" t="s">
        <v>152</v>
      </c>
      <c r="L39" s="98" t="s">
        <v>443</v>
      </c>
      <c r="M39" s="98" t="s">
        <v>156</v>
      </c>
      <c r="N39" s="98" t="s">
        <v>159</v>
      </c>
      <c r="O39" s="98" t="s">
        <v>317</v>
      </c>
      <c r="P39" s="98">
        <v>50.363069439999997</v>
      </c>
      <c r="Q39" s="98">
        <v>50.363069439999997</v>
      </c>
      <c r="R39" s="98">
        <v>-4.15206389</v>
      </c>
      <c r="S39" s="98" t="s">
        <v>2639</v>
      </c>
      <c r="T39" s="98">
        <v>50.418994769999998</v>
      </c>
      <c r="U39" s="98">
        <v>-4.0909757830000002</v>
      </c>
      <c r="V39" s="98">
        <v>54</v>
      </c>
      <c r="W39" s="98" t="s">
        <v>160</v>
      </c>
      <c r="X39" s="98" t="s">
        <v>155</v>
      </c>
      <c r="Y39" s="98" t="s">
        <v>999</v>
      </c>
      <c r="Z39" s="98" t="s">
        <v>1788</v>
      </c>
      <c r="AA39" s="98" t="s">
        <v>333</v>
      </c>
      <c r="AB39" s="98" t="s">
        <v>246</v>
      </c>
      <c r="AC39" s="98" t="s">
        <v>333</v>
      </c>
      <c r="AD39" s="98" t="s">
        <v>187</v>
      </c>
      <c r="AE39" s="98" t="s">
        <v>190</v>
      </c>
      <c r="AF39" s="98" t="s">
        <v>190</v>
      </c>
      <c r="AH39" s="98" t="s">
        <v>246</v>
      </c>
      <c r="AI39" s="98" t="s">
        <v>246</v>
      </c>
      <c r="AJ39" s="98" t="s">
        <v>902</v>
      </c>
      <c r="AK39" s="98" t="s">
        <v>1167</v>
      </c>
      <c r="AL39" s="98" t="s">
        <v>174</v>
      </c>
      <c r="AM39" s="98" t="s">
        <v>412</v>
      </c>
      <c r="AN39" s="98">
        <v>0.5</v>
      </c>
      <c r="AP39" s="98" t="s">
        <v>190</v>
      </c>
      <c r="AQ39" s="98" t="s">
        <v>176</v>
      </c>
      <c r="AR39" s="98">
        <v>2016</v>
      </c>
      <c r="AS39" s="98" t="s">
        <v>220</v>
      </c>
      <c r="AT39" s="98" t="s">
        <v>420</v>
      </c>
      <c r="AW39" s="98" t="s">
        <v>174</v>
      </c>
      <c r="AX39" s="98" t="s">
        <v>174</v>
      </c>
      <c r="AY39" s="98" t="s">
        <v>174</v>
      </c>
      <c r="AZ39" s="98" t="s">
        <v>174</v>
      </c>
      <c r="BA39" s="98" t="s">
        <v>174</v>
      </c>
      <c r="BB39" s="98" t="s">
        <v>174</v>
      </c>
      <c r="BC39" s="98">
        <v>10</v>
      </c>
      <c r="BD39" s="98">
        <v>1</v>
      </c>
      <c r="BE39" s="98">
        <v>14</v>
      </c>
      <c r="BF39" s="98" t="s">
        <v>1387</v>
      </c>
      <c r="BG39" s="98" t="s">
        <v>1387</v>
      </c>
      <c r="BM39" s="98" t="s">
        <v>190</v>
      </c>
      <c r="BN39" s="98" t="b">
        <v>0</v>
      </c>
      <c r="BO39" s="98">
        <v>100</v>
      </c>
      <c r="BP39" s="98" t="s">
        <v>2256</v>
      </c>
      <c r="BQ39" s="98" t="s">
        <v>2256</v>
      </c>
      <c r="BS39" s="98" t="s">
        <v>2470</v>
      </c>
      <c r="BY39" s="98">
        <v>13.5</v>
      </c>
      <c r="BZ39" s="98">
        <v>13.5</v>
      </c>
      <c r="CA39" s="98">
        <v>13.5</v>
      </c>
      <c r="CB39" s="98">
        <v>0</v>
      </c>
      <c r="CC39" s="98" t="s">
        <v>182</v>
      </c>
      <c r="CD39" s="98" t="s">
        <v>1903</v>
      </c>
      <c r="CF39" s="98" t="s">
        <v>190</v>
      </c>
      <c r="CG39" s="98" t="s">
        <v>182</v>
      </c>
      <c r="CH39" s="98" t="s">
        <v>174</v>
      </c>
      <c r="CJ39" s="98">
        <v>-0.14285714299999999</v>
      </c>
      <c r="CS39" s="98">
        <v>1</v>
      </c>
      <c r="CT39" s="98" t="s">
        <v>222</v>
      </c>
      <c r="CU39" s="98" t="s">
        <v>168</v>
      </c>
      <c r="CV39" s="98" t="s">
        <v>2147</v>
      </c>
      <c r="CX39" s="98" t="s">
        <v>2492</v>
      </c>
    </row>
    <row r="40" spans="1:102" s="98" customFormat="1">
      <c r="A40" s="98" t="s">
        <v>603</v>
      </c>
      <c r="B40" s="98">
        <v>40</v>
      </c>
      <c r="C40" s="98">
        <v>1</v>
      </c>
      <c r="D40" s="98">
        <v>1</v>
      </c>
      <c r="E40" s="98">
        <v>185</v>
      </c>
      <c r="F40" s="98">
        <v>2020</v>
      </c>
      <c r="G40" s="98" t="s">
        <v>2436</v>
      </c>
      <c r="H40" s="98" t="s">
        <v>187</v>
      </c>
      <c r="I40" s="98" t="s">
        <v>182</v>
      </c>
      <c r="J40" s="98" t="s">
        <v>246</v>
      </c>
      <c r="K40" s="98" t="s">
        <v>152</v>
      </c>
      <c r="L40" s="98" t="s">
        <v>443</v>
      </c>
      <c r="M40" s="98" t="s">
        <v>347</v>
      </c>
      <c r="N40" s="98" t="s">
        <v>348</v>
      </c>
      <c r="O40" s="98" t="s">
        <v>359</v>
      </c>
      <c r="P40" s="98">
        <v>-30.373180000000001</v>
      </c>
      <c r="Q40" s="98">
        <v>30.373180000000001</v>
      </c>
      <c r="R40" s="98">
        <v>153.10666800000001</v>
      </c>
      <c r="S40" s="98" t="s">
        <v>2674</v>
      </c>
      <c r="T40" s="98">
        <v>-30.341528740000001</v>
      </c>
      <c r="U40" s="98">
        <v>153.11794169999999</v>
      </c>
      <c r="V40" s="98">
        <v>10</v>
      </c>
      <c r="W40" s="98" t="s">
        <v>349</v>
      </c>
      <c r="X40" s="98" t="s">
        <v>802</v>
      </c>
      <c r="Y40" s="98" t="s">
        <v>999</v>
      </c>
      <c r="Z40" s="98" t="s">
        <v>1788</v>
      </c>
      <c r="AA40" s="98" t="s">
        <v>1723</v>
      </c>
      <c r="AB40" s="98" t="s">
        <v>182</v>
      </c>
      <c r="AC40" s="98" t="s">
        <v>1256</v>
      </c>
      <c r="AD40" s="98" t="s">
        <v>187</v>
      </c>
      <c r="AE40" s="98" t="s">
        <v>190</v>
      </c>
      <c r="AF40" s="98" t="s">
        <v>190</v>
      </c>
      <c r="AH40" s="98" t="s">
        <v>246</v>
      </c>
      <c r="AI40" s="98" t="s">
        <v>246</v>
      </c>
      <c r="AJ40" s="98" t="s">
        <v>1757</v>
      </c>
      <c r="AK40" s="98" t="s">
        <v>1802</v>
      </c>
      <c r="AM40" s="98" t="s">
        <v>412</v>
      </c>
      <c r="AN40" s="98">
        <v>1</v>
      </c>
      <c r="AP40" s="98" t="s">
        <v>190</v>
      </c>
      <c r="AQ40" s="98" t="s">
        <v>176</v>
      </c>
      <c r="AR40" s="98" t="s">
        <v>174</v>
      </c>
      <c r="AS40" s="98" t="s">
        <v>174</v>
      </c>
      <c r="AT40" s="98" t="s">
        <v>174</v>
      </c>
      <c r="AU40" s="98">
        <v>10</v>
      </c>
      <c r="AW40" s="98" t="s">
        <v>1385</v>
      </c>
      <c r="AX40" s="98">
        <v>6.7877999999999994E-2</v>
      </c>
      <c r="AY40" s="98" t="s">
        <v>174</v>
      </c>
      <c r="AZ40" s="98">
        <v>6</v>
      </c>
      <c r="BA40" s="98">
        <v>61</v>
      </c>
      <c r="BB40" s="98" t="s">
        <v>174</v>
      </c>
      <c r="BC40" s="98">
        <v>5</v>
      </c>
      <c r="BD40" s="98">
        <v>4</v>
      </c>
      <c r="BE40" s="98">
        <v>40</v>
      </c>
      <c r="BF40" s="98" t="s">
        <v>1385</v>
      </c>
      <c r="BG40" s="98" t="s">
        <v>2603</v>
      </c>
      <c r="BH40" s="98">
        <v>0.94</v>
      </c>
      <c r="BK40" s="98">
        <v>0.19520000000000001</v>
      </c>
      <c r="BM40" s="98">
        <v>6.12</v>
      </c>
      <c r="BN40" s="98" t="b">
        <v>0</v>
      </c>
      <c r="BO40" s="98">
        <v>28.6</v>
      </c>
      <c r="BP40" s="98">
        <v>28.6</v>
      </c>
      <c r="BQ40" s="98" t="s">
        <v>182</v>
      </c>
      <c r="BR40" s="98" t="s">
        <v>174</v>
      </c>
      <c r="BS40" s="98" t="s">
        <v>355</v>
      </c>
      <c r="BY40" s="98">
        <v>23</v>
      </c>
      <c r="BZ40" s="98">
        <v>26</v>
      </c>
      <c r="CA40" s="98">
        <v>24.5</v>
      </c>
      <c r="CB40" s="98">
        <v>3</v>
      </c>
      <c r="CC40" s="98" t="s">
        <v>2606</v>
      </c>
      <c r="CD40" s="98" t="s">
        <v>2606</v>
      </c>
      <c r="CF40" s="98" t="s">
        <v>174</v>
      </c>
      <c r="CG40" s="98" t="s">
        <v>182</v>
      </c>
      <c r="CH40" s="98" t="s">
        <v>353</v>
      </c>
      <c r="CI40" s="98" t="s">
        <v>354</v>
      </c>
      <c r="CJ40" s="98" t="s">
        <v>1896</v>
      </c>
      <c r="CK40" s="98" t="s">
        <v>175</v>
      </c>
      <c r="CO40" s="98" t="s">
        <v>174</v>
      </c>
      <c r="CP40" s="98" t="s">
        <v>174</v>
      </c>
      <c r="CQ40" s="98" t="s">
        <v>176</v>
      </c>
      <c r="CR40" s="98" t="s">
        <v>174</v>
      </c>
      <c r="CS40" s="98" t="s">
        <v>174</v>
      </c>
      <c r="CT40" s="98" t="s">
        <v>174</v>
      </c>
      <c r="CU40" s="98" t="s">
        <v>168</v>
      </c>
      <c r="CV40" s="98" t="s">
        <v>2453</v>
      </c>
      <c r="CX40" s="98" t="s">
        <v>2501</v>
      </c>
    </row>
    <row r="41" spans="1:102" s="98" customFormat="1">
      <c r="A41" s="98" t="s">
        <v>1984</v>
      </c>
      <c r="B41" s="98">
        <v>62</v>
      </c>
      <c r="C41" s="98">
        <v>2</v>
      </c>
      <c r="D41" s="98">
        <v>1</v>
      </c>
      <c r="E41" s="98">
        <v>495</v>
      </c>
      <c r="F41" s="98">
        <v>2015</v>
      </c>
      <c r="G41" s="98" t="s">
        <v>2436</v>
      </c>
      <c r="H41" s="98" t="s">
        <v>161</v>
      </c>
      <c r="I41" s="98" t="s">
        <v>182</v>
      </c>
      <c r="J41" s="98" t="s">
        <v>246</v>
      </c>
      <c r="K41" s="98" t="s">
        <v>272</v>
      </c>
      <c r="L41" s="98" t="s">
        <v>443</v>
      </c>
      <c r="M41" s="98" t="s">
        <v>611</v>
      </c>
      <c r="N41" s="98" t="s">
        <v>612</v>
      </c>
      <c r="O41" s="98" t="s">
        <v>2531</v>
      </c>
      <c r="P41" s="98">
        <v>50.3</v>
      </c>
      <c r="Q41" s="98">
        <v>50.3</v>
      </c>
      <c r="R41" s="98">
        <v>-4.07</v>
      </c>
      <c r="S41" s="98" t="s">
        <v>2629</v>
      </c>
      <c r="T41" s="98">
        <v>50.418994769999998</v>
      </c>
      <c r="U41" s="98">
        <v>-4.0909757830000002</v>
      </c>
      <c r="V41" s="98">
        <v>54</v>
      </c>
      <c r="W41" s="98" t="s">
        <v>160</v>
      </c>
      <c r="X41" s="98" t="s">
        <v>155</v>
      </c>
      <c r="Y41" s="98" t="s">
        <v>999</v>
      </c>
      <c r="Z41" s="98" t="s">
        <v>424</v>
      </c>
      <c r="AA41" s="98" t="s">
        <v>1724</v>
      </c>
      <c r="AB41" s="98" t="s">
        <v>182</v>
      </c>
      <c r="AC41" s="98" t="s">
        <v>333</v>
      </c>
      <c r="AD41" s="98" t="s">
        <v>1123</v>
      </c>
      <c r="AE41" s="98" t="s">
        <v>1766</v>
      </c>
      <c r="AF41" s="98" t="s">
        <v>1766</v>
      </c>
      <c r="AH41" s="98" t="s">
        <v>246</v>
      </c>
      <c r="AI41" s="98" t="s">
        <v>246</v>
      </c>
      <c r="AJ41" s="98" t="s">
        <v>171</v>
      </c>
      <c r="AN41" s="98">
        <v>5</v>
      </c>
      <c r="AQ41" s="98" t="s">
        <v>176</v>
      </c>
      <c r="AR41" s="98">
        <v>2010</v>
      </c>
      <c r="AS41" s="98" t="s">
        <v>234</v>
      </c>
      <c r="AT41" s="98" t="s">
        <v>420</v>
      </c>
      <c r="AU41" s="98">
        <v>12</v>
      </c>
      <c r="AV41" s="98" t="s">
        <v>1255</v>
      </c>
      <c r="AW41" s="98" t="s">
        <v>1942</v>
      </c>
      <c r="AX41" s="98">
        <v>0.1007</v>
      </c>
      <c r="AY41" s="98">
        <v>2.5099999999999998</v>
      </c>
      <c r="AZ41" s="98">
        <v>19.920318730000002</v>
      </c>
      <c r="BC41" s="98">
        <v>4</v>
      </c>
      <c r="BD41" s="98">
        <v>1</v>
      </c>
      <c r="BE41" s="98">
        <v>38</v>
      </c>
      <c r="BF41" s="98" t="s">
        <v>2256</v>
      </c>
      <c r="BG41" s="98" t="s">
        <v>2256</v>
      </c>
      <c r="BL41" s="98">
        <v>2.5099999999999998</v>
      </c>
      <c r="BM41" s="98">
        <v>19.920318730000002</v>
      </c>
      <c r="BN41" s="98" t="b">
        <v>0</v>
      </c>
      <c r="BO41" s="98" t="s">
        <v>2256</v>
      </c>
      <c r="BP41" s="98" t="s">
        <v>2256</v>
      </c>
      <c r="BQ41" s="98" t="s">
        <v>2256</v>
      </c>
      <c r="BS41" s="98" t="s">
        <v>2064</v>
      </c>
      <c r="CC41" s="98" t="s">
        <v>182</v>
      </c>
      <c r="CD41" s="98" t="s">
        <v>412</v>
      </c>
      <c r="CJ41" s="98" t="s">
        <v>2063</v>
      </c>
      <c r="CV41" s="98" t="s">
        <v>2449</v>
      </c>
      <c r="CX41" s="98" t="s">
        <v>2449</v>
      </c>
    </row>
    <row r="42" spans="1:102" s="98" customFormat="1">
      <c r="A42" s="98" t="s">
        <v>2181</v>
      </c>
      <c r="B42" s="98">
        <v>84</v>
      </c>
      <c r="C42" s="98">
        <v>1</v>
      </c>
      <c r="D42" s="98">
        <v>1</v>
      </c>
      <c r="E42" s="98">
        <v>447</v>
      </c>
      <c r="F42" s="98">
        <v>2023</v>
      </c>
      <c r="G42" s="98" t="s">
        <v>2436</v>
      </c>
      <c r="H42" s="98" t="s">
        <v>187</v>
      </c>
      <c r="I42" s="98" t="s">
        <v>182</v>
      </c>
      <c r="J42" s="98" t="s">
        <v>182</v>
      </c>
      <c r="K42" s="98" t="s">
        <v>152</v>
      </c>
      <c r="L42" s="98" t="s">
        <v>443</v>
      </c>
      <c r="M42" s="98" t="s">
        <v>154</v>
      </c>
      <c r="N42" s="98" t="s">
        <v>255</v>
      </c>
      <c r="O42" s="98" t="s">
        <v>2538</v>
      </c>
      <c r="P42" s="98">
        <v>63.442746990000003</v>
      </c>
      <c r="Q42" s="98">
        <v>63.442746990000003</v>
      </c>
      <c r="R42" s="98">
        <v>10.347627340000001</v>
      </c>
      <c r="S42" s="98" t="s">
        <v>2613</v>
      </c>
      <c r="T42" s="98">
        <v>63.442746990000003</v>
      </c>
      <c r="U42" s="98">
        <v>10.347627340000001</v>
      </c>
      <c r="V42" s="98">
        <v>22</v>
      </c>
      <c r="W42" s="98" t="s">
        <v>291</v>
      </c>
      <c r="X42" s="98" t="s">
        <v>155</v>
      </c>
      <c r="Y42" s="98" t="s">
        <v>999</v>
      </c>
      <c r="Z42" s="98" t="s">
        <v>1788</v>
      </c>
      <c r="AA42" s="98" t="s">
        <v>1999</v>
      </c>
      <c r="AB42" s="98" t="s">
        <v>182</v>
      </c>
      <c r="AC42" s="98" t="s">
        <v>333</v>
      </c>
      <c r="AD42" s="98" t="s">
        <v>187</v>
      </c>
      <c r="AE42" s="98" t="s">
        <v>1745</v>
      </c>
      <c r="AH42" s="98" t="s">
        <v>246</v>
      </c>
      <c r="AI42" s="98" t="s">
        <v>246</v>
      </c>
      <c r="AJ42" s="98" t="s">
        <v>2031</v>
      </c>
      <c r="AK42" s="98" t="s">
        <v>2032</v>
      </c>
      <c r="AM42" s="98" t="s">
        <v>412</v>
      </c>
      <c r="AQ42" s="98" t="s">
        <v>176</v>
      </c>
      <c r="AU42" s="98">
        <v>0.3</v>
      </c>
      <c r="AV42" s="98" t="s">
        <v>1256</v>
      </c>
      <c r="AW42" s="98" t="s">
        <v>197</v>
      </c>
      <c r="AX42" s="98">
        <v>5.0999999999999997E-2</v>
      </c>
      <c r="AZ42" s="98">
        <v>13.591121190000001</v>
      </c>
      <c r="BC42" s="98">
        <v>3</v>
      </c>
      <c r="BD42" s="98">
        <v>3</v>
      </c>
      <c r="BE42" s="98">
        <v>65</v>
      </c>
      <c r="BF42" s="98" t="s">
        <v>2458</v>
      </c>
      <c r="BG42" s="98" t="s">
        <v>2458</v>
      </c>
      <c r="BK42" s="98">
        <v>5.0999999999999997E-2</v>
      </c>
      <c r="BM42" s="98">
        <v>13.591121190000001</v>
      </c>
      <c r="BN42" s="98" t="b">
        <v>0</v>
      </c>
      <c r="BO42" s="98" t="s">
        <v>2256</v>
      </c>
      <c r="BP42" s="98" t="s">
        <v>2256</v>
      </c>
      <c r="BQ42" s="98" t="s">
        <v>2256</v>
      </c>
      <c r="BS42" s="98" t="s">
        <v>2491</v>
      </c>
      <c r="BU42" s="98">
        <v>15</v>
      </c>
      <c r="BY42" s="98">
        <v>15</v>
      </c>
      <c r="BZ42" s="98">
        <v>15</v>
      </c>
      <c r="CA42" s="98">
        <v>15</v>
      </c>
      <c r="CB42" s="98">
        <v>0</v>
      </c>
      <c r="CC42" s="98" t="s">
        <v>246</v>
      </c>
      <c r="CD42" s="98" t="s">
        <v>188</v>
      </c>
      <c r="CE42" s="98">
        <v>0</v>
      </c>
      <c r="CG42" s="98" t="s">
        <v>246</v>
      </c>
      <c r="CJ42" s="98" t="s">
        <v>2029</v>
      </c>
      <c r="CV42" s="98" t="s">
        <v>2444</v>
      </c>
    </row>
    <row r="43" spans="1:102" s="98" customFormat="1">
      <c r="A43" s="98" t="s">
        <v>2174</v>
      </c>
      <c r="B43" s="98">
        <v>85</v>
      </c>
      <c r="C43" s="98">
        <v>1</v>
      </c>
      <c r="D43" s="98">
        <v>1</v>
      </c>
      <c r="E43" s="98">
        <v>469</v>
      </c>
      <c r="F43" s="98">
        <v>2004</v>
      </c>
      <c r="G43" s="98" t="s">
        <v>2436</v>
      </c>
      <c r="H43" s="98" t="s">
        <v>161</v>
      </c>
      <c r="I43" s="98" t="s">
        <v>182</v>
      </c>
      <c r="J43" s="98" t="s">
        <v>246</v>
      </c>
      <c r="K43" s="98" t="s">
        <v>1976</v>
      </c>
      <c r="L43" s="98" t="s">
        <v>444</v>
      </c>
      <c r="M43" s="98" t="s">
        <v>448</v>
      </c>
      <c r="N43" s="98" t="s">
        <v>1188</v>
      </c>
      <c r="O43" s="98" t="s">
        <v>2552</v>
      </c>
      <c r="P43" s="98">
        <v>59.918889</v>
      </c>
      <c r="Q43" s="98">
        <v>59.918889</v>
      </c>
      <c r="R43" s="98">
        <v>22.335833000000001</v>
      </c>
      <c r="S43" s="98" t="s">
        <v>2661</v>
      </c>
      <c r="T43" s="98">
        <v>59.918889</v>
      </c>
      <c r="U43" s="98">
        <v>22.335833000000001</v>
      </c>
      <c r="V43" s="98">
        <v>10</v>
      </c>
      <c r="W43" s="98" t="s">
        <v>2037</v>
      </c>
      <c r="X43" s="98" t="s">
        <v>155</v>
      </c>
      <c r="Y43" s="98" t="s">
        <v>999</v>
      </c>
      <c r="Z43" s="98" t="s">
        <v>1788</v>
      </c>
      <c r="AA43" s="98" t="s">
        <v>333</v>
      </c>
      <c r="AB43" s="98" t="s">
        <v>246</v>
      </c>
      <c r="AC43" s="98" t="s">
        <v>333</v>
      </c>
      <c r="AD43" s="98" t="s">
        <v>218</v>
      </c>
      <c r="AF43" s="98">
        <v>8</v>
      </c>
      <c r="AH43" s="98" t="s">
        <v>246</v>
      </c>
      <c r="AI43" s="98" t="s">
        <v>246</v>
      </c>
      <c r="AJ43" s="98" t="s">
        <v>171</v>
      </c>
      <c r="AN43" s="98">
        <v>1.2</v>
      </c>
      <c r="AQ43" s="98" t="s">
        <v>176</v>
      </c>
      <c r="AR43" s="98">
        <v>1999</v>
      </c>
      <c r="AS43" s="98" t="s">
        <v>236</v>
      </c>
      <c r="AT43" s="98" t="s">
        <v>420</v>
      </c>
      <c r="AU43" s="98">
        <v>150</v>
      </c>
      <c r="AV43" s="98" t="s">
        <v>1256</v>
      </c>
      <c r="BC43" s="98">
        <v>3</v>
      </c>
      <c r="BD43" s="98">
        <v>4</v>
      </c>
      <c r="BE43" s="98">
        <v>95</v>
      </c>
      <c r="BF43" s="98" t="s">
        <v>2347</v>
      </c>
      <c r="BG43" s="98" t="s">
        <v>2603</v>
      </c>
      <c r="BH43" s="98">
        <v>0.99</v>
      </c>
      <c r="BK43" s="98">
        <v>5.5800000000000002E-2</v>
      </c>
      <c r="BM43" s="98">
        <v>12.42199248</v>
      </c>
      <c r="BN43" s="98" t="b">
        <v>0</v>
      </c>
      <c r="BO43" s="98">
        <v>0</v>
      </c>
      <c r="BP43" s="98">
        <v>0</v>
      </c>
      <c r="BQ43" s="98" t="s">
        <v>246</v>
      </c>
      <c r="BS43" s="98" t="s">
        <v>2038</v>
      </c>
      <c r="BY43" s="98">
        <v>13</v>
      </c>
      <c r="BZ43" s="98">
        <v>16.7</v>
      </c>
      <c r="CA43" s="98">
        <v>14.85</v>
      </c>
      <c r="CB43" s="98">
        <v>3.7</v>
      </c>
      <c r="CC43" s="98" t="s">
        <v>182</v>
      </c>
      <c r="CD43" s="98" t="s">
        <v>412</v>
      </c>
      <c r="CL43" s="98" t="s">
        <v>2255</v>
      </c>
      <c r="CN43" s="98" t="s">
        <v>2455</v>
      </c>
      <c r="CV43" s="98" t="s">
        <v>2454</v>
      </c>
    </row>
    <row r="44" spans="1:102" s="98" customFormat="1">
      <c r="A44" s="98" t="s">
        <v>2177</v>
      </c>
      <c r="B44" s="98">
        <v>86</v>
      </c>
      <c r="C44" s="98">
        <v>3</v>
      </c>
      <c r="D44" s="98">
        <v>1</v>
      </c>
      <c r="E44" s="98">
        <v>479</v>
      </c>
      <c r="F44" s="98">
        <v>2011</v>
      </c>
      <c r="G44" s="98" t="s">
        <v>2436</v>
      </c>
      <c r="H44" s="98" t="s">
        <v>161</v>
      </c>
      <c r="I44" s="98" t="s">
        <v>182</v>
      </c>
      <c r="J44" s="98" t="s">
        <v>246</v>
      </c>
      <c r="K44" s="98" t="s">
        <v>272</v>
      </c>
      <c r="L44" s="98" t="s">
        <v>443</v>
      </c>
      <c r="M44" s="98" t="s">
        <v>611</v>
      </c>
      <c r="N44" s="98" t="s">
        <v>612</v>
      </c>
      <c r="O44" s="98" t="s">
        <v>2531</v>
      </c>
      <c r="P44" s="98">
        <v>40.5</v>
      </c>
      <c r="Q44" s="98">
        <v>40.5</v>
      </c>
      <c r="R44" s="98">
        <v>-8.75</v>
      </c>
      <c r="S44" s="98" t="s">
        <v>2673</v>
      </c>
      <c r="T44" s="98">
        <v>40.671428570000003</v>
      </c>
      <c r="U44" s="98">
        <v>-8.6999999999999993</v>
      </c>
      <c r="V44" s="98">
        <v>7</v>
      </c>
      <c r="W44" s="98" t="s">
        <v>1121</v>
      </c>
      <c r="X44" s="98" t="s">
        <v>155</v>
      </c>
      <c r="Y44" s="98" t="s">
        <v>999</v>
      </c>
      <c r="Z44" s="98" t="s">
        <v>1788</v>
      </c>
      <c r="AA44" s="98" t="s">
        <v>1724</v>
      </c>
      <c r="AB44" s="98" t="s">
        <v>182</v>
      </c>
      <c r="AC44" s="98" t="s">
        <v>333</v>
      </c>
      <c r="AD44" s="98" t="s">
        <v>1123</v>
      </c>
      <c r="AE44" s="98" t="s">
        <v>1745</v>
      </c>
      <c r="AF44" s="98" t="s">
        <v>1766</v>
      </c>
      <c r="AH44" s="98" t="s">
        <v>246</v>
      </c>
      <c r="AI44" s="98" t="s">
        <v>246</v>
      </c>
      <c r="AJ44" s="98" t="s">
        <v>171</v>
      </c>
      <c r="AN44" s="98">
        <v>5</v>
      </c>
      <c r="AQ44" s="98" t="s">
        <v>176</v>
      </c>
      <c r="AR44" s="98">
        <v>2009</v>
      </c>
      <c r="AS44" s="98" t="s">
        <v>327</v>
      </c>
      <c r="AT44" s="98" t="s">
        <v>385</v>
      </c>
      <c r="AU44" s="98">
        <v>3</v>
      </c>
      <c r="AV44" s="98" t="s">
        <v>1255</v>
      </c>
      <c r="AW44" s="98" t="s">
        <v>197</v>
      </c>
      <c r="BC44" s="98">
        <v>4</v>
      </c>
      <c r="BD44" s="98">
        <v>5</v>
      </c>
      <c r="BE44" s="98">
        <v>60</v>
      </c>
      <c r="BF44" s="98" t="s">
        <v>2347</v>
      </c>
      <c r="BG44" s="98" t="s">
        <v>2603</v>
      </c>
      <c r="BH44" s="98">
        <v>0.99</v>
      </c>
      <c r="BK44" s="98">
        <v>9.5500000000000002E-2</v>
      </c>
      <c r="BM44" s="98">
        <v>7.2580856599999999</v>
      </c>
      <c r="BN44" s="98" t="b">
        <v>0</v>
      </c>
      <c r="BO44" s="98">
        <v>0</v>
      </c>
      <c r="BP44" s="98">
        <v>0</v>
      </c>
      <c r="BQ44" s="98" t="s">
        <v>246</v>
      </c>
      <c r="BS44" s="98" t="s">
        <v>2045</v>
      </c>
      <c r="CC44" s="98" t="s">
        <v>182</v>
      </c>
      <c r="CD44" s="98" t="s">
        <v>412</v>
      </c>
      <c r="CJ44" s="98" t="s">
        <v>2053</v>
      </c>
      <c r="CV44" s="98" t="s">
        <v>2044</v>
      </c>
      <c r="CX44" s="98" t="s">
        <v>2045</v>
      </c>
    </row>
    <row r="45" spans="1:102" s="101" customFormat="1">
      <c r="A45" s="101" t="s">
        <v>580</v>
      </c>
      <c r="B45" s="101">
        <v>2</v>
      </c>
      <c r="C45" s="101">
        <v>3</v>
      </c>
      <c r="D45" s="101">
        <v>1</v>
      </c>
      <c r="E45" s="101">
        <v>11</v>
      </c>
      <c r="F45" s="101">
        <v>1990</v>
      </c>
      <c r="G45" s="101" t="s">
        <v>2440</v>
      </c>
      <c r="H45" s="101" t="s">
        <v>161</v>
      </c>
      <c r="I45" s="101" t="s">
        <v>246</v>
      </c>
      <c r="J45" s="101" t="s">
        <v>246</v>
      </c>
      <c r="K45" s="101" t="s">
        <v>2611</v>
      </c>
      <c r="L45" s="101" t="s">
        <v>446</v>
      </c>
      <c r="M45" s="101" t="s">
        <v>798</v>
      </c>
      <c r="N45" s="101" t="s">
        <v>552</v>
      </c>
      <c r="O45" s="101" t="s">
        <v>2638</v>
      </c>
      <c r="P45" s="101">
        <v>-62.149659800000002</v>
      </c>
      <c r="Q45" s="101">
        <v>62.149659800000002</v>
      </c>
      <c r="R45" s="101">
        <v>-58.41941362</v>
      </c>
      <c r="S45" s="101" t="s">
        <v>2635</v>
      </c>
      <c r="T45" s="101">
        <v>-62.215489120000001</v>
      </c>
      <c r="U45" s="101">
        <v>-58.600482820000003</v>
      </c>
      <c r="V45" s="101">
        <v>28</v>
      </c>
      <c r="W45" s="101" t="s">
        <v>538</v>
      </c>
      <c r="X45" s="101" t="s">
        <v>797</v>
      </c>
      <c r="Y45" s="101" t="s">
        <v>999</v>
      </c>
      <c r="Z45" s="101" t="s">
        <v>424</v>
      </c>
      <c r="AA45" s="101" t="s">
        <v>333</v>
      </c>
      <c r="AB45" s="101" t="s">
        <v>246</v>
      </c>
      <c r="AC45" s="101" t="s">
        <v>1256</v>
      </c>
      <c r="AD45" s="101" t="s">
        <v>1306</v>
      </c>
      <c r="AE45" s="101" t="s">
        <v>1766</v>
      </c>
      <c r="AH45" s="101" t="s">
        <v>182</v>
      </c>
      <c r="AI45" s="101" t="s">
        <v>1746</v>
      </c>
      <c r="AJ45" s="101" t="s">
        <v>1744</v>
      </c>
      <c r="AK45" s="101" t="s">
        <v>190</v>
      </c>
      <c r="AN45" s="101">
        <v>1</v>
      </c>
      <c r="AP45" s="101" t="s">
        <v>190</v>
      </c>
      <c r="AQ45" s="101" t="s">
        <v>176</v>
      </c>
      <c r="AR45" s="101">
        <v>1990</v>
      </c>
      <c r="AS45" s="101" t="s">
        <v>670</v>
      </c>
      <c r="AT45" s="101" t="s">
        <v>420</v>
      </c>
      <c r="AU45" s="101">
        <v>15</v>
      </c>
      <c r="AW45" s="101" t="s">
        <v>1396</v>
      </c>
      <c r="AX45" s="101" t="s">
        <v>174</v>
      </c>
      <c r="AY45" s="101">
        <v>1.75</v>
      </c>
      <c r="AZ45" s="101" t="s">
        <v>174</v>
      </c>
      <c r="BA45" s="101" t="s">
        <v>174</v>
      </c>
      <c r="BB45" s="101" t="s">
        <v>174</v>
      </c>
      <c r="BC45" s="101">
        <v>26</v>
      </c>
      <c r="BD45" s="101">
        <v>1</v>
      </c>
      <c r="BE45" s="101">
        <v>20</v>
      </c>
      <c r="BF45" s="101" t="s">
        <v>2256</v>
      </c>
      <c r="BG45" s="101" t="s">
        <v>2256</v>
      </c>
      <c r="BL45" s="101">
        <v>1.75</v>
      </c>
      <c r="BM45" s="101">
        <v>28.571428569999998</v>
      </c>
      <c r="BN45" s="101" t="b">
        <v>0</v>
      </c>
      <c r="BO45" s="101" t="s">
        <v>2256</v>
      </c>
      <c r="BP45" s="101" t="s">
        <v>2256</v>
      </c>
      <c r="BQ45" s="101" t="s">
        <v>2256</v>
      </c>
      <c r="BR45" s="101">
        <v>57.142857139999997</v>
      </c>
      <c r="BS45" s="101" t="s">
        <v>916</v>
      </c>
      <c r="BU45" s="101">
        <v>40.700000000000003</v>
      </c>
      <c r="BV45" s="101" t="s">
        <v>174</v>
      </c>
      <c r="BW45" s="101">
        <v>29</v>
      </c>
      <c r="BX45" s="101" t="s">
        <v>174</v>
      </c>
      <c r="BY45" s="101">
        <v>2</v>
      </c>
      <c r="BZ45" s="101">
        <v>2</v>
      </c>
      <c r="CA45" s="101">
        <v>2</v>
      </c>
      <c r="CB45" s="101">
        <v>0</v>
      </c>
      <c r="CC45" s="101" t="s">
        <v>246</v>
      </c>
      <c r="CD45" s="101" t="s">
        <v>188</v>
      </c>
      <c r="CE45" s="101">
        <v>0</v>
      </c>
      <c r="CF45" s="101" t="s">
        <v>174</v>
      </c>
      <c r="CG45" s="101" t="s">
        <v>182</v>
      </c>
      <c r="CH45" s="101" t="s">
        <v>412</v>
      </c>
      <c r="CI45" s="101" t="s">
        <v>917</v>
      </c>
      <c r="CJ45" s="101" t="s">
        <v>918</v>
      </c>
      <c r="CK45" s="101" t="s">
        <v>175</v>
      </c>
      <c r="CL45" s="101" t="s">
        <v>2255</v>
      </c>
      <c r="CO45" s="101" t="s">
        <v>174</v>
      </c>
      <c r="CP45" s="101">
        <v>73.25</v>
      </c>
      <c r="CQ45" s="101" t="s">
        <v>176</v>
      </c>
      <c r="CR45" s="101" t="s">
        <v>174</v>
      </c>
      <c r="CS45" s="101" t="s">
        <v>174</v>
      </c>
      <c r="CT45" s="101" t="s">
        <v>174</v>
      </c>
      <c r="CU45" s="101" t="s">
        <v>168</v>
      </c>
    </row>
    <row r="46" spans="1:102" s="101" customFormat="1">
      <c r="A46" s="101" t="s">
        <v>578</v>
      </c>
      <c r="B46" s="101">
        <v>3</v>
      </c>
      <c r="C46" s="101">
        <v>1</v>
      </c>
      <c r="D46" s="101">
        <v>1</v>
      </c>
      <c r="E46" s="101">
        <v>12</v>
      </c>
      <c r="F46" s="101">
        <v>1984</v>
      </c>
      <c r="G46" s="101" t="s">
        <v>2440</v>
      </c>
      <c r="H46" s="101" t="s">
        <v>161</v>
      </c>
      <c r="I46" s="101" t="s">
        <v>246</v>
      </c>
      <c r="J46" s="101" t="s">
        <v>246</v>
      </c>
      <c r="K46" s="101" t="s">
        <v>152</v>
      </c>
      <c r="L46" s="101" t="s">
        <v>443</v>
      </c>
      <c r="M46" s="101" t="s">
        <v>156</v>
      </c>
      <c r="N46" s="101" t="s">
        <v>919</v>
      </c>
      <c r="O46" s="101" t="s">
        <v>1041</v>
      </c>
      <c r="P46" s="101">
        <v>55.721488000000001</v>
      </c>
      <c r="Q46" s="101">
        <v>55.721488000000001</v>
      </c>
      <c r="R46" s="101">
        <v>-5.2678390000000004</v>
      </c>
      <c r="S46" s="101" t="s">
        <v>2698</v>
      </c>
      <c r="T46" s="101">
        <v>55.453946250000001</v>
      </c>
      <c r="U46" s="101">
        <v>-6.1988217209999998</v>
      </c>
      <c r="V46" s="101">
        <v>30</v>
      </c>
      <c r="W46" s="101" t="s">
        <v>160</v>
      </c>
      <c r="X46" s="101" t="s">
        <v>155</v>
      </c>
      <c r="Y46" s="101" t="s">
        <v>999</v>
      </c>
      <c r="Z46" s="101" t="s">
        <v>424</v>
      </c>
      <c r="AA46" s="101" t="s">
        <v>333</v>
      </c>
      <c r="AB46" s="101" t="s">
        <v>246</v>
      </c>
      <c r="AC46" s="101" t="s">
        <v>333</v>
      </c>
      <c r="AD46" s="101" t="s">
        <v>1123</v>
      </c>
      <c r="AE46" s="101" t="s">
        <v>173</v>
      </c>
      <c r="AF46" s="101">
        <v>20</v>
      </c>
      <c r="AH46" s="101" t="s">
        <v>246</v>
      </c>
      <c r="AI46" s="101" t="s">
        <v>246</v>
      </c>
      <c r="AJ46" s="101" t="s">
        <v>171</v>
      </c>
      <c r="AK46" s="101" t="s">
        <v>190</v>
      </c>
      <c r="AN46" s="101">
        <v>1</v>
      </c>
      <c r="AP46" s="101" t="s">
        <v>190</v>
      </c>
      <c r="AQ46" s="101" t="s">
        <v>176</v>
      </c>
      <c r="AR46" s="101">
        <v>1977</v>
      </c>
      <c r="AS46" s="101" t="s">
        <v>253</v>
      </c>
      <c r="AT46" s="101" t="s">
        <v>254</v>
      </c>
      <c r="AU46" s="101">
        <v>100</v>
      </c>
      <c r="AW46" s="101" t="s">
        <v>1396</v>
      </c>
      <c r="AX46" s="101" t="s">
        <v>174</v>
      </c>
      <c r="AY46" s="101">
        <v>1.37</v>
      </c>
      <c r="BA46" s="101" t="s">
        <v>174</v>
      </c>
      <c r="BB46" s="101" t="s">
        <v>174</v>
      </c>
      <c r="BC46" s="101">
        <v>6</v>
      </c>
      <c r="BD46" s="101">
        <v>6</v>
      </c>
      <c r="BE46" s="101">
        <v>60</v>
      </c>
      <c r="BF46" s="101" t="s">
        <v>1385</v>
      </c>
      <c r="BG46" s="101" t="s">
        <v>2603</v>
      </c>
      <c r="BH46" s="101">
        <v>0.87</v>
      </c>
      <c r="BK46" s="101">
        <v>3.3500000000000002E-2</v>
      </c>
      <c r="BM46" s="101">
        <v>26.3</v>
      </c>
      <c r="BN46" s="101" t="b">
        <v>0</v>
      </c>
      <c r="BO46" s="101">
        <v>0</v>
      </c>
      <c r="BP46" s="101">
        <v>0</v>
      </c>
      <c r="BQ46" s="101" t="s">
        <v>246</v>
      </c>
      <c r="BR46" s="101" t="s">
        <v>174</v>
      </c>
      <c r="BS46" s="101" t="s">
        <v>2467</v>
      </c>
      <c r="BU46" s="101" t="s">
        <v>174</v>
      </c>
      <c r="BV46" s="101" t="s">
        <v>174</v>
      </c>
      <c r="BW46" s="101" t="s">
        <v>174</v>
      </c>
      <c r="BX46" s="101" t="s">
        <v>174</v>
      </c>
      <c r="BY46" s="101" t="s">
        <v>1766</v>
      </c>
      <c r="BZ46" s="101" t="s">
        <v>1766</v>
      </c>
      <c r="CC46" s="101" t="s">
        <v>182</v>
      </c>
      <c r="CD46" s="101" t="s">
        <v>412</v>
      </c>
      <c r="CF46" s="101" t="s">
        <v>174</v>
      </c>
      <c r="CG46" s="101" t="s">
        <v>182</v>
      </c>
      <c r="CH46" s="101" t="s">
        <v>412</v>
      </c>
      <c r="CK46" s="101" t="s">
        <v>175</v>
      </c>
      <c r="CL46" s="101" t="s">
        <v>2255</v>
      </c>
      <c r="CN46" s="101" t="s">
        <v>182</v>
      </c>
      <c r="CO46" s="101" t="s">
        <v>174</v>
      </c>
      <c r="CP46" s="101" t="s">
        <v>174</v>
      </c>
      <c r="CQ46" s="101" t="s">
        <v>176</v>
      </c>
      <c r="CR46" s="101" t="s">
        <v>174</v>
      </c>
      <c r="CS46" s="101" t="s">
        <v>174</v>
      </c>
      <c r="CT46" s="101" t="s">
        <v>174</v>
      </c>
      <c r="CU46" s="101" t="s">
        <v>168</v>
      </c>
    </row>
    <row r="47" spans="1:102" s="101" customFormat="1">
      <c r="A47" s="101" t="s">
        <v>577</v>
      </c>
      <c r="B47" s="101">
        <v>9</v>
      </c>
      <c r="C47" s="101">
        <v>3</v>
      </c>
      <c r="D47" s="101">
        <v>1</v>
      </c>
      <c r="E47" s="101">
        <v>32</v>
      </c>
      <c r="F47" s="101">
        <v>2007</v>
      </c>
      <c r="G47" s="101" t="s">
        <v>2440</v>
      </c>
      <c r="H47" s="101" t="s">
        <v>161</v>
      </c>
      <c r="I47" s="101" t="s">
        <v>182</v>
      </c>
      <c r="J47" s="101" t="s">
        <v>246</v>
      </c>
      <c r="K47" s="101" t="s">
        <v>1976</v>
      </c>
      <c r="L47" s="101" t="s">
        <v>444</v>
      </c>
      <c r="M47" s="101" t="s">
        <v>445</v>
      </c>
      <c r="N47" s="101" t="s">
        <v>552</v>
      </c>
      <c r="O47" s="101" t="s">
        <v>2630</v>
      </c>
      <c r="P47" s="101">
        <v>-13.51</v>
      </c>
      <c r="Q47" s="101">
        <v>13.51</v>
      </c>
      <c r="R47" s="101">
        <v>-76.16</v>
      </c>
      <c r="S47" s="101" t="s">
        <v>2696</v>
      </c>
      <c r="T47" s="101">
        <v>-13.51</v>
      </c>
      <c r="U47" s="101">
        <v>-76.16</v>
      </c>
      <c r="V47" s="101">
        <v>6</v>
      </c>
      <c r="W47" s="101" t="s">
        <v>826</v>
      </c>
      <c r="X47" s="101" t="s">
        <v>827</v>
      </c>
      <c r="Y47" s="101" t="s">
        <v>999</v>
      </c>
      <c r="Z47" s="101" t="s">
        <v>1788</v>
      </c>
      <c r="AA47" s="101" t="s">
        <v>333</v>
      </c>
      <c r="AB47" s="101" t="s">
        <v>246</v>
      </c>
      <c r="AC47" s="101" t="s">
        <v>182</v>
      </c>
      <c r="AD47" s="101" t="s">
        <v>1306</v>
      </c>
      <c r="AE47" s="101" t="s">
        <v>1789</v>
      </c>
      <c r="AG47" s="101" t="s">
        <v>1772</v>
      </c>
      <c r="AH47" s="101" t="s">
        <v>182</v>
      </c>
      <c r="AI47" s="101" t="s">
        <v>1746</v>
      </c>
      <c r="AJ47" s="101" t="s">
        <v>171</v>
      </c>
      <c r="AK47" s="101" t="s">
        <v>190</v>
      </c>
      <c r="AN47" s="101">
        <v>5</v>
      </c>
      <c r="AP47" s="101" t="s">
        <v>190</v>
      </c>
      <c r="AQ47" s="101" t="s">
        <v>176</v>
      </c>
      <c r="AR47" s="101">
        <v>2003</v>
      </c>
      <c r="AS47" s="101" t="s">
        <v>234</v>
      </c>
      <c r="AT47" s="101" t="s">
        <v>254</v>
      </c>
      <c r="AU47" s="101">
        <v>107.9</v>
      </c>
      <c r="AW47" s="101" t="s">
        <v>1394</v>
      </c>
      <c r="AX47" s="101">
        <v>6.2E-2</v>
      </c>
      <c r="AY47" s="101" t="s">
        <v>174</v>
      </c>
      <c r="BA47" s="101" t="s">
        <v>174</v>
      </c>
      <c r="BB47" s="101" t="s">
        <v>174</v>
      </c>
      <c r="BC47" s="101">
        <v>4</v>
      </c>
      <c r="BD47" s="101">
        <v>3</v>
      </c>
      <c r="BE47" s="101">
        <v>9</v>
      </c>
      <c r="BF47" s="101" t="s">
        <v>2347</v>
      </c>
      <c r="BG47" s="101" t="s">
        <v>2603</v>
      </c>
      <c r="BH47" s="101">
        <v>0.93</v>
      </c>
      <c r="BK47" s="101">
        <v>5.5100000000000003E-2</v>
      </c>
      <c r="BM47" s="101">
        <v>11.2</v>
      </c>
      <c r="BN47" s="101" t="b">
        <v>0</v>
      </c>
      <c r="BO47" s="101">
        <v>63.6</v>
      </c>
      <c r="BP47" s="101" t="s">
        <v>2256</v>
      </c>
      <c r="BQ47" s="101" t="s">
        <v>2256</v>
      </c>
      <c r="BR47" s="101" t="s">
        <v>174</v>
      </c>
      <c r="BS47" s="101" t="s">
        <v>2410</v>
      </c>
      <c r="BU47" s="101" t="s">
        <v>174</v>
      </c>
      <c r="BV47" s="101" t="s">
        <v>174</v>
      </c>
      <c r="BW47" s="101" t="s">
        <v>174</v>
      </c>
      <c r="BX47" s="101" t="s">
        <v>174</v>
      </c>
      <c r="BY47" s="101" t="s">
        <v>1766</v>
      </c>
      <c r="BZ47" s="101" t="s">
        <v>1766</v>
      </c>
      <c r="CC47" s="101" t="s">
        <v>246</v>
      </c>
      <c r="CD47" s="101" t="s">
        <v>188</v>
      </c>
      <c r="CE47" s="101">
        <v>0</v>
      </c>
      <c r="CF47" s="101" t="s">
        <v>174</v>
      </c>
      <c r="CG47" s="101" t="s">
        <v>182</v>
      </c>
      <c r="CH47" s="101" t="s">
        <v>412</v>
      </c>
      <c r="CI47" s="101" t="s">
        <v>836</v>
      </c>
      <c r="CJ47" s="101" t="s">
        <v>829</v>
      </c>
      <c r="CK47" s="101" t="s">
        <v>182</v>
      </c>
      <c r="CL47" s="101" t="s">
        <v>2255</v>
      </c>
      <c r="CN47" s="101" t="s">
        <v>182</v>
      </c>
      <c r="CO47" s="101" t="s">
        <v>174</v>
      </c>
      <c r="CP47" s="101" t="s">
        <v>174</v>
      </c>
      <c r="CQ47" s="101" t="s">
        <v>246</v>
      </c>
      <c r="CR47" s="101">
        <v>37749</v>
      </c>
      <c r="CS47" s="101" t="s">
        <v>174</v>
      </c>
      <c r="CT47" s="101" t="s">
        <v>174</v>
      </c>
      <c r="CU47" s="101" t="s">
        <v>518</v>
      </c>
    </row>
    <row r="48" spans="1:102" s="101" customFormat="1">
      <c r="A48" s="101" t="s">
        <v>659</v>
      </c>
      <c r="B48" s="101">
        <v>11</v>
      </c>
      <c r="C48" s="101">
        <v>1</v>
      </c>
      <c r="D48" s="101">
        <v>1</v>
      </c>
      <c r="E48" s="101">
        <v>40</v>
      </c>
      <c r="F48" s="101">
        <v>1996</v>
      </c>
      <c r="G48" s="101" t="s">
        <v>2440</v>
      </c>
      <c r="H48" s="101" t="s">
        <v>161</v>
      </c>
      <c r="I48" s="101" t="s">
        <v>246</v>
      </c>
      <c r="J48" s="101" t="s">
        <v>246</v>
      </c>
      <c r="K48" s="101" t="s">
        <v>152</v>
      </c>
      <c r="L48" s="101" t="s">
        <v>443</v>
      </c>
      <c r="M48" s="101" t="s">
        <v>279</v>
      </c>
      <c r="N48" s="101" t="s">
        <v>280</v>
      </c>
      <c r="O48" s="101" t="s">
        <v>2539</v>
      </c>
      <c r="P48" s="101">
        <v>-54.11</v>
      </c>
      <c r="Q48" s="101">
        <v>54.11</v>
      </c>
      <c r="R48" s="101">
        <v>-36.4</v>
      </c>
      <c r="S48" s="101" t="s">
        <v>2695</v>
      </c>
      <c r="T48" s="101">
        <v>-54.11</v>
      </c>
      <c r="U48" s="101">
        <v>-36.4</v>
      </c>
      <c r="V48" s="101">
        <v>2</v>
      </c>
      <c r="W48" s="101" t="s">
        <v>1719</v>
      </c>
      <c r="X48" s="101" t="s">
        <v>797</v>
      </c>
      <c r="Y48" s="101" t="s">
        <v>999</v>
      </c>
      <c r="Z48" s="101" t="s">
        <v>424</v>
      </c>
      <c r="AA48" s="101" t="s">
        <v>333</v>
      </c>
      <c r="AB48" s="101" t="s">
        <v>246</v>
      </c>
      <c r="AC48" s="101" t="s">
        <v>333</v>
      </c>
      <c r="AD48" s="101" t="s">
        <v>1306</v>
      </c>
      <c r="AE48" s="101" t="s">
        <v>1789</v>
      </c>
      <c r="AG48" s="101" t="s">
        <v>1774</v>
      </c>
      <c r="AH48" s="101" t="s">
        <v>182</v>
      </c>
      <c r="AI48" s="101" t="s">
        <v>1753</v>
      </c>
      <c r="AJ48" s="101" t="s">
        <v>661</v>
      </c>
      <c r="AK48" s="101" t="s">
        <v>190</v>
      </c>
      <c r="AN48" s="101" t="s">
        <v>190</v>
      </c>
      <c r="AP48" s="101" t="s">
        <v>190</v>
      </c>
      <c r="AQ48" s="101" t="s">
        <v>176</v>
      </c>
      <c r="AR48" s="101">
        <v>1994</v>
      </c>
      <c r="AS48" s="101" t="s">
        <v>327</v>
      </c>
      <c r="AT48" s="101" t="s">
        <v>420</v>
      </c>
      <c r="AU48" s="101">
        <v>4.26</v>
      </c>
      <c r="AV48" s="101" t="s">
        <v>1255</v>
      </c>
      <c r="AW48" s="101" t="s">
        <v>174</v>
      </c>
      <c r="AX48" s="101" t="s">
        <v>174</v>
      </c>
      <c r="AY48" s="101" t="s">
        <v>174</v>
      </c>
      <c r="AZ48" s="101" t="s">
        <v>174</v>
      </c>
      <c r="BA48" s="101" t="s">
        <v>174</v>
      </c>
      <c r="BB48" s="101" t="s">
        <v>174</v>
      </c>
      <c r="BC48" s="101">
        <v>1</v>
      </c>
      <c r="BD48" s="101">
        <v>10</v>
      </c>
      <c r="BE48" s="101">
        <v>9</v>
      </c>
      <c r="BF48" s="101" t="s">
        <v>2347</v>
      </c>
      <c r="BG48" s="101" t="s">
        <v>2603</v>
      </c>
      <c r="BH48" s="101">
        <v>0.95</v>
      </c>
      <c r="BK48" s="101">
        <v>4.7399999999999998E-2</v>
      </c>
      <c r="BM48" s="101">
        <v>15.9</v>
      </c>
      <c r="BN48" s="101" t="b">
        <v>0</v>
      </c>
      <c r="BO48" s="101">
        <v>15</v>
      </c>
      <c r="BP48" s="101" t="s">
        <v>2256</v>
      </c>
      <c r="BQ48" s="101" t="s">
        <v>2256</v>
      </c>
      <c r="BR48" s="101" t="s">
        <v>174</v>
      </c>
      <c r="BS48" s="101" t="s">
        <v>665</v>
      </c>
      <c r="BU48" s="101" t="s">
        <v>174</v>
      </c>
      <c r="BV48" s="101" t="s">
        <v>174</v>
      </c>
      <c r="BW48" s="101" t="s">
        <v>174</v>
      </c>
      <c r="BX48" s="101" t="s">
        <v>174</v>
      </c>
      <c r="BY48" s="101" t="s">
        <v>1766</v>
      </c>
      <c r="BZ48" s="101" t="s">
        <v>1766</v>
      </c>
      <c r="CC48" s="101" t="s">
        <v>246</v>
      </c>
      <c r="CD48" s="101" t="s">
        <v>188</v>
      </c>
      <c r="CE48" s="101">
        <v>0</v>
      </c>
      <c r="CF48" s="101" t="s">
        <v>174</v>
      </c>
      <c r="CG48" s="101" t="s">
        <v>182</v>
      </c>
      <c r="CH48" s="101" t="s">
        <v>412</v>
      </c>
      <c r="CI48" s="101" t="s">
        <v>667</v>
      </c>
      <c r="CJ48" s="101" t="s">
        <v>660</v>
      </c>
      <c r="CK48" s="101" t="s">
        <v>175</v>
      </c>
      <c r="CL48" s="101" t="s">
        <v>2255</v>
      </c>
      <c r="CN48" s="101" t="s">
        <v>182</v>
      </c>
      <c r="CO48" s="101" t="s">
        <v>174</v>
      </c>
      <c r="CP48" s="101" t="s">
        <v>174</v>
      </c>
      <c r="CQ48" s="101" t="s">
        <v>176</v>
      </c>
      <c r="CR48" s="101" t="s">
        <v>174</v>
      </c>
      <c r="CS48" s="101" t="s">
        <v>242</v>
      </c>
      <c r="CT48" s="101" t="s">
        <v>174</v>
      </c>
      <c r="CU48" s="101" t="s">
        <v>1769</v>
      </c>
    </row>
    <row r="49" spans="1:102" s="101" customFormat="1">
      <c r="A49" s="101" t="s">
        <v>742</v>
      </c>
      <c r="B49" s="101">
        <v>13</v>
      </c>
      <c r="C49" s="101">
        <v>1</v>
      </c>
      <c r="D49" s="101">
        <v>2</v>
      </c>
      <c r="E49" s="101">
        <v>54</v>
      </c>
      <c r="F49" s="101">
        <v>1987</v>
      </c>
      <c r="G49" s="101" t="s">
        <v>2440</v>
      </c>
      <c r="H49" s="101" t="s">
        <v>161</v>
      </c>
      <c r="I49" s="101" t="s">
        <v>182</v>
      </c>
      <c r="J49" s="101" t="s">
        <v>246</v>
      </c>
      <c r="K49" s="101" t="s">
        <v>272</v>
      </c>
      <c r="L49" s="101" t="s">
        <v>443</v>
      </c>
      <c r="M49" s="101" t="s">
        <v>562</v>
      </c>
      <c r="N49" s="101" t="s">
        <v>563</v>
      </c>
      <c r="O49" s="101" t="s">
        <v>2532</v>
      </c>
      <c r="P49" s="101">
        <v>-46.54</v>
      </c>
      <c r="Q49" s="101">
        <v>46.54</v>
      </c>
      <c r="R49" s="101">
        <v>37.450000000000003</v>
      </c>
      <c r="S49" s="101" t="s">
        <v>2694</v>
      </c>
      <c r="T49" s="101">
        <v>-46.54</v>
      </c>
      <c r="U49" s="101">
        <v>37.450000000000003</v>
      </c>
      <c r="V49" s="101">
        <v>3</v>
      </c>
      <c r="W49" s="101" t="s">
        <v>770</v>
      </c>
      <c r="X49" s="101" t="s">
        <v>802</v>
      </c>
      <c r="Y49" s="101" t="s">
        <v>999</v>
      </c>
      <c r="Z49" s="101" t="s">
        <v>424</v>
      </c>
      <c r="AA49" s="101" t="s">
        <v>333</v>
      </c>
      <c r="AB49" s="101" t="s">
        <v>246</v>
      </c>
      <c r="AC49" s="101" t="s">
        <v>333</v>
      </c>
      <c r="AD49" s="101" t="s">
        <v>1306</v>
      </c>
      <c r="AE49" s="101" t="s">
        <v>1789</v>
      </c>
      <c r="AH49" s="101" t="s">
        <v>182</v>
      </c>
      <c r="AI49" s="101" t="s">
        <v>1746</v>
      </c>
      <c r="AJ49" s="101" t="s">
        <v>661</v>
      </c>
      <c r="AK49" s="101" t="s">
        <v>190</v>
      </c>
      <c r="AN49" s="101" t="s">
        <v>190</v>
      </c>
      <c r="AP49" s="101" t="s">
        <v>190</v>
      </c>
      <c r="AQ49" s="101" t="s">
        <v>176</v>
      </c>
      <c r="AR49" s="101">
        <v>1984</v>
      </c>
      <c r="AS49" s="101" t="s">
        <v>743</v>
      </c>
      <c r="AT49" s="101" t="s">
        <v>420</v>
      </c>
      <c r="AU49" s="101">
        <v>7500</v>
      </c>
      <c r="AW49" s="101" t="s">
        <v>174</v>
      </c>
      <c r="AX49" s="101" t="s">
        <v>174</v>
      </c>
      <c r="AY49" s="101" t="s">
        <v>174</v>
      </c>
      <c r="AZ49" s="101" t="s">
        <v>174</v>
      </c>
      <c r="BA49" s="101" t="s">
        <v>174</v>
      </c>
      <c r="BB49" s="101" t="s">
        <v>174</v>
      </c>
      <c r="BC49" s="101">
        <v>1</v>
      </c>
      <c r="BD49" s="101">
        <v>11</v>
      </c>
      <c r="BE49" s="101">
        <v>15</v>
      </c>
      <c r="BF49" s="101" t="s">
        <v>2347</v>
      </c>
      <c r="BG49" s="101" t="s">
        <v>2603</v>
      </c>
      <c r="BH49" s="101">
        <v>0.98</v>
      </c>
      <c r="BI49" s="101" t="s">
        <v>1385</v>
      </c>
      <c r="BJ49" s="101">
        <v>0.99</v>
      </c>
      <c r="BK49" s="101">
        <v>0.1547</v>
      </c>
      <c r="BM49" s="101">
        <v>4.5</v>
      </c>
      <c r="BN49" s="101" t="b">
        <v>0</v>
      </c>
      <c r="BO49" s="101">
        <v>5</v>
      </c>
      <c r="BP49" s="101" t="s">
        <v>2256</v>
      </c>
      <c r="BQ49" s="101" t="s">
        <v>2256</v>
      </c>
      <c r="BR49" s="101" t="s">
        <v>174</v>
      </c>
      <c r="BS49" s="101" t="s">
        <v>745</v>
      </c>
      <c r="BU49" s="101" t="s">
        <v>174</v>
      </c>
      <c r="BV49" s="101" t="s">
        <v>174</v>
      </c>
      <c r="BW49" s="101" t="s">
        <v>174</v>
      </c>
      <c r="BX49" s="101" t="s">
        <v>174</v>
      </c>
      <c r="BY49" s="101">
        <v>8.1999999999999993</v>
      </c>
      <c r="BZ49" s="101">
        <v>8.1999999999999993</v>
      </c>
      <c r="CA49" s="101">
        <v>8.1999999999999993</v>
      </c>
      <c r="CB49" s="101">
        <v>0</v>
      </c>
      <c r="CC49" s="101" t="s">
        <v>246</v>
      </c>
      <c r="CD49" s="101" t="s">
        <v>188</v>
      </c>
      <c r="CE49" s="101">
        <v>0</v>
      </c>
      <c r="CF49" s="101" t="s">
        <v>190</v>
      </c>
      <c r="CG49" s="101" t="s">
        <v>182</v>
      </c>
      <c r="CH49" s="101" t="s">
        <v>412</v>
      </c>
      <c r="CI49" s="101" t="s">
        <v>752</v>
      </c>
      <c r="CK49" s="101" t="s">
        <v>175</v>
      </c>
      <c r="CL49" s="101" t="s">
        <v>2255</v>
      </c>
      <c r="CN49" s="101" t="s">
        <v>182</v>
      </c>
      <c r="CO49" s="101" t="s">
        <v>174</v>
      </c>
      <c r="CP49" s="101" t="s">
        <v>174</v>
      </c>
      <c r="CQ49" s="101" t="s">
        <v>176</v>
      </c>
      <c r="CR49" s="101">
        <v>31009</v>
      </c>
      <c r="CS49" s="101" t="s">
        <v>174</v>
      </c>
      <c r="CT49" s="101" t="s">
        <v>174</v>
      </c>
      <c r="CU49" s="101" t="s">
        <v>168</v>
      </c>
    </row>
    <row r="50" spans="1:102" s="101" customFormat="1">
      <c r="A50" s="101" t="s">
        <v>607</v>
      </c>
      <c r="B50" s="101">
        <v>15</v>
      </c>
      <c r="C50" s="101">
        <v>1</v>
      </c>
      <c r="D50" s="101">
        <v>1</v>
      </c>
      <c r="E50" s="101">
        <v>58</v>
      </c>
      <c r="F50" s="101">
        <v>2012</v>
      </c>
      <c r="G50" s="101" t="s">
        <v>2440</v>
      </c>
      <c r="H50" s="101" t="s">
        <v>161</v>
      </c>
      <c r="I50" s="101" t="s">
        <v>182</v>
      </c>
      <c r="J50" s="101" t="s">
        <v>246</v>
      </c>
      <c r="K50" s="101" t="s">
        <v>272</v>
      </c>
      <c r="L50" s="101" t="s">
        <v>443</v>
      </c>
      <c r="M50" s="101" t="s">
        <v>562</v>
      </c>
      <c r="N50" s="101" t="s">
        <v>563</v>
      </c>
      <c r="O50" s="101" t="s">
        <v>2532</v>
      </c>
      <c r="P50" s="101">
        <v>-45.86065267</v>
      </c>
      <c r="Q50" s="101">
        <v>45.86065267</v>
      </c>
      <c r="R50" s="101">
        <v>170.66683689999999</v>
      </c>
      <c r="S50" s="101" t="s">
        <v>2692</v>
      </c>
      <c r="T50" s="101">
        <v>-45.86065267</v>
      </c>
      <c r="U50" s="101">
        <v>170.66683689999999</v>
      </c>
      <c r="V50" s="101">
        <v>2</v>
      </c>
      <c r="W50" s="101" t="s">
        <v>483</v>
      </c>
      <c r="X50" s="101" t="s">
        <v>802</v>
      </c>
      <c r="Y50" s="101" t="s">
        <v>999</v>
      </c>
      <c r="Z50" s="101" t="s">
        <v>1788</v>
      </c>
      <c r="AA50" s="101" t="s">
        <v>333</v>
      </c>
      <c r="AB50" s="101" t="s">
        <v>246</v>
      </c>
      <c r="AC50" s="101" t="s">
        <v>1725</v>
      </c>
      <c r="AD50" s="101" t="s">
        <v>1123</v>
      </c>
      <c r="AE50" s="101" t="s">
        <v>1745</v>
      </c>
      <c r="AF50" s="101" t="s">
        <v>1766</v>
      </c>
      <c r="AH50" s="101" t="s">
        <v>246</v>
      </c>
      <c r="AI50" s="101" t="s">
        <v>246</v>
      </c>
      <c r="AJ50" s="101" t="s">
        <v>171</v>
      </c>
      <c r="AK50" s="101" t="s">
        <v>190</v>
      </c>
      <c r="AN50" s="101">
        <v>10</v>
      </c>
      <c r="AP50" s="101" t="s">
        <v>190</v>
      </c>
      <c r="AQ50" s="101" t="s">
        <v>176</v>
      </c>
      <c r="AR50" s="101">
        <v>2008</v>
      </c>
      <c r="AS50" s="101" t="s">
        <v>319</v>
      </c>
      <c r="AT50" s="101" t="s">
        <v>254</v>
      </c>
      <c r="AU50" s="101">
        <v>1000</v>
      </c>
      <c r="AW50" s="101" t="s">
        <v>174</v>
      </c>
      <c r="AX50" s="101" t="s">
        <v>174</v>
      </c>
      <c r="AY50" s="101" t="s">
        <v>174</v>
      </c>
      <c r="AZ50" s="101" t="s">
        <v>174</v>
      </c>
      <c r="BA50" s="101" t="s">
        <v>174</v>
      </c>
      <c r="BB50" s="101" t="s">
        <v>174</v>
      </c>
      <c r="BC50" s="101">
        <v>4</v>
      </c>
      <c r="BD50" s="101">
        <v>6</v>
      </c>
      <c r="BE50" s="101">
        <v>30</v>
      </c>
      <c r="BF50" s="101" t="s">
        <v>1385</v>
      </c>
      <c r="BG50" s="101" t="s">
        <v>2603</v>
      </c>
      <c r="BH50" s="101">
        <v>0.97</v>
      </c>
      <c r="BK50" s="101">
        <v>0.82420000000000004</v>
      </c>
      <c r="BM50" s="101">
        <v>2.96</v>
      </c>
      <c r="BN50" s="101" t="b">
        <v>0</v>
      </c>
      <c r="BO50" s="101">
        <v>45.3</v>
      </c>
      <c r="BP50" s="101">
        <v>45.3</v>
      </c>
      <c r="BQ50" s="101" t="s">
        <v>182</v>
      </c>
      <c r="BR50" s="101" t="s">
        <v>174</v>
      </c>
      <c r="BS50" s="101" t="s">
        <v>10</v>
      </c>
      <c r="BU50" s="101" t="s">
        <v>174</v>
      </c>
      <c r="BV50" s="101" t="s">
        <v>174</v>
      </c>
      <c r="BW50" s="101">
        <v>28.3</v>
      </c>
      <c r="BX50" s="101">
        <v>22.7</v>
      </c>
      <c r="BY50" s="101">
        <v>12.4</v>
      </c>
      <c r="BZ50" s="101">
        <v>12.4</v>
      </c>
      <c r="CA50" s="101">
        <v>12.4</v>
      </c>
      <c r="CB50" s="101">
        <v>0</v>
      </c>
      <c r="CC50" s="101" t="s">
        <v>182</v>
      </c>
      <c r="CD50" s="101" t="s">
        <v>412</v>
      </c>
      <c r="CF50" s="101" t="s">
        <v>174</v>
      </c>
      <c r="CG50" s="101" t="s">
        <v>182</v>
      </c>
      <c r="CH50" s="101" t="s">
        <v>190</v>
      </c>
      <c r="CI50" s="101" t="s">
        <v>564</v>
      </c>
      <c r="CK50" s="101" t="s">
        <v>175</v>
      </c>
      <c r="CL50" s="101" t="s">
        <v>2255</v>
      </c>
      <c r="CO50" s="101" t="s">
        <v>174</v>
      </c>
      <c r="CP50" s="101">
        <v>66.5</v>
      </c>
      <c r="CQ50" s="101" t="s">
        <v>174</v>
      </c>
      <c r="CR50" s="101">
        <v>39544</v>
      </c>
      <c r="CS50" s="101" t="s">
        <v>242</v>
      </c>
      <c r="CT50" s="101" t="s">
        <v>174</v>
      </c>
      <c r="CU50" s="101" t="s">
        <v>168</v>
      </c>
    </row>
    <row r="51" spans="1:102" s="101" customFormat="1">
      <c r="A51" s="101" t="s">
        <v>534</v>
      </c>
      <c r="B51" s="101">
        <v>16</v>
      </c>
      <c r="C51" s="101">
        <v>1</v>
      </c>
      <c r="D51" s="101">
        <v>2</v>
      </c>
      <c r="E51" s="101">
        <v>62</v>
      </c>
      <c r="F51" s="101">
        <v>2016</v>
      </c>
      <c r="G51" s="101" t="s">
        <v>2440</v>
      </c>
      <c r="H51" s="101" t="s">
        <v>161</v>
      </c>
      <c r="I51" s="101" t="s">
        <v>246</v>
      </c>
      <c r="J51" s="101" t="s">
        <v>246</v>
      </c>
      <c r="K51" s="101" t="s">
        <v>152</v>
      </c>
      <c r="L51" s="101" t="s">
        <v>443</v>
      </c>
      <c r="M51" s="101" t="s">
        <v>506</v>
      </c>
      <c r="N51" s="101" t="s">
        <v>507</v>
      </c>
      <c r="O51" s="101" t="s">
        <v>1043</v>
      </c>
      <c r="P51" s="101">
        <v>48.575000000000003</v>
      </c>
      <c r="Q51" s="101">
        <v>48.575000000000003</v>
      </c>
      <c r="R51" s="101">
        <v>-123.0008</v>
      </c>
      <c r="S51" s="101" t="s">
        <v>2621</v>
      </c>
      <c r="T51" s="101">
        <v>48.932014420000002</v>
      </c>
      <c r="U51" s="101">
        <v>-123.4</v>
      </c>
      <c r="V51" s="101">
        <v>57</v>
      </c>
      <c r="W51" s="101" t="s">
        <v>276</v>
      </c>
      <c r="X51" s="101" t="s">
        <v>275</v>
      </c>
      <c r="Y51" s="101" t="s">
        <v>999</v>
      </c>
      <c r="Z51" s="101" t="s">
        <v>1788</v>
      </c>
      <c r="AA51" s="101" t="s">
        <v>333</v>
      </c>
      <c r="AB51" s="101" t="s">
        <v>246</v>
      </c>
      <c r="AC51" s="101" t="s">
        <v>333</v>
      </c>
      <c r="AD51" s="101" t="s">
        <v>1123</v>
      </c>
      <c r="AE51" s="101" t="s">
        <v>173</v>
      </c>
      <c r="AF51" s="101">
        <v>11</v>
      </c>
      <c r="AH51" s="101" t="s">
        <v>246</v>
      </c>
      <c r="AI51" s="101" t="s">
        <v>246</v>
      </c>
      <c r="AJ51" s="101" t="s">
        <v>171</v>
      </c>
      <c r="AK51" s="101" t="s">
        <v>190</v>
      </c>
      <c r="AN51" s="101">
        <v>20</v>
      </c>
      <c r="AP51" s="101" t="s">
        <v>190</v>
      </c>
      <c r="AQ51" s="101" t="s">
        <v>176</v>
      </c>
      <c r="AR51" s="101">
        <v>2012</v>
      </c>
      <c r="AS51" s="101" t="s">
        <v>236</v>
      </c>
      <c r="AT51" s="101" t="s">
        <v>420</v>
      </c>
      <c r="AU51" s="101" t="s">
        <v>174</v>
      </c>
      <c r="AW51" s="101" t="s">
        <v>174</v>
      </c>
      <c r="AX51" s="101" t="s">
        <v>174</v>
      </c>
      <c r="AY51" s="101" t="s">
        <v>174</v>
      </c>
      <c r="AZ51" s="101" t="s">
        <v>174</v>
      </c>
      <c r="BA51" s="101" t="s">
        <v>174</v>
      </c>
      <c r="BB51" s="101" t="s">
        <v>174</v>
      </c>
      <c r="BC51" s="101">
        <v>3</v>
      </c>
      <c r="BD51" s="101">
        <v>1</v>
      </c>
      <c r="BE51" s="101">
        <v>21</v>
      </c>
      <c r="BF51" s="101" t="s">
        <v>2256</v>
      </c>
      <c r="BG51" s="101" t="s">
        <v>2256</v>
      </c>
      <c r="BL51" s="101">
        <v>2.4035700000000002</v>
      </c>
      <c r="BM51" s="101">
        <v>20.802389779999999</v>
      </c>
      <c r="BN51" s="101" t="b">
        <v>0</v>
      </c>
      <c r="BO51" s="101">
        <v>32.94</v>
      </c>
      <c r="BP51" s="101" t="s">
        <v>2256</v>
      </c>
      <c r="BQ51" s="101" t="s">
        <v>2256</v>
      </c>
      <c r="BR51" s="101">
        <v>41.604779559999997</v>
      </c>
      <c r="BS51" s="101" t="s">
        <v>3087</v>
      </c>
      <c r="BU51" s="101" t="s">
        <v>174</v>
      </c>
      <c r="BV51" s="101" t="s">
        <v>174</v>
      </c>
      <c r="BW51" s="101" t="s">
        <v>174</v>
      </c>
      <c r="BX51" s="101" t="s">
        <v>174</v>
      </c>
      <c r="BY51" s="101" t="s">
        <v>1766</v>
      </c>
      <c r="BZ51" s="101" t="s">
        <v>1766</v>
      </c>
      <c r="CC51" s="101" t="s">
        <v>182</v>
      </c>
      <c r="CD51" s="101" t="s">
        <v>412</v>
      </c>
      <c r="CF51" s="101" t="s">
        <v>174</v>
      </c>
      <c r="CG51" s="101" t="s">
        <v>182</v>
      </c>
      <c r="CH51" s="101" t="s">
        <v>190</v>
      </c>
      <c r="CI51" s="101" t="s">
        <v>510</v>
      </c>
      <c r="CK51" s="101" t="s">
        <v>175</v>
      </c>
      <c r="CL51" s="101" t="s">
        <v>2255</v>
      </c>
      <c r="CO51" s="101" t="s">
        <v>174</v>
      </c>
      <c r="CP51" s="101" t="s">
        <v>174</v>
      </c>
      <c r="CQ51" s="101" t="s">
        <v>174</v>
      </c>
      <c r="CR51" s="101" t="s">
        <v>174</v>
      </c>
      <c r="CS51" s="101" t="s">
        <v>242</v>
      </c>
      <c r="CT51" s="101" t="s">
        <v>505</v>
      </c>
      <c r="CU51" s="101" t="s">
        <v>168</v>
      </c>
      <c r="CX51" s="101" t="s">
        <v>308</v>
      </c>
    </row>
    <row r="52" spans="1:102" s="101" customFormat="1">
      <c r="A52" s="101" t="s">
        <v>418</v>
      </c>
      <c r="B52" s="101">
        <v>25</v>
      </c>
      <c r="C52" s="101">
        <v>1</v>
      </c>
      <c r="D52" s="101">
        <v>1</v>
      </c>
      <c r="E52" s="101">
        <v>132</v>
      </c>
      <c r="F52" s="101">
        <v>2018</v>
      </c>
      <c r="G52" s="101" t="s">
        <v>2440</v>
      </c>
      <c r="H52" s="101" t="s">
        <v>161</v>
      </c>
      <c r="I52" s="101" t="s">
        <v>182</v>
      </c>
      <c r="J52" s="101" t="s">
        <v>246</v>
      </c>
      <c r="K52" s="101" t="s">
        <v>152</v>
      </c>
      <c r="L52" s="101" t="s">
        <v>443</v>
      </c>
      <c r="M52" s="101" t="s">
        <v>156</v>
      </c>
      <c r="N52" s="101" t="s">
        <v>552</v>
      </c>
      <c r="O52" s="101" t="s">
        <v>2664</v>
      </c>
      <c r="P52" s="101">
        <v>42.575833330000002</v>
      </c>
      <c r="Q52" s="101">
        <v>42.575833330000002</v>
      </c>
      <c r="R52" s="101">
        <v>-9.0544444399999993</v>
      </c>
      <c r="S52" s="101" t="s">
        <v>2662</v>
      </c>
      <c r="T52" s="101">
        <v>42.575833330000002</v>
      </c>
      <c r="U52" s="101">
        <v>-9.0544444399999993</v>
      </c>
      <c r="V52" s="101">
        <v>11</v>
      </c>
      <c r="W52" s="101" t="s">
        <v>419</v>
      </c>
      <c r="X52" s="101" t="s">
        <v>155</v>
      </c>
      <c r="Y52" s="101" t="s">
        <v>999</v>
      </c>
      <c r="Z52" s="101" t="s">
        <v>424</v>
      </c>
      <c r="AA52" s="101" t="s">
        <v>333</v>
      </c>
      <c r="AB52" s="101" t="s">
        <v>246</v>
      </c>
      <c r="AC52" s="101" t="s">
        <v>333</v>
      </c>
      <c r="AD52" s="101" t="s">
        <v>1306</v>
      </c>
      <c r="AE52" s="101" t="s">
        <v>1745</v>
      </c>
      <c r="AG52" s="101" t="s">
        <v>1777</v>
      </c>
      <c r="AH52" s="101" t="s">
        <v>246</v>
      </c>
      <c r="AI52" s="101" t="s">
        <v>246</v>
      </c>
      <c r="AJ52" s="101" t="s">
        <v>2193</v>
      </c>
      <c r="AK52" s="101" t="s">
        <v>190</v>
      </c>
      <c r="AN52" s="101">
        <v>1</v>
      </c>
      <c r="AP52" s="101" t="s">
        <v>190</v>
      </c>
      <c r="AQ52" s="101" t="s">
        <v>176</v>
      </c>
      <c r="AR52" s="101">
        <v>2011</v>
      </c>
      <c r="AS52" s="101" t="s">
        <v>236</v>
      </c>
      <c r="AT52" s="101" t="s">
        <v>420</v>
      </c>
      <c r="AU52" s="101">
        <v>150</v>
      </c>
      <c r="AW52" s="101" t="s">
        <v>1394</v>
      </c>
      <c r="AX52" s="101" t="s">
        <v>174</v>
      </c>
      <c r="AY52" s="101" t="s">
        <v>174</v>
      </c>
      <c r="AZ52" s="101" t="s">
        <v>174</v>
      </c>
      <c r="BA52" s="101" t="s">
        <v>174</v>
      </c>
      <c r="BB52" s="101" t="s">
        <v>174</v>
      </c>
      <c r="BC52" s="101">
        <v>2</v>
      </c>
      <c r="BD52" s="101">
        <v>6</v>
      </c>
      <c r="BE52" s="101">
        <v>43</v>
      </c>
      <c r="BF52" s="101" t="s">
        <v>1385</v>
      </c>
      <c r="BG52" s="101" t="s">
        <v>2603</v>
      </c>
      <c r="BH52" s="101">
        <v>0.93</v>
      </c>
      <c r="BK52" s="101">
        <v>1.8985000000000001</v>
      </c>
      <c r="BM52" s="101">
        <v>0.78</v>
      </c>
      <c r="BN52" s="101" t="b">
        <v>0</v>
      </c>
      <c r="BO52" s="101">
        <v>35.5</v>
      </c>
      <c r="BP52" s="101">
        <v>35.5</v>
      </c>
      <c r="BQ52" s="101" t="s">
        <v>182</v>
      </c>
      <c r="BR52" s="101" t="s">
        <v>174</v>
      </c>
      <c r="BS52" s="101" t="s">
        <v>333</v>
      </c>
      <c r="BU52" s="101" t="s">
        <v>174</v>
      </c>
      <c r="BV52" s="101" t="s">
        <v>174</v>
      </c>
      <c r="BW52" s="101" t="s">
        <v>174</v>
      </c>
      <c r="BX52" s="101" t="s">
        <v>174</v>
      </c>
      <c r="BY52" s="101">
        <v>22.4</v>
      </c>
      <c r="BZ52" s="101">
        <v>22.4</v>
      </c>
      <c r="CA52" s="101">
        <v>22.4</v>
      </c>
      <c r="CB52" s="101">
        <v>0</v>
      </c>
      <c r="CC52" s="101" t="s">
        <v>182</v>
      </c>
      <c r="CD52" s="101" t="s">
        <v>412</v>
      </c>
      <c r="CF52" s="101" t="s">
        <v>174</v>
      </c>
      <c r="CG52" s="101" t="s">
        <v>182</v>
      </c>
      <c r="CH52" s="101" t="s">
        <v>412</v>
      </c>
      <c r="CI52" s="101" t="s">
        <v>422</v>
      </c>
      <c r="CK52" s="101" t="s">
        <v>175</v>
      </c>
      <c r="CL52" s="101" t="s">
        <v>2255</v>
      </c>
      <c r="CO52" s="101">
        <v>3.37</v>
      </c>
      <c r="CP52" s="101" t="s">
        <v>174</v>
      </c>
      <c r="CQ52" s="101" t="s">
        <v>176</v>
      </c>
      <c r="CR52" s="101">
        <v>40695</v>
      </c>
      <c r="CS52" s="101" t="s">
        <v>242</v>
      </c>
      <c r="CT52" s="101" t="s">
        <v>174</v>
      </c>
      <c r="CU52" s="101" t="s">
        <v>195</v>
      </c>
    </row>
    <row r="53" spans="1:102" s="101" customFormat="1">
      <c r="A53" s="101" t="s">
        <v>772</v>
      </c>
      <c r="B53" s="101">
        <v>26</v>
      </c>
      <c r="C53" s="101">
        <v>1</v>
      </c>
      <c r="D53" s="101">
        <v>1</v>
      </c>
      <c r="E53" s="101">
        <v>135</v>
      </c>
      <c r="F53" s="101">
        <v>1981</v>
      </c>
      <c r="G53" s="101" t="s">
        <v>2440</v>
      </c>
      <c r="H53" s="101" t="s">
        <v>161</v>
      </c>
      <c r="I53" s="101" t="s">
        <v>182</v>
      </c>
      <c r="J53" s="101" t="s">
        <v>246</v>
      </c>
      <c r="K53" s="101" t="s">
        <v>152</v>
      </c>
      <c r="L53" s="101" t="s">
        <v>443</v>
      </c>
      <c r="M53" s="101" t="s">
        <v>347</v>
      </c>
      <c r="N53" s="101" t="s">
        <v>769</v>
      </c>
      <c r="O53" s="101" t="s">
        <v>2542</v>
      </c>
      <c r="P53" s="101">
        <v>-34.08</v>
      </c>
      <c r="Q53" s="101">
        <v>34.08</v>
      </c>
      <c r="R53" s="101">
        <v>18.190000000000001</v>
      </c>
      <c r="S53" s="101" t="s">
        <v>2688</v>
      </c>
      <c r="T53" s="101">
        <v>-34.084564139999998</v>
      </c>
      <c r="U53" s="101">
        <v>18.299239969999999</v>
      </c>
      <c r="V53" s="101">
        <v>8</v>
      </c>
      <c r="W53" s="101" t="s">
        <v>770</v>
      </c>
      <c r="X53" s="101" t="s">
        <v>1721</v>
      </c>
      <c r="Y53" s="101" t="s">
        <v>999</v>
      </c>
      <c r="Z53" s="101" t="s">
        <v>424</v>
      </c>
      <c r="AA53" s="101" t="s">
        <v>333</v>
      </c>
      <c r="AB53" s="101" t="s">
        <v>246</v>
      </c>
      <c r="AC53" s="101" t="s">
        <v>333</v>
      </c>
      <c r="AD53" s="101" t="s">
        <v>1306</v>
      </c>
      <c r="AE53" s="101" t="s">
        <v>1745</v>
      </c>
      <c r="AG53" s="101" t="s">
        <v>1778</v>
      </c>
      <c r="AH53" s="101" t="s">
        <v>246</v>
      </c>
      <c r="AI53" s="101" t="s">
        <v>246</v>
      </c>
      <c r="AJ53" s="101" t="s">
        <v>333</v>
      </c>
      <c r="AK53" s="101" t="s">
        <v>190</v>
      </c>
      <c r="AN53" s="101" t="s">
        <v>190</v>
      </c>
      <c r="AP53" s="101" t="s">
        <v>190</v>
      </c>
      <c r="AQ53" s="101" t="s">
        <v>176</v>
      </c>
      <c r="AR53" s="101">
        <v>1979</v>
      </c>
      <c r="AS53" s="101" t="s">
        <v>384</v>
      </c>
      <c r="AT53" s="101" t="s">
        <v>420</v>
      </c>
      <c r="AU53" s="101">
        <v>1000</v>
      </c>
      <c r="AW53" s="101" t="s">
        <v>174</v>
      </c>
      <c r="AX53" s="101" t="s">
        <v>174</v>
      </c>
      <c r="AY53" s="101" t="s">
        <v>174</v>
      </c>
      <c r="AZ53" s="101" t="s">
        <v>174</v>
      </c>
      <c r="BA53" s="101" t="s">
        <v>174</v>
      </c>
      <c r="BB53" s="101" t="s">
        <v>174</v>
      </c>
      <c r="BC53" s="101">
        <v>5</v>
      </c>
      <c r="BD53" s="101">
        <v>15</v>
      </c>
      <c r="BE53" s="101">
        <v>30</v>
      </c>
      <c r="BF53" s="101" t="s">
        <v>1385</v>
      </c>
      <c r="BG53" s="101" t="s">
        <v>2603</v>
      </c>
      <c r="BH53" s="101">
        <v>0.97</v>
      </c>
      <c r="BK53" s="101">
        <v>0.1462</v>
      </c>
      <c r="BM53" s="101">
        <v>8.68</v>
      </c>
      <c r="BN53" s="101" t="b">
        <v>0</v>
      </c>
      <c r="BO53" s="101">
        <v>27.5</v>
      </c>
      <c r="BP53" s="101">
        <v>27.5</v>
      </c>
      <c r="BQ53" s="101" t="s">
        <v>182</v>
      </c>
      <c r="BR53" s="101" t="s">
        <v>174</v>
      </c>
      <c r="BS53" s="101" t="s">
        <v>773</v>
      </c>
      <c r="BU53" s="101" t="s">
        <v>174</v>
      </c>
      <c r="BV53" s="101" t="s">
        <v>174</v>
      </c>
      <c r="BW53" s="101" t="s">
        <v>174</v>
      </c>
      <c r="BX53" s="101" t="s">
        <v>174</v>
      </c>
      <c r="BY53" s="101" t="s">
        <v>1766</v>
      </c>
      <c r="BZ53" s="101" t="s">
        <v>1766</v>
      </c>
      <c r="CC53" s="101" t="s">
        <v>182</v>
      </c>
      <c r="CD53" s="101" t="s">
        <v>412</v>
      </c>
      <c r="CF53" s="101" t="s">
        <v>174</v>
      </c>
      <c r="CG53" s="101" t="s">
        <v>182</v>
      </c>
      <c r="CH53" s="101" t="s">
        <v>412</v>
      </c>
      <c r="CI53" s="101" t="s">
        <v>751</v>
      </c>
      <c r="CK53" s="101" t="s">
        <v>175</v>
      </c>
      <c r="CL53" s="101" t="s">
        <v>2255</v>
      </c>
      <c r="CO53" s="101" t="s">
        <v>174</v>
      </c>
      <c r="CP53" s="101">
        <v>80</v>
      </c>
      <c r="CQ53" s="101" t="s">
        <v>176</v>
      </c>
      <c r="CR53" s="101">
        <v>28912</v>
      </c>
      <c r="CS53" s="101" t="s">
        <v>242</v>
      </c>
      <c r="CT53" s="101" t="s">
        <v>174</v>
      </c>
      <c r="CU53" s="101" t="s">
        <v>195</v>
      </c>
    </row>
    <row r="54" spans="1:102" s="101" customFormat="1">
      <c r="A54" s="101" t="s">
        <v>547</v>
      </c>
      <c r="B54" s="101">
        <v>31</v>
      </c>
      <c r="C54" s="101">
        <v>1</v>
      </c>
      <c r="D54" s="101">
        <v>1</v>
      </c>
      <c r="E54" s="101">
        <v>149</v>
      </c>
      <c r="F54" s="101">
        <v>1989</v>
      </c>
      <c r="G54" s="101" t="s">
        <v>2440</v>
      </c>
      <c r="H54" s="101" t="s">
        <v>161</v>
      </c>
      <c r="I54" s="101" t="s">
        <v>182</v>
      </c>
      <c r="J54" s="101" t="s">
        <v>246</v>
      </c>
      <c r="K54" s="101" t="s">
        <v>152</v>
      </c>
      <c r="L54" s="101" t="s">
        <v>443</v>
      </c>
      <c r="M54" s="101" t="s">
        <v>279</v>
      </c>
      <c r="N54" s="101" t="s">
        <v>280</v>
      </c>
      <c r="O54" s="101" t="s">
        <v>2539</v>
      </c>
      <c r="P54" s="101">
        <v>-43.555592910000001</v>
      </c>
      <c r="Q54" s="101">
        <v>43.555592910000001</v>
      </c>
      <c r="R54" s="101">
        <v>172.75173860000001</v>
      </c>
      <c r="S54" s="101" t="s">
        <v>2682</v>
      </c>
      <c r="T54" s="101">
        <v>-43.555592910000001</v>
      </c>
      <c r="U54" s="101">
        <v>172.75173860000001</v>
      </c>
      <c r="V54" s="101">
        <v>4</v>
      </c>
      <c r="W54" s="101" t="s">
        <v>483</v>
      </c>
      <c r="X54" s="101" t="s">
        <v>802</v>
      </c>
      <c r="Y54" s="101" t="s">
        <v>999</v>
      </c>
      <c r="Z54" s="101" t="s">
        <v>424</v>
      </c>
      <c r="AA54" s="101" t="s">
        <v>333</v>
      </c>
      <c r="AB54" s="101" t="s">
        <v>246</v>
      </c>
      <c r="AC54" s="101" t="s">
        <v>333</v>
      </c>
      <c r="AD54" s="101" t="s">
        <v>1306</v>
      </c>
      <c r="AE54" s="101" t="s">
        <v>1745</v>
      </c>
      <c r="AG54" s="101" t="s">
        <v>1775</v>
      </c>
      <c r="AH54" s="101" t="s">
        <v>246</v>
      </c>
      <c r="AI54" s="101" t="s">
        <v>246</v>
      </c>
      <c r="AJ54" s="101" t="s">
        <v>171</v>
      </c>
      <c r="AK54" s="101" t="s">
        <v>190</v>
      </c>
      <c r="AN54" s="101">
        <v>8</v>
      </c>
      <c r="AP54" s="101" t="s">
        <v>190</v>
      </c>
      <c r="AQ54" s="101" t="s">
        <v>176</v>
      </c>
      <c r="AR54" s="101">
        <v>1986</v>
      </c>
      <c r="AS54" s="101" t="s">
        <v>163</v>
      </c>
      <c r="AT54" s="101" t="s">
        <v>254</v>
      </c>
      <c r="AU54" s="101">
        <v>50</v>
      </c>
      <c r="AW54" s="101" t="s">
        <v>174</v>
      </c>
      <c r="AX54" s="101" t="s">
        <v>174</v>
      </c>
      <c r="AY54" s="101" t="s">
        <v>174</v>
      </c>
      <c r="AZ54" s="101" t="s">
        <v>174</v>
      </c>
      <c r="BA54" s="101" t="s">
        <v>174</v>
      </c>
      <c r="BB54" s="101" t="s">
        <v>174</v>
      </c>
      <c r="BC54" s="101">
        <v>5</v>
      </c>
      <c r="BD54" s="101">
        <v>4</v>
      </c>
      <c r="BE54" s="101">
        <v>18</v>
      </c>
      <c r="BF54" s="101" t="s">
        <v>2347</v>
      </c>
      <c r="BG54" s="101" t="s">
        <v>2603</v>
      </c>
      <c r="BH54" s="101">
        <v>0.99</v>
      </c>
      <c r="BK54" s="101">
        <v>5.4800000000000001E-2</v>
      </c>
      <c r="BM54" s="101">
        <v>12.648671179999999</v>
      </c>
      <c r="BN54" s="101" t="b">
        <v>0</v>
      </c>
      <c r="BO54" s="101">
        <v>35.4</v>
      </c>
      <c r="BP54" s="101" t="s">
        <v>2256</v>
      </c>
      <c r="BQ54" s="101" t="s">
        <v>2256</v>
      </c>
      <c r="BR54" s="101" t="s">
        <v>174</v>
      </c>
      <c r="BS54" s="101" t="s">
        <v>3041</v>
      </c>
      <c r="BT54" s="101" t="s">
        <v>182</v>
      </c>
      <c r="BU54" s="101" t="s">
        <v>174</v>
      </c>
      <c r="BV54" s="101" t="s">
        <v>174</v>
      </c>
      <c r="BW54" s="101" t="s">
        <v>174</v>
      </c>
      <c r="BX54" s="101" t="s">
        <v>174</v>
      </c>
      <c r="BY54" s="101">
        <v>27</v>
      </c>
      <c r="BZ54" s="101">
        <v>27</v>
      </c>
      <c r="CA54" s="101">
        <v>27</v>
      </c>
      <c r="CB54" s="101">
        <v>0</v>
      </c>
      <c r="CC54" s="101" t="s">
        <v>182</v>
      </c>
      <c r="CD54" s="101" t="s">
        <v>412</v>
      </c>
      <c r="CF54" s="101" t="s">
        <v>190</v>
      </c>
      <c r="CG54" s="101" t="s">
        <v>182</v>
      </c>
      <c r="CH54" s="101" t="s">
        <v>412</v>
      </c>
      <c r="CI54" s="101" t="s">
        <v>920</v>
      </c>
      <c r="CK54" s="101" t="s">
        <v>182</v>
      </c>
      <c r="CL54" s="101" t="s">
        <v>2255</v>
      </c>
      <c r="CO54" s="101" t="s">
        <v>174</v>
      </c>
      <c r="CP54" s="101" t="s">
        <v>174</v>
      </c>
      <c r="CQ54" s="101" t="s">
        <v>246</v>
      </c>
      <c r="CR54" s="101" t="s">
        <v>174</v>
      </c>
      <c r="CS54" s="101" t="s">
        <v>922</v>
      </c>
      <c r="CT54" s="101" t="s">
        <v>174</v>
      </c>
      <c r="CU54" s="101" t="s">
        <v>953</v>
      </c>
    </row>
    <row r="55" spans="1:102" s="101" customFormat="1">
      <c r="A55" s="101" t="s">
        <v>970</v>
      </c>
      <c r="B55" s="101">
        <v>35</v>
      </c>
      <c r="C55" s="101">
        <v>3</v>
      </c>
      <c r="D55" s="101">
        <v>1</v>
      </c>
      <c r="E55" s="101">
        <v>166</v>
      </c>
      <c r="F55" s="101">
        <v>2010</v>
      </c>
      <c r="G55" s="101" t="s">
        <v>2440</v>
      </c>
      <c r="H55" s="101" t="s">
        <v>161</v>
      </c>
      <c r="I55" s="101" t="s">
        <v>182</v>
      </c>
      <c r="J55" s="101" t="s">
        <v>246</v>
      </c>
      <c r="K55" s="101" t="s">
        <v>1976</v>
      </c>
      <c r="L55" s="101" t="s">
        <v>444</v>
      </c>
      <c r="M55" s="101" t="s">
        <v>448</v>
      </c>
      <c r="N55" s="101" t="s">
        <v>1188</v>
      </c>
      <c r="O55" s="101" t="s">
        <v>2552</v>
      </c>
      <c r="P55" s="101">
        <v>58.370534550000002</v>
      </c>
      <c r="Q55" s="101">
        <v>58.370534550000002</v>
      </c>
      <c r="R55" s="101">
        <v>22.975764850000001</v>
      </c>
      <c r="S55" s="101" t="s">
        <v>2643</v>
      </c>
      <c r="T55" s="101">
        <v>58.417885570000003</v>
      </c>
      <c r="U55" s="101">
        <v>22.655798919999999</v>
      </c>
      <c r="V55" s="101">
        <v>24</v>
      </c>
      <c r="W55" s="101" t="s">
        <v>1323</v>
      </c>
      <c r="X55" s="101" t="s">
        <v>155</v>
      </c>
      <c r="Y55" s="101" t="s">
        <v>999</v>
      </c>
      <c r="Z55" s="101" t="s">
        <v>1788</v>
      </c>
      <c r="AA55" s="101" t="s">
        <v>333</v>
      </c>
      <c r="AB55" s="101" t="s">
        <v>246</v>
      </c>
      <c r="AC55" s="101" t="s">
        <v>333</v>
      </c>
      <c r="AD55" s="101" t="s">
        <v>218</v>
      </c>
      <c r="AE55" s="101" t="s">
        <v>190</v>
      </c>
      <c r="AF55" s="101">
        <v>2</v>
      </c>
      <c r="AH55" s="101" t="s">
        <v>246</v>
      </c>
      <c r="AI55" s="101" t="s">
        <v>246</v>
      </c>
      <c r="AJ55" s="101" t="s">
        <v>171</v>
      </c>
      <c r="AK55" s="101" t="s">
        <v>190</v>
      </c>
      <c r="AL55" s="101" t="s">
        <v>174</v>
      </c>
      <c r="AN55" s="101">
        <v>1</v>
      </c>
      <c r="AP55" s="101" t="s">
        <v>190</v>
      </c>
      <c r="AQ55" s="101" t="s">
        <v>176</v>
      </c>
      <c r="AR55" s="101">
        <v>2000</v>
      </c>
      <c r="AS55" s="101" t="s">
        <v>174</v>
      </c>
      <c r="AT55" s="101" t="s">
        <v>298</v>
      </c>
      <c r="AU55" s="101">
        <v>20</v>
      </c>
      <c r="AV55" s="101" t="s">
        <v>1256</v>
      </c>
      <c r="AW55" s="101" t="s">
        <v>174</v>
      </c>
      <c r="AX55" s="101" t="s">
        <v>174</v>
      </c>
      <c r="AY55" s="101" t="s">
        <v>174</v>
      </c>
      <c r="AZ55" s="101" t="s">
        <v>174</v>
      </c>
      <c r="BA55" s="101" t="s">
        <v>174</v>
      </c>
      <c r="BB55" s="101" t="s">
        <v>174</v>
      </c>
      <c r="BC55" s="101">
        <v>3</v>
      </c>
      <c r="BD55" s="101">
        <v>4</v>
      </c>
      <c r="BE55" s="101">
        <v>29</v>
      </c>
      <c r="BF55" s="101" t="s">
        <v>1387</v>
      </c>
      <c r="BG55" s="101" t="s">
        <v>1387</v>
      </c>
      <c r="BM55" s="101" t="s">
        <v>190</v>
      </c>
      <c r="BN55" s="101" t="b">
        <v>0</v>
      </c>
      <c r="BO55" s="101">
        <v>115</v>
      </c>
      <c r="BP55" s="101" t="s">
        <v>2256</v>
      </c>
      <c r="BQ55" s="101" t="s">
        <v>2256</v>
      </c>
      <c r="BR55" s="101" t="s">
        <v>174</v>
      </c>
      <c r="BS55" s="101" t="s">
        <v>1335</v>
      </c>
      <c r="BY55" s="101">
        <v>13.5</v>
      </c>
      <c r="BZ55" s="101">
        <v>13.5</v>
      </c>
      <c r="CA55" s="101">
        <v>13.5</v>
      </c>
      <c r="CB55" s="101">
        <v>0</v>
      </c>
      <c r="CC55" s="101" t="s">
        <v>182</v>
      </c>
      <c r="CD55" s="101" t="s">
        <v>412</v>
      </c>
      <c r="CF55" s="101" t="s">
        <v>174</v>
      </c>
      <c r="CG55" s="101" t="s">
        <v>182</v>
      </c>
      <c r="CH55" s="101" t="s">
        <v>412</v>
      </c>
      <c r="CI55" s="101" t="s">
        <v>1339</v>
      </c>
      <c r="CJ55" s="101" t="s">
        <v>1342</v>
      </c>
      <c r="CK55" s="101" t="s">
        <v>246</v>
      </c>
      <c r="CL55" s="101" t="s">
        <v>2255</v>
      </c>
      <c r="CQ55" s="101" t="s">
        <v>182</v>
      </c>
      <c r="CR55" s="101" t="s">
        <v>174</v>
      </c>
      <c r="CS55" s="101" t="s">
        <v>174</v>
      </c>
      <c r="CT55" s="101" t="s">
        <v>174</v>
      </c>
      <c r="CU55" s="101" t="s">
        <v>518</v>
      </c>
    </row>
    <row r="56" spans="1:102" s="101" customFormat="1">
      <c r="A56" s="101" t="s">
        <v>1988</v>
      </c>
      <c r="B56" s="101">
        <v>48</v>
      </c>
      <c r="C56" s="101">
        <v>1</v>
      </c>
      <c r="D56" s="101">
        <v>1</v>
      </c>
      <c r="E56" s="101">
        <v>497</v>
      </c>
      <c r="F56" s="101">
        <v>2009</v>
      </c>
      <c r="G56" s="101" t="s">
        <v>2440</v>
      </c>
      <c r="H56" s="101" t="s">
        <v>161</v>
      </c>
      <c r="I56" s="101" t="s">
        <v>246</v>
      </c>
      <c r="J56" s="101" t="s">
        <v>246</v>
      </c>
      <c r="K56" s="101" t="s">
        <v>272</v>
      </c>
      <c r="L56" s="101" t="s">
        <v>443</v>
      </c>
      <c r="M56" s="101" t="s">
        <v>611</v>
      </c>
      <c r="N56" s="101" t="s">
        <v>931</v>
      </c>
      <c r="O56" s="101" t="s">
        <v>1035</v>
      </c>
      <c r="P56" s="101">
        <v>77</v>
      </c>
      <c r="Q56" s="101">
        <v>77</v>
      </c>
      <c r="R56" s="101">
        <v>15.5</v>
      </c>
      <c r="S56" s="101" t="s">
        <v>2626</v>
      </c>
      <c r="T56" s="101">
        <v>77</v>
      </c>
      <c r="U56" s="101">
        <v>15.5</v>
      </c>
      <c r="V56" s="101">
        <v>1</v>
      </c>
      <c r="W56" s="101" t="s">
        <v>291</v>
      </c>
      <c r="X56" s="101" t="s">
        <v>155</v>
      </c>
      <c r="Y56" s="101" t="s">
        <v>999</v>
      </c>
      <c r="Z56" s="101" t="s">
        <v>424</v>
      </c>
      <c r="AA56" s="101" t="s">
        <v>1724</v>
      </c>
      <c r="AB56" s="101" t="s">
        <v>182</v>
      </c>
      <c r="AC56" s="101" t="s">
        <v>1256</v>
      </c>
      <c r="AD56" s="101" t="s">
        <v>1306</v>
      </c>
      <c r="AE56" s="101" t="s">
        <v>1745</v>
      </c>
      <c r="AG56" s="101" t="s">
        <v>1775</v>
      </c>
      <c r="AH56" s="101" t="s">
        <v>246</v>
      </c>
      <c r="AI56" s="101" t="s">
        <v>246</v>
      </c>
      <c r="AJ56" s="101" t="s">
        <v>171</v>
      </c>
      <c r="AN56" s="101">
        <v>1</v>
      </c>
      <c r="AQ56" s="101" t="s">
        <v>176</v>
      </c>
      <c r="AR56" s="101">
        <v>2005</v>
      </c>
      <c r="AS56" s="101" t="s">
        <v>237</v>
      </c>
      <c r="AT56" s="101" t="s">
        <v>420</v>
      </c>
      <c r="AU56" s="101">
        <v>9</v>
      </c>
      <c r="AV56" s="101" t="s">
        <v>1255</v>
      </c>
      <c r="AY56" s="101">
        <v>1.451612903</v>
      </c>
      <c r="BC56" s="101">
        <v>9</v>
      </c>
      <c r="BD56" s="101">
        <v>1</v>
      </c>
      <c r="BE56" s="101">
        <v>21</v>
      </c>
      <c r="BF56" s="101" t="s">
        <v>2256</v>
      </c>
      <c r="BG56" s="101" t="s">
        <v>2256</v>
      </c>
      <c r="BL56" s="101">
        <v>1.451612903</v>
      </c>
      <c r="BM56" s="101">
        <v>34.444444439999998</v>
      </c>
      <c r="BN56" s="101" t="b">
        <v>0</v>
      </c>
      <c r="BO56" s="101">
        <v>56.03</v>
      </c>
      <c r="BP56" s="101" t="s">
        <v>2256</v>
      </c>
      <c r="BQ56" s="101" t="s">
        <v>2256</v>
      </c>
      <c r="CC56" s="101" t="s">
        <v>182</v>
      </c>
      <c r="CD56" s="101" t="s">
        <v>412</v>
      </c>
      <c r="CL56" s="101" t="s">
        <v>2255</v>
      </c>
    </row>
    <row r="57" spans="1:102" s="101" customFormat="1">
      <c r="A57" s="101" t="s">
        <v>2178</v>
      </c>
      <c r="B57" s="101">
        <v>49</v>
      </c>
      <c r="C57" s="101">
        <v>1</v>
      </c>
      <c r="D57" s="101">
        <v>1</v>
      </c>
      <c r="E57" s="101">
        <v>487</v>
      </c>
      <c r="F57" s="101">
        <v>2003</v>
      </c>
      <c r="G57" s="101" t="s">
        <v>2440</v>
      </c>
      <c r="H57" s="101" t="s">
        <v>187</v>
      </c>
      <c r="I57" s="101" t="s">
        <v>182</v>
      </c>
      <c r="J57" s="101" t="s">
        <v>246</v>
      </c>
      <c r="K57" s="101" t="s">
        <v>272</v>
      </c>
      <c r="L57" s="101" t="s">
        <v>443</v>
      </c>
      <c r="M57" s="101" t="s">
        <v>611</v>
      </c>
      <c r="N57" s="101" t="s">
        <v>613</v>
      </c>
      <c r="O57" s="101" t="s">
        <v>2533</v>
      </c>
      <c r="P57" s="101">
        <v>55.456393550000001</v>
      </c>
      <c r="Q57" s="101">
        <v>55.456393550000001</v>
      </c>
      <c r="R57" s="101">
        <v>10.66539102</v>
      </c>
      <c r="S57" s="101" t="s">
        <v>2614</v>
      </c>
      <c r="T57" s="101">
        <v>55.78060464</v>
      </c>
      <c r="U57" s="101">
        <v>10.44472844</v>
      </c>
      <c r="V57" s="101">
        <v>17</v>
      </c>
      <c r="W57" s="101" t="s">
        <v>973</v>
      </c>
      <c r="X57" s="101" t="s">
        <v>155</v>
      </c>
      <c r="Y57" s="101" t="s">
        <v>725</v>
      </c>
      <c r="Z57" s="101" t="s">
        <v>1788</v>
      </c>
      <c r="AA57" s="101" t="s">
        <v>2089</v>
      </c>
      <c r="AB57" s="101" t="s">
        <v>182</v>
      </c>
      <c r="AC57" s="101" t="s">
        <v>1725</v>
      </c>
      <c r="AD57" s="101" t="s">
        <v>1087</v>
      </c>
      <c r="AE57" s="101" t="s">
        <v>1745</v>
      </c>
      <c r="AH57" s="101" t="s">
        <v>246</v>
      </c>
      <c r="AI57" s="101" t="s">
        <v>246</v>
      </c>
      <c r="AJ57" s="101" t="s">
        <v>2091</v>
      </c>
      <c r="AK57" s="101" t="s">
        <v>2083</v>
      </c>
      <c r="AM57" s="101" t="s">
        <v>1903</v>
      </c>
      <c r="AN57" s="101" t="s">
        <v>190</v>
      </c>
      <c r="AQ57" s="101" t="s">
        <v>176</v>
      </c>
      <c r="AR57" s="101">
        <v>1998</v>
      </c>
      <c r="AS57" s="101" t="s">
        <v>253</v>
      </c>
      <c r="AT57" s="101" t="s">
        <v>254</v>
      </c>
      <c r="AU57" s="101">
        <v>1</v>
      </c>
      <c r="AV57" s="101" t="s">
        <v>1256</v>
      </c>
      <c r="AW57" s="101" t="s">
        <v>2082</v>
      </c>
      <c r="AX57" s="101">
        <v>1.8159999999999999E-2</v>
      </c>
      <c r="AZ57" s="101">
        <v>38.168897610000002</v>
      </c>
      <c r="BC57" s="101">
        <v>3</v>
      </c>
      <c r="BD57" s="101">
        <v>1</v>
      </c>
      <c r="BE57" s="101">
        <v>18</v>
      </c>
      <c r="BF57" s="101" t="s">
        <v>2458</v>
      </c>
      <c r="BG57" s="101" t="s">
        <v>2458</v>
      </c>
      <c r="BK57" s="101">
        <v>1.8159999999999999E-2</v>
      </c>
      <c r="BM57" s="101">
        <v>38.168897610000002</v>
      </c>
      <c r="BN57" s="101" t="b">
        <v>0</v>
      </c>
      <c r="BO57" s="101" t="s">
        <v>2256</v>
      </c>
      <c r="BP57" s="101" t="s">
        <v>2256</v>
      </c>
      <c r="BQ57" s="101" t="s">
        <v>2256</v>
      </c>
      <c r="BS57" s="101" t="s">
        <v>2087</v>
      </c>
      <c r="BY57" s="101">
        <v>15</v>
      </c>
      <c r="BZ57" s="101">
        <v>15</v>
      </c>
      <c r="CA57" s="101">
        <v>15</v>
      </c>
      <c r="CB57" s="101">
        <v>0</v>
      </c>
      <c r="CC57" s="101" t="s">
        <v>246</v>
      </c>
      <c r="CD57" s="101" t="s">
        <v>188</v>
      </c>
      <c r="CE57" s="101">
        <v>0</v>
      </c>
      <c r="CG57" s="101" t="s">
        <v>182</v>
      </c>
      <c r="CJ57" s="101" t="s">
        <v>2092</v>
      </c>
      <c r="CL57" s="101" t="s">
        <v>2255</v>
      </c>
      <c r="CM57" s="101" t="s">
        <v>182</v>
      </c>
      <c r="CU57" s="101" t="s">
        <v>2074</v>
      </c>
      <c r="CX57" s="101" t="s">
        <v>1310</v>
      </c>
    </row>
    <row r="58" spans="1:102" s="101" customFormat="1">
      <c r="A58" s="101" t="s">
        <v>609</v>
      </c>
      <c r="B58" s="101">
        <v>55</v>
      </c>
      <c r="C58" s="101">
        <v>1</v>
      </c>
      <c r="D58" s="101">
        <v>1</v>
      </c>
      <c r="E58" s="101">
        <v>299</v>
      </c>
      <c r="F58" s="101">
        <v>2012</v>
      </c>
      <c r="G58" s="101" t="s">
        <v>2440</v>
      </c>
      <c r="H58" s="101" t="s">
        <v>187</v>
      </c>
      <c r="I58" s="101" t="s">
        <v>182</v>
      </c>
      <c r="J58" s="101" t="s">
        <v>246</v>
      </c>
      <c r="K58" s="101" t="s">
        <v>272</v>
      </c>
      <c r="L58" s="101" t="s">
        <v>443</v>
      </c>
      <c r="M58" s="101" t="s">
        <v>611</v>
      </c>
      <c r="N58" s="101" t="s">
        <v>612</v>
      </c>
      <c r="O58" s="101" t="s">
        <v>2531</v>
      </c>
      <c r="P58" s="101">
        <v>48.722945600000003</v>
      </c>
      <c r="Q58" s="101">
        <v>48.722945600000003</v>
      </c>
      <c r="R58" s="101">
        <v>-4.0070023170000004</v>
      </c>
      <c r="S58" s="101" t="s">
        <v>2619</v>
      </c>
      <c r="T58" s="101">
        <v>48.709260200000003</v>
      </c>
      <c r="U58" s="101">
        <v>-3.9511435490000002</v>
      </c>
      <c r="V58" s="101">
        <v>15</v>
      </c>
      <c r="W58" s="101" t="s">
        <v>310</v>
      </c>
      <c r="X58" s="101" t="s">
        <v>155</v>
      </c>
      <c r="Y58" s="101" t="s">
        <v>999</v>
      </c>
      <c r="Z58" s="101" t="s">
        <v>1788</v>
      </c>
      <c r="AA58" s="101" t="s">
        <v>1733</v>
      </c>
      <c r="AB58" s="101" t="s">
        <v>182</v>
      </c>
      <c r="AC58" s="101" t="s">
        <v>333</v>
      </c>
      <c r="AD58" s="101" t="s">
        <v>187</v>
      </c>
      <c r="AE58" s="101" t="s">
        <v>1745</v>
      </c>
      <c r="AF58" s="101" t="s">
        <v>190</v>
      </c>
      <c r="AH58" s="101" t="s">
        <v>246</v>
      </c>
      <c r="AI58" s="101" t="s">
        <v>246</v>
      </c>
      <c r="AJ58" s="101" t="s">
        <v>1784</v>
      </c>
      <c r="AK58" s="101" t="s">
        <v>1783</v>
      </c>
      <c r="AN58" s="101" t="s">
        <v>190</v>
      </c>
      <c r="AP58" s="101" t="s">
        <v>190</v>
      </c>
      <c r="AQ58" s="101" t="s">
        <v>176</v>
      </c>
      <c r="AR58" s="101" t="s">
        <v>174</v>
      </c>
      <c r="AS58" s="101" t="s">
        <v>174</v>
      </c>
      <c r="AT58" s="101" t="s">
        <v>174</v>
      </c>
      <c r="AU58" s="101">
        <v>120</v>
      </c>
      <c r="AW58" s="101" t="s">
        <v>174</v>
      </c>
      <c r="AX58" s="101" t="s">
        <v>174</v>
      </c>
      <c r="AY58" s="101">
        <v>1.1458299999999999</v>
      </c>
      <c r="AZ58" s="101">
        <v>43.63649058</v>
      </c>
      <c r="BA58" s="101" t="s">
        <v>174</v>
      </c>
      <c r="BB58" s="101" t="s">
        <v>174</v>
      </c>
      <c r="BC58" s="101">
        <v>4</v>
      </c>
      <c r="BD58" s="101">
        <v>1</v>
      </c>
      <c r="BE58" s="101">
        <v>14</v>
      </c>
      <c r="BF58" s="101" t="s">
        <v>2256</v>
      </c>
      <c r="BG58" s="101" t="s">
        <v>2256</v>
      </c>
      <c r="BL58" s="101">
        <v>1.1458299999999999</v>
      </c>
      <c r="BM58" s="101">
        <v>43.63649058</v>
      </c>
      <c r="BN58" s="101" t="b">
        <v>0</v>
      </c>
      <c r="BO58" s="101">
        <v>83.958333333333329</v>
      </c>
      <c r="BP58" s="101" t="s">
        <v>2256</v>
      </c>
      <c r="BQ58" s="101" t="s">
        <v>2256</v>
      </c>
      <c r="BR58" s="101">
        <v>87.272981160000001</v>
      </c>
      <c r="BS58" s="101" t="s">
        <v>2531</v>
      </c>
      <c r="BU58" s="101" t="s">
        <v>174</v>
      </c>
      <c r="BV58" s="101" t="s">
        <v>174</v>
      </c>
      <c r="BW58" s="101" t="s">
        <v>174</v>
      </c>
      <c r="BX58" s="101" t="s">
        <v>174</v>
      </c>
      <c r="BY58" s="101" t="s">
        <v>1766</v>
      </c>
      <c r="BZ58" s="101" t="s">
        <v>1766</v>
      </c>
      <c r="CC58" s="101" t="s">
        <v>182</v>
      </c>
      <c r="CD58" s="101" t="s">
        <v>412</v>
      </c>
      <c r="CF58" s="101" t="s">
        <v>174</v>
      </c>
      <c r="CG58" s="101" t="s">
        <v>182</v>
      </c>
      <c r="CH58" s="101" t="s">
        <v>190</v>
      </c>
      <c r="CI58" s="101" t="s">
        <v>624</v>
      </c>
      <c r="CJ58" s="101" t="s">
        <v>610</v>
      </c>
      <c r="CK58" s="101" t="s">
        <v>175</v>
      </c>
      <c r="CL58" s="101" t="s">
        <v>2255</v>
      </c>
      <c r="CO58" s="101" t="s">
        <v>174</v>
      </c>
      <c r="CP58" s="101" t="s">
        <v>174</v>
      </c>
      <c r="CQ58" s="101" t="s">
        <v>176</v>
      </c>
      <c r="CR58" s="101" t="s">
        <v>174</v>
      </c>
      <c r="CS58" s="101" t="s">
        <v>174</v>
      </c>
      <c r="CT58" s="101" t="s">
        <v>174</v>
      </c>
      <c r="CU58" s="101" t="s">
        <v>518</v>
      </c>
    </row>
    <row r="59" spans="1:102" s="101" customFormat="1">
      <c r="A59" s="101" t="s">
        <v>1115</v>
      </c>
      <c r="B59" s="101">
        <v>70</v>
      </c>
      <c r="C59" s="101">
        <v>1</v>
      </c>
      <c r="D59" s="101">
        <v>1</v>
      </c>
      <c r="E59" s="101">
        <v>389</v>
      </c>
      <c r="F59" s="101">
        <v>1992</v>
      </c>
      <c r="G59" s="101" t="s">
        <v>2440</v>
      </c>
      <c r="H59" s="101" t="s">
        <v>187</v>
      </c>
      <c r="I59" s="101" t="s">
        <v>182</v>
      </c>
      <c r="J59" s="101" t="s">
        <v>246</v>
      </c>
      <c r="K59" s="101" t="s">
        <v>1976</v>
      </c>
      <c r="L59" s="101" t="s">
        <v>446</v>
      </c>
      <c r="M59" s="101" t="s">
        <v>449</v>
      </c>
      <c r="N59" s="101" t="s">
        <v>1374</v>
      </c>
      <c r="O59" s="101" t="s">
        <v>2556</v>
      </c>
      <c r="P59" s="101">
        <v>56.295383309999998</v>
      </c>
      <c r="Q59" s="101">
        <v>56.295383309999998</v>
      </c>
      <c r="R59" s="101">
        <v>10.43445822</v>
      </c>
      <c r="S59" s="101" t="s">
        <v>2615</v>
      </c>
      <c r="T59" s="101">
        <v>55.78060464</v>
      </c>
      <c r="U59" s="101">
        <v>10.44472844</v>
      </c>
      <c r="V59" s="101">
        <v>17</v>
      </c>
      <c r="W59" s="101" t="s">
        <v>973</v>
      </c>
      <c r="X59" s="101" t="s">
        <v>155</v>
      </c>
      <c r="Y59" s="101" t="s">
        <v>184</v>
      </c>
      <c r="Z59" s="101" t="s">
        <v>1788</v>
      </c>
      <c r="AA59" s="101" t="s">
        <v>1740</v>
      </c>
      <c r="AB59" s="101" t="s">
        <v>182</v>
      </c>
      <c r="AC59" s="101" t="s">
        <v>1725</v>
      </c>
      <c r="AD59" s="101" t="s">
        <v>187</v>
      </c>
      <c r="AE59" s="101" t="s">
        <v>1745</v>
      </c>
      <c r="AF59" s="101" t="s">
        <v>190</v>
      </c>
      <c r="AH59" s="101" t="s">
        <v>246</v>
      </c>
      <c r="AJ59" s="101" t="s">
        <v>1375</v>
      </c>
      <c r="AK59" s="101" t="s">
        <v>1379</v>
      </c>
      <c r="AL59" s="101" t="s">
        <v>174</v>
      </c>
      <c r="AM59" s="101" t="s">
        <v>412</v>
      </c>
      <c r="AN59" s="101" t="s">
        <v>190</v>
      </c>
      <c r="AP59" s="101" t="s">
        <v>190</v>
      </c>
      <c r="AQ59" s="101" t="s">
        <v>176</v>
      </c>
      <c r="AR59" s="101" t="s">
        <v>174</v>
      </c>
      <c r="AS59" s="101" t="s">
        <v>174</v>
      </c>
      <c r="AT59" s="101" t="s">
        <v>174</v>
      </c>
      <c r="AU59" s="101">
        <v>0.13300000000000001</v>
      </c>
      <c r="AV59" s="101" t="s">
        <v>1255</v>
      </c>
      <c r="AW59" s="101" t="s">
        <v>1706</v>
      </c>
      <c r="AX59" s="101">
        <v>0.05</v>
      </c>
      <c r="AY59" s="101" t="s">
        <v>174</v>
      </c>
      <c r="AZ59" s="101">
        <v>13.86294361</v>
      </c>
      <c r="BA59" s="101" t="s">
        <v>174</v>
      </c>
      <c r="BB59" s="101" t="s">
        <v>174</v>
      </c>
      <c r="BC59" s="101">
        <v>3</v>
      </c>
      <c r="BE59" s="101">
        <v>17</v>
      </c>
      <c r="BF59" s="101" t="s">
        <v>2458</v>
      </c>
      <c r="BG59" s="101" t="s">
        <v>2458</v>
      </c>
      <c r="BK59" s="101">
        <v>0.05</v>
      </c>
      <c r="BL59" s="101" t="s">
        <v>174</v>
      </c>
      <c r="BM59" s="101">
        <v>13.86294361</v>
      </c>
      <c r="BN59" s="101" t="b">
        <v>0</v>
      </c>
      <c r="BO59" s="101" t="s">
        <v>2256</v>
      </c>
      <c r="BP59" s="101" t="s">
        <v>2256</v>
      </c>
      <c r="BQ59" s="101" t="s">
        <v>2256</v>
      </c>
      <c r="BR59" s="101" t="s">
        <v>174</v>
      </c>
      <c r="BS59" s="101" t="s">
        <v>1378</v>
      </c>
      <c r="BU59" s="101">
        <v>14</v>
      </c>
      <c r="BY59" s="101">
        <v>16</v>
      </c>
      <c r="BZ59" s="101">
        <v>16</v>
      </c>
      <c r="CA59" s="101">
        <v>16</v>
      </c>
      <c r="CB59" s="101">
        <v>0</v>
      </c>
      <c r="CC59" s="101" t="s">
        <v>246</v>
      </c>
      <c r="CD59" s="101" t="s">
        <v>188</v>
      </c>
      <c r="CE59" s="101">
        <v>0</v>
      </c>
      <c r="CG59" s="101" t="s">
        <v>182</v>
      </c>
      <c r="CH59" s="101" t="s">
        <v>1116</v>
      </c>
      <c r="CJ59" s="101" t="s">
        <v>2027</v>
      </c>
      <c r="CK59" s="101" t="s">
        <v>246</v>
      </c>
      <c r="CL59" s="101" t="s">
        <v>2255</v>
      </c>
      <c r="CQ59" s="101" t="s">
        <v>182</v>
      </c>
      <c r="CR59" s="101" t="s">
        <v>174</v>
      </c>
      <c r="CS59" s="101" t="s">
        <v>174</v>
      </c>
      <c r="CT59" s="101" t="s">
        <v>1380</v>
      </c>
      <c r="CU59" s="101" t="s">
        <v>518</v>
      </c>
      <c r="CX59" s="101" t="s">
        <v>2492</v>
      </c>
    </row>
    <row r="60" spans="1:102" s="101" customFormat="1">
      <c r="A60" s="101" t="s">
        <v>1943</v>
      </c>
      <c r="B60" s="101">
        <v>74</v>
      </c>
      <c r="C60" s="101">
        <v>1</v>
      </c>
      <c r="D60" s="101">
        <v>1</v>
      </c>
      <c r="E60" s="101">
        <v>405</v>
      </c>
      <c r="F60" s="101">
        <v>2008</v>
      </c>
      <c r="G60" s="101" t="s">
        <v>2440</v>
      </c>
      <c r="H60" s="101" t="s">
        <v>161</v>
      </c>
      <c r="I60" s="101" t="s">
        <v>182</v>
      </c>
      <c r="J60" s="101" t="s">
        <v>246</v>
      </c>
      <c r="K60" s="101" t="s">
        <v>272</v>
      </c>
      <c r="L60" s="101" t="s">
        <v>443</v>
      </c>
      <c r="M60" s="101" t="s">
        <v>611</v>
      </c>
      <c r="N60" s="101" t="s">
        <v>552</v>
      </c>
      <c r="O60" s="101" t="s">
        <v>2631</v>
      </c>
      <c r="P60" s="101">
        <v>51.091667000000001</v>
      </c>
      <c r="Q60" s="101">
        <v>51.091667000000001</v>
      </c>
      <c r="R60" s="101">
        <v>2.5669439999999999</v>
      </c>
      <c r="S60" s="101" t="s">
        <v>2657</v>
      </c>
      <c r="T60" s="101">
        <v>51.091667000000001</v>
      </c>
      <c r="U60" s="101">
        <v>2.5669439999999999</v>
      </c>
      <c r="V60" s="101">
        <v>7</v>
      </c>
      <c r="W60" s="101" t="s">
        <v>1944</v>
      </c>
      <c r="X60" s="101" t="s">
        <v>155</v>
      </c>
      <c r="Y60" s="101" t="s">
        <v>999</v>
      </c>
      <c r="Z60" s="101" t="s">
        <v>1788</v>
      </c>
      <c r="AA60" s="101" t="s">
        <v>2327</v>
      </c>
      <c r="AB60" s="101" t="s">
        <v>182</v>
      </c>
      <c r="AC60" s="101" t="s">
        <v>1256</v>
      </c>
      <c r="AD60" s="101" t="s">
        <v>1306</v>
      </c>
      <c r="AE60" s="101" t="s">
        <v>1745</v>
      </c>
      <c r="AG60" s="101" t="s">
        <v>1947</v>
      </c>
      <c r="AH60" s="101" t="s">
        <v>182</v>
      </c>
      <c r="AI60" s="101" t="s">
        <v>1945</v>
      </c>
      <c r="AJ60" s="101" t="s">
        <v>171</v>
      </c>
      <c r="AN60" s="101">
        <v>0.12</v>
      </c>
      <c r="AP60" s="101" t="s">
        <v>190</v>
      </c>
      <c r="AQ60" s="101" t="s">
        <v>176</v>
      </c>
      <c r="AR60" s="101">
        <v>2001</v>
      </c>
      <c r="AS60" s="101" t="s">
        <v>743</v>
      </c>
      <c r="AT60" s="101" t="s">
        <v>385</v>
      </c>
      <c r="AU60" s="101">
        <v>4</v>
      </c>
      <c r="AV60" s="101" t="s">
        <v>1255</v>
      </c>
      <c r="AW60" s="101" t="s">
        <v>181</v>
      </c>
      <c r="BC60" s="101">
        <v>3</v>
      </c>
      <c r="BD60" s="101">
        <v>2</v>
      </c>
      <c r="BE60" s="101">
        <v>21</v>
      </c>
      <c r="BF60" s="101" t="s">
        <v>1396</v>
      </c>
      <c r="BG60" s="101" t="s">
        <v>1396</v>
      </c>
      <c r="BH60" s="101">
        <v>0.99429999999999996</v>
      </c>
      <c r="BL60" s="101">
        <v>2.3028571430000002</v>
      </c>
      <c r="BM60" s="101">
        <v>21.712158809999998</v>
      </c>
      <c r="BN60" s="101" t="b">
        <v>0</v>
      </c>
      <c r="BO60" s="101">
        <v>51.64</v>
      </c>
      <c r="BP60" s="101" t="s">
        <v>2256</v>
      </c>
      <c r="BQ60" s="101" t="s">
        <v>2256</v>
      </c>
      <c r="BR60" s="101">
        <v>43.424317619999997</v>
      </c>
      <c r="BS60" s="101" t="s">
        <v>1975</v>
      </c>
      <c r="BU60" s="101">
        <v>11.2</v>
      </c>
      <c r="BV60" s="101">
        <v>17.57</v>
      </c>
      <c r="CC60" s="101" t="s">
        <v>246</v>
      </c>
      <c r="CD60" s="101" t="s">
        <v>188</v>
      </c>
      <c r="CE60" s="101">
        <v>0</v>
      </c>
      <c r="CG60" s="101" t="s">
        <v>182</v>
      </c>
      <c r="CL60" s="101" t="s">
        <v>2255</v>
      </c>
    </row>
    <row r="61" spans="1:102" s="101" customFormat="1">
      <c r="A61" s="101" t="s">
        <v>1920</v>
      </c>
      <c r="B61" s="101">
        <v>75</v>
      </c>
      <c r="C61" s="101">
        <v>1</v>
      </c>
      <c r="D61" s="101">
        <v>1</v>
      </c>
      <c r="E61" s="101">
        <v>411</v>
      </c>
      <c r="F61" s="101">
        <v>2021</v>
      </c>
      <c r="G61" s="101" t="s">
        <v>2440</v>
      </c>
      <c r="H61" s="101" t="s">
        <v>161</v>
      </c>
      <c r="I61" s="101" t="s">
        <v>246</v>
      </c>
      <c r="J61" s="101" t="s">
        <v>246</v>
      </c>
      <c r="K61" s="101" t="s">
        <v>1976</v>
      </c>
      <c r="L61" s="101" t="s">
        <v>446</v>
      </c>
      <c r="M61" s="101" t="s">
        <v>1938</v>
      </c>
      <c r="N61" s="101" t="s">
        <v>1939</v>
      </c>
      <c r="O61" s="101" t="s">
        <v>2554</v>
      </c>
      <c r="P61" s="101">
        <v>50.69124265</v>
      </c>
      <c r="Q61" s="101">
        <v>50.69124265</v>
      </c>
      <c r="R61" s="101">
        <v>-1.936478323</v>
      </c>
      <c r="S61" s="101" t="s">
        <v>2628</v>
      </c>
      <c r="T61" s="101">
        <v>50.418994769999998</v>
      </c>
      <c r="U61" s="101">
        <v>-4.0909757830000002</v>
      </c>
      <c r="V61" s="101">
        <v>54</v>
      </c>
      <c r="W61" s="101" t="s">
        <v>160</v>
      </c>
      <c r="X61" s="101" t="s">
        <v>155</v>
      </c>
      <c r="Y61" s="101" t="s">
        <v>999</v>
      </c>
      <c r="Z61" s="101" t="s">
        <v>1788</v>
      </c>
      <c r="AA61" s="101" t="s">
        <v>1936</v>
      </c>
      <c r="AB61" s="101" t="s">
        <v>182</v>
      </c>
      <c r="AC61" s="101" t="s">
        <v>333</v>
      </c>
      <c r="AD61" s="101" t="s">
        <v>1306</v>
      </c>
      <c r="AE61" s="101" t="s">
        <v>1745</v>
      </c>
      <c r="AG61" s="101" t="s">
        <v>1941</v>
      </c>
      <c r="AH61" s="101" t="s">
        <v>246</v>
      </c>
      <c r="AI61" s="101" t="s">
        <v>246</v>
      </c>
      <c r="AJ61" s="101" t="s">
        <v>171</v>
      </c>
      <c r="AN61" s="101">
        <v>1</v>
      </c>
      <c r="AQ61" s="101" t="s">
        <v>176</v>
      </c>
      <c r="AR61" s="101">
        <v>2014</v>
      </c>
      <c r="AS61" s="101" t="s">
        <v>253</v>
      </c>
      <c r="AT61" s="101" t="s">
        <v>254</v>
      </c>
      <c r="AU61" s="101">
        <v>9</v>
      </c>
      <c r="AY61" s="101">
        <v>2.613</v>
      </c>
      <c r="AZ61" s="101">
        <v>19.13509376</v>
      </c>
      <c r="BB61" s="101">
        <v>38.27018752</v>
      </c>
      <c r="BC61" s="101">
        <v>3</v>
      </c>
      <c r="BD61" s="101">
        <v>1</v>
      </c>
      <c r="BE61" s="101">
        <v>31</v>
      </c>
      <c r="BF61" s="101" t="s">
        <v>2256</v>
      </c>
      <c r="BG61" s="101" t="s">
        <v>2256</v>
      </c>
      <c r="BL61" s="101">
        <v>2.613</v>
      </c>
      <c r="BM61" s="101">
        <v>19.13509376</v>
      </c>
      <c r="BN61" s="101" t="b">
        <v>0</v>
      </c>
      <c r="BO61" s="101">
        <v>19</v>
      </c>
      <c r="BP61" s="101" t="s">
        <v>2256</v>
      </c>
      <c r="BQ61" s="101" t="s">
        <v>2256</v>
      </c>
      <c r="BS61" s="101" t="s">
        <v>194</v>
      </c>
      <c r="CC61" s="101" t="s">
        <v>182</v>
      </c>
      <c r="CD61" s="101" t="s">
        <v>412</v>
      </c>
      <c r="CL61" s="101" t="s">
        <v>2255</v>
      </c>
    </row>
    <row r="62" spans="1:102" s="101" customFormat="1">
      <c r="A62" s="101" t="s">
        <v>2180</v>
      </c>
      <c r="B62" s="101">
        <v>77</v>
      </c>
      <c r="C62" s="101">
        <v>2</v>
      </c>
      <c r="D62" s="101">
        <v>1</v>
      </c>
      <c r="E62" s="101">
        <v>415</v>
      </c>
      <c r="F62" s="101">
        <v>2011</v>
      </c>
      <c r="G62" s="101" t="s">
        <v>2440</v>
      </c>
      <c r="H62" s="101" t="s">
        <v>187</v>
      </c>
      <c r="I62" s="101" t="s">
        <v>246</v>
      </c>
      <c r="J62" s="101" t="s">
        <v>246</v>
      </c>
      <c r="K62" s="101" t="s">
        <v>272</v>
      </c>
      <c r="L62" s="101" t="s">
        <v>443</v>
      </c>
      <c r="M62" s="101" t="s">
        <v>611</v>
      </c>
      <c r="N62" s="101" t="s">
        <v>612</v>
      </c>
      <c r="O62" s="101" t="s">
        <v>2531</v>
      </c>
      <c r="P62" s="101">
        <v>51.351777050000003</v>
      </c>
      <c r="Q62" s="101">
        <v>51.351777050000003</v>
      </c>
      <c r="R62" s="101">
        <v>3.7341097190000001</v>
      </c>
      <c r="S62" s="101" t="s">
        <v>2637</v>
      </c>
      <c r="T62" s="101">
        <v>51.351777050000003</v>
      </c>
      <c r="U62" s="101">
        <v>3.7341097190000001</v>
      </c>
      <c r="V62" s="101">
        <v>7</v>
      </c>
      <c r="W62" s="101" t="s">
        <v>1971</v>
      </c>
      <c r="X62" s="101" t="s">
        <v>155</v>
      </c>
      <c r="Y62" s="101" t="s">
        <v>999</v>
      </c>
      <c r="Z62" s="101" t="s">
        <v>1788</v>
      </c>
      <c r="AA62" s="101" t="s">
        <v>1972</v>
      </c>
      <c r="AB62" s="101" t="s">
        <v>182</v>
      </c>
      <c r="AC62" s="101" t="s">
        <v>1256</v>
      </c>
      <c r="AD62" s="101" t="s">
        <v>1087</v>
      </c>
      <c r="AE62" s="101" t="s">
        <v>1745</v>
      </c>
      <c r="AH62" s="101" t="s">
        <v>246</v>
      </c>
      <c r="AI62" s="101" t="s">
        <v>246</v>
      </c>
      <c r="AJ62" s="101" t="s">
        <v>1973</v>
      </c>
      <c r="AK62" s="101" t="s">
        <v>1974</v>
      </c>
      <c r="AL62" s="101">
        <v>9</v>
      </c>
      <c r="AM62" s="101" t="s">
        <v>1903</v>
      </c>
      <c r="AQ62" s="101" t="s">
        <v>176</v>
      </c>
      <c r="AU62" s="101">
        <v>1.2</v>
      </c>
      <c r="BC62" s="101">
        <v>3</v>
      </c>
      <c r="BD62" s="101">
        <v>1</v>
      </c>
      <c r="BE62" s="101">
        <v>9</v>
      </c>
      <c r="BF62" s="101" t="s">
        <v>2256</v>
      </c>
      <c r="BG62" s="101" t="s">
        <v>2256</v>
      </c>
      <c r="BL62" s="101">
        <v>2.6440000000000001</v>
      </c>
      <c r="BM62" s="101">
        <v>18.910741300000002</v>
      </c>
      <c r="BN62" s="101" t="b">
        <v>0</v>
      </c>
      <c r="BO62" s="101">
        <v>76.489999999999995</v>
      </c>
      <c r="BP62" s="101" t="s">
        <v>2256</v>
      </c>
      <c r="BQ62" s="101" t="s">
        <v>2256</v>
      </c>
      <c r="BR62" s="101">
        <v>37.821482600000003</v>
      </c>
      <c r="BY62" s="101">
        <v>22</v>
      </c>
      <c r="BZ62" s="101">
        <v>22</v>
      </c>
      <c r="CA62" s="101">
        <v>22</v>
      </c>
      <c r="CB62" s="101">
        <v>0</v>
      </c>
      <c r="CC62" s="101" t="s">
        <v>246</v>
      </c>
      <c r="CD62" s="101" t="s">
        <v>188</v>
      </c>
      <c r="CE62" s="101">
        <v>0</v>
      </c>
      <c r="CG62" s="101" t="s">
        <v>246</v>
      </c>
      <c r="CJ62" s="101" t="s">
        <v>2159</v>
      </c>
      <c r="CL62" s="101" t="s">
        <v>2255</v>
      </c>
    </row>
    <row r="63" spans="1:102" s="101" customFormat="1">
      <c r="A63" s="101" t="s">
        <v>1962</v>
      </c>
      <c r="B63" s="101">
        <v>78</v>
      </c>
      <c r="C63" s="101">
        <v>1</v>
      </c>
      <c r="D63" s="101">
        <v>1</v>
      </c>
      <c r="E63" s="101">
        <v>422</v>
      </c>
      <c r="F63" s="101">
        <v>2023</v>
      </c>
      <c r="G63" s="101" t="s">
        <v>2440</v>
      </c>
      <c r="H63" s="101" t="s">
        <v>161</v>
      </c>
      <c r="I63" s="101" t="s">
        <v>182</v>
      </c>
      <c r="J63" s="101" t="s">
        <v>246</v>
      </c>
      <c r="K63" s="101" t="s">
        <v>152</v>
      </c>
      <c r="L63" s="101" t="s">
        <v>443</v>
      </c>
      <c r="M63" s="101" t="s">
        <v>437</v>
      </c>
      <c r="N63" s="101" t="s">
        <v>438</v>
      </c>
      <c r="O63" s="101" t="s">
        <v>441</v>
      </c>
      <c r="P63" s="101">
        <v>35.048611000000001</v>
      </c>
      <c r="Q63" s="101">
        <v>35.048611000000001</v>
      </c>
      <c r="R63" s="101">
        <v>128.97222199999999</v>
      </c>
      <c r="S63" s="101" t="s">
        <v>2683</v>
      </c>
      <c r="T63" s="101">
        <v>35.048611000000001</v>
      </c>
      <c r="U63" s="101">
        <v>128.97222199999999</v>
      </c>
      <c r="V63" s="101">
        <v>3</v>
      </c>
      <c r="W63" s="101" t="s">
        <v>1978</v>
      </c>
      <c r="X63" s="101" t="s">
        <v>380</v>
      </c>
      <c r="Y63" s="101" t="s">
        <v>999</v>
      </c>
      <c r="Z63" s="101" t="s">
        <v>1788</v>
      </c>
      <c r="AA63" s="101" t="s">
        <v>1979</v>
      </c>
      <c r="AB63" s="101" t="s">
        <v>182</v>
      </c>
      <c r="AC63" s="101" t="s">
        <v>1256</v>
      </c>
      <c r="AD63" s="101" t="s">
        <v>1306</v>
      </c>
      <c r="AE63" s="101" t="s">
        <v>1745</v>
      </c>
      <c r="AG63" s="101" t="s">
        <v>1980</v>
      </c>
      <c r="AH63" s="101" t="s">
        <v>246</v>
      </c>
      <c r="AI63" s="101" t="s">
        <v>246</v>
      </c>
      <c r="AJ63" s="101" t="s">
        <v>171</v>
      </c>
      <c r="AN63" s="101">
        <v>1</v>
      </c>
      <c r="AQ63" s="101" t="s">
        <v>176</v>
      </c>
      <c r="AU63" s="101">
        <v>10</v>
      </c>
      <c r="AV63" s="101" t="s">
        <v>1255</v>
      </c>
      <c r="AW63" s="101" t="s">
        <v>1982</v>
      </c>
      <c r="BC63" s="101">
        <v>3</v>
      </c>
      <c r="BD63" s="101">
        <v>10</v>
      </c>
      <c r="BE63" s="101">
        <v>70</v>
      </c>
      <c r="BF63" s="101" t="s">
        <v>1385</v>
      </c>
      <c r="BG63" s="101" t="s">
        <v>2603</v>
      </c>
      <c r="BH63" s="101">
        <v>0.999</v>
      </c>
      <c r="BK63" s="101">
        <v>0.21640000000000001</v>
      </c>
      <c r="BM63" s="101">
        <v>3.49</v>
      </c>
      <c r="BN63" s="101" t="b">
        <v>0</v>
      </c>
      <c r="BO63" s="101">
        <v>5.8090000000000002</v>
      </c>
      <c r="BP63" s="101">
        <v>5.8090000000000002</v>
      </c>
      <c r="BQ63" s="101" t="s">
        <v>182</v>
      </c>
      <c r="BS63" s="101" t="s">
        <v>2473</v>
      </c>
      <c r="BU63" s="101">
        <v>11.17</v>
      </c>
      <c r="BV63" s="101">
        <v>6.87</v>
      </c>
      <c r="CC63" s="101" t="s">
        <v>182</v>
      </c>
      <c r="CD63" s="101" t="s">
        <v>412</v>
      </c>
      <c r="CG63" s="101" t="s">
        <v>182</v>
      </c>
      <c r="CI63" s="101" t="s">
        <v>1990</v>
      </c>
      <c r="CL63" s="101" t="s">
        <v>2255</v>
      </c>
    </row>
    <row r="64" spans="1:102" s="101" customFormat="1">
      <c r="A64" s="101" t="s">
        <v>2921</v>
      </c>
      <c r="B64" s="101">
        <v>102</v>
      </c>
      <c r="C64" s="101">
        <v>1</v>
      </c>
      <c r="D64" s="101">
        <v>1</v>
      </c>
      <c r="E64" s="101">
        <v>529</v>
      </c>
      <c r="F64" s="101">
        <v>2007</v>
      </c>
      <c r="G64" s="101" t="s">
        <v>2440</v>
      </c>
      <c r="H64" s="101" t="s">
        <v>161</v>
      </c>
      <c r="I64" s="101" t="s">
        <v>182</v>
      </c>
      <c r="J64" s="101" t="s">
        <v>246</v>
      </c>
      <c r="K64" s="101" t="s">
        <v>272</v>
      </c>
      <c r="L64" s="101" t="s">
        <v>443</v>
      </c>
      <c r="M64" s="101" t="s">
        <v>256</v>
      </c>
      <c r="N64" s="101" t="s">
        <v>257</v>
      </c>
      <c r="O64" s="101" t="s">
        <v>2536</v>
      </c>
      <c r="P64" s="101">
        <v>42.580556000000001</v>
      </c>
      <c r="Q64" s="101">
        <v>42.580556000000001</v>
      </c>
      <c r="R64" s="101">
        <v>-9.1458329999999997</v>
      </c>
      <c r="S64" s="101" t="s">
        <v>3029</v>
      </c>
      <c r="W64" s="101" t="s">
        <v>419</v>
      </c>
      <c r="X64" s="101" t="s">
        <v>155</v>
      </c>
      <c r="Y64" s="101" t="s">
        <v>999</v>
      </c>
      <c r="Z64" s="101" t="s">
        <v>1788</v>
      </c>
      <c r="AA64" s="101" t="s">
        <v>333</v>
      </c>
      <c r="AB64" s="101" t="s">
        <v>246</v>
      </c>
      <c r="AC64" s="101" t="s">
        <v>333</v>
      </c>
      <c r="AD64" s="101" t="s">
        <v>1306</v>
      </c>
      <c r="AE64" s="101" t="s">
        <v>1745</v>
      </c>
      <c r="AG64" s="101" t="s">
        <v>3030</v>
      </c>
      <c r="AH64" s="101" t="s">
        <v>246</v>
      </c>
      <c r="AI64" s="101" t="s">
        <v>246</v>
      </c>
      <c r="AR64" s="101">
        <v>2004</v>
      </c>
      <c r="AS64" s="101" t="s">
        <v>236</v>
      </c>
      <c r="AT64" s="101" t="s">
        <v>420</v>
      </c>
      <c r="AU64" s="101">
        <v>1000</v>
      </c>
      <c r="BC64" s="101">
        <v>3</v>
      </c>
      <c r="BD64" s="101">
        <v>3</v>
      </c>
      <c r="BE64" s="101">
        <v>21</v>
      </c>
      <c r="BF64" s="101" t="s">
        <v>1385</v>
      </c>
      <c r="BG64" s="101" t="s">
        <v>2603</v>
      </c>
      <c r="BH64" s="101">
        <v>0.98780000000000001</v>
      </c>
      <c r="BK64" s="101">
        <v>0.35970000000000002</v>
      </c>
      <c r="BM64" s="101">
        <v>3.030859</v>
      </c>
      <c r="BN64" s="101" t="b">
        <v>0</v>
      </c>
      <c r="BO64" s="101">
        <v>22.146999999999998</v>
      </c>
      <c r="BP64" s="101">
        <v>22.146999999999998</v>
      </c>
      <c r="BQ64" s="101" t="s">
        <v>182</v>
      </c>
      <c r="BS64" s="101" t="s">
        <v>3032</v>
      </c>
      <c r="BY64" s="101">
        <v>18.399999999999999</v>
      </c>
      <c r="BZ64" s="101">
        <v>29</v>
      </c>
      <c r="CA64" s="101">
        <v>23.7</v>
      </c>
      <c r="CB64" s="101">
        <v>10.600000000000001</v>
      </c>
      <c r="CD64" s="101" t="s">
        <v>412</v>
      </c>
    </row>
    <row r="65" spans="1:100" s="99" customFormat="1">
      <c r="A65" s="99" t="s">
        <v>690</v>
      </c>
      <c r="B65" s="99">
        <v>1</v>
      </c>
      <c r="C65" s="99">
        <v>1</v>
      </c>
      <c r="D65" s="99">
        <v>2</v>
      </c>
      <c r="E65" s="99">
        <v>6</v>
      </c>
      <c r="F65" s="99">
        <v>1994</v>
      </c>
      <c r="G65" s="99" t="s">
        <v>2441</v>
      </c>
      <c r="H65" s="99" t="s">
        <v>187</v>
      </c>
      <c r="I65" s="99" t="s">
        <v>246</v>
      </c>
      <c r="J65" s="99" t="s">
        <v>246</v>
      </c>
      <c r="K65" s="99" t="s">
        <v>272</v>
      </c>
      <c r="L65" s="99" t="s">
        <v>443</v>
      </c>
      <c r="M65" s="99" t="s">
        <v>611</v>
      </c>
      <c r="N65" s="99" t="s">
        <v>612</v>
      </c>
      <c r="O65" s="99" t="s">
        <v>2531</v>
      </c>
      <c r="P65" s="99">
        <v>41.531625720000001</v>
      </c>
      <c r="Q65" s="99">
        <v>41.531625720000001</v>
      </c>
      <c r="R65" s="99">
        <v>-70.673833439999996</v>
      </c>
      <c r="S65" s="99" t="s">
        <v>2699</v>
      </c>
      <c r="T65" s="99">
        <v>41.973549300000002</v>
      </c>
      <c r="U65" s="99">
        <v>-70.943533619999997</v>
      </c>
      <c r="V65" s="99">
        <v>37</v>
      </c>
      <c r="W65" s="99" t="s">
        <v>276</v>
      </c>
      <c r="X65" s="99" t="s">
        <v>586</v>
      </c>
      <c r="Y65" s="99" t="s">
        <v>186</v>
      </c>
      <c r="Z65" s="99" t="s">
        <v>1788</v>
      </c>
      <c r="AA65" s="99" t="s">
        <v>1728</v>
      </c>
      <c r="AB65" s="99" t="s">
        <v>182</v>
      </c>
      <c r="AC65" s="99" t="s">
        <v>333</v>
      </c>
      <c r="AD65" s="99" t="s">
        <v>187</v>
      </c>
      <c r="AE65" s="99" t="s">
        <v>190</v>
      </c>
      <c r="AF65" s="99" t="s">
        <v>190</v>
      </c>
      <c r="AH65" s="99" t="s">
        <v>246</v>
      </c>
      <c r="AI65" s="99" t="s">
        <v>246</v>
      </c>
      <c r="AJ65" s="99" t="s">
        <v>698</v>
      </c>
      <c r="AK65" s="99" t="s">
        <v>723</v>
      </c>
      <c r="AL65" s="99">
        <v>300</v>
      </c>
      <c r="AM65" s="99" t="s">
        <v>1216</v>
      </c>
      <c r="AO65" s="99">
        <v>6.9999999999999994E-5</v>
      </c>
      <c r="AP65" s="99">
        <v>395</v>
      </c>
      <c r="AQ65" s="99" t="s">
        <v>176</v>
      </c>
      <c r="AR65" s="99" t="s">
        <v>174</v>
      </c>
      <c r="AS65" s="99" t="s">
        <v>174</v>
      </c>
      <c r="AT65" s="99" t="s">
        <v>174</v>
      </c>
      <c r="AU65" s="99">
        <v>25</v>
      </c>
      <c r="AW65" s="99" t="s">
        <v>174</v>
      </c>
      <c r="AX65" s="99" t="s">
        <v>174</v>
      </c>
      <c r="AY65" s="99" t="s">
        <v>174</v>
      </c>
      <c r="AZ65" s="99" t="s">
        <v>174</v>
      </c>
      <c r="BA65" s="99" t="s">
        <v>174</v>
      </c>
      <c r="BB65" s="99" t="s">
        <v>174</v>
      </c>
      <c r="BC65" s="99">
        <v>6</v>
      </c>
      <c r="BD65" s="99">
        <v>2</v>
      </c>
      <c r="BE65" s="99">
        <v>5</v>
      </c>
      <c r="BF65" s="99" t="s">
        <v>2347</v>
      </c>
      <c r="BG65" s="99" t="s">
        <v>2603</v>
      </c>
      <c r="BH65" s="99">
        <v>0.84</v>
      </c>
      <c r="BK65" s="99">
        <v>0.44</v>
      </c>
      <c r="BM65" s="99">
        <v>1.5</v>
      </c>
      <c r="BN65" s="99" t="b">
        <v>0</v>
      </c>
      <c r="BO65" s="99">
        <v>24.556962025316455</v>
      </c>
      <c r="BP65" s="99" t="s">
        <v>2256</v>
      </c>
      <c r="BQ65" s="99" t="s">
        <v>2256</v>
      </c>
      <c r="BR65" s="99" t="s">
        <v>174</v>
      </c>
      <c r="BS65" s="99" t="s">
        <v>708</v>
      </c>
      <c r="BU65" s="99" t="s">
        <v>174</v>
      </c>
      <c r="BV65" s="99">
        <v>6.6</v>
      </c>
      <c r="BW65" s="99" t="s">
        <v>174</v>
      </c>
      <c r="BX65" s="99">
        <v>44.6</v>
      </c>
      <c r="BY65" s="99">
        <v>15</v>
      </c>
      <c r="BZ65" s="99">
        <v>15</v>
      </c>
      <c r="CA65" s="99">
        <v>15</v>
      </c>
      <c r="CB65" s="99">
        <v>0</v>
      </c>
      <c r="CC65" s="99" t="s">
        <v>246</v>
      </c>
      <c r="CD65" s="99" t="s">
        <v>188</v>
      </c>
      <c r="CE65" s="99">
        <v>0</v>
      </c>
      <c r="CG65" s="99" t="s">
        <v>182</v>
      </c>
      <c r="CH65" s="99" t="s">
        <v>700</v>
      </c>
      <c r="CI65" s="99" t="s">
        <v>701</v>
      </c>
      <c r="CK65" s="99" t="s">
        <v>175</v>
      </c>
      <c r="CO65" s="99" t="s">
        <v>174</v>
      </c>
      <c r="CP65" s="99" t="s">
        <v>174</v>
      </c>
      <c r="CQ65" s="99" t="s">
        <v>176</v>
      </c>
      <c r="CR65" s="99" t="s">
        <v>174</v>
      </c>
      <c r="CS65" s="99" t="s">
        <v>190</v>
      </c>
      <c r="CT65" s="99" t="s">
        <v>190</v>
      </c>
      <c r="CU65" s="99" t="s">
        <v>190</v>
      </c>
      <c r="CV65" s="99" t="s">
        <v>194</v>
      </c>
    </row>
    <row r="66" spans="1:100" s="99" customFormat="1">
      <c r="A66" s="99" t="s">
        <v>1106</v>
      </c>
      <c r="B66" s="99">
        <v>10</v>
      </c>
      <c r="C66" s="99">
        <v>1</v>
      </c>
      <c r="D66" s="99">
        <v>1</v>
      </c>
      <c r="E66" s="99">
        <v>38</v>
      </c>
      <c r="F66" s="99">
        <v>2020</v>
      </c>
      <c r="G66" s="99" t="s">
        <v>2441</v>
      </c>
      <c r="H66" s="99" t="s">
        <v>187</v>
      </c>
      <c r="I66" s="99" t="s">
        <v>182</v>
      </c>
      <c r="J66" s="99" t="s">
        <v>182</v>
      </c>
      <c r="K66" s="99" t="s">
        <v>1976</v>
      </c>
      <c r="L66" s="99" t="s">
        <v>444</v>
      </c>
      <c r="M66" s="99" t="s">
        <v>445</v>
      </c>
      <c r="N66" s="99" t="s">
        <v>811</v>
      </c>
      <c r="O66" s="99" t="s">
        <v>2550</v>
      </c>
      <c r="P66" s="99">
        <v>35.96</v>
      </c>
      <c r="Q66" s="99">
        <v>35.96</v>
      </c>
      <c r="R66" s="99">
        <v>120.25</v>
      </c>
      <c r="T66" s="99">
        <v>36.756604709999998</v>
      </c>
      <c r="U66" s="99">
        <v>121.8403284</v>
      </c>
      <c r="V66" s="99">
        <v>7</v>
      </c>
      <c r="W66" s="99" t="s">
        <v>185</v>
      </c>
      <c r="X66" s="99" t="s">
        <v>380</v>
      </c>
      <c r="Y66" s="99" t="s">
        <v>186</v>
      </c>
      <c r="Z66" s="99" t="s">
        <v>1788</v>
      </c>
      <c r="AA66" s="99" t="s">
        <v>333</v>
      </c>
      <c r="AB66" s="99" t="s">
        <v>246</v>
      </c>
      <c r="AC66" s="99" t="s">
        <v>1256</v>
      </c>
      <c r="AD66" s="99" t="s">
        <v>187</v>
      </c>
      <c r="AE66" s="99" t="s">
        <v>190</v>
      </c>
      <c r="AF66" s="99" t="s">
        <v>190</v>
      </c>
      <c r="AH66" s="99" t="s">
        <v>246</v>
      </c>
      <c r="AI66" s="99" t="s">
        <v>246</v>
      </c>
      <c r="AJ66" s="99" t="s">
        <v>1107</v>
      </c>
      <c r="AK66" s="99" t="s">
        <v>1086</v>
      </c>
      <c r="AL66" s="99">
        <v>18000</v>
      </c>
      <c r="AM66" s="99" t="s">
        <v>1216</v>
      </c>
      <c r="AO66" s="99">
        <v>6.9999999999999994E-5</v>
      </c>
      <c r="AP66" s="99">
        <v>6248</v>
      </c>
      <c r="AQ66" s="99" t="s">
        <v>176</v>
      </c>
      <c r="AR66" s="99">
        <v>2016</v>
      </c>
      <c r="AS66" s="99" t="s">
        <v>174</v>
      </c>
      <c r="AT66" s="99" t="s">
        <v>174</v>
      </c>
      <c r="AU66" s="99">
        <v>180</v>
      </c>
      <c r="AV66" s="99" t="s">
        <v>1256</v>
      </c>
      <c r="AW66" s="99" t="s">
        <v>174</v>
      </c>
      <c r="AX66" s="99" t="s">
        <v>174</v>
      </c>
      <c r="AY66" s="99" t="s">
        <v>174</v>
      </c>
      <c r="AZ66" s="99" t="s">
        <v>174</v>
      </c>
      <c r="BA66" s="99" t="s">
        <v>174</v>
      </c>
      <c r="BB66" s="99" t="s">
        <v>174</v>
      </c>
      <c r="BC66" s="99">
        <v>3</v>
      </c>
      <c r="BD66" s="99">
        <v>25</v>
      </c>
      <c r="BE66" s="99">
        <v>520</v>
      </c>
      <c r="BF66" s="99" t="s">
        <v>2382</v>
      </c>
      <c r="BG66" s="99" t="s">
        <v>2603</v>
      </c>
      <c r="BH66" s="99">
        <v>0.99</v>
      </c>
      <c r="BI66" s="99" t="s">
        <v>1385</v>
      </c>
      <c r="BJ66" s="99">
        <v>0.86699999999999999</v>
      </c>
      <c r="BK66" s="99">
        <v>6.2E-2</v>
      </c>
      <c r="BM66" s="99">
        <v>14.32</v>
      </c>
      <c r="BN66" s="99" t="b">
        <v>0</v>
      </c>
      <c r="BO66" s="99">
        <v>6.5941101152368757</v>
      </c>
      <c r="BP66" s="99">
        <v>5.6079999999999997</v>
      </c>
      <c r="BQ66" s="99" t="s">
        <v>182</v>
      </c>
      <c r="BR66" s="99" t="s">
        <v>174</v>
      </c>
      <c r="BS66" s="99" t="s">
        <v>1111</v>
      </c>
      <c r="BU66" s="99" t="s">
        <v>174</v>
      </c>
      <c r="BV66" s="99" t="s">
        <v>174</v>
      </c>
      <c r="BW66" s="99" t="s">
        <v>174</v>
      </c>
      <c r="BX66" s="99" t="s">
        <v>174</v>
      </c>
      <c r="BY66" s="99">
        <v>20</v>
      </c>
      <c r="BZ66" s="99">
        <v>25</v>
      </c>
      <c r="CA66" s="99">
        <v>22.5</v>
      </c>
      <c r="CB66" s="99">
        <v>5</v>
      </c>
      <c r="CC66" s="99" t="s">
        <v>246</v>
      </c>
      <c r="CD66" s="99" t="s">
        <v>188</v>
      </c>
      <c r="CE66" s="99">
        <v>0</v>
      </c>
      <c r="CG66" s="99" t="s">
        <v>182</v>
      </c>
      <c r="CH66" s="99" t="s">
        <v>1108</v>
      </c>
      <c r="CI66" s="99" t="s">
        <v>1109</v>
      </c>
      <c r="CK66" s="99" t="s">
        <v>246</v>
      </c>
      <c r="CO66" s="99" t="s">
        <v>174</v>
      </c>
      <c r="CP66" s="99" t="s">
        <v>174</v>
      </c>
      <c r="CQ66" s="99" t="s">
        <v>246</v>
      </c>
      <c r="CR66" s="99" t="s">
        <v>174</v>
      </c>
      <c r="CS66" s="99" t="s">
        <v>174</v>
      </c>
      <c r="CT66" s="99" t="s">
        <v>174</v>
      </c>
      <c r="CU66" s="99" t="s">
        <v>190</v>
      </c>
      <c r="CV66" s="99" t="s">
        <v>2145</v>
      </c>
    </row>
    <row r="67" spans="1:100" s="99" customFormat="1">
      <c r="A67" s="99" t="s">
        <v>2095</v>
      </c>
      <c r="B67" s="99">
        <v>20</v>
      </c>
      <c r="C67" s="99">
        <v>3</v>
      </c>
      <c r="D67" s="99">
        <v>1</v>
      </c>
      <c r="E67" s="99">
        <v>501</v>
      </c>
      <c r="F67" s="99">
        <v>1981</v>
      </c>
      <c r="G67" s="99" t="s">
        <v>2441</v>
      </c>
      <c r="H67" s="99" t="s">
        <v>187</v>
      </c>
      <c r="I67" s="99" t="s">
        <v>246</v>
      </c>
      <c r="J67" s="99" t="s">
        <v>246</v>
      </c>
      <c r="K67" s="99" t="s">
        <v>152</v>
      </c>
      <c r="L67" s="99" t="s">
        <v>443</v>
      </c>
      <c r="M67" s="99" t="s">
        <v>156</v>
      </c>
      <c r="N67" s="99" t="s">
        <v>778</v>
      </c>
      <c r="O67" s="99" t="s">
        <v>2543</v>
      </c>
      <c r="P67" s="99">
        <v>-33.986716520000002</v>
      </c>
      <c r="Q67" s="99">
        <v>33.986716520000002</v>
      </c>
      <c r="R67" s="99">
        <v>18.349413460000001</v>
      </c>
      <c r="S67" s="99" t="s">
        <v>2660</v>
      </c>
      <c r="T67" s="99">
        <v>-34.084564139999998</v>
      </c>
      <c r="U67" s="99">
        <v>18.299239969999999</v>
      </c>
      <c r="V67" s="99">
        <v>8</v>
      </c>
      <c r="W67" s="99" t="s">
        <v>770</v>
      </c>
      <c r="X67" s="99" t="s">
        <v>1721</v>
      </c>
      <c r="Y67" s="99" t="s">
        <v>184</v>
      </c>
      <c r="Z67" s="99" t="s">
        <v>1788</v>
      </c>
      <c r="AA67" s="99" t="s">
        <v>2107</v>
      </c>
      <c r="AB67" s="99" t="s">
        <v>182</v>
      </c>
      <c r="AC67" s="99" t="s">
        <v>182</v>
      </c>
      <c r="AD67" s="99" t="s">
        <v>187</v>
      </c>
      <c r="AE67" s="99" t="s">
        <v>190</v>
      </c>
      <c r="AH67" s="99" t="s">
        <v>246</v>
      </c>
      <c r="AI67" s="99" t="s">
        <v>246</v>
      </c>
      <c r="AJ67" s="99" t="s">
        <v>2108</v>
      </c>
      <c r="AK67" s="99" t="s">
        <v>2109</v>
      </c>
      <c r="AM67" s="99" t="s">
        <v>412</v>
      </c>
      <c r="AQ67" s="99" t="s">
        <v>176</v>
      </c>
      <c r="AU67" s="99">
        <v>0.5</v>
      </c>
      <c r="BC67" s="99">
        <v>1</v>
      </c>
      <c r="BD67" s="99">
        <v>9</v>
      </c>
      <c r="BE67" s="99">
        <v>30</v>
      </c>
      <c r="BF67" s="99" t="s">
        <v>2347</v>
      </c>
      <c r="BG67" s="99" t="s">
        <v>2603</v>
      </c>
      <c r="BH67" s="99">
        <v>0.97</v>
      </c>
      <c r="BK67" s="99">
        <v>8.6900000000000005E-2</v>
      </c>
      <c r="BM67" s="99">
        <v>7.976377222</v>
      </c>
      <c r="BN67" s="99" t="b">
        <v>0</v>
      </c>
      <c r="BO67" s="99">
        <v>0</v>
      </c>
      <c r="BP67" s="99" t="s">
        <v>2256</v>
      </c>
      <c r="BQ67" s="99" t="s">
        <v>2256</v>
      </c>
      <c r="BS67" s="99" t="s">
        <v>561</v>
      </c>
      <c r="BY67" s="99">
        <v>10</v>
      </c>
      <c r="BZ67" s="99">
        <v>10</v>
      </c>
      <c r="CA67" s="99">
        <v>10</v>
      </c>
      <c r="CB67" s="99">
        <v>0</v>
      </c>
      <c r="CC67" s="99" t="s">
        <v>182</v>
      </c>
      <c r="CD67" s="99" t="s">
        <v>1903</v>
      </c>
      <c r="CE67" s="99" t="s">
        <v>2036</v>
      </c>
      <c r="CG67" s="99" t="s">
        <v>246</v>
      </c>
      <c r="CI67" s="99" t="s">
        <v>2113</v>
      </c>
    </row>
    <row r="68" spans="1:100" s="99" customFormat="1">
      <c r="A68" s="99" t="s">
        <v>2420</v>
      </c>
      <c r="B68" s="99">
        <v>41</v>
      </c>
      <c r="C68" s="99">
        <v>3</v>
      </c>
      <c r="D68" s="99">
        <v>1</v>
      </c>
      <c r="E68" s="99">
        <v>195</v>
      </c>
      <c r="F68" s="99">
        <v>1981</v>
      </c>
      <c r="G68" s="99" t="s">
        <v>2441</v>
      </c>
      <c r="H68" s="99" t="s">
        <v>187</v>
      </c>
      <c r="I68" s="99" t="s">
        <v>182</v>
      </c>
      <c r="J68" s="99" t="s">
        <v>246</v>
      </c>
      <c r="K68" s="99" t="s">
        <v>152</v>
      </c>
      <c r="L68" s="99" t="s">
        <v>443</v>
      </c>
      <c r="M68" s="99" t="s">
        <v>156</v>
      </c>
      <c r="N68" s="99" t="s">
        <v>778</v>
      </c>
      <c r="O68" s="99" t="s">
        <v>2543</v>
      </c>
      <c r="P68" s="99">
        <v>-34.135770020000002</v>
      </c>
      <c r="Q68" s="99">
        <v>34.135770020000002</v>
      </c>
      <c r="R68" s="99">
        <v>18.328773210000001</v>
      </c>
      <c r="S68" s="99" t="s">
        <v>2640</v>
      </c>
      <c r="T68" s="99">
        <v>-34.084564139999998</v>
      </c>
      <c r="U68" s="99">
        <v>18.299239969999999</v>
      </c>
      <c r="V68" s="99">
        <v>8</v>
      </c>
      <c r="W68" s="99" t="s">
        <v>770</v>
      </c>
      <c r="X68" s="99" t="s">
        <v>1721</v>
      </c>
      <c r="Y68" s="99" t="s">
        <v>186</v>
      </c>
      <c r="Z68" s="99" t="s">
        <v>1788</v>
      </c>
      <c r="AA68" s="99" t="s">
        <v>1730</v>
      </c>
      <c r="AB68" s="99" t="s">
        <v>182</v>
      </c>
      <c r="AC68" s="99" t="s">
        <v>1256</v>
      </c>
      <c r="AD68" s="99" t="s">
        <v>187</v>
      </c>
      <c r="AE68" s="99" t="s">
        <v>190</v>
      </c>
      <c r="AF68" s="99" t="s">
        <v>190</v>
      </c>
      <c r="AH68" s="99" t="s">
        <v>246</v>
      </c>
      <c r="AI68" s="99" t="s">
        <v>246</v>
      </c>
      <c r="AJ68" s="99" t="s">
        <v>764</v>
      </c>
      <c r="AK68" s="99" t="s">
        <v>1228</v>
      </c>
      <c r="AL68" s="99">
        <v>1000</v>
      </c>
      <c r="AM68" s="99" t="s">
        <v>1216</v>
      </c>
      <c r="AN68" s="99" t="s">
        <v>190</v>
      </c>
      <c r="AP68" s="99" t="s">
        <v>781</v>
      </c>
      <c r="AQ68" s="99" t="s">
        <v>176</v>
      </c>
      <c r="AR68" s="99">
        <v>1979</v>
      </c>
      <c r="AS68" s="99" t="s">
        <v>475</v>
      </c>
      <c r="AT68" s="99" t="s">
        <v>385</v>
      </c>
      <c r="AU68" s="99" t="s">
        <v>190</v>
      </c>
      <c r="AW68" s="99" t="s">
        <v>174</v>
      </c>
      <c r="AX68" s="99" t="s">
        <v>174</v>
      </c>
      <c r="AY68" s="99" t="s">
        <v>174</v>
      </c>
      <c r="AZ68" s="99" t="s">
        <v>174</v>
      </c>
      <c r="BA68" s="99" t="s">
        <v>174</v>
      </c>
      <c r="BB68" s="99" t="s">
        <v>174</v>
      </c>
      <c r="BC68" s="99">
        <v>3</v>
      </c>
      <c r="BD68" s="99">
        <v>9</v>
      </c>
      <c r="BE68" s="99">
        <v>11</v>
      </c>
      <c r="BF68" s="99" t="s">
        <v>1387</v>
      </c>
      <c r="BG68" s="99" t="s">
        <v>1387</v>
      </c>
      <c r="BM68" s="99" t="s">
        <v>190</v>
      </c>
      <c r="BN68" s="99" t="b">
        <v>0</v>
      </c>
      <c r="BO68" s="99">
        <v>88.311688309999994</v>
      </c>
      <c r="BP68" s="99" t="s">
        <v>2256</v>
      </c>
      <c r="BQ68" s="99" t="s">
        <v>2256</v>
      </c>
      <c r="BS68" s="99" t="s">
        <v>791</v>
      </c>
      <c r="BU68" s="99">
        <v>5.9</v>
      </c>
      <c r="BV68" s="99">
        <v>2.2599999999999998</v>
      </c>
      <c r="BW68" s="99">
        <v>1.24</v>
      </c>
      <c r="BX68" s="99">
        <v>0.32</v>
      </c>
      <c r="BY68" s="99">
        <v>10</v>
      </c>
      <c r="BZ68" s="99">
        <v>10</v>
      </c>
      <c r="CA68" s="99">
        <v>10</v>
      </c>
      <c r="CB68" s="99">
        <v>0</v>
      </c>
      <c r="CC68" s="99" t="s">
        <v>2606</v>
      </c>
      <c r="CD68" s="99" t="s">
        <v>2606</v>
      </c>
      <c r="CF68" s="99" t="s">
        <v>174</v>
      </c>
      <c r="CG68" s="99" t="s">
        <v>182</v>
      </c>
      <c r="CH68" s="99" t="s">
        <v>700</v>
      </c>
      <c r="CI68" s="99" t="s">
        <v>782</v>
      </c>
      <c r="CJ68" s="99" t="s">
        <v>792</v>
      </c>
      <c r="CK68" s="99" t="s">
        <v>175</v>
      </c>
      <c r="CO68" s="99" t="s">
        <v>174</v>
      </c>
      <c r="CP68" s="99" t="s">
        <v>174</v>
      </c>
      <c r="CQ68" s="99" t="s">
        <v>176</v>
      </c>
      <c r="CR68" s="99" t="s">
        <v>174</v>
      </c>
      <c r="CS68" s="99" t="s">
        <v>174</v>
      </c>
      <c r="CT68" s="99" t="s">
        <v>790</v>
      </c>
      <c r="CU68" s="99" t="s">
        <v>779</v>
      </c>
    </row>
    <row r="69" spans="1:100" s="99" customFormat="1">
      <c r="A69" s="99" t="s">
        <v>935</v>
      </c>
      <c r="B69" s="99">
        <v>42</v>
      </c>
      <c r="C69" s="99">
        <v>1</v>
      </c>
      <c r="D69" s="99">
        <v>1</v>
      </c>
      <c r="E69" s="99">
        <v>196</v>
      </c>
      <c r="F69" s="99">
        <v>2021</v>
      </c>
      <c r="G69" s="99" t="s">
        <v>2441</v>
      </c>
      <c r="H69" s="99" t="s">
        <v>187</v>
      </c>
      <c r="I69" s="99" t="s">
        <v>182</v>
      </c>
      <c r="J69" s="99" t="s">
        <v>246</v>
      </c>
      <c r="K69" s="99" t="s">
        <v>2611</v>
      </c>
      <c r="L69" s="99" t="s">
        <v>444</v>
      </c>
      <c r="M69" s="99" t="s">
        <v>1095</v>
      </c>
      <c r="N69" s="99" t="s">
        <v>1206</v>
      </c>
      <c r="O69" s="99" t="s">
        <v>2545</v>
      </c>
      <c r="P69" s="99">
        <v>9.2891357790000004</v>
      </c>
      <c r="Q69" s="99">
        <v>9.2891357790000004</v>
      </c>
      <c r="R69" s="99">
        <v>79.134003669999998</v>
      </c>
      <c r="S69" s="99" t="s">
        <v>2671</v>
      </c>
      <c r="T69" s="99">
        <v>9.2891357790000004</v>
      </c>
      <c r="U69" s="99">
        <v>79.134003669999998</v>
      </c>
      <c r="V69" s="99">
        <v>5</v>
      </c>
      <c r="W69" s="99" t="s">
        <v>1205</v>
      </c>
      <c r="X69" s="99" t="s">
        <v>802</v>
      </c>
      <c r="Y69" s="99" t="s">
        <v>186</v>
      </c>
      <c r="Z69" s="99" t="s">
        <v>1788</v>
      </c>
      <c r="AA69" s="99" t="s">
        <v>333</v>
      </c>
      <c r="AB69" s="99" t="s">
        <v>246</v>
      </c>
      <c r="AC69" s="99" t="s">
        <v>1725</v>
      </c>
      <c r="AD69" s="99" t="s">
        <v>187</v>
      </c>
      <c r="AE69" s="99" t="s">
        <v>190</v>
      </c>
      <c r="AF69" s="99" t="s">
        <v>190</v>
      </c>
      <c r="AH69" s="99" t="s">
        <v>246</v>
      </c>
      <c r="AI69" s="99" t="s">
        <v>246</v>
      </c>
      <c r="AJ69" s="99" t="s">
        <v>1214</v>
      </c>
      <c r="AK69" s="99" t="s">
        <v>1785</v>
      </c>
      <c r="AL69" s="99">
        <v>1000</v>
      </c>
      <c r="AM69" s="99" t="s">
        <v>1903</v>
      </c>
      <c r="AO69" s="99">
        <v>2.0000000000000001E-4</v>
      </c>
      <c r="AP69" s="99" t="s">
        <v>174</v>
      </c>
      <c r="AQ69" s="99" t="s">
        <v>175</v>
      </c>
      <c r="AR69" s="99">
        <v>2019</v>
      </c>
      <c r="AS69" s="99" t="s">
        <v>174</v>
      </c>
      <c r="AT69" s="99" t="s">
        <v>174</v>
      </c>
      <c r="AU69" s="99" t="s">
        <v>174</v>
      </c>
      <c r="AW69" s="99" t="s">
        <v>1461</v>
      </c>
      <c r="AX69" s="99">
        <v>1.7000000000000001E-2</v>
      </c>
      <c r="BA69" s="99">
        <v>32.200000000000003</v>
      </c>
      <c r="BB69" s="99">
        <v>85</v>
      </c>
      <c r="BC69" s="99">
        <v>2</v>
      </c>
      <c r="BD69" s="99">
        <v>25</v>
      </c>
      <c r="BE69" s="99">
        <v>100</v>
      </c>
      <c r="BF69" s="99" t="s">
        <v>1385</v>
      </c>
      <c r="BG69" s="99" t="s">
        <v>2603</v>
      </c>
      <c r="BH69" s="99">
        <v>0.94</v>
      </c>
      <c r="BK69" s="99">
        <v>4.4699999999999997E-2</v>
      </c>
      <c r="BM69" s="99">
        <v>25.31</v>
      </c>
      <c r="BN69" s="99" t="b">
        <v>0</v>
      </c>
      <c r="BO69" s="99">
        <v>30.6</v>
      </c>
      <c r="BP69" s="99">
        <v>30.6</v>
      </c>
      <c r="BQ69" s="99" t="s">
        <v>182</v>
      </c>
      <c r="BR69" s="99" t="s">
        <v>174</v>
      </c>
      <c r="BS69" s="99" t="s">
        <v>194</v>
      </c>
      <c r="BU69" s="99" t="s">
        <v>174</v>
      </c>
      <c r="BV69" s="99" t="s">
        <v>174</v>
      </c>
      <c r="BW69" s="99" t="s">
        <v>174</v>
      </c>
      <c r="BX69" s="99" t="s">
        <v>174</v>
      </c>
      <c r="BY69" s="99">
        <v>25</v>
      </c>
      <c r="BZ69" s="99">
        <v>25</v>
      </c>
      <c r="CA69" s="99">
        <v>25</v>
      </c>
      <c r="CB69" s="99">
        <v>0</v>
      </c>
      <c r="CC69" s="99" t="s">
        <v>246</v>
      </c>
      <c r="CD69" s="99" t="s">
        <v>188</v>
      </c>
      <c r="CE69" s="99">
        <v>0</v>
      </c>
      <c r="CF69" s="99" t="s">
        <v>174</v>
      </c>
      <c r="CG69" s="99" t="s">
        <v>246</v>
      </c>
      <c r="CH69" s="99" t="s">
        <v>333</v>
      </c>
      <c r="CI69" s="99" t="s">
        <v>1215</v>
      </c>
      <c r="CJ69" s="99" t="s">
        <v>1213</v>
      </c>
      <c r="CK69" s="99" t="s">
        <v>246</v>
      </c>
      <c r="CO69" s="99" t="s">
        <v>174</v>
      </c>
      <c r="CP69" s="99" t="s">
        <v>174</v>
      </c>
      <c r="CQ69" s="99" t="s">
        <v>246</v>
      </c>
      <c r="CR69" s="99" t="s">
        <v>174</v>
      </c>
      <c r="CS69" s="99" t="s">
        <v>174</v>
      </c>
      <c r="CT69" s="99" t="s">
        <v>174</v>
      </c>
      <c r="CU69" s="99" t="s">
        <v>518</v>
      </c>
      <c r="CV69" s="99" t="s">
        <v>2146</v>
      </c>
    </row>
    <row r="70" spans="1:100" s="99" customFormat="1">
      <c r="A70" s="99" t="s">
        <v>1252</v>
      </c>
      <c r="B70" s="99">
        <v>53</v>
      </c>
      <c r="C70" s="99">
        <v>1</v>
      </c>
      <c r="D70" s="99">
        <v>1</v>
      </c>
      <c r="E70" s="99">
        <v>265</v>
      </c>
      <c r="F70" s="99">
        <v>1990</v>
      </c>
      <c r="G70" s="99" t="s">
        <v>2441</v>
      </c>
      <c r="H70" s="99" t="s">
        <v>2183</v>
      </c>
      <c r="I70" s="99" t="s">
        <v>182</v>
      </c>
      <c r="J70" s="99" t="s">
        <v>246</v>
      </c>
      <c r="K70" s="99" t="s">
        <v>1976</v>
      </c>
      <c r="L70" s="99" t="s">
        <v>446</v>
      </c>
      <c r="M70" s="99" t="s">
        <v>1221</v>
      </c>
      <c r="N70" s="99" t="s">
        <v>2188</v>
      </c>
      <c r="O70" s="99" t="s">
        <v>2730</v>
      </c>
      <c r="P70" s="99">
        <v>54.18320482</v>
      </c>
      <c r="Q70" s="99">
        <v>54.18320482</v>
      </c>
      <c r="R70" s="99">
        <v>7.8837679969999996</v>
      </c>
      <c r="S70" s="99" t="s">
        <v>2627</v>
      </c>
      <c r="T70" s="99">
        <v>54.18320482</v>
      </c>
      <c r="U70" s="99">
        <v>7.8837679969999996</v>
      </c>
      <c r="V70" s="99">
        <v>27</v>
      </c>
      <c r="W70" s="99" t="s">
        <v>1718</v>
      </c>
      <c r="X70" s="99" t="s">
        <v>155</v>
      </c>
      <c r="Y70" s="99" t="s">
        <v>999</v>
      </c>
      <c r="Z70" s="99" t="s">
        <v>1788</v>
      </c>
      <c r="AA70" s="99" t="s">
        <v>1729</v>
      </c>
      <c r="AB70" s="99" t="s">
        <v>182</v>
      </c>
      <c r="AC70" s="99" t="s">
        <v>1256</v>
      </c>
      <c r="AD70" s="99" t="s">
        <v>218</v>
      </c>
      <c r="AE70" s="99" t="s">
        <v>190</v>
      </c>
      <c r="AF70" s="99">
        <v>6</v>
      </c>
      <c r="AH70" s="99" t="s">
        <v>246</v>
      </c>
      <c r="AI70" s="99" t="s">
        <v>246</v>
      </c>
      <c r="AJ70" s="99" t="s">
        <v>1765</v>
      </c>
      <c r="AK70" s="99" t="s">
        <v>190</v>
      </c>
      <c r="AN70" s="99">
        <v>0.18</v>
      </c>
      <c r="AP70" s="99" t="s">
        <v>190</v>
      </c>
      <c r="AQ70" s="99" t="s">
        <v>176</v>
      </c>
      <c r="AR70" s="99">
        <v>1985</v>
      </c>
      <c r="AS70" s="99" t="s">
        <v>475</v>
      </c>
      <c r="AT70" s="99" t="s">
        <v>420</v>
      </c>
      <c r="AU70" s="99">
        <v>1</v>
      </c>
      <c r="AW70" s="99" t="s">
        <v>174</v>
      </c>
      <c r="AX70" s="99" t="s">
        <v>174</v>
      </c>
      <c r="AY70" s="99" t="s">
        <v>174</v>
      </c>
      <c r="AZ70" s="99" t="s">
        <v>174</v>
      </c>
      <c r="BA70" s="99" t="s">
        <v>174</v>
      </c>
      <c r="BB70" s="99" t="s">
        <v>174</v>
      </c>
      <c r="BC70" s="99" t="s">
        <v>1766</v>
      </c>
      <c r="BD70" s="99">
        <v>2</v>
      </c>
      <c r="BE70" s="99">
        <v>20</v>
      </c>
      <c r="BF70" s="99" t="s">
        <v>2347</v>
      </c>
      <c r="BG70" s="99" t="s">
        <v>2603</v>
      </c>
      <c r="BH70" s="99">
        <v>0.999</v>
      </c>
      <c r="BK70" s="99">
        <v>0.1191</v>
      </c>
      <c r="BM70" s="99">
        <v>5.8</v>
      </c>
      <c r="BN70" s="99" t="b">
        <v>0</v>
      </c>
      <c r="BO70" s="99">
        <v>7.7999999999999972</v>
      </c>
      <c r="BP70" s="99" t="s">
        <v>2256</v>
      </c>
      <c r="BQ70" s="99" t="s">
        <v>2256</v>
      </c>
      <c r="BR70" s="99" t="s">
        <v>174</v>
      </c>
      <c r="BS70" s="99" t="s">
        <v>263</v>
      </c>
      <c r="BU70" s="99">
        <v>6.9</v>
      </c>
      <c r="BV70" s="99">
        <v>5.5</v>
      </c>
      <c r="BX70" s="99" t="s">
        <v>174</v>
      </c>
      <c r="BY70" s="99">
        <v>16.399999999999999</v>
      </c>
      <c r="BZ70" s="99">
        <v>16.399999999999999</v>
      </c>
      <c r="CA70" s="99">
        <v>16.399999999999999</v>
      </c>
      <c r="CB70" s="99">
        <v>0</v>
      </c>
      <c r="CC70" s="99" t="s">
        <v>182</v>
      </c>
      <c r="CD70" s="99" t="s">
        <v>412</v>
      </c>
      <c r="CF70" s="99" t="s">
        <v>190</v>
      </c>
      <c r="CG70" s="99" t="s">
        <v>182</v>
      </c>
      <c r="CH70" s="99" t="s">
        <v>412</v>
      </c>
      <c r="CI70" s="99" t="s">
        <v>259</v>
      </c>
      <c r="CO70" s="99" t="s">
        <v>174</v>
      </c>
      <c r="CP70" s="99" t="s">
        <v>174</v>
      </c>
      <c r="CQ70" s="99" t="s">
        <v>176</v>
      </c>
      <c r="CR70" s="99" t="s">
        <v>174</v>
      </c>
      <c r="CS70" s="99" t="s">
        <v>190</v>
      </c>
      <c r="CT70" s="99" t="s">
        <v>1222</v>
      </c>
      <c r="CU70" s="99" t="s">
        <v>1766</v>
      </c>
    </row>
    <row r="71" spans="1:100" s="99" customFormat="1">
      <c r="A71" s="99" t="s">
        <v>1819</v>
      </c>
      <c r="B71" s="99">
        <v>67</v>
      </c>
      <c r="C71" s="99">
        <v>1</v>
      </c>
      <c r="D71" s="99">
        <v>1</v>
      </c>
      <c r="E71" s="99">
        <v>373</v>
      </c>
      <c r="F71" s="99">
        <v>2023</v>
      </c>
      <c r="G71" s="99" t="s">
        <v>2441</v>
      </c>
      <c r="H71" s="99" t="s">
        <v>187</v>
      </c>
      <c r="I71" s="99" t="s">
        <v>246</v>
      </c>
      <c r="J71" s="99" t="s">
        <v>182</v>
      </c>
      <c r="K71" s="99" t="s">
        <v>152</v>
      </c>
      <c r="L71" s="99" t="s">
        <v>443</v>
      </c>
      <c r="M71" s="99" t="s">
        <v>437</v>
      </c>
      <c r="N71" s="99" t="s">
        <v>438</v>
      </c>
      <c r="O71" s="99" t="s">
        <v>441</v>
      </c>
      <c r="P71" s="99">
        <v>-42.787833329999998</v>
      </c>
      <c r="Q71" s="99">
        <v>42.787833329999998</v>
      </c>
      <c r="R71" s="99">
        <v>-65.00744444</v>
      </c>
      <c r="S71" s="99" t="s">
        <v>2648</v>
      </c>
      <c r="T71" s="99">
        <v>-42.787833329999998</v>
      </c>
      <c r="U71" s="99">
        <v>-65.00744444</v>
      </c>
      <c r="V71" s="99">
        <v>1</v>
      </c>
      <c r="W71" s="99" t="s">
        <v>1867</v>
      </c>
      <c r="X71" s="99" t="s">
        <v>827</v>
      </c>
      <c r="Y71" s="99" t="s">
        <v>186</v>
      </c>
      <c r="Z71" s="99" t="s">
        <v>424</v>
      </c>
      <c r="AA71" s="99" t="s">
        <v>333</v>
      </c>
      <c r="AB71" s="99" t="s">
        <v>246</v>
      </c>
      <c r="AC71" s="99" t="s">
        <v>333</v>
      </c>
      <c r="AD71" s="99" t="s">
        <v>187</v>
      </c>
      <c r="AE71" s="99" t="s">
        <v>1745</v>
      </c>
      <c r="AF71" s="99" t="s">
        <v>190</v>
      </c>
      <c r="AH71" s="99" t="s">
        <v>182</v>
      </c>
      <c r="AI71" s="99" t="s">
        <v>182</v>
      </c>
      <c r="AJ71" s="99" t="s">
        <v>439</v>
      </c>
      <c r="AK71" s="99" t="s">
        <v>1870</v>
      </c>
      <c r="AL71" s="99">
        <v>500</v>
      </c>
      <c r="AM71" s="99" t="s">
        <v>1216</v>
      </c>
      <c r="AO71" s="99" t="s">
        <v>190</v>
      </c>
      <c r="AP71" s="99">
        <v>314.99532879999998</v>
      </c>
      <c r="AQ71" s="99" t="s">
        <v>176</v>
      </c>
      <c r="AR71" s="99">
        <v>2019</v>
      </c>
      <c r="AS71" s="99" t="s">
        <v>743</v>
      </c>
      <c r="AT71" s="99" t="s">
        <v>420</v>
      </c>
      <c r="BC71" s="99">
        <v>3</v>
      </c>
      <c r="BD71" s="99">
        <v>4</v>
      </c>
      <c r="BE71" s="99">
        <v>12</v>
      </c>
      <c r="BF71" s="99" t="s">
        <v>1387</v>
      </c>
      <c r="BG71" s="99" t="s">
        <v>1387</v>
      </c>
      <c r="BM71" s="99" t="s">
        <v>190</v>
      </c>
      <c r="BN71" s="99" t="b">
        <v>0</v>
      </c>
      <c r="BO71" s="99">
        <v>259.0025182</v>
      </c>
      <c r="BP71" s="99" t="s">
        <v>2256</v>
      </c>
      <c r="BQ71" s="99" t="s">
        <v>2256</v>
      </c>
      <c r="BS71" s="99" t="s">
        <v>2502</v>
      </c>
      <c r="BY71" s="99">
        <v>13.5</v>
      </c>
      <c r="BZ71" s="99">
        <v>13.5</v>
      </c>
      <c r="CA71" s="99">
        <v>13.5</v>
      </c>
      <c r="CB71" s="99">
        <v>0</v>
      </c>
      <c r="CC71" s="99" t="s">
        <v>246</v>
      </c>
      <c r="CD71" s="99" t="s">
        <v>188</v>
      </c>
      <c r="CE71" s="99">
        <v>0</v>
      </c>
      <c r="CG71" s="99" t="s">
        <v>246</v>
      </c>
      <c r="CH71" s="99" t="s">
        <v>412</v>
      </c>
      <c r="CI71" s="99" t="s">
        <v>1874</v>
      </c>
      <c r="CJ71" s="99">
        <v>-12.464</v>
      </c>
      <c r="CQ71" s="99" t="s">
        <v>246</v>
      </c>
      <c r="CS71" s="99">
        <v>1</v>
      </c>
      <c r="CT71" s="99">
        <v>100</v>
      </c>
      <c r="CU71" s="99" t="s">
        <v>168</v>
      </c>
    </row>
    <row r="72" spans="1:100" s="99" customFormat="1">
      <c r="A72" s="99" t="s">
        <v>1823</v>
      </c>
      <c r="B72" s="99">
        <v>68</v>
      </c>
      <c r="C72" s="99">
        <v>1</v>
      </c>
      <c r="D72" s="99">
        <v>1</v>
      </c>
      <c r="E72" s="99">
        <v>374</v>
      </c>
      <c r="F72" s="99">
        <v>2023</v>
      </c>
      <c r="G72" s="99" t="s">
        <v>2441</v>
      </c>
      <c r="H72" s="99" t="s">
        <v>187</v>
      </c>
      <c r="I72" s="99" t="s">
        <v>182</v>
      </c>
      <c r="J72" s="99" t="s">
        <v>182</v>
      </c>
      <c r="K72" s="99" t="s">
        <v>152</v>
      </c>
      <c r="L72" s="99" t="s">
        <v>443</v>
      </c>
      <c r="M72" s="99" t="s">
        <v>347</v>
      </c>
      <c r="N72" s="99" t="s">
        <v>348</v>
      </c>
      <c r="O72" s="99" t="s">
        <v>359</v>
      </c>
      <c r="P72" s="99">
        <v>-30.26772222</v>
      </c>
      <c r="Q72" s="99">
        <v>30.26772222</v>
      </c>
      <c r="R72" s="99">
        <v>153.14449999999999</v>
      </c>
      <c r="S72" s="99" t="s">
        <v>2668</v>
      </c>
      <c r="T72" s="99">
        <v>-30.341528740000001</v>
      </c>
      <c r="U72" s="99">
        <v>153.11794169999999</v>
      </c>
      <c r="V72" s="99">
        <v>10</v>
      </c>
      <c r="W72" s="99" t="s">
        <v>349</v>
      </c>
      <c r="X72" s="99" t="s">
        <v>802</v>
      </c>
      <c r="Y72" s="99" t="s">
        <v>184</v>
      </c>
      <c r="Z72" s="99" t="s">
        <v>1788</v>
      </c>
      <c r="AA72" s="99" t="s">
        <v>1876</v>
      </c>
      <c r="AB72" s="99" t="s">
        <v>182</v>
      </c>
      <c r="AC72" s="99" t="s">
        <v>1256</v>
      </c>
      <c r="AD72" s="99" t="s">
        <v>1087</v>
      </c>
      <c r="AE72" s="99" t="s">
        <v>1745</v>
      </c>
      <c r="AF72" s="99" t="s">
        <v>190</v>
      </c>
      <c r="AH72" s="99" t="s">
        <v>182</v>
      </c>
      <c r="AI72" s="99" t="s">
        <v>182</v>
      </c>
      <c r="AJ72" s="99" t="s">
        <v>352</v>
      </c>
      <c r="AK72" s="99" t="s">
        <v>1875</v>
      </c>
      <c r="AL72" s="99">
        <v>25000</v>
      </c>
      <c r="AM72" s="99" t="s">
        <v>412</v>
      </c>
      <c r="AN72" s="99">
        <v>3.7999999999999999E-2</v>
      </c>
      <c r="AP72" s="99" t="s">
        <v>190</v>
      </c>
      <c r="AQ72" s="99" t="s">
        <v>176</v>
      </c>
      <c r="AR72" s="99" t="s">
        <v>1766</v>
      </c>
      <c r="AT72" s="99" t="s">
        <v>420</v>
      </c>
      <c r="AU72" s="99">
        <v>1</v>
      </c>
      <c r="AV72" s="99" t="s">
        <v>1255</v>
      </c>
      <c r="AW72" s="99" t="s">
        <v>1461</v>
      </c>
      <c r="BA72" s="99">
        <v>65</v>
      </c>
      <c r="BC72" s="99">
        <v>3</v>
      </c>
      <c r="BD72" s="99">
        <v>7</v>
      </c>
      <c r="BE72" s="99">
        <v>45</v>
      </c>
      <c r="BF72" s="99" t="s">
        <v>2347</v>
      </c>
      <c r="BG72" s="99" t="s">
        <v>2603</v>
      </c>
      <c r="BH72" s="99">
        <v>0.96</v>
      </c>
      <c r="BK72" s="99">
        <v>2.8000000000000001E-2</v>
      </c>
      <c r="BM72" s="99">
        <v>24.755256450000001</v>
      </c>
      <c r="BN72" s="99" t="b">
        <v>0</v>
      </c>
      <c r="BO72" s="99">
        <v>32.209129311966599</v>
      </c>
      <c r="BP72" s="99">
        <v>0</v>
      </c>
      <c r="BQ72" s="99" t="s">
        <v>246</v>
      </c>
      <c r="BS72" s="99" t="s">
        <v>1886</v>
      </c>
      <c r="BU72" s="99">
        <v>30</v>
      </c>
      <c r="BY72" s="99">
        <v>25</v>
      </c>
      <c r="BZ72" s="99">
        <v>40</v>
      </c>
      <c r="CA72" s="99">
        <v>32.5</v>
      </c>
      <c r="CB72" s="99">
        <v>15</v>
      </c>
      <c r="CC72" s="99" t="s">
        <v>182</v>
      </c>
      <c r="CD72" s="99" t="s">
        <v>412</v>
      </c>
      <c r="CG72" s="99" t="s">
        <v>182</v>
      </c>
      <c r="CH72" s="99" t="s">
        <v>898</v>
      </c>
      <c r="CI72" s="99" t="s">
        <v>1894</v>
      </c>
      <c r="CQ72" s="99" t="s">
        <v>246</v>
      </c>
      <c r="CU72" s="99" t="s">
        <v>518</v>
      </c>
    </row>
    <row r="73" spans="1:100" s="99" customFormat="1">
      <c r="A73" s="99" t="s">
        <v>941</v>
      </c>
      <c r="B73" s="99">
        <v>71</v>
      </c>
      <c r="C73" s="99">
        <v>2</v>
      </c>
      <c r="D73" s="99">
        <v>1</v>
      </c>
      <c r="E73" s="99">
        <v>390</v>
      </c>
      <c r="F73" s="99">
        <v>2021</v>
      </c>
      <c r="G73" s="99" t="s">
        <v>2441</v>
      </c>
      <c r="H73" s="99" t="s">
        <v>187</v>
      </c>
      <c r="I73" s="99" t="s">
        <v>182</v>
      </c>
      <c r="J73" s="99" t="s">
        <v>246</v>
      </c>
      <c r="K73" s="99" t="s">
        <v>1976</v>
      </c>
      <c r="L73" s="99" t="s">
        <v>444</v>
      </c>
      <c r="M73" s="99" t="s">
        <v>445</v>
      </c>
      <c r="N73" s="99" t="s">
        <v>811</v>
      </c>
      <c r="O73" s="99" t="s">
        <v>2550</v>
      </c>
      <c r="P73" s="99">
        <v>36.053333330000001</v>
      </c>
      <c r="Q73" s="99">
        <v>36.053333330000001</v>
      </c>
      <c r="R73" s="99">
        <v>120.326944</v>
      </c>
      <c r="S73" s="99" t="s">
        <v>2675</v>
      </c>
      <c r="T73" s="99">
        <v>36.756604709999998</v>
      </c>
      <c r="U73" s="99">
        <v>121.8403284</v>
      </c>
      <c r="V73" s="99">
        <v>7</v>
      </c>
      <c r="W73" s="99" t="s">
        <v>185</v>
      </c>
      <c r="X73" s="99" t="s">
        <v>380</v>
      </c>
      <c r="Y73" s="99" t="s">
        <v>186</v>
      </c>
      <c r="Z73" s="99" t="s">
        <v>1788</v>
      </c>
      <c r="AA73" s="99" t="s">
        <v>1739</v>
      </c>
      <c r="AB73" s="99" t="s">
        <v>182</v>
      </c>
      <c r="AC73" s="99" t="s">
        <v>1725</v>
      </c>
      <c r="AD73" s="99" t="s">
        <v>187</v>
      </c>
      <c r="AE73" s="99" t="s">
        <v>190</v>
      </c>
      <c r="AF73" s="99" t="s">
        <v>190</v>
      </c>
      <c r="AH73" s="99" t="s">
        <v>246</v>
      </c>
      <c r="AJ73" s="99" t="s">
        <v>1071</v>
      </c>
      <c r="AK73" s="99" t="s">
        <v>1293</v>
      </c>
      <c r="AL73" s="99">
        <v>20000</v>
      </c>
      <c r="AM73" s="99" t="s">
        <v>1216</v>
      </c>
      <c r="AO73" s="99">
        <v>6.9999999999999994E-5</v>
      </c>
      <c r="AP73" s="99">
        <v>1023</v>
      </c>
      <c r="AQ73" s="99" t="s">
        <v>176</v>
      </c>
      <c r="AR73" s="99">
        <v>2018</v>
      </c>
      <c r="AS73" s="99" t="s">
        <v>253</v>
      </c>
      <c r="AT73" s="99" t="s">
        <v>254</v>
      </c>
      <c r="AU73" s="99" t="s">
        <v>174</v>
      </c>
      <c r="AV73" s="99" t="s">
        <v>174</v>
      </c>
      <c r="AW73" s="99" t="s">
        <v>1461</v>
      </c>
      <c r="AX73" s="99" t="s">
        <v>174</v>
      </c>
      <c r="AY73" s="99" t="s">
        <v>174</v>
      </c>
      <c r="AZ73" s="99" t="s">
        <v>174</v>
      </c>
      <c r="BA73" s="99" t="s">
        <v>174</v>
      </c>
      <c r="BB73" s="99" t="s">
        <v>174</v>
      </c>
      <c r="BC73" s="99">
        <v>4</v>
      </c>
      <c r="BD73" s="99">
        <v>10</v>
      </c>
      <c r="BE73" s="99">
        <v>168</v>
      </c>
      <c r="BF73" s="99" t="s">
        <v>1385</v>
      </c>
      <c r="BG73" s="99" t="s">
        <v>2603</v>
      </c>
      <c r="BH73" s="99">
        <v>0.98</v>
      </c>
      <c r="BK73" s="99">
        <v>0.14000000000000001</v>
      </c>
      <c r="BL73" s="99" t="s">
        <v>174</v>
      </c>
      <c r="BM73" s="99">
        <v>6.18</v>
      </c>
      <c r="BN73" s="99" t="b">
        <v>0</v>
      </c>
      <c r="BO73" s="99">
        <v>13.2</v>
      </c>
      <c r="BP73" s="99">
        <v>13.2</v>
      </c>
      <c r="BQ73" s="99" t="s">
        <v>182</v>
      </c>
      <c r="BR73" s="99" t="s">
        <v>174</v>
      </c>
      <c r="BS73" s="99" t="s">
        <v>1294</v>
      </c>
      <c r="BY73" s="99">
        <v>25</v>
      </c>
      <c r="BZ73" s="99">
        <v>25</v>
      </c>
      <c r="CA73" s="99">
        <v>25</v>
      </c>
      <c r="CB73" s="99">
        <v>0</v>
      </c>
      <c r="CC73" s="99" t="s">
        <v>246</v>
      </c>
      <c r="CD73" s="99" t="s">
        <v>188</v>
      </c>
      <c r="CE73" s="99">
        <v>0</v>
      </c>
      <c r="CF73" s="99" t="s">
        <v>174</v>
      </c>
      <c r="CG73" s="99" t="s">
        <v>182</v>
      </c>
      <c r="CH73" s="99" t="s">
        <v>1287</v>
      </c>
      <c r="CI73" s="99" t="s">
        <v>1288</v>
      </c>
      <c r="CK73" s="99" t="s">
        <v>246</v>
      </c>
      <c r="CR73" s="100">
        <v>43344.5</v>
      </c>
      <c r="CS73" s="99" t="s">
        <v>174</v>
      </c>
      <c r="CT73" s="99" t="s">
        <v>174</v>
      </c>
      <c r="CU73" s="99" t="s">
        <v>518</v>
      </c>
      <c r="CV73" s="99" t="s">
        <v>2145</v>
      </c>
    </row>
    <row r="74" spans="1:100" s="99" customFormat="1">
      <c r="A74" s="99" t="s">
        <v>2175</v>
      </c>
      <c r="B74" s="99">
        <v>83</v>
      </c>
      <c r="C74" s="99">
        <v>1</v>
      </c>
      <c r="D74" s="99">
        <v>1</v>
      </c>
      <c r="E74" s="99">
        <v>445</v>
      </c>
      <c r="F74" s="99">
        <v>1982</v>
      </c>
      <c r="G74" s="99" t="s">
        <v>2441</v>
      </c>
      <c r="H74" s="99" t="s">
        <v>187</v>
      </c>
      <c r="I74" s="99" t="s">
        <v>182</v>
      </c>
      <c r="J74" s="99" t="s">
        <v>246</v>
      </c>
      <c r="K74" s="99" t="s">
        <v>152</v>
      </c>
      <c r="L74" s="99" t="s">
        <v>443</v>
      </c>
      <c r="M74" s="99" t="s">
        <v>154</v>
      </c>
      <c r="N74" s="99" t="s">
        <v>255</v>
      </c>
      <c r="O74" s="99" t="s">
        <v>2538</v>
      </c>
      <c r="P74" s="99">
        <v>44.646817310000003</v>
      </c>
      <c r="Q74" s="99">
        <v>44.646817310000003</v>
      </c>
      <c r="R74" s="99">
        <v>-63.999736939999998</v>
      </c>
      <c r="S74" s="99" t="s">
        <v>2663</v>
      </c>
      <c r="T74" s="99">
        <v>44.582391370000003</v>
      </c>
      <c r="U74" s="99">
        <v>-63.992866999999997</v>
      </c>
      <c r="V74" s="99">
        <v>5</v>
      </c>
      <c r="W74" s="99" t="s">
        <v>585</v>
      </c>
      <c r="X74" s="99" t="s">
        <v>586</v>
      </c>
      <c r="Y74" s="99" t="s">
        <v>2719</v>
      </c>
      <c r="Z74" s="99" t="s">
        <v>1788</v>
      </c>
      <c r="AA74" s="99" t="s">
        <v>2016</v>
      </c>
      <c r="AB74" s="99" t="s">
        <v>182</v>
      </c>
      <c r="AC74" s="99" t="s">
        <v>1725</v>
      </c>
      <c r="AD74" s="99" t="s">
        <v>187</v>
      </c>
      <c r="AE74" s="99" t="s">
        <v>190</v>
      </c>
      <c r="AH74" s="99" t="s">
        <v>246</v>
      </c>
      <c r="AI74" s="99" t="s">
        <v>246</v>
      </c>
      <c r="AJ74" s="99" t="s">
        <v>2017</v>
      </c>
      <c r="AK74" s="99" t="s">
        <v>723</v>
      </c>
      <c r="AL74" s="99">
        <v>50</v>
      </c>
      <c r="AM74" s="99" t="s">
        <v>1216</v>
      </c>
      <c r="AQ74" s="99" t="s">
        <v>175</v>
      </c>
      <c r="AR74" s="99">
        <v>1978</v>
      </c>
      <c r="AS74" s="99" t="s">
        <v>319</v>
      </c>
      <c r="AT74" s="99" t="s">
        <v>298</v>
      </c>
      <c r="AU74" s="99">
        <v>1.2E-2</v>
      </c>
      <c r="AW74" s="99" t="s">
        <v>197</v>
      </c>
      <c r="BA74" s="99">
        <v>60.59</v>
      </c>
      <c r="BC74" s="99">
        <v>3</v>
      </c>
      <c r="BD74" s="99">
        <v>9</v>
      </c>
      <c r="BE74" s="99">
        <v>36</v>
      </c>
      <c r="BF74" s="99" t="s">
        <v>1385</v>
      </c>
      <c r="BG74" s="99" t="s">
        <v>2603</v>
      </c>
      <c r="BH74" s="99">
        <v>0.91200000000000003</v>
      </c>
      <c r="BK74" s="99">
        <v>0.18859999999999999</v>
      </c>
      <c r="BM74" s="99" t="s">
        <v>190</v>
      </c>
      <c r="BN74" s="99" t="b">
        <v>0</v>
      </c>
      <c r="BO74" s="99">
        <v>66.456599999999995</v>
      </c>
      <c r="BP74" s="99">
        <v>66.456599999999995</v>
      </c>
      <c r="BQ74" s="99" t="s">
        <v>182</v>
      </c>
      <c r="BS74" s="99" t="s">
        <v>2024</v>
      </c>
      <c r="BY74" s="99">
        <v>12</v>
      </c>
      <c r="BZ74" s="99">
        <v>12</v>
      </c>
      <c r="CA74" s="99">
        <v>12</v>
      </c>
      <c r="CB74" s="99">
        <v>0</v>
      </c>
      <c r="CC74" s="99" t="s">
        <v>246</v>
      </c>
      <c r="CD74" s="99" t="s">
        <v>188</v>
      </c>
      <c r="CE74" s="99">
        <v>0</v>
      </c>
      <c r="CG74" s="99" t="s">
        <v>246</v>
      </c>
      <c r="CI74" s="99" t="s">
        <v>2022</v>
      </c>
    </row>
    <row r="75" spans="1:100" s="99" customFormat="1">
      <c r="A75" s="99" t="s">
        <v>2179</v>
      </c>
      <c r="B75" s="99">
        <v>87</v>
      </c>
      <c r="C75" s="99">
        <v>1</v>
      </c>
      <c r="D75" s="99">
        <v>1</v>
      </c>
      <c r="E75" s="99">
        <v>484</v>
      </c>
      <c r="F75" s="99">
        <v>2023</v>
      </c>
      <c r="G75" s="99" t="s">
        <v>2441</v>
      </c>
      <c r="H75" s="99" t="s">
        <v>2183</v>
      </c>
      <c r="I75" s="99" t="s">
        <v>182</v>
      </c>
      <c r="J75" s="99" t="s">
        <v>246</v>
      </c>
      <c r="K75" s="99" t="s">
        <v>1976</v>
      </c>
      <c r="L75" s="99" t="s">
        <v>446</v>
      </c>
      <c r="M75" s="99" t="s">
        <v>702</v>
      </c>
      <c r="N75" s="99" t="s">
        <v>1992</v>
      </c>
      <c r="O75" s="99" t="s">
        <v>2564</v>
      </c>
      <c r="P75" s="99">
        <v>23.7</v>
      </c>
      <c r="Q75" s="99">
        <v>23.7</v>
      </c>
      <c r="R75" s="99">
        <v>117.43</v>
      </c>
      <c r="S75" s="99" t="s">
        <v>2685</v>
      </c>
      <c r="T75" s="99">
        <v>24.55156174</v>
      </c>
      <c r="U75" s="99">
        <v>117.2350337</v>
      </c>
      <c r="V75" s="99">
        <v>17</v>
      </c>
      <c r="W75" s="99" t="s">
        <v>185</v>
      </c>
      <c r="X75" s="99" t="s">
        <v>380</v>
      </c>
      <c r="Y75" s="99" t="s">
        <v>999</v>
      </c>
      <c r="Z75" s="99" t="s">
        <v>1788</v>
      </c>
      <c r="AA75" s="99" t="s">
        <v>333</v>
      </c>
      <c r="AB75" s="99" t="s">
        <v>246</v>
      </c>
      <c r="AC75" s="99" t="s">
        <v>333</v>
      </c>
      <c r="AD75" s="99" t="s">
        <v>187</v>
      </c>
      <c r="AE75" s="99" t="s">
        <v>1745</v>
      </c>
      <c r="AH75" s="99" t="s">
        <v>246</v>
      </c>
      <c r="AI75" s="99" t="s">
        <v>246</v>
      </c>
      <c r="AJ75" s="99" t="s">
        <v>2056</v>
      </c>
      <c r="AK75" s="99" t="s">
        <v>2055</v>
      </c>
      <c r="AL75" s="99">
        <v>7500</v>
      </c>
      <c r="AM75" s="99" t="s">
        <v>1903</v>
      </c>
      <c r="AN75" s="99">
        <v>1</v>
      </c>
      <c r="AQ75" s="99" t="s">
        <v>176</v>
      </c>
      <c r="AU75" s="99">
        <v>22.5</v>
      </c>
      <c r="AV75" s="99" t="s">
        <v>1255</v>
      </c>
      <c r="BC75" s="99">
        <v>1</v>
      </c>
      <c r="BD75" s="99">
        <v>4</v>
      </c>
      <c r="BE75" s="99">
        <v>180</v>
      </c>
      <c r="BF75" s="99" t="s">
        <v>2347</v>
      </c>
      <c r="BG75" s="99" t="s">
        <v>2603</v>
      </c>
      <c r="BH75" s="99">
        <v>0.96</v>
      </c>
      <c r="BK75" s="99">
        <v>3.61E-2</v>
      </c>
      <c r="BM75" s="99">
        <v>19.200752919999999</v>
      </c>
      <c r="BN75" s="99" t="b">
        <v>0</v>
      </c>
      <c r="BO75" s="99">
        <v>23.200000000000003</v>
      </c>
      <c r="BP75" s="99">
        <v>0</v>
      </c>
      <c r="BQ75" s="99" t="s">
        <v>246</v>
      </c>
      <c r="BS75" s="99" t="s">
        <v>187</v>
      </c>
      <c r="CC75" s="99" t="s">
        <v>182</v>
      </c>
      <c r="CD75" s="99" t="s">
        <v>412</v>
      </c>
      <c r="CG75" s="99" t="s">
        <v>246</v>
      </c>
      <c r="CM75" s="99" t="s">
        <v>182</v>
      </c>
      <c r="CV75" s="99" t="s">
        <v>2144</v>
      </c>
    </row>
    <row r="76" spans="1:100" s="99" customFormat="1">
      <c r="A76" s="99" t="s">
        <v>2948</v>
      </c>
      <c r="B76" s="99">
        <v>105</v>
      </c>
      <c r="C76" s="99">
        <v>1</v>
      </c>
      <c r="D76" s="99">
        <v>1</v>
      </c>
      <c r="E76" s="99">
        <v>536</v>
      </c>
      <c r="F76" s="99">
        <v>1986</v>
      </c>
      <c r="G76" s="99" t="s">
        <v>2441</v>
      </c>
      <c r="H76" s="99" t="s">
        <v>1991</v>
      </c>
      <c r="I76" s="99" t="s">
        <v>182</v>
      </c>
      <c r="J76" s="99" t="s">
        <v>246</v>
      </c>
      <c r="K76" s="99" t="s">
        <v>152</v>
      </c>
      <c r="L76" s="99" t="s">
        <v>443</v>
      </c>
      <c r="M76" s="99" t="s">
        <v>473</v>
      </c>
      <c r="N76" s="99" t="s">
        <v>474</v>
      </c>
      <c r="O76" s="99" t="s">
        <v>2537</v>
      </c>
      <c r="P76" s="99">
        <v>47.6282</v>
      </c>
      <c r="Q76" s="99">
        <v>47.6282</v>
      </c>
      <c r="R76" s="99">
        <v>-52.662204450479599</v>
      </c>
      <c r="S76" s="99" t="s">
        <v>3059</v>
      </c>
      <c r="W76" s="99" t="s">
        <v>585</v>
      </c>
      <c r="X76" s="99" t="s">
        <v>586</v>
      </c>
      <c r="Y76" s="99" t="s">
        <v>999</v>
      </c>
      <c r="Z76" s="99" t="s">
        <v>1788</v>
      </c>
      <c r="AA76" s="99" t="s">
        <v>333</v>
      </c>
      <c r="AB76" s="99" t="s">
        <v>246</v>
      </c>
      <c r="AD76" s="99" t="s">
        <v>1123</v>
      </c>
      <c r="AE76" s="99" t="s">
        <v>1789</v>
      </c>
      <c r="AF76" s="99">
        <v>10</v>
      </c>
      <c r="AH76" s="99" t="s">
        <v>246</v>
      </c>
      <c r="AI76" s="99" t="s">
        <v>246</v>
      </c>
      <c r="AN76" s="99">
        <v>1</v>
      </c>
      <c r="AS76" s="99" t="s">
        <v>236</v>
      </c>
      <c r="AT76" s="99" t="s">
        <v>420</v>
      </c>
      <c r="BC76" s="99">
        <v>2</v>
      </c>
      <c r="BD76" s="99">
        <v>3</v>
      </c>
      <c r="BE76" s="99">
        <v>98</v>
      </c>
      <c r="BF76" s="99" t="s">
        <v>1396</v>
      </c>
      <c r="BG76" s="99" t="s">
        <v>1396</v>
      </c>
      <c r="BH76" s="99">
        <v>0.99880000000000002</v>
      </c>
      <c r="BL76" s="99">
        <v>0.70930000000000004</v>
      </c>
      <c r="BM76" s="99">
        <v>70.492034400112786</v>
      </c>
      <c r="BN76" s="99" t="b">
        <v>0</v>
      </c>
      <c r="BO76" s="99">
        <v>30</v>
      </c>
      <c r="BP76" s="99">
        <v>0</v>
      </c>
      <c r="BQ76" s="99" t="s">
        <v>246</v>
      </c>
      <c r="BY76" s="99">
        <v>5</v>
      </c>
      <c r="BZ76" s="99">
        <v>10</v>
      </c>
      <c r="CA76" s="99">
        <v>7.5</v>
      </c>
      <c r="CB76" s="99">
        <v>5</v>
      </c>
      <c r="CD76" s="99" t="s">
        <v>412</v>
      </c>
    </row>
    <row r="77" spans="1:100" s="105" customFormat="1">
      <c r="A77" s="105" t="s">
        <v>679</v>
      </c>
      <c r="B77" s="105">
        <v>4</v>
      </c>
      <c r="C77" s="105">
        <v>3</v>
      </c>
      <c r="D77" s="105">
        <v>1</v>
      </c>
      <c r="E77" s="105">
        <v>17</v>
      </c>
      <c r="F77" s="105">
        <v>1983</v>
      </c>
      <c r="G77" s="105" t="s">
        <v>1219</v>
      </c>
      <c r="H77" s="105" t="s">
        <v>161</v>
      </c>
      <c r="I77" s="105" t="s">
        <v>246</v>
      </c>
      <c r="J77" s="105" t="s">
        <v>246</v>
      </c>
      <c r="K77" s="105" t="s">
        <v>1976</v>
      </c>
      <c r="L77" s="105" t="s">
        <v>444</v>
      </c>
      <c r="M77" s="105" t="s">
        <v>448</v>
      </c>
      <c r="N77" s="105" t="s">
        <v>799</v>
      </c>
      <c r="O77" s="105" t="s">
        <v>2547</v>
      </c>
      <c r="P77" s="105">
        <v>-32.583581770000002</v>
      </c>
      <c r="Q77" s="105">
        <v>32.583581770000002</v>
      </c>
      <c r="R77" s="105">
        <v>115.66754400000001</v>
      </c>
      <c r="S77" s="105" t="s">
        <v>2634</v>
      </c>
      <c r="T77" s="105">
        <v>-32.583581770000002</v>
      </c>
      <c r="U77" s="105">
        <v>115.66754400000001</v>
      </c>
      <c r="V77" s="105">
        <v>6</v>
      </c>
      <c r="W77" s="105" t="s">
        <v>349</v>
      </c>
      <c r="X77" s="105" t="s">
        <v>802</v>
      </c>
      <c r="Y77" s="105" t="s">
        <v>999</v>
      </c>
      <c r="Z77" s="105" t="s">
        <v>1788</v>
      </c>
      <c r="AA77" s="105" t="s">
        <v>333</v>
      </c>
      <c r="AB77" s="105" t="s">
        <v>246</v>
      </c>
      <c r="AC77" s="105" t="s">
        <v>182</v>
      </c>
      <c r="AD77" s="105" t="s">
        <v>1123</v>
      </c>
      <c r="AE77" s="105" t="s">
        <v>1745</v>
      </c>
      <c r="AF77" s="105" t="s">
        <v>1766</v>
      </c>
      <c r="AH77" s="105" t="s">
        <v>182</v>
      </c>
      <c r="AI77" s="105" t="s">
        <v>182</v>
      </c>
      <c r="AJ77" s="105" t="s">
        <v>171</v>
      </c>
      <c r="AK77" s="105" t="s">
        <v>190</v>
      </c>
      <c r="AN77" s="105">
        <v>5.2999999999999999E-2</v>
      </c>
      <c r="AP77" s="105" t="s">
        <v>190</v>
      </c>
      <c r="AQ77" s="105" t="s">
        <v>176</v>
      </c>
      <c r="AR77" s="105">
        <v>1979</v>
      </c>
      <c r="AS77" s="105" t="s">
        <v>245</v>
      </c>
      <c r="AT77" s="105" t="s">
        <v>174</v>
      </c>
      <c r="AU77" s="105">
        <v>15</v>
      </c>
      <c r="AW77" s="105" t="s">
        <v>174</v>
      </c>
      <c r="AX77" s="105" t="s">
        <v>174</v>
      </c>
      <c r="AY77" s="105" t="s">
        <v>174</v>
      </c>
      <c r="AZ77" s="105" t="s">
        <v>174</v>
      </c>
      <c r="BA77" s="105" t="s">
        <v>174</v>
      </c>
      <c r="BB77" s="105" t="s">
        <v>174</v>
      </c>
      <c r="BC77" s="105">
        <v>5</v>
      </c>
      <c r="BD77" s="105">
        <v>7</v>
      </c>
      <c r="BE77" s="105">
        <v>146</v>
      </c>
      <c r="BF77" s="105" t="s">
        <v>1385</v>
      </c>
      <c r="BG77" s="105" t="s">
        <v>2603</v>
      </c>
      <c r="BH77" s="105">
        <v>0.96</v>
      </c>
      <c r="BK77" s="105">
        <v>6.8999999999999999E-3</v>
      </c>
      <c r="BM77" s="105">
        <v>145.88</v>
      </c>
      <c r="BN77" s="105" t="b">
        <v>0</v>
      </c>
      <c r="BO77" s="105">
        <v>22.2</v>
      </c>
      <c r="BP77" s="105">
        <v>22.2</v>
      </c>
      <c r="BQ77" s="105" t="s">
        <v>182</v>
      </c>
      <c r="BR77" s="105" t="s">
        <v>174</v>
      </c>
      <c r="BS77" s="105" t="s">
        <v>800</v>
      </c>
      <c r="BU77" s="105">
        <v>1.5</v>
      </c>
      <c r="BV77" s="105">
        <v>0.8</v>
      </c>
      <c r="BW77" s="105">
        <v>39.200000000000003</v>
      </c>
      <c r="BX77" s="105">
        <v>31</v>
      </c>
      <c r="BY77" s="105">
        <v>13</v>
      </c>
      <c r="BZ77" s="105">
        <v>23</v>
      </c>
      <c r="CA77" s="105">
        <v>18</v>
      </c>
      <c r="CB77" s="105">
        <v>10</v>
      </c>
      <c r="CC77" s="105" t="s">
        <v>246</v>
      </c>
      <c r="CD77" s="105" t="s">
        <v>188</v>
      </c>
      <c r="CE77" s="105">
        <v>0</v>
      </c>
      <c r="CF77" s="105" t="s">
        <v>174</v>
      </c>
      <c r="CG77" s="105" t="s">
        <v>246</v>
      </c>
      <c r="CH77" s="105" t="s">
        <v>806</v>
      </c>
      <c r="CI77" s="105" t="s">
        <v>803</v>
      </c>
      <c r="CK77" s="105" t="s">
        <v>175</v>
      </c>
      <c r="CM77" s="105" t="s">
        <v>182</v>
      </c>
      <c r="CO77" s="105" t="s">
        <v>174</v>
      </c>
      <c r="CP77" s="105" t="s">
        <v>174</v>
      </c>
      <c r="CQ77" s="105" t="s">
        <v>246</v>
      </c>
      <c r="CR77" s="105">
        <v>29139</v>
      </c>
      <c r="CS77" s="105" t="s">
        <v>174</v>
      </c>
      <c r="CT77" s="105" t="s">
        <v>174</v>
      </c>
      <c r="CU77" s="105" t="s">
        <v>518</v>
      </c>
      <c r="CV77" s="105" t="s">
        <v>2443</v>
      </c>
    </row>
    <row r="78" spans="1:100" s="105" customFormat="1">
      <c r="A78" s="105" t="s">
        <v>668</v>
      </c>
      <c r="B78" s="105">
        <v>6</v>
      </c>
      <c r="C78" s="105">
        <v>1</v>
      </c>
      <c r="D78" s="105">
        <v>1</v>
      </c>
      <c r="E78" s="105">
        <v>25</v>
      </c>
      <c r="F78" s="105">
        <v>1996</v>
      </c>
      <c r="G78" s="105" t="s">
        <v>1219</v>
      </c>
      <c r="H78" s="105" t="s">
        <v>161</v>
      </c>
      <c r="I78" s="105" t="s">
        <v>182</v>
      </c>
      <c r="J78" s="105" t="s">
        <v>246</v>
      </c>
      <c r="K78" s="105" t="s">
        <v>2611</v>
      </c>
      <c r="L78" s="105" t="s">
        <v>443</v>
      </c>
      <c r="M78" s="105" t="s">
        <v>540</v>
      </c>
      <c r="N78" s="105" t="s">
        <v>669</v>
      </c>
      <c r="O78" s="105" t="s">
        <v>2526</v>
      </c>
      <c r="P78" s="105">
        <v>-60.712538279999997</v>
      </c>
      <c r="Q78" s="105">
        <v>60.712538279999997</v>
      </c>
      <c r="R78" s="105">
        <v>-45.601030000000002</v>
      </c>
      <c r="S78" s="105" t="s">
        <v>2697</v>
      </c>
      <c r="T78" s="105">
        <v>-60.712538279999997</v>
      </c>
      <c r="U78" s="105">
        <v>-45.601030000000002</v>
      </c>
      <c r="V78" s="105">
        <v>2</v>
      </c>
      <c r="W78" s="105" t="s">
        <v>538</v>
      </c>
      <c r="X78" s="105" t="s">
        <v>797</v>
      </c>
      <c r="Y78" s="105" t="s">
        <v>999</v>
      </c>
      <c r="Z78" s="105" t="s">
        <v>1788</v>
      </c>
      <c r="AA78" s="105" t="s">
        <v>1727</v>
      </c>
      <c r="AB78" s="105" t="s">
        <v>182</v>
      </c>
      <c r="AC78" s="105" t="s">
        <v>333</v>
      </c>
      <c r="AD78" s="105" t="s">
        <v>1123</v>
      </c>
      <c r="AE78" s="105" t="s">
        <v>1745</v>
      </c>
      <c r="AF78" s="105">
        <v>12</v>
      </c>
      <c r="AH78" s="105" t="s">
        <v>246</v>
      </c>
      <c r="AI78" s="105" t="s">
        <v>246</v>
      </c>
      <c r="AJ78" s="105" t="s">
        <v>171</v>
      </c>
      <c r="AK78" s="105" t="s">
        <v>190</v>
      </c>
      <c r="AN78" s="105">
        <v>1</v>
      </c>
      <c r="AP78" s="105" t="s">
        <v>190</v>
      </c>
      <c r="AQ78" s="105" t="s">
        <v>176</v>
      </c>
      <c r="AR78" s="105">
        <v>1992</v>
      </c>
      <c r="AS78" s="105" t="s">
        <v>670</v>
      </c>
      <c r="AT78" s="105" t="s">
        <v>420</v>
      </c>
      <c r="AU78" s="105">
        <v>30</v>
      </c>
      <c r="AW78" s="105" t="s">
        <v>174</v>
      </c>
      <c r="AX78" s="105" t="s">
        <v>174</v>
      </c>
      <c r="AY78" s="105" t="s">
        <v>174</v>
      </c>
      <c r="AZ78" s="105" t="s">
        <v>174</v>
      </c>
      <c r="BA78" s="105" t="s">
        <v>174</v>
      </c>
      <c r="BB78" s="105" t="s">
        <v>174</v>
      </c>
      <c r="BC78" s="105">
        <v>5</v>
      </c>
      <c r="BD78" s="105">
        <v>10</v>
      </c>
      <c r="BE78" s="105">
        <v>83</v>
      </c>
      <c r="BF78" s="105" t="s">
        <v>1385</v>
      </c>
      <c r="BG78" s="105" t="s">
        <v>2603</v>
      </c>
      <c r="BH78" s="105">
        <v>0.96</v>
      </c>
      <c r="BI78" s="105" t="s">
        <v>2347</v>
      </c>
      <c r="BJ78" s="105">
        <v>0.93</v>
      </c>
      <c r="BK78" s="105">
        <v>1.6400000000000001E-2</v>
      </c>
      <c r="BM78" s="105">
        <v>28.16</v>
      </c>
      <c r="BN78" s="105" t="b">
        <v>0</v>
      </c>
      <c r="BO78" s="105">
        <v>0</v>
      </c>
      <c r="BP78" s="105">
        <v>0</v>
      </c>
      <c r="BQ78" s="105" t="s">
        <v>246</v>
      </c>
      <c r="BR78" s="105" t="s">
        <v>174</v>
      </c>
      <c r="BS78" s="105" t="s">
        <v>678</v>
      </c>
      <c r="BU78" s="105">
        <v>17.5</v>
      </c>
      <c r="BV78" s="105">
        <v>8.6</v>
      </c>
      <c r="BW78" s="105">
        <v>35.1</v>
      </c>
      <c r="BX78" s="105">
        <v>30.2</v>
      </c>
      <c r="BY78" s="105">
        <v>-1.84</v>
      </c>
      <c r="BZ78" s="105">
        <v>0.55000000000000004</v>
      </c>
      <c r="CA78" s="105">
        <v>-0.64500000000000002</v>
      </c>
      <c r="CB78" s="105">
        <v>2.39</v>
      </c>
      <c r="CC78" s="105" t="s">
        <v>182</v>
      </c>
      <c r="CD78" s="105" t="s">
        <v>412</v>
      </c>
      <c r="CF78" s="105" t="s">
        <v>174</v>
      </c>
      <c r="CH78" s="105" t="s">
        <v>190</v>
      </c>
      <c r="CI78" s="105" t="s">
        <v>673</v>
      </c>
      <c r="CJ78" s="105" t="s">
        <v>671</v>
      </c>
      <c r="CK78" s="105" t="s">
        <v>175</v>
      </c>
      <c r="CM78" s="105" t="s">
        <v>182</v>
      </c>
      <c r="CO78" s="105" t="s">
        <v>174</v>
      </c>
      <c r="CP78" s="105" t="s">
        <v>174</v>
      </c>
      <c r="CQ78" s="105" t="s">
        <v>176</v>
      </c>
      <c r="CR78" s="105">
        <v>33963</v>
      </c>
      <c r="CS78" s="105" t="s">
        <v>672</v>
      </c>
      <c r="CT78" s="105" t="s">
        <v>174</v>
      </c>
      <c r="CU78" s="105" t="s">
        <v>168</v>
      </c>
    </row>
    <row r="79" spans="1:100" s="105" customFormat="1">
      <c r="A79" s="105" t="s">
        <v>526</v>
      </c>
      <c r="B79" s="105">
        <v>7</v>
      </c>
      <c r="C79" s="105">
        <v>1</v>
      </c>
      <c r="D79" s="105">
        <v>1</v>
      </c>
      <c r="E79" s="105">
        <v>27</v>
      </c>
      <c r="F79" s="105">
        <v>1991</v>
      </c>
      <c r="G79" s="105" t="s">
        <v>1219</v>
      </c>
      <c r="H79" s="105" t="s">
        <v>161</v>
      </c>
      <c r="I79" s="105" t="s">
        <v>246</v>
      </c>
      <c r="J79" s="105" t="s">
        <v>246</v>
      </c>
      <c r="K79" s="105" t="s">
        <v>1976</v>
      </c>
      <c r="L79" s="105" t="s">
        <v>446</v>
      </c>
      <c r="M79" s="105" t="s">
        <v>707</v>
      </c>
      <c r="N79" s="105" t="s">
        <v>703</v>
      </c>
      <c r="O79" s="105" t="s">
        <v>2562</v>
      </c>
      <c r="P79" s="105">
        <v>41.525787680000001</v>
      </c>
      <c r="Q79" s="105">
        <v>41.525787680000001</v>
      </c>
      <c r="R79" s="105">
        <v>-70.672420900000006</v>
      </c>
      <c r="S79" s="105" t="s">
        <v>2684</v>
      </c>
      <c r="T79" s="105">
        <v>41.973549300000002</v>
      </c>
      <c r="U79" s="105">
        <v>-70.943533619999997</v>
      </c>
      <c r="V79" s="105">
        <v>37</v>
      </c>
      <c r="W79" s="105" t="s">
        <v>276</v>
      </c>
      <c r="X79" s="105" t="s">
        <v>586</v>
      </c>
      <c r="Y79" s="105" t="s">
        <v>999</v>
      </c>
      <c r="Z79" s="105" t="s">
        <v>1788</v>
      </c>
      <c r="AA79" s="105" t="s">
        <v>333</v>
      </c>
      <c r="AB79" s="105" t="s">
        <v>246</v>
      </c>
      <c r="AC79" s="105" t="s">
        <v>333</v>
      </c>
      <c r="AD79" s="105" t="s">
        <v>1123</v>
      </c>
      <c r="AE79" s="105" t="s">
        <v>1745</v>
      </c>
      <c r="AF79" s="105">
        <v>2</v>
      </c>
      <c r="AH79" s="105" t="s">
        <v>246</v>
      </c>
      <c r="AI79" s="105" t="s">
        <v>246</v>
      </c>
      <c r="AJ79" s="105" t="s">
        <v>171</v>
      </c>
      <c r="AK79" s="105" t="s">
        <v>190</v>
      </c>
      <c r="AN79" s="105" t="s">
        <v>1766</v>
      </c>
      <c r="AP79" s="105" t="s">
        <v>190</v>
      </c>
      <c r="AQ79" s="105" t="s">
        <v>176</v>
      </c>
      <c r="AR79" s="105" t="s">
        <v>174</v>
      </c>
      <c r="AS79" s="105" t="s">
        <v>234</v>
      </c>
      <c r="AT79" s="105" t="s">
        <v>298</v>
      </c>
      <c r="AU79" s="105">
        <v>100</v>
      </c>
      <c r="AV79" s="105" t="s">
        <v>1255</v>
      </c>
      <c r="AW79" s="105" t="s">
        <v>174</v>
      </c>
      <c r="AX79" s="105" t="s">
        <v>174</v>
      </c>
      <c r="AY79" s="105">
        <v>6.6230000000000002</v>
      </c>
      <c r="AZ79" s="105" t="s">
        <v>174</v>
      </c>
      <c r="BA79" s="105" t="s">
        <v>174</v>
      </c>
      <c r="BB79" s="105" t="s">
        <v>174</v>
      </c>
      <c r="BC79" s="105">
        <v>2.5</v>
      </c>
      <c r="BD79" s="105">
        <v>2</v>
      </c>
      <c r="BE79" s="105">
        <v>14</v>
      </c>
      <c r="BF79" s="105" t="s">
        <v>2347</v>
      </c>
      <c r="BG79" s="105" t="s">
        <v>2603</v>
      </c>
      <c r="BH79" s="105">
        <v>0.99</v>
      </c>
      <c r="BK79" s="105">
        <v>0.24340000000000001</v>
      </c>
      <c r="BM79" s="105">
        <v>2.8</v>
      </c>
      <c r="BN79" s="105" t="b">
        <v>0</v>
      </c>
      <c r="BO79" s="105">
        <v>7.1</v>
      </c>
      <c r="BP79" s="105" t="s">
        <v>2256</v>
      </c>
      <c r="BQ79" s="105" t="s">
        <v>2256</v>
      </c>
      <c r="BR79" s="105" t="s">
        <v>174</v>
      </c>
      <c r="BS79" s="105" t="s">
        <v>707</v>
      </c>
      <c r="BU79" s="105">
        <v>21</v>
      </c>
      <c r="BV79" s="105">
        <v>17</v>
      </c>
      <c r="BW79" s="105">
        <v>9.1</v>
      </c>
      <c r="BX79" s="105">
        <v>0.6</v>
      </c>
      <c r="BY79" s="105" t="s">
        <v>1766</v>
      </c>
      <c r="BZ79" s="105" t="s">
        <v>1766</v>
      </c>
      <c r="CC79" s="105" t="s">
        <v>182</v>
      </c>
      <c r="CD79" s="105" t="s">
        <v>412</v>
      </c>
      <c r="CF79" s="105" t="s">
        <v>174</v>
      </c>
      <c r="CG79" s="105" t="s">
        <v>182</v>
      </c>
      <c r="CH79" s="105" t="s">
        <v>412</v>
      </c>
      <c r="CI79" s="105" t="s">
        <v>817</v>
      </c>
      <c r="CK79" s="105" t="s">
        <v>182</v>
      </c>
      <c r="CO79" s="105">
        <v>0.2</v>
      </c>
      <c r="CP79" s="105" t="s">
        <v>174</v>
      </c>
      <c r="CQ79" s="105" t="s">
        <v>246</v>
      </c>
      <c r="CR79" s="105" t="s">
        <v>174</v>
      </c>
      <c r="CS79" s="105" t="s">
        <v>174</v>
      </c>
      <c r="CT79" s="105" t="s">
        <v>174</v>
      </c>
      <c r="CU79" s="105" t="s">
        <v>518</v>
      </c>
      <c r="CV79" s="105" t="s">
        <v>2446</v>
      </c>
    </row>
    <row r="80" spans="1:100" s="105" customFormat="1">
      <c r="A80" s="105" t="s">
        <v>940</v>
      </c>
      <c r="B80" s="105">
        <v>8</v>
      </c>
      <c r="C80" s="105">
        <v>1</v>
      </c>
      <c r="D80" s="105">
        <v>1</v>
      </c>
      <c r="E80" s="105">
        <v>29</v>
      </c>
      <c r="F80" s="105">
        <v>2003</v>
      </c>
      <c r="G80" s="105" t="s">
        <v>1219</v>
      </c>
      <c r="H80" s="105" t="s">
        <v>187</v>
      </c>
      <c r="I80" s="105" t="s">
        <v>182</v>
      </c>
      <c r="J80" s="105" t="s">
        <v>246</v>
      </c>
      <c r="K80" s="105" t="s">
        <v>1976</v>
      </c>
      <c r="L80" s="105" t="s">
        <v>444</v>
      </c>
      <c r="M80" s="105" t="s">
        <v>445</v>
      </c>
      <c r="N80" s="105" t="s">
        <v>853</v>
      </c>
      <c r="O80" s="105" t="s">
        <v>2549</v>
      </c>
      <c r="P80" s="105">
        <v>44.822442649999999</v>
      </c>
      <c r="Q80" s="105">
        <v>44.822442649999999</v>
      </c>
      <c r="R80" s="105">
        <v>12.344489429999999</v>
      </c>
      <c r="S80" s="105" t="s">
        <v>2616</v>
      </c>
      <c r="T80" s="105">
        <v>44.822442649999999</v>
      </c>
      <c r="U80" s="105">
        <v>12.344489429999999</v>
      </c>
      <c r="V80" s="105">
        <v>3</v>
      </c>
      <c r="W80" s="105" t="s">
        <v>1273</v>
      </c>
      <c r="X80" s="105" t="s">
        <v>155</v>
      </c>
      <c r="Y80" s="105" t="s">
        <v>2885</v>
      </c>
      <c r="Z80" s="105" t="s">
        <v>1788</v>
      </c>
      <c r="AA80" s="105" t="s">
        <v>1738</v>
      </c>
      <c r="AB80" s="105" t="s">
        <v>182</v>
      </c>
      <c r="AC80" s="105" t="s">
        <v>1725</v>
      </c>
      <c r="AD80" s="105" t="s">
        <v>187</v>
      </c>
      <c r="AE80" s="105" t="s">
        <v>190</v>
      </c>
      <c r="AF80" s="105" t="s">
        <v>190</v>
      </c>
      <c r="AH80" s="105" t="s">
        <v>246</v>
      </c>
      <c r="AI80" s="105" t="s">
        <v>246</v>
      </c>
      <c r="AJ80" s="105" t="s">
        <v>882</v>
      </c>
      <c r="AK80" s="105" t="s">
        <v>1274</v>
      </c>
      <c r="AL80" s="105">
        <v>700</v>
      </c>
      <c r="AM80" s="105" t="s">
        <v>1216</v>
      </c>
      <c r="AO80" s="105" t="s">
        <v>190</v>
      </c>
      <c r="AP80" s="105" t="s">
        <v>174</v>
      </c>
      <c r="AQ80" s="105" t="s">
        <v>175</v>
      </c>
      <c r="AR80" s="105">
        <v>1998</v>
      </c>
      <c r="AS80" s="105" t="s">
        <v>475</v>
      </c>
      <c r="AT80" s="105" t="s">
        <v>420</v>
      </c>
      <c r="AU80" s="105" t="s">
        <v>174</v>
      </c>
      <c r="AV80" s="105" t="s">
        <v>174</v>
      </c>
      <c r="AW80" s="105" t="s">
        <v>1394</v>
      </c>
      <c r="AX80" s="105" t="s">
        <v>174</v>
      </c>
      <c r="AY80" s="105" t="s">
        <v>174</v>
      </c>
      <c r="AZ80" s="105" t="s">
        <v>174</v>
      </c>
      <c r="BA80" s="105" t="s">
        <v>174</v>
      </c>
      <c r="BB80" s="105" t="s">
        <v>174</v>
      </c>
      <c r="BC80" s="105">
        <v>5</v>
      </c>
      <c r="BD80" s="105">
        <v>3</v>
      </c>
      <c r="BE80" s="105">
        <v>22</v>
      </c>
      <c r="BF80" s="105" t="s">
        <v>1385</v>
      </c>
      <c r="BG80" s="105" t="s">
        <v>2603</v>
      </c>
      <c r="BH80" s="105">
        <v>1</v>
      </c>
      <c r="BK80" s="105">
        <v>0.35630000000000001</v>
      </c>
      <c r="BM80" s="105">
        <v>2.98</v>
      </c>
      <c r="BN80" s="105" t="b">
        <v>0</v>
      </c>
      <c r="BO80" s="105">
        <v>23.6</v>
      </c>
      <c r="BP80" s="105">
        <v>23.6</v>
      </c>
      <c r="BQ80" s="105" t="s">
        <v>182</v>
      </c>
      <c r="BS80" s="105" t="s">
        <v>2493</v>
      </c>
      <c r="BU80" s="105" t="s">
        <v>174</v>
      </c>
      <c r="BV80" s="105" t="s">
        <v>174</v>
      </c>
      <c r="BW80" s="105" t="s">
        <v>174</v>
      </c>
      <c r="BX80" s="105" t="s">
        <v>174</v>
      </c>
      <c r="BY80" s="105">
        <v>20</v>
      </c>
      <c r="BZ80" s="105">
        <v>20</v>
      </c>
      <c r="CA80" s="105">
        <v>20</v>
      </c>
      <c r="CB80" s="105">
        <v>0</v>
      </c>
      <c r="CC80" s="105" t="s">
        <v>246</v>
      </c>
      <c r="CD80" s="105" t="s">
        <v>188</v>
      </c>
      <c r="CE80" s="105">
        <v>0</v>
      </c>
      <c r="CG80" s="105" t="s">
        <v>182</v>
      </c>
      <c r="CH80" s="105" t="s">
        <v>1276</v>
      </c>
      <c r="CI80" s="105" t="s">
        <v>1275</v>
      </c>
      <c r="CK80" s="105" t="s">
        <v>246</v>
      </c>
      <c r="CO80" s="105" t="s">
        <v>174</v>
      </c>
      <c r="CP80" s="105" t="s">
        <v>174</v>
      </c>
      <c r="CQ80" s="105" t="s">
        <v>246</v>
      </c>
      <c r="CR80" s="105" t="s">
        <v>174</v>
      </c>
      <c r="CS80" s="105" t="s">
        <v>174</v>
      </c>
      <c r="CT80" s="105">
        <v>0.7</v>
      </c>
      <c r="CU80" s="105" t="s">
        <v>518</v>
      </c>
      <c r="CV80" s="105" t="s">
        <v>2145</v>
      </c>
    </row>
    <row r="81" spans="1:102" s="105" customFormat="1">
      <c r="A81" s="105" t="s">
        <v>370</v>
      </c>
      <c r="B81" s="105">
        <v>14</v>
      </c>
      <c r="C81" s="105">
        <v>1</v>
      </c>
      <c r="D81" s="105">
        <v>1</v>
      </c>
      <c r="E81" s="105">
        <v>57</v>
      </c>
      <c r="F81" s="105">
        <v>2020</v>
      </c>
      <c r="G81" s="105" t="s">
        <v>1219</v>
      </c>
      <c r="H81" s="105" t="s">
        <v>161</v>
      </c>
      <c r="I81" s="105" t="s">
        <v>182</v>
      </c>
      <c r="J81" s="105" t="s">
        <v>246</v>
      </c>
      <c r="K81" s="105" t="s">
        <v>152</v>
      </c>
      <c r="L81" s="105" t="s">
        <v>443</v>
      </c>
      <c r="M81" s="105" t="s">
        <v>156</v>
      </c>
      <c r="N81" s="105" t="s">
        <v>158</v>
      </c>
      <c r="O81" s="105" t="s">
        <v>300</v>
      </c>
      <c r="P81" s="105">
        <v>48.709383330000001</v>
      </c>
      <c r="Q81" s="105">
        <v>48.709383330000001</v>
      </c>
      <c r="R81" s="105">
        <v>-3.9534333300000002</v>
      </c>
      <c r="S81" s="105" t="s">
        <v>2693</v>
      </c>
      <c r="T81" s="105">
        <v>48.709260200000003</v>
      </c>
      <c r="U81" s="105">
        <v>-3.9511435490000002</v>
      </c>
      <c r="V81" s="105">
        <v>15</v>
      </c>
      <c r="W81" s="105" t="s">
        <v>310</v>
      </c>
      <c r="X81" s="105" t="s">
        <v>155</v>
      </c>
      <c r="Y81" s="105" t="s">
        <v>999</v>
      </c>
      <c r="Z81" s="105" t="s">
        <v>1788</v>
      </c>
      <c r="AA81" s="105" t="s">
        <v>333</v>
      </c>
      <c r="AB81" s="105" t="s">
        <v>246</v>
      </c>
      <c r="AC81" s="105" t="s">
        <v>333</v>
      </c>
      <c r="AD81" s="105" t="s">
        <v>1123</v>
      </c>
      <c r="AE81" s="105" t="s">
        <v>1745</v>
      </c>
      <c r="AF81" s="105">
        <v>4.5</v>
      </c>
      <c r="AH81" s="105" t="s">
        <v>246</v>
      </c>
      <c r="AI81" s="105" t="s">
        <v>246</v>
      </c>
      <c r="AJ81" s="105" t="s">
        <v>1749</v>
      </c>
      <c r="AK81" s="105" t="s">
        <v>190</v>
      </c>
      <c r="AN81" s="105">
        <v>10</v>
      </c>
      <c r="AP81" s="105" t="s">
        <v>190</v>
      </c>
      <c r="AQ81" s="105" t="s">
        <v>176</v>
      </c>
      <c r="AR81" s="105">
        <v>2017</v>
      </c>
      <c r="AS81" s="105" t="s">
        <v>319</v>
      </c>
      <c r="AT81" s="105" t="s">
        <v>298</v>
      </c>
      <c r="AU81" s="105">
        <v>911</v>
      </c>
      <c r="AW81" s="105" t="s">
        <v>1394</v>
      </c>
      <c r="AX81" s="105">
        <v>3.6600000000000001E-2</v>
      </c>
      <c r="AY81" s="105" t="s">
        <v>174</v>
      </c>
      <c r="AZ81" s="105">
        <v>18.899999999999999</v>
      </c>
      <c r="BA81" s="105">
        <v>0</v>
      </c>
      <c r="BB81" s="105" t="s">
        <v>174</v>
      </c>
      <c r="BC81" s="105">
        <v>5</v>
      </c>
      <c r="BD81" s="105">
        <v>5</v>
      </c>
      <c r="BE81" s="105">
        <v>140</v>
      </c>
      <c r="BF81" s="105" t="s">
        <v>1385</v>
      </c>
      <c r="BG81" s="105" t="s">
        <v>2603</v>
      </c>
      <c r="BH81" s="105">
        <v>0.95199999999999996</v>
      </c>
      <c r="BK81" s="105">
        <v>3.61E-2</v>
      </c>
      <c r="BM81" s="105">
        <v>19</v>
      </c>
      <c r="BN81" s="105" t="b">
        <v>0</v>
      </c>
      <c r="BO81" s="105">
        <v>7.21</v>
      </c>
      <c r="BP81" s="105">
        <v>7.21</v>
      </c>
      <c r="BQ81" s="105" t="s">
        <v>182</v>
      </c>
      <c r="BR81" s="105" t="s">
        <v>174</v>
      </c>
      <c r="BS81" s="105" t="s">
        <v>2385</v>
      </c>
      <c r="BU81" s="105" t="s">
        <v>174</v>
      </c>
      <c r="BV81" s="105" t="s">
        <v>174</v>
      </c>
      <c r="BW81" s="105" t="s">
        <v>174</v>
      </c>
      <c r="BX81" s="105" t="s">
        <v>174</v>
      </c>
      <c r="BY81" s="105">
        <v>11.7</v>
      </c>
      <c r="BZ81" s="105">
        <v>17.8</v>
      </c>
      <c r="CA81" s="105">
        <v>14.75</v>
      </c>
      <c r="CB81" s="105">
        <v>6.1</v>
      </c>
      <c r="CC81" s="105" t="s">
        <v>182</v>
      </c>
      <c r="CD81" s="105" t="s">
        <v>412</v>
      </c>
      <c r="CE81" s="105" t="s">
        <v>374</v>
      </c>
      <c r="CF81" s="105" t="s">
        <v>224</v>
      </c>
      <c r="CG81" s="105" t="s">
        <v>182</v>
      </c>
      <c r="CH81" s="105" t="s">
        <v>190</v>
      </c>
      <c r="CI81" s="105" t="s">
        <v>371</v>
      </c>
      <c r="CK81" s="105" t="s">
        <v>175</v>
      </c>
      <c r="CM81" s="105" t="s">
        <v>182</v>
      </c>
      <c r="CO81" s="105" t="s">
        <v>174</v>
      </c>
      <c r="CP81" s="105" t="s">
        <v>174</v>
      </c>
      <c r="CQ81" s="105" t="s">
        <v>182</v>
      </c>
      <c r="CR81" s="105">
        <v>42843</v>
      </c>
      <c r="CS81" s="105" t="s">
        <v>242</v>
      </c>
      <c r="CT81" s="105" t="s">
        <v>174</v>
      </c>
      <c r="CU81" s="105" t="s">
        <v>168</v>
      </c>
      <c r="CV81" s="105" t="s">
        <v>2447</v>
      </c>
    </row>
    <row r="82" spans="1:102" s="105" customFormat="1">
      <c r="A82" s="105" t="s">
        <v>683</v>
      </c>
      <c r="B82" s="105">
        <v>21</v>
      </c>
      <c r="C82" s="105">
        <v>3</v>
      </c>
      <c r="D82" s="105">
        <v>1</v>
      </c>
      <c r="E82" s="105">
        <v>115</v>
      </c>
      <c r="F82" s="105">
        <v>1983</v>
      </c>
      <c r="G82" s="105" t="s">
        <v>1219</v>
      </c>
      <c r="H82" s="105" t="s">
        <v>187</v>
      </c>
      <c r="I82" s="105" t="s">
        <v>182</v>
      </c>
      <c r="J82" s="105" t="s">
        <v>246</v>
      </c>
      <c r="K82" s="105" t="s">
        <v>1976</v>
      </c>
      <c r="L82" s="105" t="s">
        <v>444</v>
      </c>
      <c r="M82" s="105" t="s">
        <v>448</v>
      </c>
      <c r="N82" s="105" t="s">
        <v>799</v>
      </c>
      <c r="O82" s="105" t="s">
        <v>2547</v>
      </c>
      <c r="P82" s="105">
        <v>-32.583581770000002</v>
      </c>
      <c r="Q82" s="105">
        <v>32.583581770000002</v>
      </c>
      <c r="R82" s="105">
        <v>115.66754400000001</v>
      </c>
      <c r="S82" s="105" t="s">
        <v>2634</v>
      </c>
      <c r="T82" s="105">
        <v>-32.583581770000002</v>
      </c>
      <c r="U82" s="105">
        <v>115.66754400000001</v>
      </c>
      <c r="V82" s="105">
        <v>6</v>
      </c>
      <c r="W82" s="105" t="s">
        <v>349</v>
      </c>
      <c r="X82" s="105" t="s">
        <v>802</v>
      </c>
      <c r="Y82" s="105" t="s">
        <v>999</v>
      </c>
      <c r="Z82" s="105" t="s">
        <v>1788</v>
      </c>
      <c r="AA82" s="105" t="s">
        <v>333</v>
      </c>
      <c r="AB82" s="105" t="s">
        <v>246</v>
      </c>
      <c r="AC82" s="105" t="s">
        <v>1256</v>
      </c>
      <c r="AD82" s="105" t="s">
        <v>187</v>
      </c>
      <c r="AE82" s="105" t="s">
        <v>190</v>
      </c>
      <c r="AF82" s="105" t="s">
        <v>190</v>
      </c>
      <c r="AH82" s="105" t="s">
        <v>246</v>
      </c>
      <c r="AI82" s="105" t="s">
        <v>246</v>
      </c>
      <c r="AJ82" s="105" t="s">
        <v>882</v>
      </c>
      <c r="AK82" s="105" t="s">
        <v>1242</v>
      </c>
      <c r="AL82" s="105">
        <v>150</v>
      </c>
      <c r="AM82" s="105" t="s">
        <v>412</v>
      </c>
      <c r="AN82" s="105">
        <v>5.3E-3</v>
      </c>
      <c r="AP82" s="105" t="s">
        <v>190</v>
      </c>
      <c r="AQ82" s="105" t="s">
        <v>175</v>
      </c>
      <c r="AR82" s="105">
        <v>1979</v>
      </c>
      <c r="AS82" s="105" t="s">
        <v>880</v>
      </c>
      <c r="AT82" s="105" t="s">
        <v>298</v>
      </c>
      <c r="AU82" s="105">
        <v>10</v>
      </c>
      <c r="AW82" s="105" t="s">
        <v>1704</v>
      </c>
      <c r="AX82" s="105" t="s">
        <v>174</v>
      </c>
      <c r="AY82" s="105">
        <v>0.3095</v>
      </c>
      <c r="AZ82" s="105" t="s">
        <v>174</v>
      </c>
      <c r="BA82" s="105" t="s">
        <v>174</v>
      </c>
      <c r="BB82" s="105" t="s">
        <v>174</v>
      </c>
      <c r="BC82" s="105">
        <v>5</v>
      </c>
      <c r="BD82" s="105">
        <v>14</v>
      </c>
      <c r="BE82" s="105">
        <v>357</v>
      </c>
      <c r="BF82" s="105" t="s">
        <v>1385</v>
      </c>
      <c r="BG82" s="105" t="s">
        <v>2603</v>
      </c>
      <c r="BH82" s="105">
        <v>0.98</v>
      </c>
      <c r="BK82" s="105">
        <v>1.18E-2</v>
      </c>
      <c r="BM82" s="105">
        <v>82.44</v>
      </c>
      <c r="BN82" s="105" t="b">
        <v>0</v>
      </c>
      <c r="BO82" s="105">
        <v>18.600000000000001</v>
      </c>
      <c r="BP82" s="105">
        <v>18.600000000000001</v>
      </c>
      <c r="BQ82" s="105" t="s">
        <v>182</v>
      </c>
      <c r="BR82" s="105" t="s">
        <v>174</v>
      </c>
      <c r="BS82" s="105" t="s">
        <v>10</v>
      </c>
      <c r="BU82" s="105">
        <v>11.1</v>
      </c>
      <c r="BV82" s="105" t="s">
        <v>174</v>
      </c>
      <c r="BW82" s="105" t="s">
        <v>174</v>
      </c>
      <c r="BX82" s="105" t="s">
        <v>174</v>
      </c>
      <c r="BY82" s="105">
        <v>25</v>
      </c>
      <c r="BZ82" s="105">
        <v>25</v>
      </c>
      <c r="CA82" s="105">
        <v>25</v>
      </c>
      <c r="CB82" s="105">
        <v>0</v>
      </c>
      <c r="CC82" s="105" t="s">
        <v>246</v>
      </c>
      <c r="CD82" s="105" t="s">
        <v>188</v>
      </c>
      <c r="CE82" s="105">
        <v>0</v>
      </c>
      <c r="CF82" s="105" t="s">
        <v>174</v>
      </c>
      <c r="CG82" s="105" t="s">
        <v>246</v>
      </c>
      <c r="CH82" s="105" t="s">
        <v>881</v>
      </c>
      <c r="CI82" s="105" t="s">
        <v>883</v>
      </c>
      <c r="CJ82" s="105" t="s">
        <v>885</v>
      </c>
      <c r="CK82" s="105" t="s">
        <v>182</v>
      </c>
      <c r="CO82" s="105" t="s">
        <v>174</v>
      </c>
      <c r="CP82" s="105" t="s">
        <v>174</v>
      </c>
      <c r="CQ82" s="105" t="s">
        <v>246</v>
      </c>
      <c r="CR82" s="105" t="s">
        <v>174</v>
      </c>
      <c r="CS82" s="105" t="s">
        <v>174</v>
      </c>
      <c r="CT82" s="105" t="s">
        <v>174</v>
      </c>
      <c r="CU82" s="105" t="s">
        <v>518</v>
      </c>
      <c r="CV82" s="105" t="s">
        <v>2450</v>
      </c>
      <c r="CX82" s="105" t="s">
        <v>10</v>
      </c>
    </row>
    <row r="83" spans="1:102" s="105" customFormat="1">
      <c r="A83" s="105" t="s">
        <v>535</v>
      </c>
      <c r="B83" s="105">
        <v>24</v>
      </c>
      <c r="C83" s="105">
        <v>1</v>
      </c>
      <c r="D83" s="105">
        <v>1</v>
      </c>
      <c r="E83" s="105">
        <v>131</v>
      </c>
      <c r="F83" s="105">
        <v>2016</v>
      </c>
      <c r="G83" s="105" t="s">
        <v>1219</v>
      </c>
      <c r="H83" s="105" t="s">
        <v>161</v>
      </c>
      <c r="I83" s="105" t="s">
        <v>182</v>
      </c>
      <c r="J83" s="105" t="s">
        <v>246</v>
      </c>
      <c r="K83" s="105" t="s">
        <v>152</v>
      </c>
      <c r="L83" s="105" t="s">
        <v>443</v>
      </c>
      <c r="M83" s="105" t="s">
        <v>347</v>
      </c>
      <c r="N83" s="105" t="s">
        <v>348</v>
      </c>
      <c r="O83" s="105" t="s">
        <v>359</v>
      </c>
      <c r="P83" s="105">
        <v>-36.738694440000003</v>
      </c>
      <c r="Q83" s="105">
        <v>36.738694440000003</v>
      </c>
      <c r="R83" s="105">
        <v>175.65077779999999</v>
      </c>
      <c r="S83" s="105" t="s">
        <v>2689</v>
      </c>
      <c r="T83" s="105">
        <v>-36.738694440000003</v>
      </c>
      <c r="U83" s="105">
        <v>175.65077779999999</v>
      </c>
      <c r="V83" s="105">
        <v>1</v>
      </c>
      <c r="W83" s="105" t="s">
        <v>483</v>
      </c>
      <c r="X83" s="105" t="s">
        <v>802</v>
      </c>
      <c r="Y83" s="105" t="s">
        <v>184</v>
      </c>
      <c r="Z83" s="105" t="s">
        <v>1788</v>
      </c>
      <c r="AA83" s="105" t="s">
        <v>1726</v>
      </c>
      <c r="AB83" s="105" t="s">
        <v>182</v>
      </c>
      <c r="AC83" s="105" t="s">
        <v>333</v>
      </c>
      <c r="AD83" s="105" t="s">
        <v>1123</v>
      </c>
      <c r="AE83" s="105" t="s">
        <v>1790</v>
      </c>
      <c r="AF83" s="105" t="s">
        <v>190</v>
      </c>
      <c r="AG83" s="105" t="s">
        <v>1776</v>
      </c>
      <c r="AH83" s="105" t="s">
        <v>246</v>
      </c>
      <c r="AI83" s="105" t="s">
        <v>246</v>
      </c>
      <c r="AJ83" s="105" t="s">
        <v>171</v>
      </c>
      <c r="AK83" s="105" t="s">
        <v>190</v>
      </c>
      <c r="AN83" s="105">
        <v>2</v>
      </c>
      <c r="AP83" s="105" t="s">
        <v>190</v>
      </c>
      <c r="AQ83" s="105" t="s">
        <v>176</v>
      </c>
      <c r="AR83" s="105">
        <v>2014</v>
      </c>
      <c r="AS83" s="105" t="s">
        <v>384</v>
      </c>
      <c r="AT83" s="105" t="s">
        <v>420</v>
      </c>
      <c r="AW83" s="105" t="s">
        <v>174</v>
      </c>
      <c r="AX83" s="105" t="s">
        <v>174</v>
      </c>
      <c r="AY83" s="105" t="s">
        <v>174</v>
      </c>
      <c r="AZ83" s="105" t="s">
        <v>174</v>
      </c>
      <c r="BA83" s="105" t="s">
        <v>174</v>
      </c>
      <c r="BB83" s="105" t="s">
        <v>174</v>
      </c>
      <c r="BC83" s="105">
        <v>4</v>
      </c>
      <c r="BD83" s="105">
        <v>3</v>
      </c>
      <c r="BE83" s="105">
        <v>46</v>
      </c>
      <c r="BF83" s="105" t="s">
        <v>2347</v>
      </c>
      <c r="BG83" s="105" t="s">
        <v>2603</v>
      </c>
      <c r="BH83" s="105">
        <v>1</v>
      </c>
      <c r="BK83" s="105">
        <v>0.2661</v>
      </c>
      <c r="BM83" s="105">
        <v>2.6</v>
      </c>
      <c r="BN83" s="105" t="b">
        <v>0</v>
      </c>
      <c r="BO83" s="105">
        <v>0</v>
      </c>
      <c r="BP83" s="105">
        <v>0</v>
      </c>
      <c r="BQ83" s="105" t="s">
        <v>246</v>
      </c>
      <c r="BR83" s="105" t="s">
        <v>174</v>
      </c>
      <c r="BS83" s="105" t="s">
        <v>174</v>
      </c>
      <c r="BU83" s="105">
        <v>18.39</v>
      </c>
      <c r="BV83" s="105" t="s">
        <v>174</v>
      </c>
      <c r="BW83" s="105" t="s">
        <v>174</v>
      </c>
      <c r="BX83" s="105" t="s">
        <v>174</v>
      </c>
      <c r="BY83" s="105">
        <v>20.100000000000001</v>
      </c>
      <c r="BZ83" s="105">
        <v>22.2</v>
      </c>
      <c r="CA83" s="105">
        <v>21.15</v>
      </c>
      <c r="CB83" s="105">
        <v>2.1</v>
      </c>
      <c r="CC83" s="105" t="s">
        <v>182</v>
      </c>
      <c r="CD83" s="105" t="s">
        <v>412</v>
      </c>
      <c r="CE83" s="105" t="s">
        <v>486</v>
      </c>
      <c r="CF83" s="105" t="s">
        <v>224</v>
      </c>
      <c r="CG83" s="105" t="s">
        <v>246</v>
      </c>
      <c r="CH83" s="105" t="s">
        <v>190</v>
      </c>
      <c r="CI83" s="105" t="s">
        <v>487</v>
      </c>
      <c r="CJ83" s="105" t="s">
        <v>484</v>
      </c>
      <c r="CK83" s="105" t="s">
        <v>175</v>
      </c>
      <c r="CL83" s="105" t="s">
        <v>2255</v>
      </c>
      <c r="CO83" s="105" t="s">
        <v>174</v>
      </c>
      <c r="CP83" s="105" t="s">
        <v>174</v>
      </c>
      <c r="CQ83" s="105" t="s">
        <v>174</v>
      </c>
      <c r="CR83" s="105" t="s">
        <v>174</v>
      </c>
      <c r="CS83" s="105">
        <v>1</v>
      </c>
      <c r="CT83" s="105">
        <v>0.2</v>
      </c>
      <c r="CU83" s="105" t="s">
        <v>184</v>
      </c>
    </row>
    <row r="84" spans="1:102" s="105" customFormat="1">
      <c r="A84" s="105" t="s">
        <v>268</v>
      </c>
      <c r="B84" s="105">
        <v>27</v>
      </c>
      <c r="C84" s="105">
        <v>1</v>
      </c>
      <c r="D84" s="105">
        <v>1</v>
      </c>
      <c r="E84" s="105">
        <v>138</v>
      </c>
      <c r="F84" s="105">
        <v>2015</v>
      </c>
      <c r="G84" s="105" t="s">
        <v>1219</v>
      </c>
      <c r="H84" s="105" t="s">
        <v>161</v>
      </c>
      <c r="I84" s="105" t="s">
        <v>246</v>
      </c>
      <c r="J84" s="105" t="s">
        <v>246</v>
      </c>
      <c r="K84" s="105" t="s">
        <v>152</v>
      </c>
      <c r="L84" s="105" t="s">
        <v>443</v>
      </c>
      <c r="M84" s="105" t="s">
        <v>279</v>
      </c>
      <c r="N84" s="105" t="s">
        <v>280</v>
      </c>
      <c r="O84" s="105" t="s">
        <v>2539</v>
      </c>
      <c r="P84" s="105">
        <v>33.445</v>
      </c>
      <c r="Q84" s="105">
        <v>33.445</v>
      </c>
      <c r="R84" s="105">
        <v>-118.489</v>
      </c>
      <c r="S84" s="105" t="s">
        <v>2687</v>
      </c>
      <c r="T84" s="105">
        <v>33.445</v>
      </c>
      <c r="U84" s="105">
        <v>-118.489</v>
      </c>
      <c r="V84" s="105">
        <v>4</v>
      </c>
      <c r="W84" s="105" t="s">
        <v>276</v>
      </c>
      <c r="X84" s="105" t="s">
        <v>275</v>
      </c>
      <c r="Y84" s="105" t="s">
        <v>999</v>
      </c>
      <c r="Z84" s="105" t="s">
        <v>424</v>
      </c>
      <c r="AA84" s="105" t="s">
        <v>333</v>
      </c>
      <c r="AB84" s="105" t="s">
        <v>246</v>
      </c>
      <c r="AC84" s="105" t="s">
        <v>333</v>
      </c>
      <c r="AD84" s="105" t="s">
        <v>218</v>
      </c>
      <c r="AE84" s="105" t="s">
        <v>190</v>
      </c>
      <c r="AF84" s="105" t="s">
        <v>1766</v>
      </c>
      <c r="AH84" s="105" t="s">
        <v>246</v>
      </c>
      <c r="AI84" s="105" t="s">
        <v>246</v>
      </c>
      <c r="AJ84" s="105" t="s">
        <v>171</v>
      </c>
      <c r="AK84" s="105" t="s">
        <v>190</v>
      </c>
      <c r="AN84" s="105">
        <v>1</v>
      </c>
      <c r="AP84" s="105" t="s">
        <v>190</v>
      </c>
      <c r="AQ84" s="105" t="s">
        <v>176</v>
      </c>
      <c r="AR84" s="105" t="s">
        <v>174</v>
      </c>
      <c r="AS84" s="105" t="s">
        <v>174</v>
      </c>
      <c r="AT84" s="105" t="s">
        <v>174</v>
      </c>
      <c r="AU84" s="105">
        <v>270</v>
      </c>
      <c r="AW84" s="105" t="s">
        <v>174</v>
      </c>
      <c r="AX84" s="105" t="s">
        <v>174</v>
      </c>
      <c r="AY84" s="105" t="s">
        <v>174</v>
      </c>
      <c r="AZ84" s="105" t="s">
        <v>174</v>
      </c>
      <c r="BA84" s="105" t="s">
        <v>174</v>
      </c>
      <c r="BB84" s="105" t="s">
        <v>174</v>
      </c>
      <c r="BC84" s="105">
        <v>5</v>
      </c>
      <c r="BD84" s="105">
        <v>6</v>
      </c>
      <c r="BE84" s="105">
        <v>24</v>
      </c>
      <c r="BF84" s="105" t="s">
        <v>2347</v>
      </c>
      <c r="BG84" s="105" t="s">
        <v>2603</v>
      </c>
      <c r="BH84" s="105">
        <v>0.995</v>
      </c>
      <c r="BK84" s="105">
        <v>0.1215</v>
      </c>
      <c r="BM84" s="105">
        <v>5.7049150663369987</v>
      </c>
      <c r="BN84" s="105" t="b">
        <v>0</v>
      </c>
      <c r="BO84" s="105">
        <v>7.12</v>
      </c>
      <c r="BP84" s="105" t="s">
        <v>2256</v>
      </c>
      <c r="BQ84" s="105" t="s">
        <v>2256</v>
      </c>
      <c r="BR84" s="105" t="s">
        <v>174</v>
      </c>
      <c r="BS84" s="105" t="s">
        <v>281</v>
      </c>
      <c r="BU84" s="105" t="s">
        <v>174</v>
      </c>
      <c r="BW84" s="105" t="s">
        <v>174</v>
      </c>
      <c r="BX84" s="105" t="s">
        <v>174</v>
      </c>
      <c r="BY84" s="105" t="s">
        <v>1766</v>
      </c>
      <c r="BZ84" s="105" t="s">
        <v>1766</v>
      </c>
      <c r="CC84" s="105" t="s">
        <v>182</v>
      </c>
      <c r="CD84" s="105" t="s">
        <v>412</v>
      </c>
      <c r="CF84" s="105" t="s">
        <v>174</v>
      </c>
      <c r="CG84" s="105" t="s">
        <v>182</v>
      </c>
      <c r="CH84" s="105" t="s">
        <v>174</v>
      </c>
      <c r="CI84" s="105" t="s">
        <v>282</v>
      </c>
      <c r="CO84" s="105" t="s">
        <v>174</v>
      </c>
      <c r="CP84" s="105" t="s">
        <v>174</v>
      </c>
      <c r="CQ84" s="105" t="s">
        <v>287</v>
      </c>
      <c r="CR84" s="105" t="s">
        <v>174</v>
      </c>
      <c r="CS84" s="105" t="s">
        <v>242</v>
      </c>
      <c r="CT84" s="105" t="s">
        <v>174</v>
      </c>
      <c r="CU84" s="105" t="s">
        <v>168</v>
      </c>
      <c r="CV84" s="105" t="s">
        <v>2148</v>
      </c>
    </row>
    <row r="85" spans="1:102" s="105" customFormat="1">
      <c r="A85" s="105" t="s">
        <v>1250</v>
      </c>
      <c r="B85" s="105">
        <v>28</v>
      </c>
      <c r="C85" s="105">
        <v>3</v>
      </c>
      <c r="D85" s="105">
        <v>2</v>
      </c>
      <c r="E85" s="105">
        <v>140</v>
      </c>
      <c r="F85" s="105">
        <v>1993</v>
      </c>
      <c r="G85" s="105" t="s">
        <v>1219</v>
      </c>
      <c r="H85" s="105" t="s">
        <v>187</v>
      </c>
      <c r="I85" s="105" t="s">
        <v>182</v>
      </c>
      <c r="J85" s="105" t="s">
        <v>246</v>
      </c>
      <c r="K85" s="105" t="s">
        <v>1976</v>
      </c>
      <c r="L85" s="105" t="s">
        <v>446</v>
      </c>
      <c r="M85" s="105" t="s">
        <v>707</v>
      </c>
      <c r="N85" s="105" t="s">
        <v>897</v>
      </c>
      <c r="O85" s="105" t="s">
        <v>2729</v>
      </c>
      <c r="P85" s="105">
        <v>27.83226522</v>
      </c>
      <c r="Q85" s="105">
        <v>27.83226522</v>
      </c>
      <c r="R85" s="105">
        <v>-82.522622490000003</v>
      </c>
      <c r="S85" s="105" t="s">
        <v>2651</v>
      </c>
      <c r="T85" s="105">
        <v>29.164733590000001</v>
      </c>
      <c r="U85" s="105">
        <v>-81.488602299999997</v>
      </c>
      <c r="V85" s="105">
        <v>12</v>
      </c>
      <c r="W85" s="105" t="s">
        <v>276</v>
      </c>
      <c r="X85" s="105" t="s">
        <v>586</v>
      </c>
      <c r="Y85" s="105" t="s">
        <v>999</v>
      </c>
      <c r="Z85" s="105" t="s">
        <v>1788</v>
      </c>
      <c r="AA85" s="105" t="s">
        <v>333</v>
      </c>
      <c r="AB85" s="105" t="s">
        <v>246</v>
      </c>
      <c r="AC85" s="105" t="s">
        <v>333</v>
      </c>
      <c r="AD85" s="105" t="s">
        <v>187</v>
      </c>
      <c r="AE85" s="105" t="s">
        <v>190</v>
      </c>
      <c r="AH85" s="105" t="s">
        <v>246</v>
      </c>
      <c r="AI85" s="105" t="s">
        <v>246</v>
      </c>
      <c r="AJ85" s="105" t="s">
        <v>1751</v>
      </c>
      <c r="AK85" s="105" t="s">
        <v>1251</v>
      </c>
      <c r="AM85" s="105" t="s">
        <v>412</v>
      </c>
      <c r="AN85" s="105" t="s">
        <v>190</v>
      </c>
      <c r="AP85" s="105" t="s">
        <v>190</v>
      </c>
      <c r="AQ85" s="105" t="s">
        <v>176</v>
      </c>
      <c r="AR85" s="105" t="s">
        <v>174</v>
      </c>
      <c r="AS85" s="105" t="s">
        <v>174</v>
      </c>
      <c r="AT85" s="105" t="s">
        <v>174</v>
      </c>
      <c r="AU85" s="105">
        <v>10000</v>
      </c>
      <c r="AW85" s="105" t="s">
        <v>174</v>
      </c>
      <c r="AX85" s="105" t="s">
        <v>174</v>
      </c>
      <c r="AY85" s="105" t="s">
        <v>174</v>
      </c>
      <c r="AZ85" s="105" t="s">
        <v>174</v>
      </c>
      <c r="BA85" s="105" t="s">
        <v>174</v>
      </c>
      <c r="BB85" s="105" t="s">
        <v>174</v>
      </c>
      <c r="BC85" s="105">
        <v>2</v>
      </c>
      <c r="BD85" s="105">
        <v>4</v>
      </c>
      <c r="BE85" s="105">
        <v>28</v>
      </c>
      <c r="BF85" s="105" t="s">
        <v>1387</v>
      </c>
      <c r="BG85" s="105" t="s">
        <v>1387</v>
      </c>
      <c r="BM85" s="105" t="s">
        <v>190</v>
      </c>
      <c r="BN85" s="105" t="b">
        <v>0</v>
      </c>
      <c r="BO85" s="105">
        <v>100.47</v>
      </c>
      <c r="BP85" s="105" t="s">
        <v>2256</v>
      </c>
      <c r="BQ85" s="105" t="s">
        <v>2256</v>
      </c>
      <c r="BR85" s="105" t="s">
        <v>174</v>
      </c>
      <c r="BS85" s="105" t="s">
        <v>243</v>
      </c>
      <c r="BU85" s="105">
        <v>11.3</v>
      </c>
      <c r="BV85" s="105">
        <v>16.2</v>
      </c>
      <c r="BW85" s="105">
        <v>18.3</v>
      </c>
      <c r="BX85" s="105">
        <v>22.68</v>
      </c>
      <c r="BY85" s="105">
        <v>16</v>
      </c>
      <c r="BZ85" s="105">
        <v>16</v>
      </c>
      <c r="CA85" s="105">
        <v>16</v>
      </c>
      <c r="CB85" s="105">
        <v>0</v>
      </c>
      <c r="CC85" s="105" t="s">
        <v>182</v>
      </c>
      <c r="CD85" s="105" t="s">
        <v>1903</v>
      </c>
      <c r="CE85" s="105" t="s">
        <v>1900</v>
      </c>
      <c r="CF85" s="105" t="s">
        <v>894</v>
      </c>
      <c r="CG85" s="105" t="s">
        <v>182</v>
      </c>
      <c r="CH85" s="105" t="s">
        <v>2149</v>
      </c>
      <c r="CI85" s="105" t="s">
        <v>901</v>
      </c>
      <c r="CK85" s="105" t="s">
        <v>182</v>
      </c>
      <c r="CO85" s="105" t="s">
        <v>174</v>
      </c>
      <c r="CP85" s="105" t="s">
        <v>174</v>
      </c>
      <c r="CQ85" s="105" t="s">
        <v>246</v>
      </c>
      <c r="CR85" s="105" t="s">
        <v>174</v>
      </c>
      <c r="CS85" s="105" t="s">
        <v>174</v>
      </c>
      <c r="CT85" s="105" t="s">
        <v>174</v>
      </c>
      <c r="CU85" s="105" t="s">
        <v>518</v>
      </c>
      <c r="CX85" s="105" t="s">
        <v>2492</v>
      </c>
    </row>
    <row r="86" spans="1:102" s="105" customFormat="1">
      <c r="A86" s="105" t="s">
        <v>968</v>
      </c>
      <c r="B86" s="105">
        <v>29</v>
      </c>
      <c r="C86" s="105">
        <v>1</v>
      </c>
      <c r="D86" s="105">
        <v>1</v>
      </c>
      <c r="E86" s="105">
        <v>145</v>
      </c>
      <c r="F86" s="105">
        <v>2020</v>
      </c>
      <c r="G86" s="105" t="s">
        <v>1219</v>
      </c>
      <c r="H86" s="105" t="s">
        <v>161</v>
      </c>
      <c r="I86" s="105" t="s">
        <v>182</v>
      </c>
      <c r="J86" s="105" t="s">
        <v>246</v>
      </c>
      <c r="K86" s="105" t="s">
        <v>1976</v>
      </c>
      <c r="L86" s="105" t="s">
        <v>446</v>
      </c>
      <c r="M86" s="105" t="s">
        <v>702</v>
      </c>
      <c r="N86" s="105" t="s">
        <v>856</v>
      </c>
      <c r="O86" s="105" t="s">
        <v>2563</v>
      </c>
      <c r="P86" s="105">
        <v>31.962222220000001</v>
      </c>
      <c r="Q86" s="105">
        <v>31.962222220000001</v>
      </c>
      <c r="R86" s="105">
        <v>-81.012777779999993</v>
      </c>
      <c r="S86" s="105" t="s">
        <v>2686</v>
      </c>
      <c r="T86" s="105">
        <v>29.164733590000001</v>
      </c>
      <c r="U86" s="105">
        <v>-81.488602299999997</v>
      </c>
      <c r="V86" s="105">
        <v>12</v>
      </c>
      <c r="W86" s="105" t="s">
        <v>276</v>
      </c>
      <c r="X86" s="105" t="s">
        <v>586</v>
      </c>
      <c r="Y86" s="105" t="s">
        <v>999</v>
      </c>
      <c r="Z86" s="105" t="s">
        <v>424</v>
      </c>
      <c r="AA86" s="105" t="s">
        <v>333</v>
      </c>
      <c r="AB86" s="105" t="s">
        <v>246</v>
      </c>
      <c r="AC86" s="105" t="s">
        <v>1725</v>
      </c>
      <c r="AD86" s="105" t="s">
        <v>1306</v>
      </c>
      <c r="AE86" s="105" t="s">
        <v>1745</v>
      </c>
      <c r="AG86" s="105" t="s">
        <v>1779</v>
      </c>
      <c r="AH86" s="105" t="s">
        <v>246</v>
      </c>
      <c r="AI86" s="105" t="s">
        <v>246</v>
      </c>
      <c r="AJ86" s="105" t="s">
        <v>171</v>
      </c>
      <c r="AK86" s="105" t="s">
        <v>190</v>
      </c>
      <c r="AL86" s="105" t="s">
        <v>174</v>
      </c>
      <c r="AN86" s="105">
        <v>0.5</v>
      </c>
      <c r="AP86" s="105" t="s">
        <v>190</v>
      </c>
      <c r="AQ86" s="105" t="s">
        <v>176</v>
      </c>
      <c r="AR86" s="105">
        <v>2015</v>
      </c>
      <c r="AS86" s="105" t="s">
        <v>236</v>
      </c>
      <c r="AT86" s="105" t="s">
        <v>420</v>
      </c>
      <c r="AU86" s="105">
        <v>25</v>
      </c>
      <c r="AV86" s="105" t="s">
        <v>1256</v>
      </c>
      <c r="AW86" s="105" t="s">
        <v>1461</v>
      </c>
      <c r="AX86" s="105">
        <v>6.7000000000000004E-2</v>
      </c>
      <c r="AY86" s="105" t="s">
        <v>174</v>
      </c>
      <c r="AZ86" s="105" t="s">
        <v>174</v>
      </c>
      <c r="BA86" s="105" t="s">
        <v>174</v>
      </c>
      <c r="BB86" s="105" t="s">
        <v>174</v>
      </c>
      <c r="BC86" s="105">
        <v>6</v>
      </c>
      <c r="BD86" s="105">
        <v>3</v>
      </c>
      <c r="BE86" s="105">
        <v>30</v>
      </c>
      <c r="BF86" s="105" t="s">
        <v>1385</v>
      </c>
      <c r="BG86" s="105" t="s">
        <v>2603</v>
      </c>
      <c r="BH86" s="105">
        <v>0.98</v>
      </c>
      <c r="BK86" s="105">
        <v>7.22E-2</v>
      </c>
      <c r="BM86" s="105">
        <v>10.39</v>
      </c>
      <c r="BN86" s="105" t="b">
        <v>0</v>
      </c>
      <c r="BO86" s="105">
        <v>4.8</v>
      </c>
      <c r="BP86" s="105">
        <v>4.8</v>
      </c>
      <c r="BQ86" s="105" t="s">
        <v>182</v>
      </c>
      <c r="BR86" s="105" t="s">
        <v>174</v>
      </c>
      <c r="BS86" s="105" t="s">
        <v>1313</v>
      </c>
      <c r="BT86" s="105" t="s">
        <v>182</v>
      </c>
      <c r="BY86" s="105" t="s">
        <v>1766</v>
      </c>
      <c r="BZ86" s="105" t="s">
        <v>1766</v>
      </c>
      <c r="CC86" s="105" t="s">
        <v>182</v>
      </c>
      <c r="CD86" s="105" t="s">
        <v>412</v>
      </c>
      <c r="CF86" s="105" t="s">
        <v>174</v>
      </c>
      <c r="CG86" s="105" t="s">
        <v>182</v>
      </c>
      <c r="CH86" s="105" t="s">
        <v>412</v>
      </c>
      <c r="CJ86" s="105" t="s">
        <v>1307</v>
      </c>
      <c r="CK86" s="105" t="s">
        <v>246</v>
      </c>
      <c r="CQ86" s="105" t="s">
        <v>246</v>
      </c>
      <c r="CR86" s="105">
        <v>42175</v>
      </c>
      <c r="CS86" s="105" t="s">
        <v>174</v>
      </c>
      <c r="CT86" s="105" t="s">
        <v>174</v>
      </c>
      <c r="CU86" s="105" t="s">
        <v>518</v>
      </c>
      <c r="CX86" s="105" t="s">
        <v>1310</v>
      </c>
    </row>
    <row r="87" spans="1:102" s="105" customFormat="1">
      <c r="A87" s="105" t="s">
        <v>765</v>
      </c>
      <c r="B87" s="105">
        <v>34</v>
      </c>
      <c r="C87" s="105">
        <v>3</v>
      </c>
      <c r="D87" s="105">
        <v>1</v>
      </c>
      <c r="E87" s="105">
        <v>161</v>
      </c>
      <c r="F87" s="105">
        <v>1985</v>
      </c>
      <c r="G87" s="105" t="s">
        <v>1219</v>
      </c>
      <c r="H87" s="105" t="s">
        <v>187</v>
      </c>
      <c r="I87" s="105" t="s">
        <v>182</v>
      </c>
      <c r="J87" s="105" t="s">
        <v>246</v>
      </c>
      <c r="K87" s="105" t="s">
        <v>1976</v>
      </c>
      <c r="L87" s="105" t="s">
        <v>446</v>
      </c>
      <c r="M87" s="105" t="s">
        <v>757</v>
      </c>
      <c r="N87" s="105" t="s">
        <v>758</v>
      </c>
      <c r="O87" s="105" t="s">
        <v>2555</v>
      </c>
      <c r="P87" s="105">
        <v>43.935838490000002</v>
      </c>
      <c r="Q87" s="105">
        <v>43.935838490000002</v>
      </c>
      <c r="R87" s="105">
        <v>-69.580216429999993</v>
      </c>
      <c r="S87" s="105" t="s">
        <v>2680</v>
      </c>
      <c r="T87" s="105">
        <v>41.973549300000002</v>
      </c>
      <c r="U87" s="105">
        <v>-70.943533619999997</v>
      </c>
      <c r="V87" s="105">
        <v>37</v>
      </c>
      <c r="W87" s="105" t="s">
        <v>276</v>
      </c>
      <c r="X87" s="105" t="s">
        <v>586</v>
      </c>
      <c r="Y87" s="105" t="s">
        <v>184</v>
      </c>
      <c r="Z87" s="105" t="s">
        <v>1788</v>
      </c>
      <c r="AA87" s="105" t="s">
        <v>1732</v>
      </c>
      <c r="AB87" s="105" t="s">
        <v>182</v>
      </c>
      <c r="AC87" s="105" t="s">
        <v>1256</v>
      </c>
      <c r="AD87" s="105" t="s">
        <v>187</v>
      </c>
      <c r="AE87" s="105" t="s">
        <v>190</v>
      </c>
      <c r="AF87" s="105" t="s">
        <v>190</v>
      </c>
      <c r="AH87" s="105" t="s">
        <v>246</v>
      </c>
      <c r="AI87" s="105" t="s">
        <v>246</v>
      </c>
      <c r="AJ87" s="105" t="s">
        <v>764</v>
      </c>
      <c r="AK87" s="105" t="s">
        <v>1227</v>
      </c>
      <c r="AL87" s="105">
        <v>800</v>
      </c>
      <c r="AM87" s="105" t="s">
        <v>1903</v>
      </c>
      <c r="AN87" s="105" t="s">
        <v>190</v>
      </c>
      <c r="AP87" s="105" t="s">
        <v>190</v>
      </c>
      <c r="AQ87" s="105" t="s">
        <v>175</v>
      </c>
      <c r="AR87" s="105" t="s">
        <v>174</v>
      </c>
      <c r="AS87" s="105" t="s">
        <v>174</v>
      </c>
      <c r="AT87" s="105" t="s">
        <v>174</v>
      </c>
      <c r="AU87" s="105">
        <v>40</v>
      </c>
      <c r="AW87" s="105" t="s">
        <v>174</v>
      </c>
      <c r="AX87" s="105" t="s">
        <v>174</v>
      </c>
      <c r="AY87" s="105" t="s">
        <v>174</v>
      </c>
      <c r="AZ87" s="105" t="s">
        <v>174</v>
      </c>
      <c r="BA87" s="105" t="s">
        <v>174</v>
      </c>
      <c r="BB87" s="105" t="s">
        <v>174</v>
      </c>
      <c r="BC87" s="105" t="s">
        <v>1766</v>
      </c>
      <c r="BD87" s="105">
        <v>10</v>
      </c>
      <c r="BE87" s="105">
        <v>70</v>
      </c>
      <c r="BF87" s="105" t="s">
        <v>1385</v>
      </c>
      <c r="BG87" s="105" t="s">
        <v>2603</v>
      </c>
      <c r="BH87" s="105">
        <v>0.996</v>
      </c>
      <c r="BK87" s="105">
        <v>6.6799999999999998E-2</v>
      </c>
      <c r="BM87" s="105">
        <v>24.84</v>
      </c>
      <c r="BN87" s="105" t="b">
        <v>0</v>
      </c>
      <c r="BO87" s="105">
        <v>38.1</v>
      </c>
      <c r="BP87" s="105">
        <v>38.1</v>
      </c>
      <c r="BQ87" s="105" t="s">
        <v>182</v>
      </c>
      <c r="BR87" s="105" t="s">
        <v>174</v>
      </c>
      <c r="BU87" s="105">
        <v>49</v>
      </c>
      <c r="BV87" s="105">
        <v>21.55</v>
      </c>
      <c r="BW87" s="105">
        <v>28.9</v>
      </c>
      <c r="BX87" s="105">
        <v>26.3</v>
      </c>
      <c r="BY87" s="105">
        <v>20</v>
      </c>
      <c r="BZ87" s="105">
        <v>25</v>
      </c>
      <c r="CA87" s="105">
        <v>22.5</v>
      </c>
      <c r="CB87" s="105">
        <v>5</v>
      </c>
      <c r="CC87" s="105" t="s">
        <v>2606</v>
      </c>
      <c r="CD87" s="105" t="s">
        <v>2606</v>
      </c>
      <c r="CF87" s="105" t="s">
        <v>174</v>
      </c>
      <c r="CG87" s="105" t="s">
        <v>246</v>
      </c>
      <c r="CH87" s="105" t="s">
        <v>766</v>
      </c>
      <c r="CI87" s="105" t="s">
        <v>760</v>
      </c>
      <c r="CK87" s="105" t="s">
        <v>175</v>
      </c>
      <c r="CO87" s="105" t="s">
        <v>174</v>
      </c>
      <c r="CP87" s="105" t="s">
        <v>174</v>
      </c>
      <c r="CQ87" s="105" t="s">
        <v>176</v>
      </c>
      <c r="CR87" s="105" t="s">
        <v>174</v>
      </c>
      <c r="CS87" s="105" t="s">
        <v>759</v>
      </c>
      <c r="CT87" s="105" t="s">
        <v>190</v>
      </c>
      <c r="CU87" s="105" t="s">
        <v>168</v>
      </c>
    </row>
    <row r="88" spans="1:102" s="105" customFormat="1">
      <c r="A88" s="105" t="s">
        <v>969</v>
      </c>
      <c r="B88" s="105">
        <v>37</v>
      </c>
      <c r="C88" s="105">
        <v>3</v>
      </c>
      <c r="D88" s="105">
        <v>1</v>
      </c>
      <c r="E88" s="105">
        <v>181</v>
      </c>
      <c r="F88" s="105">
        <v>2018</v>
      </c>
      <c r="G88" s="105" t="s">
        <v>1219</v>
      </c>
      <c r="H88" s="105" t="s">
        <v>161</v>
      </c>
      <c r="I88" s="105" t="s">
        <v>182</v>
      </c>
      <c r="J88" s="105" t="s">
        <v>246</v>
      </c>
      <c r="K88" s="105" t="s">
        <v>718</v>
      </c>
      <c r="L88" s="105" t="s">
        <v>444</v>
      </c>
      <c r="M88" s="105" t="s">
        <v>258</v>
      </c>
      <c r="N88" s="105" t="s">
        <v>174</v>
      </c>
      <c r="O88" s="105" t="s">
        <v>2553</v>
      </c>
      <c r="P88" s="105">
        <v>-31.051619880000001</v>
      </c>
      <c r="Q88" s="105">
        <v>31.051619880000001</v>
      </c>
      <c r="R88" s="105">
        <v>-51.2371865</v>
      </c>
      <c r="S88" s="105" t="s">
        <v>2642</v>
      </c>
      <c r="T88" s="105">
        <v>-31.051619880000001</v>
      </c>
      <c r="U88" s="105">
        <v>-51.2371865</v>
      </c>
      <c r="V88" s="105">
        <v>2</v>
      </c>
      <c r="W88" s="105" t="s">
        <v>1322</v>
      </c>
      <c r="X88" s="105" t="s">
        <v>2185</v>
      </c>
      <c r="Y88" s="105" t="s">
        <v>999</v>
      </c>
      <c r="Z88" s="105" t="s">
        <v>424</v>
      </c>
      <c r="AA88" s="105" t="s">
        <v>333</v>
      </c>
      <c r="AB88" s="105" t="s">
        <v>246</v>
      </c>
      <c r="AC88" s="105" t="s">
        <v>333</v>
      </c>
      <c r="AD88" s="105" t="s">
        <v>1123</v>
      </c>
      <c r="AE88" s="105" t="s">
        <v>1745</v>
      </c>
      <c r="AF88" s="105">
        <v>1</v>
      </c>
      <c r="AH88" s="105" t="s">
        <v>246</v>
      </c>
      <c r="AI88" s="105" t="s">
        <v>246</v>
      </c>
      <c r="AJ88" s="105" t="s">
        <v>171</v>
      </c>
      <c r="AK88" s="105" t="s">
        <v>190</v>
      </c>
      <c r="AL88" s="105" t="s">
        <v>174</v>
      </c>
      <c r="AN88" s="105">
        <v>1</v>
      </c>
      <c r="AP88" s="105" t="s">
        <v>190</v>
      </c>
      <c r="AQ88" s="105" t="s">
        <v>176</v>
      </c>
      <c r="AR88" s="105">
        <v>2014</v>
      </c>
      <c r="AS88" s="105" t="s">
        <v>297</v>
      </c>
      <c r="AT88" s="105" t="s">
        <v>254</v>
      </c>
      <c r="AU88" s="105">
        <v>77</v>
      </c>
      <c r="AV88" s="105" t="s">
        <v>1255</v>
      </c>
      <c r="AW88" s="105" t="s">
        <v>174</v>
      </c>
      <c r="AX88" s="105" t="s">
        <v>174</v>
      </c>
      <c r="AY88" s="105" t="s">
        <v>174</v>
      </c>
      <c r="AZ88" s="105" t="s">
        <v>174</v>
      </c>
      <c r="BA88" s="105" t="s">
        <v>174</v>
      </c>
      <c r="BB88" s="105" t="s">
        <v>174</v>
      </c>
      <c r="BC88" s="105">
        <v>4</v>
      </c>
      <c r="BD88" s="105">
        <v>3</v>
      </c>
      <c r="BE88" s="105">
        <v>21</v>
      </c>
      <c r="BF88" s="105" t="s">
        <v>1387</v>
      </c>
      <c r="BG88" s="105" t="s">
        <v>1387</v>
      </c>
      <c r="BM88" s="105" t="s">
        <v>190</v>
      </c>
      <c r="BN88" s="105" t="b">
        <v>0</v>
      </c>
      <c r="BO88" s="105">
        <v>66.233766230000001</v>
      </c>
      <c r="BP88" s="105" t="s">
        <v>2256</v>
      </c>
      <c r="BQ88" s="105" t="s">
        <v>2256</v>
      </c>
      <c r="BR88" s="105" t="s">
        <v>174</v>
      </c>
      <c r="BS88" s="105" t="s">
        <v>2495</v>
      </c>
      <c r="BY88" s="105" t="s">
        <v>1766</v>
      </c>
      <c r="BZ88" s="105" t="s">
        <v>1766</v>
      </c>
      <c r="CC88" s="105" t="s">
        <v>182</v>
      </c>
      <c r="CD88" s="105" t="s">
        <v>412</v>
      </c>
      <c r="CF88" s="105" t="s">
        <v>174</v>
      </c>
      <c r="CG88" s="105" t="s">
        <v>182</v>
      </c>
      <c r="CH88" s="105" t="s">
        <v>412</v>
      </c>
      <c r="CK88" s="105" t="s">
        <v>246</v>
      </c>
      <c r="CQ88" s="105" t="s">
        <v>246</v>
      </c>
      <c r="CR88" s="105" t="s">
        <v>174</v>
      </c>
      <c r="CS88" s="105" t="s">
        <v>174</v>
      </c>
      <c r="CT88" s="105" t="s">
        <v>174</v>
      </c>
      <c r="CU88" s="105" t="s">
        <v>518</v>
      </c>
      <c r="CV88" s="105" t="s">
        <v>2150</v>
      </c>
    </row>
    <row r="89" spans="1:102" s="105" customFormat="1">
      <c r="A89" s="105" t="s">
        <v>537</v>
      </c>
      <c r="B89" s="105">
        <v>38</v>
      </c>
      <c r="C89" s="105">
        <v>1</v>
      </c>
      <c r="D89" s="105">
        <v>1</v>
      </c>
      <c r="E89" s="105">
        <v>182</v>
      </c>
      <c r="F89" s="105">
        <v>2014</v>
      </c>
      <c r="G89" s="105" t="s">
        <v>1219</v>
      </c>
      <c r="H89" s="105" t="s">
        <v>161</v>
      </c>
      <c r="I89" s="105" t="s">
        <v>182</v>
      </c>
      <c r="J89" s="105" t="s">
        <v>246</v>
      </c>
      <c r="K89" s="105" t="s">
        <v>2611</v>
      </c>
      <c r="L89" s="105" t="s">
        <v>446</v>
      </c>
      <c r="M89" s="105" t="s">
        <v>539</v>
      </c>
      <c r="N89" s="105" t="s">
        <v>544</v>
      </c>
      <c r="O89" s="105" t="s">
        <v>2557</v>
      </c>
      <c r="P89" s="105">
        <v>-62.981388889999998</v>
      </c>
      <c r="Q89" s="105">
        <v>62.981388889999998</v>
      </c>
      <c r="R89" s="105">
        <v>-60.652777780000001</v>
      </c>
      <c r="S89" s="105" t="s">
        <v>2677</v>
      </c>
      <c r="T89" s="105">
        <v>-62.215489120000001</v>
      </c>
      <c r="U89" s="105">
        <v>-58.600482820000003</v>
      </c>
      <c r="V89" s="105">
        <v>28</v>
      </c>
      <c r="W89" s="105" t="s">
        <v>538</v>
      </c>
      <c r="X89" s="105" t="s">
        <v>797</v>
      </c>
      <c r="Y89" s="105" t="s">
        <v>999</v>
      </c>
      <c r="Z89" s="105" t="s">
        <v>1788</v>
      </c>
      <c r="AA89" s="105" t="s">
        <v>1724</v>
      </c>
      <c r="AB89" s="105" t="s">
        <v>182</v>
      </c>
      <c r="AC89" s="105" t="s">
        <v>333</v>
      </c>
      <c r="AD89" s="105" t="s">
        <v>1306</v>
      </c>
      <c r="AE89" s="105" t="s">
        <v>1745</v>
      </c>
      <c r="AG89" s="105" t="s">
        <v>1775</v>
      </c>
      <c r="AH89" s="105" t="s">
        <v>246</v>
      </c>
      <c r="AI89" s="105" t="s">
        <v>246</v>
      </c>
      <c r="AJ89" s="105" t="s">
        <v>171</v>
      </c>
      <c r="AK89" s="105" t="s">
        <v>190</v>
      </c>
      <c r="AN89" s="105">
        <v>15</v>
      </c>
      <c r="AP89" s="105" t="s">
        <v>190</v>
      </c>
      <c r="AQ89" s="105" t="s">
        <v>176</v>
      </c>
      <c r="AR89" s="105">
        <v>2010</v>
      </c>
      <c r="AS89" s="105" t="s">
        <v>384</v>
      </c>
      <c r="AT89" s="105" t="s">
        <v>420</v>
      </c>
      <c r="AU89" s="105">
        <v>5</v>
      </c>
      <c r="AV89" s="105" t="s">
        <v>1255</v>
      </c>
      <c r="AW89" s="105" t="s">
        <v>1394</v>
      </c>
      <c r="AX89" s="105" t="s">
        <v>174</v>
      </c>
      <c r="AY89" s="105" t="s">
        <v>174</v>
      </c>
      <c r="AZ89" s="105" t="s">
        <v>174</v>
      </c>
      <c r="BA89" s="105" t="s">
        <v>174</v>
      </c>
      <c r="BB89" s="105" t="s">
        <v>174</v>
      </c>
      <c r="BC89" s="105">
        <v>3</v>
      </c>
      <c r="BD89" s="105">
        <v>4</v>
      </c>
      <c r="BE89" s="105">
        <v>14</v>
      </c>
      <c r="BF89" s="105" t="s">
        <v>1385</v>
      </c>
      <c r="BG89" s="105" t="s">
        <v>2603</v>
      </c>
      <c r="BH89" s="105">
        <v>0.97</v>
      </c>
      <c r="BK89" s="105">
        <v>0.29339999999999999</v>
      </c>
      <c r="BM89" s="105" t="s">
        <v>190</v>
      </c>
      <c r="BN89" s="105" t="b">
        <v>0</v>
      </c>
      <c r="BO89" s="105">
        <v>76.7</v>
      </c>
      <c r="BP89" s="105">
        <v>76.7</v>
      </c>
      <c r="BQ89" s="105" t="s">
        <v>182</v>
      </c>
      <c r="BR89" s="105" t="s">
        <v>174</v>
      </c>
      <c r="BS89" s="105" t="s">
        <v>263</v>
      </c>
      <c r="BU89" s="105" t="s">
        <v>174</v>
      </c>
      <c r="BV89" s="105" t="s">
        <v>174</v>
      </c>
      <c r="BW89" s="105" t="s">
        <v>174</v>
      </c>
      <c r="BX89" s="105" t="s">
        <v>174</v>
      </c>
      <c r="BY89" s="105">
        <v>1.4</v>
      </c>
      <c r="BZ89" s="105">
        <v>1.4</v>
      </c>
      <c r="CA89" s="105">
        <v>1.4</v>
      </c>
      <c r="CB89" s="105">
        <v>0</v>
      </c>
      <c r="CC89" s="105" t="s">
        <v>182</v>
      </c>
      <c r="CD89" s="105" t="s">
        <v>412</v>
      </c>
      <c r="CF89" s="105" t="s">
        <v>174</v>
      </c>
      <c r="CG89" s="105" t="s">
        <v>182</v>
      </c>
      <c r="CH89" s="105" t="s">
        <v>1897</v>
      </c>
      <c r="CI89" s="105" t="s">
        <v>174</v>
      </c>
      <c r="CJ89" s="105" t="s">
        <v>542</v>
      </c>
      <c r="CK89" s="105" t="s">
        <v>175</v>
      </c>
      <c r="CO89" s="105" t="s">
        <v>174</v>
      </c>
      <c r="CP89" s="105" t="s">
        <v>174</v>
      </c>
      <c r="CQ89" s="105" t="s">
        <v>1898</v>
      </c>
      <c r="CR89" s="105">
        <v>40214</v>
      </c>
      <c r="CT89" s="105" t="s">
        <v>174</v>
      </c>
      <c r="CU89" s="105" t="s">
        <v>518</v>
      </c>
      <c r="CV89" s="105" t="s">
        <v>2142</v>
      </c>
    </row>
    <row r="90" spans="1:102" s="105" customFormat="1">
      <c r="A90" s="105" t="s">
        <v>847</v>
      </c>
      <c r="B90" s="105">
        <v>43</v>
      </c>
      <c r="C90" s="105">
        <v>3</v>
      </c>
      <c r="D90" s="105">
        <v>1</v>
      </c>
      <c r="E90" s="105">
        <v>201</v>
      </c>
      <c r="F90" s="105">
        <v>1986</v>
      </c>
      <c r="G90" s="105" t="s">
        <v>1219</v>
      </c>
      <c r="H90" s="105" t="s">
        <v>161</v>
      </c>
      <c r="I90" s="105" t="s">
        <v>182</v>
      </c>
      <c r="J90" s="105" t="s">
        <v>246</v>
      </c>
      <c r="K90" s="105" t="s">
        <v>1976</v>
      </c>
      <c r="L90" s="105" t="s">
        <v>446</v>
      </c>
      <c r="M90" s="105" t="s">
        <v>1002</v>
      </c>
      <c r="N90" s="105" t="s">
        <v>1177</v>
      </c>
      <c r="O90" s="105" t="s">
        <v>1179</v>
      </c>
      <c r="P90" s="105">
        <v>-33.949377939999998</v>
      </c>
      <c r="Q90" s="105">
        <v>33.949377939999998</v>
      </c>
      <c r="R90" s="105">
        <v>25.61453921</v>
      </c>
      <c r="S90" s="105" t="s">
        <v>2670</v>
      </c>
      <c r="T90" s="105">
        <v>-33.949377939999998</v>
      </c>
      <c r="U90" s="105">
        <v>25.61453921</v>
      </c>
      <c r="V90" s="105">
        <v>1</v>
      </c>
      <c r="W90" s="105" t="s">
        <v>770</v>
      </c>
      <c r="X90" s="105" t="s">
        <v>802</v>
      </c>
      <c r="Y90" s="105" t="s">
        <v>999</v>
      </c>
      <c r="Z90" s="105" t="s">
        <v>424</v>
      </c>
      <c r="AA90" s="105" t="s">
        <v>333</v>
      </c>
      <c r="AB90" s="105" t="s">
        <v>246</v>
      </c>
      <c r="AC90" s="105" t="s">
        <v>333</v>
      </c>
      <c r="AD90" s="105" t="s">
        <v>1123</v>
      </c>
      <c r="AE90" s="105" t="s">
        <v>1745</v>
      </c>
      <c r="AF90" s="105" t="s">
        <v>1766</v>
      </c>
      <c r="AH90" s="105" t="s">
        <v>246</v>
      </c>
      <c r="AI90" s="105" t="s">
        <v>246</v>
      </c>
      <c r="AJ90" s="105" t="s">
        <v>171</v>
      </c>
      <c r="AK90" s="105" t="s">
        <v>190</v>
      </c>
      <c r="AL90" s="105" t="s">
        <v>174</v>
      </c>
      <c r="AN90" s="105">
        <v>2</v>
      </c>
      <c r="AP90" s="105" t="s">
        <v>190</v>
      </c>
      <c r="AQ90" s="105" t="s">
        <v>176</v>
      </c>
      <c r="AR90" s="105">
        <v>1985</v>
      </c>
      <c r="AS90" s="105" t="s">
        <v>297</v>
      </c>
      <c r="AT90" s="105" t="s">
        <v>298</v>
      </c>
      <c r="AU90" s="105">
        <v>50</v>
      </c>
      <c r="AW90" s="105" t="s">
        <v>174</v>
      </c>
      <c r="AX90" s="105" t="s">
        <v>174</v>
      </c>
      <c r="AY90" s="105" t="s">
        <v>174</v>
      </c>
      <c r="AZ90" s="105" t="s">
        <v>174</v>
      </c>
      <c r="BA90" s="105" t="s">
        <v>174</v>
      </c>
      <c r="BB90" s="105" t="s">
        <v>174</v>
      </c>
      <c r="BC90" s="105">
        <v>2</v>
      </c>
      <c r="BD90" s="105">
        <v>6</v>
      </c>
      <c r="BE90" s="105">
        <v>9</v>
      </c>
      <c r="BF90" s="105" t="s">
        <v>1385</v>
      </c>
      <c r="BG90" s="105" t="s">
        <v>2603</v>
      </c>
      <c r="BH90" s="105">
        <v>0.98</v>
      </c>
      <c r="BK90" s="105">
        <v>0.106</v>
      </c>
      <c r="BM90" s="105">
        <v>3.4</v>
      </c>
      <c r="BN90" s="105" t="b">
        <v>0</v>
      </c>
      <c r="BO90" s="105">
        <v>0</v>
      </c>
      <c r="BP90" s="105">
        <v>0</v>
      </c>
      <c r="BQ90" s="105" t="s">
        <v>246</v>
      </c>
      <c r="BR90" s="105" t="s">
        <v>174</v>
      </c>
      <c r="BS90" s="105" t="s">
        <v>174</v>
      </c>
      <c r="BU90" s="105" t="s">
        <v>174</v>
      </c>
      <c r="BV90" s="105" t="s">
        <v>174</v>
      </c>
      <c r="BW90" s="105" t="s">
        <v>174</v>
      </c>
      <c r="BX90" s="105" t="s">
        <v>174</v>
      </c>
      <c r="BY90" s="105" t="s">
        <v>1766</v>
      </c>
      <c r="BZ90" s="105" t="s">
        <v>1766</v>
      </c>
      <c r="CC90" s="105" t="s">
        <v>182</v>
      </c>
      <c r="CD90" s="105" t="s">
        <v>412</v>
      </c>
      <c r="CF90" s="105" t="s">
        <v>174</v>
      </c>
      <c r="CG90" s="105" t="s">
        <v>182</v>
      </c>
      <c r="CH90" s="105" t="s">
        <v>412</v>
      </c>
      <c r="CI90" s="105" t="s">
        <v>1181</v>
      </c>
      <c r="CK90" s="105" t="s">
        <v>246</v>
      </c>
      <c r="CO90" s="105" t="s">
        <v>174</v>
      </c>
      <c r="CP90" s="105" t="s">
        <v>174</v>
      </c>
      <c r="CQ90" s="105" t="s">
        <v>246</v>
      </c>
      <c r="CR90" s="105" t="s">
        <v>174</v>
      </c>
      <c r="CS90" s="105" t="s">
        <v>174</v>
      </c>
      <c r="CT90" s="105" t="s">
        <v>174</v>
      </c>
      <c r="CU90" s="105" t="s">
        <v>518</v>
      </c>
      <c r="CV90" s="105" t="s">
        <v>815</v>
      </c>
    </row>
    <row r="91" spans="1:102" s="105" customFormat="1">
      <c r="A91" s="105" t="s">
        <v>2176</v>
      </c>
      <c r="B91" s="105">
        <v>44</v>
      </c>
      <c r="C91" s="105">
        <v>1</v>
      </c>
      <c r="D91" s="105">
        <v>1</v>
      </c>
      <c r="E91" s="105">
        <v>498</v>
      </c>
      <c r="F91" s="105">
        <v>2021</v>
      </c>
      <c r="G91" s="105" t="s">
        <v>1219</v>
      </c>
      <c r="H91" s="105" t="s">
        <v>187</v>
      </c>
      <c r="I91" s="105" t="s">
        <v>246</v>
      </c>
      <c r="J91" s="105" t="s">
        <v>246</v>
      </c>
      <c r="K91" s="105" t="s">
        <v>1976</v>
      </c>
      <c r="L91" s="105" t="s">
        <v>446</v>
      </c>
      <c r="M91" s="105" t="s">
        <v>702</v>
      </c>
      <c r="N91" s="105" t="s">
        <v>1992</v>
      </c>
      <c r="O91" s="105" t="s">
        <v>2564</v>
      </c>
      <c r="P91" s="105">
        <v>23.482772000000001</v>
      </c>
      <c r="Q91" s="105">
        <v>23.482772000000001</v>
      </c>
      <c r="R91" s="105">
        <v>117.107889</v>
      </c>
      <c r="S91" s="105" t="s">
        <v>2650</v>
      </c>
      <c r="T91" s="105">
        <v>24.55156174</v>
      </c>
      <c r="U91" s="105">
        <v>117.2350337</v>
      </c>
      <c r="V91" s="105">
        <v>17</v>
      </c>
      <c r="W91" s="105" t="s">
        <v>185</v>
      </c>
      <c r="X91" s="105" t="s">
        <v>380</v>
      </c>
      <c r="Y91" s="105" t="s">
        <v>999</v>
      </c>
      <c r="Z91" s="105" t="s">
        <v>1788</v>
      </c>
      <c r="AA91" s="105" t="s">
        <v>333</v>
      </c>
      <c r="AB91" s="105" t="s">
        <v>246</v>
      </c>
      <c r="AC91" s="105" t="s">
        <v>1725</v>
      </c>
      <c r="AD91" s="105" t="s">
        <v>187</v>
      </c>
      <c r="AH91" s="105" t="s">
        <v>246</v>
      </c>
      <c r="AI91" s="105" t="s">
        <v>246</v>
      </c>
      <c r="AJ91" s="105" t="s">
        <v>2068</v>
      </c>
      <c r="AK91" s="105" t="s">
        <v>1785</v>
      </c>
      <c r="AL91" s="105">
        <v>5000</v>
      </c>
      <c r="AM91" s="105" t="s">
        <v>1903</v>
      </c>
      <c r="AQ91" s="105" t="s">
        <v>176</v>
      </c>
      <c r="AU91" s="105">
        <v>5</v>
      </c>
      <c r="AV91" s="105" t="s">
        <v>1256</v>
      </c>
      <c r="AX91" s="105">
        <v>3.2000000000000002E-3</v>
      </c>
      <c r="BC91" s="105">
        <v>3</v>
      </c>
      <c r="BD91" s="105">
        <v>5</v>
      </c>
      <c r="BE91" s="105">
        <v>70</v>
      </c>
      <c r="BF91" s="105" t="s">
        <v>1387</v>
      </c>
      <c r="BG91" s="105" t="s">
        <v>1387</v>
      </c>
      <c r="BM91" s="105" t="s">
        <v>190</v>
      </c>
      <c r="BN91" s="105" t="b">
        <v>0</v>
      </c>
      <c r="BO91" s="105">
        <v>79.86</v>
      </c>
      <c r="BP91" s="105" t="s">
        <v>2256</v>
      </c>
      <c r="BQ91" s="105" t="s">
        <v>2256</v>
      </c>
      <c r="BS91" s="105" t="s">
        <v>2072</v>
      </c>
      <c r="BY91" s="105">
        <v>25</v>
      </c>
      <c r="BZ91" s="105">
        <v>25</v>
      </c>
      <c r="CA91" s="105">
        <v>25</v>
      </c>
      <c r="CB91" s="105">
        <v>0</v>
      </c>
      <c r="CC91" s="105" t="s">
        <v>182</v>
      </c>
      <c r="CD91" s="105" t="s">
        <v>1903</v>
      </c>
      <c r="CE91" s="105" t="s">
        <v>2036</v>
      </c>
      <c r="CG91" s="105" t="s">
        <v>246</v>
      </c>
      <c r="CJ91" s="105" t="s">
        <v>2067</v>
      </c>
      <c r="CV91" s="105" t="s">
        <v>2144</v>
      </c>
      <c r="CX91" s="105" t="s">
        <v>2503</v>
      </c>
    </row>
    <row r="92" spans="1:102" s="105" customFormat="1">
      <c r="A92" s="105" t="s">
        <v>533</v>
      </c>
      <c r="B92" s="105">
        <v>45</v>
      </c>
      <c r="C92" s="105">
        <v>3</v>
      </c>
      <c r="D92" s="105">
        <v>1</v>
      </c>
      <c r="E92" s="105">
        <v>231</v>
      </c>
      <c r="F92" s="105">
        <v>2015</v>
      </c>
      <c r="G92" s="105" t="s">
        <v>1219</v>
      </c>
      <c r="H92" s="105" t="s">
        <v>187</v>
      </c>
      <c r="I92" s="105" t="s">
        <v>246</v>
      </c>
      <c r="J92" s="105" t="s">
        <v>246</v>
      </c>
      <c r="K92" s="105" t="s">
        <v>152</v>
      </c>
      <c r="L92" s="105" t="s">
        <v>443</v>
      </c>
      <c r="M92" s="105" t="s">
        <v>156</v>
      </c>
      <c r="N92" s="105" t="s">
        <v>157</v>
      </c>
      <c r="O92" s="105" t="s">
        <v>2541</v>
      </c>
      <c r="P92" s="105">
        <v>53.156944439999997</v>
      </c>
      <c r="Q92" s="105">
        <v>53.156944439999997</v>
      </c>
      <c r="R92" s="105">
        <v>-9.1161111100000003</v>
      </c>
      <c r="S92" s="105" t="s">
        <v>2649</v>
      </c>
      <c r="T92" s="105">
        <v>44.95149069</v>
      </c>
      <c r="U92" s="105">
        <v>-19.933883600000001</v>
      </c>
      <c r="V92" s="105">
        <v>30</v>
      </c>
      <c r="W92" s="105" t="s">
        <v>160</v>
      </c>
      <c r="X92" s="105" t="s">
        <v>155</v>
      </c>
      <c r="Y92" s="105" t="s">
        <v>999</v>
      </c>
      <c r="Z92" s="105" t="s">
        <v>1788</v>
      </c>
      <c r="AA92" s="105" t="s">
        <v>333</v>
      </c>
      <c r="AB92" s="105" t="s">
        <v>246</v>
      </c>
      <c r="AC92" s="105" t="s">
        <v>333</v>
      </c>
      <c r="AD92" s="105" t="s">
        <v>187</v>
      </c>
      <c r="AE92" s="105" t="s">
        <v>190</v>
      </c>
      <c r="AF92" s="105" t="s">
        <v>190</v>
      </c>
      <c r="AH92" s="105" t="s">
        <v>246</v>
      </c>
      <c r="AI92" s="105" t="s">
        <v>246</v>
      </c>
      <c r="AJ92" s="105" t="s">
        <v>1758</v>
      </c>
      <c r="AK92" s="105" t="s">
        <v>1167</v>
      </c>
      <c r="AM92" s="105" t="s">
        <v>412</v>
      </c>
      <c r="AN92" s="105" t="s">
        <v>190</v>
      </c>
      <c r="AP92" s="105" t="s">
        <v>190</v>
      </c>
      <c r="AQ92" s="105" t="s">
        <v>176</v>
      </c>
      <c r="AR92" s="105">
        <v>2011</v>
      </c>
      <c r="AS92" s="105" t="s">
        <v>319</v>
      </c>
      <c r="AT92" s="105" t="s">
        <v>298</v>
      </c>
      <c r="AU92" s="105">
        <v>37</v>
      </c>
      <c r="AW92" s="105" t="s">
        <v>174</v>
      </c>
      <c r="AX92" s="105" t="s">
        <v>174</v>
      </c>
      <c r="AY92" s="105" t="s">
        <v>174</v>
      </c>
      <c r="AZ92" s="105" t="s">
        <v>174</v>
      </c>
      <c r="BA92" s="105" t="s">
        <v>174</v>
      </c>
      <c r="BB92" s="105" t="s">
        <v>174</v>
      </c>
      <c r="BC92" s="105">
        <v>5</v>
      </c>
      <c r="BD92" s="105">
        <v>3</v>
      </c>
      <c r="BE92" s="105">
        <v>29</v>
      </c>
      <c r="BF92" s="105" t="s">
        <v>1387</v>
      </c>
      <c r="BG92" s="105" t="s">
        <v>1387</v>
      </c>
      <c r="BM92" s="105" t="s">
        <v>190</v>
      </c>
      <c r="BN92" s="105" t="b">
        <v>0</v>
      </c>
      <c r="BO92" s="105">
        <v>84.4</v>
      </c>
      <c r="BP92" s="105" t="s">
        <v>2256</v>
      </c>
      <c r="BQ92" s="105" t="s">
        <v>2256</v>
      </c>
      <c r="BR92" s="105" t="s">
        <v>174</v>
      </c>
      <c r="BS92" s="105" t="s">
        <v>174</v>
      </c>
      <c r="BU92" s="105" t="s">
        <v>174</v>
      </c>
      <c r="BV92" s="105" t="s">
        <v>174</v>
      </c>
      <c r="BW92" s="105" t="s">
        <v>174</v>
      </c>
      <c r="BX92" s="105" t="s">
        <v>174</v>
      </c>
      <c r="BY92" s="105">
        <v>20</v>
      </c>
      <c r="BZ92" s="105">
        <v>20</v>
      </c>
      <c r="CA92" s="105">
        <v>20</v>
      </c>
      <c r="CB92" s="105">
        <v>0</v>
      </c>
      <c r="CC92" s="105" t="s">
        <v>182</v>
      </c>
      <c r="CD92" s="105" t="s">
        <v>1903</v>
      </c>
      <c r="CE92" s="105">
        <v>35</v>
      </c>
      <c r="CF92" s="105" t="s">
        <v>520</v>
      </c>
      <c r="CG92" s="105" t="s">
        <v>182</v>
      </c>
      <c r="CH92" s="105" t="s">
        <v>521</v>
      </c>
      <c r="CI92" s="105" t="s">
        <v>522</v>
      </c>
      <c r="CK92" s="105" t="s">
        <v>175</v>
      </c>
      <c r="CO92" s="105" t="s">
        <v>174</v>
      </c>
      <c r="CP92" s="105" t="s">
        <v>174</v>
      </c>
      <c r="CQ92" s="105" t="s">
        <v>175</v>
      </c>
      <c r="CR92" s="105" t="s">
        <v>174</v>
      </c>
      <c r="CS92" s="105">
        <v>1</v>
      </c>
      <c r="CT92" s="105" t="s">
        <v>174</v>
      </c>
      <c r="CU92" s="105" t="s">
        <v>519</v>
      </c>
    </row>
    <row r="93" spans="1:102" s="105" customFormat="1">
      <c r="A93" s="105" t="s">
        <v>601</v>
      </c>
      <c r="B93" s="105">
        <v>51</v>
      </c>
      <c r="C93" s="105">
        <v>1</v>
      </c>
      <c r="D93" s="105">
        <v>1</v>
      </c>
      <c r="E93" s="105">
        <v>259</v>
      </c>
      <c r="F93" s="105">
        <v>2018</v>
      </c>
      <c r="G93" s="105" t="s">
        <v>1219</v>
      </c>
      <c r="H93" s="105" t="s">
        <v>187</v>
      </c>
      <c r="I93" s="105" t="s">
        <v>246</v>
      </c>
      <c r="J93" s="105" t="s">
        <v>182</v>
      </c>
      <c r="K93" s="105" t="s">
        <v>272</v>
      </c>
      <c r="L93" s="105" t="s">
        <v>443</v>
      </c>
      <c r="M93" s="105" t="s">
        <v>273</v>
      </c>
      <c r="N93" s="105" t="s">
        <v>274</v>
      </c>
      <c r="O93" s="105" t="s">
        <v>271</v>
      </c>
      <c r="P93" s="105">
        <v>33.448999999999998</v>
      </c>
      <c r="Q93" s="105">
        <v>33.448999999999998</v>
      </c>
      <c r="R93" s="105">
        <v>-118.489</v>
      </c>
      <c r="S93" s="105" t="s">
        <v>2666</v>
      </c>
      <c r="T93" s="105">
        <v>33.448999999999998</v>
      </c>
      <c r="U93" s="105">
        <v>-118.489</v>
      </c>
      <c r="V93" s="105">
        <v>4</v>
      </c>
      <c r="W93" s="105" t="s">
        <v>276</v>
      </c>
      <c r="X93" s="105" t="s">
        <v>275</v>
      </c>
      <c r="Y93" s="105" t="s">
        <v>999</v>
      </c>
      <c r="Z93" s="105" t="s">
        <v>1788</v>
      </c>
      <c r="AA93" s="105" t="s">
        <v>333</v>
      </c>
      <c r="AB93" s="105" t="s">
        <v>246</v>
      </c>
      <c r="AC93" s="105" t="s">
        <v>333</v>
      </c>
      <c r="AD93" s="105" t="s">
        <v>187</v>
      </c>
      <c r="AE93" s="105" t="s">
        <v>190</v>
      </c>
      <c r="AF93" s="105" t="s">
        <v>190</v>
      </c>
      <c r="AH93" s="105" t="s">
        <v>246</v>
      </c>
      <c r="AI93" s="105" t="s">
        <v>246</v>
      </c>
      <c r="AJ93" s="105" t="s">
        <v>1764</v>
      </c>
      <c r="AK93" s="105" t="s">
        <v>1167</v>
      </c>
      <c r="AM93" s="105" t="s">
        <v>412</v>
      </c>
      <c r="AN93" s="105">
        <v>0.2</v>
      </c>
      <c r="AP93" s="105" t="s">
        <v>190</v>
      </c>
      <c r="AQ93" s="105" t="s">
        <v>176</v>
      </c>
      <c r="AR93" s="105">
        <v>2017</v>
      </c>
      <c r="AS93" s="105" t="s">
        <v>174</v>
      </c>
      <c r="AT93" s="105" t="s">
        <v>174</v>
      </c>
      <c r="AU93" s="105" t="s">
        <v>174</v>
      </c>
      <c r="AW93" s="105" t="s">
        <v>174</v>
      </c>
      <c r="AX93" s="105" t="s">
        <v>174</v>
      </c>
      <c r="AY93" s="105" t="s">
        <v>174</v>
      </c>
      <c r="AZ93" s="105" t="s">
        <v>174</v>
      </c>
      <c r="BA93" s="105">
        <v>29</v>
      </c>
      <c r="BB93" s="105" t="s">
        <v>174</v>
      </c>
      <c r="BC93" s="105">
        <v>1</v>
      </c>
      <c r="BD93" s="105">
        <v>10</v>
      </c>
      <c r="BE93" s="105">
        <v>20</v>
      </c>
      <c r="BF93" s="105" t="s">
        <v>1385</v>
      </c>
      <c r="BG93" s="105" t="s">
        <v>2603</v>
      </c>
      <c r="BH93" s="105">
        <v>0.95</v>
      </c>
      <c r="BK93" s="105">
        <v>0.1105</v>
      </c>
      <c r="BM93" s="105">
        <v>9.2620539999999991</v>
      </c>
      <c r="BN93" s="105" t="b">
        <v>0</v>
      </c>
      <c r="BO93" s="105">
        <v>29.2</v>
      </c>
      <c r="BP93" s="105">
        <v>29.2</v>
      </c>
      <c r="BQ93" s="105" t="s">
        <v>182</v>
      </c>
      <c r="BR93" s="105" t="s">
        <v>174</v>
      </c>
      <c r="BS93" s="105" t="s">
        <v>174</v>
      </c>
      <c r="BU93" s="105">
        <v>19.97</v>
      </c>
      <c r="BW93" s="105">
        <v>29</v>
      </c>
      <c r="BX93" s="105">
        <v>33.799999999999997</v>
      </c>
      <c r="BY93" s="105">
        <v>17</v>
      </c>
      <c r="BZ93" s="105">
        <v>17</v>
      </c>
      <c r="CA93" s="105">
        <v>17</v>
      </c>
      <c r="CB93" s="105">
        <v>0</v>
      </c>
      <c r="CC93" s="105" t="s">
        <v>182</v>
      </c>
      <c r="CD93" s="105" t="s">
        <v>1903</v>
      </c>
      <c r="CE93" s="105" t="s">
        <v>2511</v>
      </c>
      <c r="CF93" s="105" t="s">
        <v>1904</v>
      </c>
      <c r="CG93" s="105" t="s">
        <v>182</v>
      </c>
      <c r="CH93" s="105" t="s">
        <v>898</v>
      </c>
      <c r="CI93" s="105" t="s">
        <v>277</v>
      </c>
      <c r="CJ93" s="105" t="s">
        <v>278</v>
      </c>
      <c r="CO93" s="105" t="s">
        <v>174</v>
      </c>
      <c r="CP93" s="105" t="s">
        <v>174</v>
      </c>
      <c r="CQ93" s="105" t="s">
        <v>176</v>
      </c>
      <c r="CR93" s="105" t="s">
        <v>174</v>
      </c>
      <c r="CS93" s="105" t="s">
        <v>174</v>
      </c>
      <c r="CT93" s="105" t="s">
        <v>174</v>
      </c>
      <c r="CU93" s="105" t="s">
        <v>168</v>
      </c>
      <c r="CV93" s="105" t="s">
        <v>1218</v>
      </c>
    </row>
    <row r="94" spans="1:102" s="105" customFormat="1">
      <c r="A94" s="105" t="s">
        <v>687</v>
      </c>
      <c r="B94" s="105">
        <v>52</v>
      </c>
      <c r="C94" s="105">
        <v>1</v>
      </c>
      <c r="D94" s="105">
        <v>1</v>
      </c>
      <c r="E94" s="105">
        <v>260</v>
      </c>
      <c r="F94" s="105">
        <v>1981</v>
      </c>
      <c r="G94" s="105" t="s">
        <v>1219</v>
      </c>
      <c r="H94" s="105" t="s">
        <v>187</v>
      </c>
      <c r="I94" s="105" t="s">
        <v>182</v>
      </c>
      <c r="J94" s="105" t="s">
        <v>246</v>
      </c>
      <c r="K94" s="105" t="s">
        <v>1976</v>
      </c>
      <c r="L94" s="105" t="s">
        <v>446</v>
      </c>
      <c r="M94" s="105" t="s">
        <v>702</v>
      </c>
      <c r="N94" s="105" t="s">
        <v>1001</v>
      </c>
      <c r="O94" s="105" t="s">
        <v>2561</v>
      </c>
      <c r="P94" s="105">
        <v>41.528961690000003</v>
      </c>
      <c r="Q94" s="105">
        <v>41.528961690000003</v>
      </c>
      <c r="R94" s="105">
        <v>-70.674006719999994</v>
      </c>
      <c r="S94" s="105" t="s">
        <v>2665</v>
      </c>
      <c r="T94" s="105">
        <v>41.973549300000002</v>
      </c>
      <c r="U94" s="105">
        <v>-70.943533619999997</v>
      </c>
      <c r="V94" s="105">
        <v>37</v>
      </c>
      <c r="W94" s="105" t="s">
        <v>276</v>
      </c>
      <c r="X94" s="105" t="s">
        <v>586</v>
      </c>
      <c r="Y94" s="105" t="s">
        <v>184</v>
      </c>
      <c r="Z94" s="105" t="s">
        <v>1788</v>
      </c>
      <c r="AA94" s="105" t="s">
        <v>1735</v>
      </c>
      <c r="AB94" s="105" t="s">
        <v>182</v>
      </c>
      <c r="AC94" s="105" t="s">
        <v>1256</v>
      </c>
      <c r="AD94" s="105" t="s">
        <v>187</v>
      </c>
      <c r="AE94" s="105" t="s">
        <v>190</v>
      </c>
      <c r="AF94" s="105" t="s">
        <v>190</v>
      </c>
      <c r="AH94" s="105" t="s">
        <v>246</v>
      </c>
      <c r="AI94" s="105" t="s">
        <v>246</v>
      </c>
      <c r="AJ94" s="105" t="s">
        <v>1007</v>
      </c>
      <c r="AK94" s="105" t="s">
        <v>1787</v>
      </c>
      <c r="AL94" s="105">
        <v>950</v>
      </c>
      <c r="AM94" s="105" t="s">
        <v>1216</v>
      </c>
      <c r="AN94" s="105">
        <v>1.0999999999999999E-2</v>
      </c>
      <c r="AP94" s="105" t="s">
        <v>190</v>
      </c>
      <c r="AQ94" s="105" t="s">
        <v>176</v>
      </c>
      <c r="AR94" s="105">
        <v>1978</v>
      </c>
      <c r="AS94" s="105" t="s">
        <v>475</v>
      </c>
      <c r="AT94" s="105" t="s">
        <v>420</v>
      </c>
      <c r="AU94" s="105">
        <v>10</v>
      </c>
      <c r="AW94" s="105" t="s">
        <v>174</v>
      </c>
      <c r="AX94" s="105" t="s">
        <v>174</v>
      </c>
      <c r="AY94" s="105" t="s">
        <v>174</v>
      </c>
      <c r="AZ94" s="105" t="s">
        <v>174</v>
      </c>
      <c r="BA94" s="105" t="s">
        <v>174</v>
      </c>
      <c r="BB94" s="105" t="s">
        <v>174</v>
      </c>
      <c r="BC94" s="105">
        <v>2</v>
      </c>
      <c r="BD94" s="105">
        <v>6</v>
      </c>
      <c r="BE94" s="105">
        <v>150</v>
      </c>
      <c r="BF94" s="105" t="s">
        <v>1385</v>
      </c>
      <c r="BG94" s="105" t="s">
        <v>2603</v>
      </c>
      <c r="BH94" s="105">
        <v>0.96</v>
      </c>
      <c r="BK94" s="105">
        <v>4.7399999999999998E-2</v>
      </c>
      <c r="BM94" s="105">
        <v>96.34</v>
      </c>
      <c r="BN94" s="105" t="b">
        <v>0</v>
      </c>
      <c r="BO94" s="105">
        <v>49.5</v>
      </c>
      <c r="BP94" s="105">
        <v>49.5</v>
      </c>
      <c r="BQ94" s="105" t="s">
        <v>182</v>
      </c>
      <c r="BR94" s="105" t="s">
        <v>174</v>
      </c>
      <c r="BS94" s="105" t="s">
        <v>263</v>
      </c>
      <c r="BU94" s="105">
        <v>18.399999999999999</v>
      </c>
      <c r="BV94" s="105" t="s">
        <v>174</v>
      </c>
      <c r="BW94" s="105" t="s">
        <v>174</v>
      </c>
      <c r="BX94" s="105" t="s">
        <v>174</v>
      </c>
      <c r="BY94" s="105">
        <v>10</v>
      </c>
      <c r="BZ94" s="105">
        <v>29</v>
      </c>
      <c r="CA94" s="105">
        <v>19.5</v>
      </c>
      <c r="CB94" s="105">
        <v>19</v>
      </c>
      <c r="CC94" s="105" t="s">
        <v>246</v>
      </c>
      <c r="CD94" s="105" t="s">
        <v>188</v>
      </c>
      <c r="CE94" s="105">
        <v>0</v>
      </c>
      <c r="CF94" s="105" t="s">
        <v>190</v>
      </c>
      <c r="CG94" s="105" t="s">
        <v>182</v>
      </c>
      <c r="CH94" s="105" t="s">
        <v>893</v>
      </c>
      <c r="CI94" s="105" t="s">
        <v>1015</v>
      </c>
      <c r="CJ94" s="105" t="s">
        <v>1010</v>
      </c>
      <c r="CK94" s="105" t="s">
        <v>246</v>
      </c>
      <c r="CO94" s="105" t="s">
        <v>174</v>
      </c>
      <c r="CP94" s="105" t="s">
        <v>174</v>
      </c>
      <c r="CQ94" s="105" t="s">
        <v>246</v>
      </c>
      <c r="CR94" s="105" t="s">
        <v>174</v>
      </c>
      <c r="CS94" s="105" t="s">
        <v>174</v>
      </c>
      <c r="CT94" s="105" t="s">
        <v>1006</v>
      </c>
      <c r="CU94" s="105" t="s">
        <v>1771</v>
      </c>
      <c r="CW94" s="105" t="s">
        <v>2477</v>
      </c>
    </row>
    <row r="95" spans="1:102" s="105" customFormat="1">
      <c r="A95" s="105" t="s">
        <v>939</v>
      </c>
      <c r="B95" s="105">
        <v>60</v>
      </c>
      <c r="C95" s="105">
        <v>1</v>
      </c>
      <c r="D95" s="105">
        <v>1</v>
      </c>
      <c r="E95" s="105">
        <v>325</v>
      </c>
      <c r="F95" s="105">
        <v>2004</v>
      </c>
      <c r="G95" s="105" t="s">
        <v>1219</v>
      </c>
      <c r="H95" s="105" t="s">
        <v>187</v>
      </c>
      <c r="I95" s="105" t="s">
        <v>182</v>
      </c>
      <c r="J95" s="105" t="s">
        <v>246</v>
      </c>
      <c r="K95" s="105" t="s">
        <v>1976</v>
      </c>
      <c r="L95" s="105" t="s">
        <v>446</v>
      </c>
      <c r="M95" s="105" t="s">
        <v>1267</v>
      </c>
      <c r="N95" s="105" t="s">
        <v>552</v>
      </c>
      <c r="O95" s="105" t="s">
        <v>2647</v>
      </c>
      <c r="P95" s="105">
        <v>55.476830100000001</v>
      </c>
      <c r="Q95" s="105">
        <v>55.476830100000001</v>
      </c>
      <c r="R95" s="105">
        <v>11.07839091</v>
      </c>
      <c r="S95" s="105" t="s">
        <v>2646</v>
      </c>
      <c r="T95" s="105">
        <v>55.78060464</v>
      </c>
      <c r="U95" s="105">
        <v>10.44472844</v>
      </c>
      <c r="V95" s="105">
        <v>17</v>
      </c>
      <c r="W95" s="105" t="s">
        <v>973</v>
      </c>
      <c r="X95" s="105" t="s">
        <v>155</v>
      </c>
      <c r="Y95" s="105" t="s">
        <v>3097</v>
      </c>
      <c r="Z95" s="105" t="s">
        <v>1788</v>
      </c>
      <c r="AA95" s="105" t="s">
        <v>333</v>
      </c>
      <c r="AB95" s="105" t="s">
        <v>246</v>
      </c>
      <c r="AC95" s="105" t="s">
        <v>1256</v>
      </c>
      <c r="AD95" s="105" t="s">
        <v>187</v>
      </c>
      <c r="AE95" s="105" t="s">
        <v>190</v>
      </c>
      <c r="AF95" s="105" t="s">
        <v>190</v>
      </c>
      <c r="AH95" s="105" t="s">
        <v>182</v>
      </c>
      <c r="AI95" s="105" t="s">
        <v>182</v>
      </c>
      <c r="AJ95" s="105" t="s">
        <v>1755</v>
      </c>
      <c r="AK95" s="105" t="s">
        <v>1781</v>
      </c>
      <c r="AL95" s="105">
        <v>600</v>
      </c>
      <c r="AO95" s="105" t="s">
        <v>190</v>
      </c>
      <c r="AP95" s="105" t="s">
        <v>1714</v>
      </c>
      <c r="AQ95" s="105" t="s">
        <v>176</v>
      </c>
      <c r="AR95" s="105">
        <v>2001</v>
      </c>
      <c r="AT95" s="105" t="s">
        <v>254</v>
      </c>
      <c r="AU95" s="105">
        <v>16</v>
      </c>
      <c r="AV95" s="105" t="s">
        <v>1256</v>
      </c>
      <c r="BC95" s="105">
        <v>1</v>
      </c>
      <c r="BD95" s="105">
        <v>5</v>
      </c>
      <c r="BE95" s="105">
        <v>168</v>
      </c>
      <c r="BF95" s="105" t="s">
        <v>1387</v>
      </c>
      <c r="BG95" s="105" t="s">
        <v>1387</v>
      </c>
      <c r="BM95" s="105" t="s">
        <v>190</v>
      </c>
      <c r="BN95" s="105" t="b">
        <v>0</v>
      </c>
      <c r="BO95" s="105">
        <v>55.144804090000001</v>
      </c>
      <c r="BP95" s="105" t="s">
        <v>2256</v>
      </c>
      <c r="BQ95" s="105" t="s">
        <v>2256</v>
      </c>
      <c r="BS95" s="105" t="s">
        <v>2345</v>
      </c>
      <c r="BY95" s="105">
        <v>15</v>
      </c>
      <c r="BZ95" s="105">
        <v>15</v>
      </c>
      <c r="CA95" s="105">
        <v>15</v>
      </c>
      <c r="CB95" s="105">
        <v>0</v>
      </c>
      <c r="CC95" s="105" t="s">
        <v>246</v>
      </c>
      <c r="CD95" s="105" t="s">
        <v>188</v>
      </c>
      <c r="CE95" s="105">
        <v>0</v>
      </c>
      <c r="CG95" s="105" t="s">
        <v>246</v>
      </c>
      <c r="CH95" s="105" t="s">
        <v>1269</v>
      </c>
      <c r="CJ95" s="105">
        <v>-7.1810862330000003</v>
      </c>
      <c r="CU95" s="105" t="s">
        <v>518</v>
      </c>
      <c r="CV95" s="105" t="s">
        <v>2142</v>
      </c>
    </row>
    <row r="96" spans="1:102" s="105" customFormat="1">
      <c r="A96" s="105" t="s">
        <v>393</v>
      </c>
      <c r="B96" s="105">
        <v>61</v>
      </c>
      <c r="C96" s="105">
        <v>1</v>
      </c>
      <c r="D96" s="105">
        <v>4</v>
      </c>
      <c r="E96" s="105">
        <v>330</v>
      </c>
      <c r="F96" s="105">
        <v>2008</v>
      </c>
      <c r="G96" s="105" t="s">
        <v>1219</v>
      </c>
      <c r="H96" s="105" t="s">
        <v>187</v>
      </c>
      <c r="I96" s="105" t="s">
        <v>182</v>
      </c>
      <c r="J96" s="105" t="s">
        <v>246</v>
      </c>
      <c r="K96" s="105" t="s">
        <v>152</v>
      </c>
      <c r="L96" s="105" t="s">
        <v>443</v>
      </c>
      <c r="M96" s="105" t="s">
        <v>347</v>
      </c>
      <c r="N96" s="105" t="s">
        <v>1070</v>
      </c>
      <c r="O96" s="105" t="s">
        <v>1079</v>
      </c>
      <c r="P96" s="105">
        <v>34.65</v>
      </c>
      <c r="Q96" s="105">
        <v>34.65</v>
      </c>
      <c r="R96" s="105">
        <v>138.93299999999999</v>
      </c>
      <c r="S96" s="105" t="s">
        <v>2645</v>
      </c>
      <c r="T96" s="105">
        <v>34.65</v>
      </c>
      <c r="U96" s="105">
        <v>138.93299999999999</v>
      </c>
      <c r="V96" s="105">
        <v>10</v>
      </c>
      <c r="W96" s="105" t="s">
        <v>379</v>
      </c>
      <c r="X96" s="105" t="s">
        <v>380</v>
      </c>
      <c r="Y96" s="105" t="s">
        <v>186</v>
      </c>
      <c r="Z96" s="105" t="s">
        <v>1788</v>
      </c>
      <c r="AA96" s="105" t="s">
        <v>1216</v>
      </c>
      <c r="AB96" s="105" t="s">
        <v>182</v>
      </c>
      <c r="AC96" s="105" t="s">
        <v>333</v>
      </c>
      <c r="AD96" s="105" t="s">
        <v>187</v>
      </c>
      <c r="AE96" s="105" t="s">
        <v>190</v>
      </c>
      <c r="AF96" s="105" t="s">
        <v>190</v>
      </c>
      <c r="AH96" s="105" t="s">
        <v>246</v>
      </c>
      <c r="AI96" s="105" t="s">
        <v>246</v>
      </c>
      <c r="AJ96" s="105" t="s">
        <v>1071</v>
      </c>
      <c r="AK96" s="105" t="s">
        <v>1086</v>
      </c>
      <c r="AL96" s="105">
        <v>9000</v>
      </c>
      <c r="AM96" s="105" t="s">
        <v>1216</v>
      </c>
      <c r="AO96" s="105">
        <v>6.9999999999999994E-5</v>
      </c>
      <c r="AP96" s="105" t="s">
        <v>1076</v>
      </c>
      <c r="AQ96" s="105" t="s">
        <v>176</v>
      </c>
      <c r="AR96" s="105">
        <v>2004</v>
      </c>
      <c r="AS96" s="105" t="s">
        <v>670</v>
      </c>
      <c r="AT96" s="105" t="s">
        <v>385</v>
      </c>
      <c r="AU96" s="105" t="s">
        <v>174</v>
      </c>
      <c r="AW96" s="105" t="s">
        <v>1394</v>
      </c>
      <c r="AX96" s="105">
        <v>3.4200000000000001E-2</v>
      </c>
      <c r="AY96" s="105" t="s">
        <v>174</v>
      </c>
      <c r="AZ96" s="105" t="s">
        <v>174</v>
      </c>
      <c r="BA96" s="105">
        <v>39.200000000000003</v>
      </c>
      <c r="BB96" s="105">
        <v>33</v>
      </c>
      <c r="BC96" s="105">
        <v>2</v>
      </c>
      <c r="BD96" s="105">
        <v>6</v>
      </c>
      <c r="BE96" s="105">
        <v>30</v>
      </c>
      <c r="BF96" s="105" t="s">
        <v>2347</v>
      </c>
      <c r="BG96" s="105" t="s">
        <v>2603</v>
      </c>
      <c r="BH96" s="105">
        <v>0.92</v>
      </c>
      <c r="BK96" s="105">
        <v>3.3599999999999998E-2</v>
      </c>
      <c r="BM96" s="105">
        <v>20.62938037</v>
      </c>
      <c r="BN96" s="105" t="b">
        <v>0</v>
      </c>
      <c r="BO96" s="105">
        <v>40</v>
      </c>
      <c r="BP96" s="105" t="s">
        <v>2256</v>
      </c>
      <c r="BQ96" s="105" t="s">
        <v>2256</v>
      </c>
      <c r="BR96" s="105" t="s">
        <v>174</v>
      </c>
      <c r="BS96" s="105" t="s">
        <v>10</v>
      </c>
      <c r="BU96" s="105" t="s">
        <v>174</v>
      </c>
      <c r="BV96" s="105" t="s">
        <v>174</v>
      </c>
      <c r="BW96" s="105" t="s">
        <v>174</v>
      </c>
      <c r="BX96" s="105" t="s">
        <v>174</v>
      </c>
      <c r="BY96" s="105">
        <v>20</v>
      </c>
      <c r="BZ96" s="105">
        <v>20</v>
      </c>
      <c r="CA96" s="105">
        <v>20</v>
      </c>
      <c r="CB96" s="105">
        <v>0</v>
      </c>
      <c r="CC96" s="105" t="s">
        <v>246</v>
      </c>
      <c r="CD96" s="105" t="s">
        <v>188</v>
      </c>
      <c r="CE96" s="105">
        <v>0</v>
      </c>
      <c r="CF96" s="105" t="s">
        <v>174</v>
      </c>
      <c r="CG96" s="105" t="s">
        <v>182</v>
      </c>
      <c r="CH96" s="105" t="s">
        <v>1072</v>
      </c>
      <c r="CI96" s="105" t="s">
        <v>1085</v>
      </c>
      <c r="CJ96" s="105" t="s">
        <v>1083</v>
      </c>
      <c r="CK96" s="105" t="s">
        <v>246</v>
      </c>
      <c r="CO96" s="105" t="s">
        <v>174</v>
      </c>
      <c r="CP96" s="105" t="s">
        <v>174</v>
      </c>
      <c r="CQ96" s="105" t="s">
        <v>246</v>
      </c>
      <c r="CR96" s="105" t="s">
        <v>174</v>
      </c>
      <c r="CS96" s="105" t="s">
        <v>174</v>
      </c>
      <c r="CT96" s="105" t="s">
        <v>174</v>
      </c>
      <c r="CU96" s="105" t="s">
        <v>168</v>
      </c>
      <c r="CV96" s="105" t="s">
        <v>2142</v>
      </c>
    </row>
    <row r="97" spans="1:102" s="105" customFormat="1">
      <c r="A97" s="105" t="s">
        <v>658</v>
      </c>
      <c r="B97" s="105">
        <v>64</v>
      </c>
      <c r="C97" s="105">
        <v>1</v>
      </c>
      <c r="D97" s="105">
        <v>1</v>
      </c>
      <c r="E97" s="105">
        <v>339</v>
      </c>
      <c r="F97" s="105">
        <v>1984</v>
      </c>
      <c r="G97" s="105" t="s">
        <v>1219</v>
      </c>
      <c r="H97" s="105" t="s">
        <v>161</v>
      </c>
      <c r="I97" s="105" t="s">
        <v>182</v>
      </c>
      <c r="J97" s="105" t="s">
        <v>246</v>
      </c>
      <c r="K97" s="105" t="s">
        <v>2611</v>
      </c>
      <c r="L97" s="105" t="s">
        <v>444</v>
      </c>
      <c r="M97" s="105" t="s">
        <v>1095</v>
      </c>
      <c r="N97" s="105" t="s">
        <v>1096</v>
      </c>
      <c r="O97" s="105" t="s">
        <v>2546</v>
      </c>
      <c r="P97" s="105">
        <v>17.755763000000002</v>
      </c>
      <c r="Q97" s="105">
        <v>17.755763000000002</v>
      </c>
      <c r="R97" s="105">
        <v>-64.606529519999995</v>
      </c>
      <c r="S97" s="105" t="s">
        <v>2654</v>
      </c>
      <c r="T97" s="105">
        <v>17.755763000000002</v>
      </c>
      <c r="U97" s="105">
        <v>-64.606529519999995</v>
      </c>
      <c r="V97" s="105">
        <v>4</v>
      </c>
      <c r="W97" s="105" t="s">
        <v>1097</v>
      </c>
      <c r="X97" s="105" t="s">
        <v>586</v>
      </c>
      <c r="Y97" s="105" t="s">
        <v>999</v>
      </c>
      <c r="Z97" s="105" t="s">
        <v>1788</v>
      </c>
      <c r="AA97" s="105" t="s">
        <v>333</v>
      </c>
      <c r="AB97" s="105" t="s">
        <v>246</v>
      </c>
      <c r="AC97" s="105" t="s">
        <v>1256</v>
      </c>
      <c r="AD97" s="105" t="s">
        <v>218</v>
      </c>
      <c r="AE97" s="105" t="s">
        <v>190</v>
      </c>
      <c r="AF97" s="105" t="s">
        <v>1766</v>
      </c>
      <c r="AH97" s="105" t="s">
        <v>246</v>
      </c>
      <c r="AI97" s="105" t="s">
        <v>246</v>
      </c>
      <c r="AJ97" s="105" t="s">
        <v>171</v>
      </c>
      <c r="AK97" s="105" t="s">
        <v>190</v>
      </c>
      <c r="AL97" s="105" t="s">
        <v>174</v>
      </c>
      <c r="AN97" s="105">
        <v>1</v>
      </c>
      <c r="AP97" s="105" t="s">
        <v>190</v>
      </c>
      <c r="AQ97" s="105" t="s">
        <v>176</v>
      </c>
      <c r="AR97" s="105">
        <v>1979</v>
      </c>
      <c r="AS97" s="105" t="s">
        <v>475</v>
      </c>
      <c r="AT97" s="105" t="s">
        <v>254</v>
      </c>
      <c r="AU97" s="105">
        <v>25</v>
      </c>
      <c r="AV97" s="105" t="s">
        <v>1256</v>
      </c>
      <c r="AW97" s="105" t="s">
        <v>174</v>
      </c>
      <c r="AX97" s="105" t="s">
        <v>174</v>
      </c>
      <c r="AY97" s="105" t="s">
        <v>174</v>
      </c>
      <c r="AZ97" s="105" t="s">
        <v>174</v>
      </c>
      <c r="BA97" s="105" t="s">
        <v>174</v>
      </c>
      <c r="BB97" s="105" t="s">
        <v>174</v>
      </c>
      <c r="BC97" s="105">
        <v>5</v>
      </c>
      <c r="BD97" s="105">
        <v>3</v>
      </c>
      <c r="BE97" s="105">
        <v>35</v>
      </c>
      <c r="BF97" s="105" t="s">
        <v>2347</v>
      </c>
      <c r="BG97" s="105" t="s">
        <v>2603</v>
      </c>
      <c r="BH97" s="105">
        <v>0.997</v>
      </c>
      <c r="BK97" s="105">
        <v>8.7099999999999997E-2</v>
      </c>
      <c r="BM97" s="105">
        <v>7.958061775</v>
      </c>
      <c r="BN97" s="105" t="b">
        <v>0</v>
      </c>
      <c r="BO97" s="105">
        <v>25.6</v>
      </c>
      <c r="BP97" s="105">
        <v>0</v>
      </c>
      <c r="BQ97" s="105" t="s">
        <v>246</v>
      </c>
      <c r="BR97" s="105" t="s">
        <v>174</v>
      </c>
      <c r="BS97" s="105" t="s">
        <v>1105</v>
      </c>
      <c r="BU97" s="105">
        <v>16.07</v>
      </c>
      <c r="BV97" s="105">
        <v>12.6</v>
      </c>
      <c r="BW97" s="105">
        <v>27.32</v>
      </c>
      <c r="BX97" s="105">
        <v>22.94</v>
      </c>
      <c r="BY97" s="105">
        <v>25</v>
      </c>
      <c r="BZ97" s="105">
        <v>27</v>
      </c>
      <c r="CA97" s="105">
        <v>26</v>
      </c>
      <c r="CB97" s="105">
        <v>2</v>
      </c>
      <c r="CC97" s="105" t="s">
        <v>182</v>
      </c>
      <c r="CD97" s="105" t="s">
        <v>412</v>
      </c>
      <c r="CG97" s="105" t="s">
        <v>246</v>
      </c>
      <c r="CH97" s="105" t="s">
        <v>246</v>
      </c>
      <c r="CI97" s="105" t="s">
        <v>1099</v>
      </c>
      <c r="CJ97" s="105" t="s">
        <v>1098</v>
      </c>
      <c r="CK97" s="105" t="s">
        <v>246</v>
      </c>
      <c r="CO97" s="105" t="s">
        <v>174</v>
      </c>
      <c r="CP97" s="105" t="s">
        <v>174</v>
      </c>
      <c r="CQ97" s="105" t="s">
        <v>246</v>
      </c>
      <c r="CR97" s="105" t="s">
        <v>174</v>
      </c>
      <c r="CS97" s="105" t="s">
        <v>174</v>
      </c>
      <c r="CT97" s="105" t="s">
        <v>174</v>
      </c>
      <c r="CU97" s="105" t="s">
        <v>518</v>
      </c>
      <c r="CV97" s="105" t="s">
        <v>815</v>
      </c>
    </row>
    <row r="98" spans="1:102" s="105" customFormat="1">
      <c r="A98" s="105" t="s">
        <v>549</v>
      </c>
      <c r="B98" s="105">
        <v>69</v>
      </c>
      <c r="C98" s="105">
        <v>3</v>
      </c>
      <c r="D98" s="105">
        <v>1</v>
      </c>
      <c r="E98" s="105">
        <v>376</v>
      </c>
      <c r="F98" s="105">
        <v>2004</v>
      </c>
      <c r="G98" s="105" t="s">
        <v>1219</v>
      </c>
      <c r="H98" s="105" t="s">
        <v>187</v>
      </c>
      <c r="I98" s="105" t="s">
        <v>246</v>
      </c>
      <c r="J98" s="105" t="s">
        <v>246</v>
      </c>
      <c r="K98" s="105" t="s">
        <v>718</v>
      </c>
      <c r="L98" s="105" t="s">
        <v>718</v>
      </c>
      <c r="M98" s="105" t="s">
        <v>258</v>
      </c>
      <c r="N98" s="105" t="s">
        <v>174</v>
      </c>
      <c r="O98" s="105" t="s">
        <v>2553</v>
      </c>
      <c r="P98" s="105">
        <v>-62.149659800000002</v>
      </c>
      <c r="Q98" s="105">
        <v>62.149659800000002</v>
      </c>
      <c r="R98" s="105">
        <v>-58.41941362</v>
      </c>
      <c r="S98" s="105" t="s">
        <v>2635</v>
      </c>
      <c r="T98" s="105">
        <v>-62.215489120000001</v>
      </c>
      <c r="U98" s="105">
        <v>-58.600482820000003</v>
      </c>
      <c r="V98" s="105">
        <v>28</v>
      </c>
      <c r="W98" s="105" t="s">
        <v>538</v>
      </c>
      <c r="X98" s="105" t="s">
        <v>797</v>
      </c>
      <c r="Y98" s="105" t="s">
        <v>999</v>
      </c>
      <c r="Z98" s="105" t="s">
        <v>1788</v>
      </c>
      <c r="AA98" s="105" t="s">
        <v>333</v>
      </c>
      <c r="AB98" s="105" t="s">
        <v>246</v>
      </c>
      <c r="AC98" s="105" t="s">
        <v>333</v>
      </c>
      <c r="AD98" s="105" t="s">
        <v>187</v>
      </c>
      <c r="AE98" s="105" t="s">
        <v>190</v>
      </c>
      <c r="AF98" s="105" t="s">
        <v>190</v>
      </c>
      <c r="AH98" s="105" t="s">
        <v>246</v>
      </c>
      <c r="AI98" s="105" t="s">
        <v>246</v>
      </c>
      <c r="AJ98" s="105" t="s">
        <v>996</v>
      </c>
      <c r="AK98" s="105" t="s">
        <v>2512</v>
      </c>
      <c r="AL98" s="105" t="s">
        <v>997</v>
      </c>
      <c r="AM98" s="105" t="s">
        <v>2515</v>
      </c>
      <c r="AN98" s="105" t="s">
        <v>174</v>
      </c>
      <c r="AP98" s="105" t="s">
        <v>190</v>
      </c>
      <c r="AQ98" s="105" t="s">
        <v>176</v>
      </c>
      <c r="AR98" s="105">
        <v>2001</v>
      </c>
      <c r="AS98" s="105" t="s">
        <v>174</v>
      </c>
      <c r="AT98" s="105" t="s">
        <v>174</v>
      </c>
      <c r="AU98" s="105">
        <v>158</v>
      </c>
      <c r="AW98" s="105" t="s">
        <v>174</v>
      </c>
      <c r="AX98" s="105" t="s">
        <v>174</v>
      </c>
      <c r="AY98" s="105">
        <v>2.29</v>
      </c>
      <c r="AZ98" s="105" t="s">
        <v>174</v>
      </c>
      <c r="BA98" s="105" t="s">
        <v>174</v>
      </c>
      <c r="BB98" s="105" t="s">
        <v>174</v>
      </c>
      <c r="BC98" s="105" t="s">
        <v>174</v>
      </c>
      <c r="BD98" s="105">
        <v>1</v>
      </c>
      <c r="BE98" s="105">
        <v>22</v>
      </c>
      <c r="BF98" s="105" t="s">
        <v>2256</v>
      </c>
      <c r="BG98" s="105" t="s">
        <v>2256</v>
      </c>
      <c r="BL98" s="105">
        <v>2.29</v>
      </c>
      <c r="BM98" s="105">
        <v>21.834061139999999</v>
      </c>
      <c r="BN98" s="105" t="b">
        <v>0</v>
      </c>
      <c r="BO98" s="105">
        <v>49.7</v>
      </c>
      <c r="BP98" s="105" t="s">
        <v>2256</v>
      </c>
      <c r="BQ98" s="105" t="s">
        <v>2256</v>
      </c>
      <c r="BR98" s="105">
        <v>43.668122269999998</v>
      </c>
      <c r="BS98" s="105" t="s">
        <v>2553</v>
      </c>
      <c r="BU98" s="105" t="s">
        <v>174</v>
      </c>
      <c r="BV98" s="105" t="s">
        <v>174</v>
      </c>
      <c r="BW98" s="105" t="s">
        <v>174</v>
      </c>
      <c r="BX98" s="105" t="s">
        <v>174</v>
      </c>
      <c r="BY98" s="105">
        <v>4</v>
      </c>
      <c r="BZ98" s="105">
        <v>4</v>
      </c>
      <c r="CA98" s="105">
        <v>4</v>
      </c>
      <c r="CB98" s="105">
        <v>0</v>
      </c>
      <c r="CC98" s="105" t="s">
        <v>246</v>
      </c>
      <c r="CD98" s="105" t="s">
        <v>188</v>
      </c>
      <c r="CE98" s="105">
        <v>0</v>
      </c>
      <c r="CF98" s="105" t="s">
        <v>190</v>
      </c>
      <c r="CG98" s="105" t="s">
        <v>246</v>
      </c>
      <c r="CH98" s="105" t="s">
        <v>995</v>
      </c>
      <c r="CI98" s="105" t="s">
        <v>998</v>
      </c>
      <c r="CJ98" s="105" t="s">
        <v>1000</v>
      </c>
      <c r="CK98" s="105" t="s">
        <v>246</v>
      </c>
      <c r="CO98" s="105" t="s">
        <v>174</v>
      </c>
      <c r="CP98" s="105" t="s">
        <v>174</v>
      </c>
      <c r="CQ98" s="105" t="s">
        <v>246</v>
      </c>
      <c r="CR98" s="105" t="s">
        <v>174</v>
      </c>
      <c r="CS98" s="105" t="s">
        <v>174</v>
      </c>
      <c r="CT98" s="105" t="s">
        <v>174</v>
      </c>
      <c r="CU98" s="105" t="s">
        <v>174</v>
      </c>
    </row>
    <row r="99" spans="1:102" s="105" customFormat="1">
      <c r="A99" s="105" t="s">
        <v>2875</v>
      </c>
      <c r="B99" s="105">
        <v>73</v>
      </c>
      <c r="C99" s="105">
        <v>3</v>
      </c>
      <c r="D99" s="105">
        <v>1</v>
      </c>
      <c r="E99" s="105">
        <v>522</v>
      </c>
      <c r="F99" s="105">
        <v>2021</v>
      </c>
      <c r="G99" s="105" t="s">
        <v>1219</v>
      </c>
      <c r="H99" s="105" t="s">
        <v>161</v>
      </c>
      <c r="I99" s="105" t="s">
        <v>182</v>
      </c>
      <c r="J99" s="105" t="s">
        <v>246</v>
      </c>
      <c r="K99" s="105" t="s">
        <v>1976</v>
      </c>
      <c r="L99" s="105" t="s">
        <v>444</v>
      </c>
      <c r="M99" s="105" t="s">
        <v>445</v>
      </c>
      <c r="N99" s="105" t="s">
        <v>811</v>
      </c>
      <c r="O99" s="105" t="s">
        <v>2550</v>
      </c>
      <c r="P99" s="105">
        <v>36.0488</v>
      </c>
      <c r="Q99" s="105">
        <v>36.0488</v>
      </c>
      <c r="R99" s="105">
        <v>120.319</v>
      </c>
      <c r="S99" s="105" t="s">
        <v>2874</v>
      </c>
      <c r="W99" s="105" t="s">
        <v>185</v>
      </c>
      <c r="X99" s="105" t="s">
        <v>380</v>
      </c>
      <c r="Y99" s="105" t="s">
        <v>999</v>
      </c>
      <c r="Z99" s="105" t="s">
        <v>424</v>
      </c>
      <c r="AA99" s="105" t="s">
        <v>333</v>
      </c>
      <c r="AB99" s="105" t="s">
        <v>246</v>
      </c>
      <c r="AC99" s="105" t="s">
        <v>1725</v>
      </c>
      <c r="AD99" s="105" t="s">
        <v>218</v>
      </c>
      <c r="AF99" s="105">
        <v>1</v>
      </c>
      <c r="AH99" s="105" t="s">
        <v>246</v>
      </c>
      <c r="AI99" s="105" t="s">
        <v>246</v>
      </c>
      <c r="AJ99" s="105" t="s">
        <v>2852</v>
      </c>
      <c r="AK99" s="105" t="s">
        <v>2724</v>
      </c>
      <c r="AL99" s="105">
        <v>1000000</v>
      </c>
      <c r="AM99" s="105" t="s">
        <v>412</v>
      </c>
      <c r="AQ99" s="105" t="s">
        <v>176</v>
      </c>
      <c r="AR99" s="105">
        <v>2018</v>
      </c>
      <c r="AS99" s="105" t="s">
        <v>237</v>
      </c>
      <c r="AT99" s="105" t="s">
        <v>420</v>
      </c>
      <c r="AU99" s="105">
        <v>25000</v>
      </c>
      <c r="AV99" s="105" t="s">
        <v>1256</v>
      </c>
      <c r="BC99" s="105">
        <v>3</v>
      </c>
      <c r="BD99" s="105">
        <v>5</v>
      </c>
      <c r="BE99" s="105">
        <v>18</v>
      </c>
      <c r="BF99" s="105" t="s">
        <v>1387</v>
      </c>
      <c r="BG99" s="105" t="s">
        <v>1387</v>
      </c>
      <c r="BM99" s="105" t="s">
        <v>190</v>
      </c>
      <c r="BN99" s="105" t="b">
        <v>0</v>
      </c>
      <c r="BO99" s="105">
        <v>69.28</v>
      </c>
      <c r="BP99" s="105" t="s">
        <v>2256</v>
      </c>
      <c r="BQ99" s="105" t="s">
        <v>2256</v>
      </c>
      <c r="BS99" s="105" t="s">
        <v>2849</v>
      </c>
      <c r="BY99" s="105">
        <v>18.5</v>
      </c>
      <c r="BZ99" s="105">
        <v>26</v>
      </c>
      <c r="CA99" s="105">
        <v>22.25</v>
      </c>
      <c r="CB99" s="105">
        <v>7.5</v>
      </c>
      <c r="CC99" s="105" t="s">
        <v>182</v>
      </c>
      <c r="CD99" s="105" t="s">
        <v>412</v>
      </c>
      <c r="CG99" s="105" t="s">
        <v>182</v>
      </c>
      <c r="CH99" s="105" t="s">
        <v>2859</v>
      </c>
      <c r="CJ99" s="105" t="s">
        <v>2853</v>
      </c>
    </row>
    <row r="100" spans="1:102" s="105" customFormat="1">
      <c r="A100" s="105" t="s">
        <v>2106</v>
      </c>
      <c r="B100" s="105">
        <v>79</v>
      </c>
      <c r="C100" s="105">
        <v>2</v>
      </c>
      <c r="D100" s="105">
        <v>1</v>
      </c>
      <c r="E100" s="105">
        <v>502</v>
      </c>
      <c r="F100" s="105">
        <v>1982</v>
      </c>
      <c r="G100" s="105" t="s">
        <v>1219</v>
      </c>
      <c r="H100" s="105" t="s">
        <v>187</v>
      </c>
      <c r="I100" s="105" t="s">
        <v>246</v>
      </c>
      <c r="J100" s="105" t="s">
        <v>246</v>
      </c>
      <c r="K100" s="105" t="s">
        <v>1976</v>
      </c>
      <c r="L100" s="105" t="s">
        <v>446</v>
      </c>
      <c r="M100" s="105" t="s">
        <v>702</v>
      </c>
      <c r="N100" s="105" t="s">
        <v>1001</v>
      </c>
      <c r="O100" s="105" t="s">
        <v>2561</v>
      </c>
      <c r="P100" s="105">
        <v>31.98564258</v>
      </c>
      <c r="Q100" s="105">
        <v>31.98564258</v>
      </c>
      <c r="R100" s="105">
        <v>-81.048545309999994</v>
      </c>
      <c r="S100" s="105" t="s">
        <v>2633</v>
      </c>
      <c r="T100" s="105">
        <v>29.164733590000001</v>
      </c>
      <c r="U100" s="105">
        <v>-81.488602299999997</v>
      </c>
      <c r="V100" s="105">
        <v>12</v>
      </c>
      <c r="W100" s="105" t="s">
        <v>276</v>
      </c>
      <c r="X100" s="105" t="s">
        <v>586</v>
      </c>
      <c r="Y100" s="105" t="s">
        <v>184</v>
      </c>
      <c r="Z100" s="105" t="s">
        <v>424</v>
      </c>
      <c r="AA100" s="105" t="s">
        <v>2114</v>
      </c>
      <c r="AB100" s="105" t="s">
        <v>182</v>
      </c>
      <c r="AC100" s="105" t="s">
        <v>333</v>
      </c>
      <c r="AD100" s="105" t="s">
        <v>187</v>
      </c>
      <c r="AE100" s="105" t="s">
        <v>190</v>
      </c>
      <c r="AH100" s="105" t="s">
        <v>246</v>
      </c>
      <c r="AI100" s="105" t="s">
        <v>246</v>
      </c>
      <c r="AJ100" s="105" t="s">
        <v>2116</v>
      </c>
      <c r="AK100" s="105" t="s">
        <v>2115</v>
      </c>
      <c r="AL100" s="105">
        <v>0.95</v>
      </c>
      <c r="AM100" s="105" t="s">
        <v>1216</v>
      </c>
      <c r="AQ100" s="105" t="s">
        <v>176</v>
      </c>
      <c r="AR100" s="105">
        <v>1978</v>
      </c>
      <c r="AS100" s="105" t="s">
        <v>475</v>
      </c>
      <c r="AT100" s="105" t="s">
        <v>420</v>
      </c>
      <c r="AU100" s="105">
        <v>10</v>
      </c>
      <c r="AV100" s="105" t="s">
        <v>1256</v>
      </c>
      <c r="AY100" s="105">
        <v>0.34670000000000001</v>
      </c>
      <c r="BC100" s="105">
        <v>2</v>
      </c>
      <c r="BD100" s="105">
        <v>1</v>
      </c>
      <c r="BE100" s="105">
        <v>150</v>
      </c>
      <c r="BF100" s="105" t="s">
        <v>2256</v>
      </c>
      <c r="BG100" s="105" t="s">
        <v>2256</v>
      </c>
      <c r="BL100" s="105">
        <v>0.34670000000000001</v>
      </c>
      <c r="BM100" s="105">
        <v>144.21690219999999</v>
      </c>
      <c r="BN100" s="105" t="b">
        <v>0</v>
      </c>
      <c r="BO100" s="105">
        <v>48</v>
      </c>
      <c r="BP100" s="105" t="s">
        <v>2256</v>
      </c>
      <c r="BQ100" s="105" t="s">
        <v>2256</v>
      </c>
      <c r="BS100" s="105" t="s">
        <v>263</v>
      </c>
      <c r="CC100" s="105" t="s">
        <v>246</v>
      </c>
      <c r="CD100" s="105" t="s">
        <v>188</v>
      </c>
      <c r="CE100" s="105">
        <v>0</v>
      </c>
      <c r="CG100" s="105" t="s">
        <v>182</v>
      </c>
      <c r="CI100" s="105" t="s">
        <v>2117</v>
      </c>
      <c r="CV100" s="105" t="s">
        <v>815</v>
      </c>
    </row>
    <row r="101" spans="1:102" s="105" customFormat="1">
      <c r="A101" s="105" t="s">
        <v>1963</v>
      </c>
      <c r="B101" s="105">
        <v>80</v>
      </c>
      <c r="C101" s="105">
        <v>1</v>
      </c>
      <c r="D101" s="105">
        <v>1</v>
      </c>
      <c r="E101" s="105">
        <v>425</v>
      </c>
      <c r="F101" s="105">
        <v>2022</v>
      </c>
      <c r="G101" s="105" t="s">
        <v>1219</v>
      </c>
      <c r="H101" s="105" t="s">
        <v>2183</v>
      </c>
      <c r="I101" s="105" t="s">
        <v>182</v>
      </c>
      <c r="J101" s="105" t="s">
        <v>246</v>
      </c>
      <c r="K101" s="105" t="s">
        <v>1976</v>
      </c>
      <c r="L101" s="105" t="s">
        <v>446</v>
      </c>
      <c r="M101" s="105" t="s">
        <v>702</v>
      </c>
      <c r="N101" s="105" t="s">
        <v>1992</v>
      </c>
      <c r="O101" s="105" t="s">
        <v>2564</v>
      </c>
      <c r="P101" s="105">
        <v>25.759722</v>
      </c>
      <c r="Q101" s="105">
        <v>25.759722</v>
      </c>
      <c r="R101" s="105">
        <v>117.354167</v>
      </c>
      <c r="S101" s="105" t="s">
        <v>2672</v>
      </c>
      <c r="T101" s="105">
        <v>24.55156174</v>
      </c>
      <c r="U101" s="105">
        <v>117.2350337</v>
      </c>
      <c r="V101" s="105">
        <v>17</v>
      </c>
      <c r="W101" s="105" t="s">
        <v>185</v>
      </c>
      <c r="X101" s="105" t="s">
        <v>380</v>
      </c>
      <c r="Y101" s="105" t="s">
        <v>999</v>
      </c>
      <c r="Z101" s="105" t="s">
        <v>1788</v>
      </c>
      <c r="AA101" s="105" t="s">
        <v>1724</v>
      </c>
      <c r="AB101" s="105" t="s">
        <v>182</v>
      </c>
      <c r="AC101" s="105" t="s">
        <v>1725</v>
      </c>
      <c r="AD101" s="105" t="s">
        <v>187</v>
      </c>
      <c r="AE101" s="105" t="s">
        <v>1745</v>
      </c>
      <c r="AH101" s="105" t="s">
        <v>246</v>
      </c>
      <c r="AI101" s="105" t="s">
        <v>246</v>
      </c>
      <c r="AJ101" s="105" t="s">
        <v>1784</v>
      </c>
      <c r="AK101" s="105" t="s">
        <v>1997</v>
      </c>
      <c r="AM101" s="105" t="s">
        <v>1216</v>
      </c>
      <c r="AN101" s="105">
        <v>1</v>
      </c>
      <c r="AQ101" s="105" t="s">
        <v>176</v>
      </c>
      <c r="AR101" s="105">
        <v>2020</v>
      </c>
      <c r="AS101" s="105" t="s">
        <v>670</v>
      </c>
      <c r="AT101" s="105" t="s">
        <v>385</v>
      </c>
      <c r="AU101" s="105">
        <v>1</v>
      </c>
      <c r="BC101" s="105">
        <v>5</v>
      </c>
      <c r="BD101" s="105">
        <v>5</v>
      </c>
      <c r="BE101" s="105">
        <v>15</v>
      </c>
      <c r="BF101" s="105" t="s">
        <v>2347</v>
      </c>
      <c r="BG101" s="105" t="s">
        <v>2603</v>
      </c>
      <c r="BH101" s="105">
        <v>0.79469999999999996</v>
      </c>
      <c r="BK101" s="105">
        <v>9.7500000000000003E-2</v>
      </c>
      <c r="BM101" s="105">
        <v>7.109201852</v>
      </c>
      <c r="BN101" s="105" t="b">
        <v>0</v>
      </c>
      <c r="BO101" s="105">
        <v>16.62</v>
      </c>
      <c r="BP101" s="105" t="s">
        <v>2256</v>
      </c>
      <c r="BQ101" s="105" t="s">
        <v>2256</v>
      </c>
      <c r="BS101" s="105" t="s">
        <v>2469</v>
      </c>
      <c r="BU101" s="105">
        <v>12.6</v>
      </c>
      <c r="BV101" s="105">
        <v>8.7899999999999991</v>
      </c>
      <c r="BY101" s="105">
        <v>18.600000000000001</v>
      </c>
      <c r="BZ101" s="105">
        <v>20.7</v>
      </c>
      <c r="CA101" s="105">
        <v>19.649999999999999</v>
      </c>
      <c r="CB101" s="105">
        <v>2.1</v>
      </c>
      <c r="CC101" s="105" t="s">
        <v>182</v>
      </c>
      <c r="CD101" s="105" t="s">
        <v>412</v>
      </c>
      <c r="CG101" s="105" t="s">
        <v>246</v>
      </c>
      <c r="CH101" s="105" t="s">
        <v>2001</v>
      </c>
      <c r="CM101" s="105" t="s">
        <v>182</v>
      </c>
      <c r="CV101" s="105" t="s">
        <v>2144</v>
      </c>
    </row>
    <row r="102" spans="1:102" s="105" customFormat="1">
      <c r="A102" s="105" t="s">
        <v>1964</v>
      </c>
      <c r="B102" s="105">
        <v>81</v>
      </c>
      <c r="C102" s="105">
        <v>1</v>
      </c>
      <c r="D102" s="105">
        <v>1</v>
      </c>
      <c r="E102" s="105">
        <v>433</v>
      </c>
      <c r="F102" s="105">
        <v>2022</v>
      </c>
      <c r="G102" s="105" t="s">
        <v>1219</v>
      </c>
      <c r="H102" s="105" t="s">
        <v>187</v>
      </c>
      <c r="I102" s="105" t="s">
        <v>182</v>
      </c>
      <c r="J102" s="105" t="s">
        <v>246</v>
      </c>
      <c r="K102" s="105" t="s">
        <v>1976</v>
      </c>
      <c r="L102" s="105" t="s">
        <v>446</v>
      </c>
      <c r="M102" s="105" t="s">
        <v>702</v>
      </c>
      <c r="N102" s="105" t="s">
        <v>1992</v>
      </c>
      <c r="O102" s="105" t="s">
        <v>2564</v>
      </c>
      <c r="P102" s="105">
        <v>23.433307410000001</v>
      </c>
      <c r="Q102" s="105">
        <v>23.433307410000001</v>
      </c>
      <c r="R102" s="105">
        <v>117.0991147</v>
      </c>
      <c r="S102" s="105" t="s">
        <v>2617</v>
      </c>
      <c r="T102" s="105">
        <v>24.55156174</v>
      </c>
      <c r="U102" s="105">
        <v>117.2350337</v>
      </c>
      <c r="V102" s="105">
        <v>17</v>
      </c>
      <c r="W102" s="105" t="s">
        <v>185</v>
      </c>
      <c r="X102" s="105" t="s">
        <v>380</v>
      </c>
      <c r="Y102" s="105" t="s">
        <v>999</v>
      </c>
      <c r="Z102" s="105" t="s">
        <v>1788</v>
      </c>
      <c r="AA102" s="105" t="s">
        <v>333</v>
      </c>
      <c r="AB102" s="105" t="s">
        <v>246</v>
      </c>
      <c r="AC102" s="105" t="s">
        <v>1725</v>
      </c>
      <c r="AD102" s="105" t="s">
        <v>187</v>
      </c>
      <c r="AE102" s="105" t="s">
        <v>190</v>
      </c>
      <c r="AH102" s="105" t="s">
        <v>246</v>
      </c>
      <c r="AI102" s="105" t="s">
        <v>246</v>
      </c>
      <c r="AJ102" s="105" t="s">
        <v>2009</v>
      </c>
      <c r="AK102" s="105" t="s">
        <v>2010</v>
      </c>
      <c r="AM102" s="105" t="s">
        <v>1216</v>
      </c>
      <c r="AN102" s="105">
        <v>1.7</v>
      </c>
      <c r="AQ102" s="105" t="s">
        <v>176</v>
      </c>
      <c r="AU102" s="105">
        <v>10</v>
      </c>
      <c r="AX102" s="105">
        <v>-2.0000000000000001E-4</v>
      </c>
      <c r="AY102" s="105">
        <v>1.032</v>
      </c>
      <c r="AZ102" s="105">
        <v>1574.55</v>
      </c>
      <c r="BC102" s="105">
        <v>3</v>
      </c>
      <c r="BD102" s="105">
        <v>9</v>
      </c>
      <c r="BE102" s="105">
        <v>45</v>
      </c>
      <c r="BF102" s="105" t="s">
        <v>1387</v>
      </c>
      <c r="BG102" s="105" t="s">
        <v>1387</v>
      </c>
      <c r="BM102" s="105" t="s">
        <v>190</v>
      </c>
      <c r="BN102" s="105" t="b">
        <v>0</v>
      </c>
      <c r="BO102" s="105" t="s">
        <v>190</v>
      </c>
      <c r="BP102" s="105" t="s">
        <v>2256</v>
      </c>
      <c r="BQ102" s="105" t="s">
        <v>2256</v>
      </c>
      <c r="BS102" s="105" t="s">
        <v>2464</v>
      </c>
      <c r="BY102" s="105">
        <v>25</v>
      </c>
      <c r="BZ102" s="105">
        <v>25</v>
      </c>
      <c r="CA102" s="105">
        <v>25</v>
      </c>
      <c r="CB102" s="105">
        <v>0</v>
      </c>
      <c r="CC102" s="105" t="s">
        <v>182</v>
      </c>
      <c r="CD102" s="105" t="s">
        <v>1903</v>
      </c>
      <c r="CE102" s="105" t="s">
        <v>2036</v>
      </c>
      <c r="CG102" s="105" t="s">
        <v>246</v>
      </c>
      <c r="CJ102" s="105" t="s">
        <v>2025</v>
      </c>
      <c r="CM102" s="105" t="s">
        <v>182</v>
      </c>
      <c r="CV102" s="105" t="s">
        <v>2144</v>
      </c>
    </row>
    <row r="103" spans="1:102" s="105" customFormat="1">
      <c r="A103" s="105" t="s">
        <v>3067</v>
      </c>
      <c r="B103" s="105">
        <v>88</v>
      </c>
      <c r="C103" s="105">
        <v>1</v>
      </c>
      <c r="D103" s="105">
        <v>1</v>
      </c>
      <c r="E103" s="105">
        <v>537</v>
      </c>
      <c r="F103" s="105">
        <v>2018</v>
      </c>
      <c r="G103" s="105" t="s">
        <v>1219</v>
      </c>
      <c r="H103" s="105" t="s">
        <v>161</v>
      </c>
      <c r="I103" s="105" t="s">
        <v>182</v>
      </c>
      <c r="J103" s="105" t="s">
        <v>246</v>
      </c>
      <c r="K103" s="105" t="s">
        <v>1976</v>
      </c>
      <c r="L103" s="105" t="s">
        <v>444</v>
      </c>
      <c r="M103" s="105" t="s">
        <v>3063</v>
      </c>
      <c r="N103" s="105" t="s">
        <v>552</v>
      </c>
      <c r="O103" s="105" t="s">
        <v>3062</v>
      </c>
      <c r="P103" s="105">
        <v>-32.017649800000001</v>
      </c>
      <c r="Q103" s="105">
        <v>32.017649800000001</v>
      </c>
      <c r="R103" s="105">
        <v>-52.112569000000001</v>
      </c>
      <c r="S103" s="105" t="s">
        <v>3096</v>
      </c>
      <c r="W103" s="105" t="s">
        <v>1322</v>
      </c>
      <c r="X103" s="105" t="s">
        <v>2185</v>
      </c>
      <c r="Y103" s="105" t="s">
        <v>3061</v>
      </c>
      <c r="Z103" s="105" t="s">
        <v>1788</v>
      </c>
      <c r="AA103" s="105" t="s">
        <v>1999</v>
      </c>
      <c r="AB103" s="105" t="s">
        <v>182</v>
      </c>
      <c r="AC103" s="105" t="s">
        <v>1725</v>
      </c>
      <c r="AD103" s="105" t="s">
        <v>1123</v>
      </c>
      <c r="AE103" s="105" t="s">
        <v>1745</v>
      </c>
      <c r="AF103" s="105">
        <v>0.6</v>
      </c>
      <c r="AH103" s="105" t="s">
        <v>246</v>
      </c>
      <c r="AI103" s="105" t="s">
        <v>246</v>
      </c>
      <c r="AN103" s="105">
        <v>1</v>
      </c>
      <c r="AR103" s="105">
        <v>2015</v>
      </c>
      <c r="AS103" s="105" t="s">
        <v>319</v>
      </c>
      <c r="AT103" s="105" t="s">
        <v>254</v>
      </c>
      <c r="AU103" s="105">
        <v>50</v>
      </c>
      <c r="AV103" s="105" t="s">
        <v>1256</v>
      </c>
      <c r="AX103" s="105">
        <v>0.23200000000000001</v>
      </c>
      <c r="BC103" s="105">
        <v>3</v>
      </c>
      <c r="BD103" s="105">
        <v>3</v>
      </c>
      <c r="BE103" s="105">
        <v>21</v>
      </c>
      <c r="BF103" s="105" t="s">
        <v>1396</v>
      </c>
      <c r="BG103" s="105" t="s">
        <v>1396</v>
      </c>
      <c r="BH103" s="105">
        <v>0.86360000000000003</v>
      </c>
      <c r="BL103" s="105">
        <v>2.6354000000000002</v>
      </c>
      <c r="BM103" s="105">
        <v>18.972451999696439</v>
      </c>
      <c r="BN103" s="105" t="b">
        <v>0</v>
      </c>
      <c r="BO103" s="105">
        <v>39.067</v>
      </c>
      <c r="BP103" s="105" t="s">
        <v>2256</v>
      </c>
      <c r="BQ103" s="105" t="s">
        <v>2256</v>
      </c>
      <c r="BY103" s="105">
        <v>24.5</v>
      </c>
      <c r="BZ103" s="105">
        <v>26.9</v>
      </c>
      <c r="CA103" s="105">
        <v>25.7</v>
      </c>
      <c r="CB103" s="105">
        <v>2.3999999999999986</v>
      </c>
      <c r="CD103" s="105" t="s">
        <v>412</v>
      </c>
    </row>
    <row r="104" spans="1:102" s="105" customFormat="1">
      <c r="A104" s="105" t="s">
        <v>1349</v>
      </c>
      <c r="B104" s="105">
        <v>89</v>
      </c>
      <c r="C104" s="105">
        <v>1</v>
      </c>
      <c r="D104" s="105">
        <v>1</v>
      </c>
      <c r="E104" s="105">
        <v>244</v>
      </c>
      <c r="F104" s="105">
        <v>2017</v>
      </c>
      <c r="G104" s="105" t="s">
        <v>1219</v>
      </c>
      <c r="H104" s="105" t="s">
        <v>187</v>
      </c>
      <c r="I104" s="105" t="s">
        <v>246</v>
      </c>
      <c r="J104" s="105" t="s">
        <v>246</v>
      </c>
      <c r="K104" s="105" t="s">
        <v>1976</v>
      </c>
      <c r="L104" s="105" t="s">
        <v>446</v>
      </c>
      <c r="M104" s="105" t="s">
        <v>702</v>
      </c>
      <c r="N104" s="105" t="s">
        <v>856</v>
      </c>
      <c r="O104" s="105" t="s">
        <v>2563</v>
      </c>
      <c r="P104" s="105">
        <v>56.884753289999999</v>
      </c>
      <c r="Q104" s="105">
        <v>56.884753289999999</v>
      </c>
      <c r="R104" s="105">
        <v>8.8504984899999997</v>
      </c>
      <c r="S104" s="105" t="s">
        <v>2669</v>
      </c>
      <c r="T104" s="105">
        <v>55.78060464</v>
      </c>
      <c r="U104" s="105">
        <v>10.44472844</v>
      </c>
      <c r="V104" s="105">
        <v>17</v>
      </c>
      <c r="W104" s="105" t="s">
        <v>973</v>
      </c>
      <c r="X104" s="105" t="s">
        <v>155</v>
      </c>
      <c r="Y104" s="105" t="s">
        <v>3061</v>
      </c>
      <c r="Z104" s="105" t="s">
        <v>1788</v>
      </c>
      <c r="AA104" s="105" t="s">
        <v>333</v>
      </c>
      <c r="AB104" s="105" t="s">
        <v>246</v>
      </c>
      <c r="AC104" s="105" t="s">
        <v>333</v>
      </c>
      <c r="AD104" s="105" t="s">
        <v>187</v>
      </c>
      <c r="AE104" s="105" t="s">
        <v>1745</v>
      </c>
      <c r="AF104" s="105" t="s">
        <v>190</v>
      </c>
      <c r="AH104" s="105" t="s">
        <v>182</v>
      </c>
      <c r="AI104" s="105" t="s">
        <v>1761</v>
      </c>
      <c r="AJ104" s="105" t="s">
        <v>1344</v>
      </c>
      <c r="AK104" s="105" t="s">
        <v>1803</v>
      </c>
      <c r="AL104" s="105">
        <v>20000</v>
      </c>
      <c r="AM104" s="105" t="s">
        <v>412</v>
      </c>
      <c r="AN104" s="105">
        <v>1</v>
      </c>
      <c r="AP104" s="105" t="s">
        <v>190</v>
      </c>
      <c r="AQ104" s="105" t="s">
        <v>176</v>
      </c>
      <c r="AR104" s="105">
        <v>2013</v>
      </c>
      <c r="AS104" s="105" t="s">
        <v>880</v>
      </c>
      <c r="AT104" s="105" t="s">
        <v>254</v>
      </c>
      <c r="AU104" s="105">
        <v>1.5</v>
      </c>
      <c r="AV104" s="105" t="s">
        <v>1256</v>
      </c>
      <c r="AW104" s="105" t="s">
        <v>1394</v>
      </c>
      <c r="AX104" s="105">
        <v>6.5000000000000002E-2</v>
      </c>
      <c r="AY104" s="105" t="s">
        <v>174</v>
      </c>
      <c r="AZ104" s="105">
        <v>10.7</v>
      </c>
      <c r="BA104" s="105" t="s">
        <v>174</v>
      </c>
      <c r="BB104" s="105" t="s">
        <v>174</v>
      </c>
      <c r="BC104" s="105">
        <v>3</v>
      </c>
      <c r="BD104" s="105">
        <v>9</v>
      </c>
      <c r="BE104" s="105">
        <v>90</v>
      </c>
      <c r="BF104" s="105" t="s">
        <v>1385</v>
      </c>
      <c r="BG104" s="105" t="s">
        <v>2603</v>
      </c>
      <c r="BH104" s="105">
        <v>0.98</v>
      </c>
      <c r="BK104" s="105">
        <v>8.4000000000000005E-2</v>
      </c>
      <c r="BM104" s="105">
        <v>8.23</v>
      </c>
      <c r="BN104" s="105" t="b">
        <v>0</v>
      </c>
      <c r="BO104" s="105">
        <v>1.5</v>
      </c>
      <c r="BP104" s="105">
        <v>1.5</v>
      </c>
      <c r="BQ104" s="105" t="s">
        <v>182</v>
      </c>
      <c r="BR104" s="105" t="s">
        <v>174</v>
      </c>
      <c r="BS104" s="105" t="s">
        <v>1360</v>
      </c>
      <c r="BY104" s="105">
        <v>25</v>
      </c>
      <c r="BZ104" s="105">
        <v>25</v>
      </c>
      <c r="CC104" s="105" t="s">
        <v>246</v>
      </c>
      <c r="CD104" s="105" t="s">
        <v>188</v>
      </c>
      <c r="CF104" s="105" t="s">
        <v>174</v>
      </c>
      <c r="CG104" s="105" t="s">
        <v>182</v>
      </c>
      <c r="CH104" s="105" t="s">
        <v>1351</v>
      </c>
      <c r="CI104" s="105" t="s">
        <v>1352</v>
      </c>
      <c r="CJ104" s="105" t="s">
        <v>1373</v>
      </c>
      <c r="CK104" s="105" t="s">
        <v>246</v>
      </c>
      <c r="CQ104" s="105" t="s">
        <v>246</v>
      </c>
      <c r="CR104" s="105" t="s">
        <v>174</v>
      </c>
      <c r="CS104" s="105" t="s">
        <v>174</v>
      </c>
      <c r="CT104" s="105" t="s">
        <v>174</v>
      </c>
      <c r="CU104" s="105" t="s">
        <v>518</v>
      </c>
      <c r="CW104" s="105" t="s">
        <v>2476</v>
      </c>
      <c r="CX104" s="105" t="s">
        <v>2492</v>
      </c>
    </row>
    <row r="105" spans="1:102" s="105" customFormat="1">
      <c r="A105" s="105" t="s">
        <v>3095</v>
      </c>
      <c r="B105" s="105">
        <v>90</v>
      </c>
      <c r="C105" s="105">
        <v>1</v>
      </c>
      <c r="D105" s="105">
        <v>1</v>
      </c>
      <c r="E105" s="105">
        <v>540</v>
      </c>
      <c r="F105" s="105">
        <v>2021</v>
      </c>
      <c r="G105" s="105" t="s">
        <v>1219</v>
      </c>
      <c r="H105" s="105" t="s">
        <v>187</v>
      </c>
      <c r="I105" s="105" t="s">
        <v>182</v>
      </c>
      <c r="J105" s="105" t="s">
        <v>246</v>
      </c>
      <c r="K105" s="105" t="s">
        <v>152</v>
      </c>
      <c r="L105" s="105" t="s">
        <v>443</v>
      </c>
      <c r="M105" s="105" t="s">
        <v>437</v>
      </c>
      <c r="N105" s="105" t="s">
        <v>438</v>
      </c>
      <c r="O105" s="105" t="s">
        <v>441</v>
      </c>
      <c r="P105" s="105">
        <v>-42.783332999999999</v>
      </c>
      <c r="Q105" s="105">
        <v>42.783332999999999</v>
      </c>
      <c r="R105" s="105">
        <v>-64.95</v>
      </c>
      <c r="S105" s="105" t="s">
        <v>3094</v>
      </c>
      <c r="W105" s="105" t="s">
        <v>1867</v>
      </c>
      <c r="X105" s="105" t="s">
        <v>797</v>
      </c>
      <c r="Y105" s="105" t="s">
        <v>186</v>
      </c>
      <c r="Z105" s="105" t="s">
        <v>1788</v>
      </c>
      <c r="AA105" s="105" t="s">
        <v>3007</v>
      </c>
      <c r="AB105" s="105" t="s">
        <v>246</v>
      </c>
      <c r="AC105" s="105" t="s">
        <v>333</v>
      </c>
      <c r="AD105" s="105" t="s">
        <v>187</v>
      </c>
      <c r="AE105" s="105" t="s">
        <v>190</v>
      </c>
      <c r="AH105" s="105" t="s">
        <v>246</v>
      </c>
      <c r="AI105" s="105" t="s">
        <v>246</v>
      </c>
      <c r="AJ105" s="105" t="s">
        <v>3008</v>
      </c>
      <c r="AK105" s="105" t="s">
        <v>2724</v>
      </c>
      <c r="AL105" s="105" t="s">
        <v>3009</v>
      </c>
      <c r="AM105" s="105" t="s">
        <v>412</v>
      </c>
      <c r="AR105" s="105">
        <v>2019</v>
      </c>
      <c r="AS105" s="105" t="s">
        <v>253</v>
      </c>
      <c r="AT105" s="105" t="s">
        <v>298</v>
      </c>
      <c r="BC105" s="105">
        <v>3</v>
      </c>
      <c r="BD105" s="105">
        <v>3</v>
      </c>
      <c r="BE105" s="105">
        <v>5</v>
      </c>
      <c r="BF105" s="105" t="s">
        <v>1387</v>
      </c>
      <c r="BG105" s="105" t="s">
        <v>1387</v>
      </c>
      <c r="BN105" s="105" t="b">
        <v>0</v>
      </c>
      <c r="BO105" s="105">
        <v>97.772999999999996</v>
      </c>
      <c r="BP105" s="105" t="s">
        <v>2256</v>
      </c>
      <c r="BQ105" s="105" t="s">
        <v>2256</v>
      </c>
      <c r="CC105" s="105" t="s">
        <v>246</v>
      </c>
      <c r="CD105" s="105" t="s">
        <v>188</v>
      </c>
    </row>
    <row r="106" spans="1:102" s="105" customFormat="1">
      <c r="A106" s="105" t="s">
        <v>2918</v>
      </c>
      <c r="B106" s="105">
        <v>101</v>
      </c>
      <c r="C106" s="105">
        <v>1</v>
      </c>
      <c r="D106" s="105">
        <v>1</v>
      </c>
      <c r="E106" s="105">
        <v>525</v>
      </c>
      <c r="F106" s="105">
        <v>2018</v>
      </c>
      <c r="G106" s="105" t="s">
        <v>1219</v>
      </c>
      <c r="H106" s="105" t="s">
        <v>161</v>
      </c>
      <c r="I106" s="105" t="s">
        <v>182</v>
      </c>
      <c r="J106" s="105" t="s">
        <v>246</v>
      </c>
      <c r="K106" s="105" t="s">
        <v>272</v>
      </c>
      <c r="L106" s="105" t="s">
        <v>443</v>
      </c>
      <c r="M106" s="105" t="s">
        <v>256</v>
      </c>
      <c r="N106" s="105" t="s">
        <v>257</v>
      </c>
      <c r="O106" s="105" t="s">
        <v>2536</v>
      </c>
      <c r="P106" s="105">
        <v>42.201388999999999</v>
      </c>
      <c r="Q106" s="105">
        <v>42.201388999999999</v>
      </c>
      <c r="R106" s="105">
        <v>-8.8044440000000002</v>
      </c>
      <c r="S106" s="105" t="s">
        <v>3015</v>
      </c>
      <c r="W106" s="105" t="s">
        <v>419</v>
      </c>
      <c r="X106" s="105" t="s">
        <v>155</v>
      </c>
      <c r="Y106" s="105" t="s">
        <v>999</v>
      </c>
      <c r="Z106" s="105" t="s">
        <v>1788</v>
      </c>
      <c r="AA106" s="105" t="s">
        <v>333</v>
      </c>
      <c r="AB106" s="105" t="s">
        <v>246</v>
      </c>
      <c r="AC106" s="105" t="s">
        <v>333</v>
      </c>
      <c r="AD106" s="105" t="s">
        <v>1306</v>
      </c>
      <c r="AE106" s="105" t="s">
        <v>1745</v>
      </c>
      <c r="AG106" s="105" t="s">
        <v>3017</v>
      </c>
      <c r="AH106" s="105" t="s">
        <v>246</v>
      </c>
      <c r="AI106" s="105" t="s">
        <v>246</v>
      </c>
      <c r="AJ106" s="105" t="s">
        <v>3019</v>
      </c>
      <c r="AN106" s="105" t="s">
        <v>190</v>
      </c>
      <c r="AQ106" s="105" t="s">
        <v>176</v>
      </c>
      <c r="AR106" s="105">
        <v>2014</v>
      </c>
      <c r="AS106" s="105" t="s">
        <v>236</v>
      </c>
      <c r="AT106" s="105" t="s">
        <v>420</v>
      </c>
      <c r="AU106" s="105">
        <v>3000</v>
      </c>
      <c r="AV106" s="105" t="s">
        <v>1256</v>
      </c>
      <c r="BC106" s="105">
        <v>4</v>
      </c>
      <c r="BD106" s="105">
        <v>3</v>
      </c>
      <c r="BE106" s="105">
        <v>20</v>
      </c>
      <c r="BF106" s="105" t="s">
        <v>2347</v>
      </c>
      <c r="BG106" s="105" t="s">
        <v>2603</v>
      </c>
      <c r="BH106" s="105">
        <v>0.98480000000000001</v>
      </c>
      <c r="BK106" s="105">
        <v>0.67700000000000005</v>
      </c>
      <c r="BM106" s="105">
        <v>1.0238510791136561</v>
      </c>
      <c r="BN106" s="105" t="b">
        <v>0</v>
      </c>
      <c r="BO106" s="105">
        <v>5.3630000000000004</v>
      </c>
      <c r="BP106" s="105" t="s">
        <v>2256</v>
      </c>
      <c r="BQ106" s="105" t="s">
        <v>2256</v>
      </c>
      <c r="BS106" s="105" t="s">
        <v>3023</v>
      </c>
      <c r="CA106" s="105">
        <v>22.17</v>
      </c>
      <c r="CD106" s="105" t="s">
        <v>412</v>
      </c>
      <c r="CJ106" s="105" t="s">
        <v>3022</v>
      </c>
    </row>
  </sheetData>
  <sortState xmlns:xlrd2="http://schemas.microsoft.com/office/spreadsheetml/2017/richdata2" ref="A1:CX106">
    <sortCondition ref="G2:G106"/>
    <sortCondition ref="B2:B10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CE89-5D7B-634D-AD2A-09BFDA758113}">
  <dimension ref="A1:S2318"/>
  <sheetViews>
    <sheetView zoomScaleNormal="100" workbookViewId="0">
      <pane ySplit="1" topLeftCell="A850" activePane="bottomLeft" state="frozen"/>
      <selection pane="bottomLeft" activeCell="B2271" sqref="B2271"/>
    </sheetView>
  </sheetViews>
  <sheetFormatPr baseColWidth="10" defaultColWidth="8.83203125" defaultRowHeight="15"/>
  <cols>
    <col min="1" max="1" width="24.1640625" customWidth="1"/>
    <col min="2" max="2" width="15.33203125" customWidth="1"/>
    <col min="3" max="3" width="14.5" customWidth="1"/>
    <col min="5" max="5" width="20" customWidth="1"/>
    <col min="8" max="8" width="25" customWidth="1"/>
    <col min="9" max="9" width="16.6640625" customWidth="1"/>
    <col min="10" max="10" width="5.6640625" bestFit="1" customWidth="1"/>
    <col min="11" max="11" width="33.1640625" customWidth="1"/>
    <col min="12" max="12" width="41.33203125" customWidth="1"/>
    <col min="17" max="17" width="23.83203125" customWidth="1"/>
    <col min="18" max="18" width="13.33203125" bestFit="1" customWidth="1"/>
  </cols>
  <sheetData>
    <row r="1" spans="1:18" s="4" customFormat="1" ht="29.5" customHeight="1">
      <c r="A1" s="4" t="s">
        <v>198</v>
      </c>
      <c r="B1" s="4" t="s">
        <v>3209</v>
      </c>
      <c r="C1" s="4" t="s">
        <v>194</v>
      </c>
      <c r="D1" s="4" t="s">
        <v>199</v>
      </c>
      <c r="E1" s="4" t="s">
        <v>428</v>
      </c>
      <c r="F1" s="4" t="s">
        <v>200</v>
      </c>
      <c r="G1" s="4" t="s">
        <v>205</v>
      </c>
      <c r="H1" s="4" t="s">
        <v>201</v>
      </c>
      <c r="I1" s="4" t="s">
        <v>202</v>
      </c>
      <c r="J1" s="4" t="s">
        <v>164</v>
      </c>
      <c r="K1" s="16" t="s">
        <v>1383</v>
      </c>
      <c r="L1" s="16" t="s">
        <v>1384</v>
      </c>
      <c r="M1" s="16" t="s">
        <v>165</v>
      </c>
      <c r="N1" s="16" t="s">
        <v>1391</v>
      </c>
      <c r="O1" s="16" t="s">
        <v>1382</v>
      </c>
      <c r="P1" s="4" t="s">
        <v>1700</v>
      </c>
      <c r="Q1" s="16" t="s">
        <v>1050</v>
      </c>
      <c r="R1" s="16" t="s">
        <v>1381</v>
      </c>
    </row>
    <row r="2" spans="1:18">
      <c r="A2" t="s">
        <v>203</v>
      </c>
      <c r="B2" t="s">
        <v>186</v>
      </c>
      <c r="C2" t="s">
        <v>445</v>
      </c>
      <c r="D2">
        <v>0</v>
      </c>
      <c r="E2">
        <v>100</v>
      </c>
      <c r="F2">
        <v>8709</v>
      </c>
      <c r="G2">
        <v>8709</v>
      </c>
      <c r="H2" t="s">
        <v>204</v>
      </c>
      <c r="J2">
        <v>3</v>
      </c>
      <c r="K2" s="12" t="s">
        <v>1385</v>
      </c>
      <c r="L2" t="s">
        <v>1386</v>
      </c>
      <c r="M2">
        <v>2.7099999999999999E-2</v>
      </c>
      <c r="O2">
        <v>0.88</v>
      </c>
      <c r="P2">
        <v>20</v>
      </c>
      <c r="Q2" t="s">
        <v>190</v>
      </c>
    </row>
    <row r="3" spans="1:18">
      <c r="A3" t="s">
        <v>203</v>
      </c>
      <c r="B3" t="s">
        <v>186</v>
      </c>
      <c r="C3" t="s">
        <v>445</v>
      </c>
      <c r="D3">
        <v>1</v>
      </c>
      <c r="E3">
        <f t="shared" ref="E3:E15" si="0">F3/G3*100</f>
        <v>96.428981513376968</v>
      </c>
      <c r="F3">
        <v>8398</v>
      </c>
      <c r="G3">
        <v>8709</v>
      </c>
      <c r="H3" t="s">
        <v>204</v>
      </c>
      <c r="J3">
        <v>3</v>
      </c>
    </row>
    <row r="4" spans="1:18">
      <c r="A4" t="s">
        <v>203</v>
      </c>
      <c r="B4" t="s">
        <v>186</v>
      </c>
      <c r="C4" t="s">
        <v>445</v>
      </c>
      <c r="D4">
        <v>2</v>
      </c>
      <c r="E4">
        <f t="shared" si="0"/>
        <v>88.276495579285793</v>
      </c>
      <c r="F4">
        <v>7688</v>
      </c>
      <c r="G4">
        <v>8709</v>
      </c>
      <c r="H4" t="s">
        <v>204</v>
      </c>
      <c r="J4">
        <v>3</v>
      </c>
    </row>
    <row r="5" spans="1:18">
      <c r="A5" t="s">
        <v>203</v>
      </c>
      <c r="B5" t="s">
        <v>186</v>
      </c>
      <c r="C5" t="s">
        <v>445</v>
      </c>
      <c r="D5">
        <v>5</v>
      </c>
      <c r="E5">
        <f t="shared" si="0"/>
        <v>84.096911241244683</v>
      </c>
      <c r="F5">
        <v>7324</v>
      </c>
      <c r="G5">
        <v>8709</v>
      </c>
      <c r="H5" t="s">
        <v>204</v>
      </c>
      <c r="J5">
        <v>3</v>
      </c>
    </row>
    <row r="6" spans="1:18">
      <c r="A6" t="s">
        <v>203</v>
      </c>
      <c r="B6" t="s">
        <v>186</v>
      </c>
      <c r="C6" t="s">
        <v>445</v>
      </c>
      <c r="D6">
        <v>10</v>
      </c>
      <c r="E6">
        <f t="shared" si="0"/>
        <v>81.318176598920658</v>
      </c>
      <c r="F6">
        <v>7082</v>
      </c>
      <c r="G6">
        <v>8709</v>
      </c>
      <c r="H6" t="s">
        <v>204</v>
      </c>
      <c r="J6">
        <v>3</v>
      </c>
    </row>
    <row r="7" spans="1:18">
      <c r="A7" t="s">
        <v>203</v>
      </c>
      <c r="B7" t="s">
        <v>186</v>
      </c>
      <c r="C7" t="s">
        <v>445</v>
      </c>
      <c r="D7">
        <v>15</v>
      </c>
      <c r="E7">
        <f t="shared" si="0"/>
        <v>85.888161671833743</v>
      </c>
      <c r="F7">
        <v>7480</v>
      </c>
      <c r="G7">
        <v>8709</v>
      </c>
      <c r="H7" t="s">
        <v>204</v>
      </c>
      <c r="J7">
        <v>3</v>
      </c>
    </row>
    <row r="8" spans="1:18">
      <c r="A8" t="s">
        <v>203</v>
      </c>
      <c r="B8" t="s">
        <v>186</v>
      </c>
      <c r="C8" t="s">
        <v>445</v>
      </c>
      <c r="D8">
        <v>20</v>
      </c>
      <c r="E8">
        <f t="shared" si="0"/>
        <v>87.4842117349868</v>
      </c>
      <c r="F8">
        <v>7619</v>
      </c>
      <c r="G8">
        <v>8709</v>
      </c>
      <c r="H8" t="s">
        <v>204</v>
      </c>
      <c r="J8">
        <v>3</v>
      </c>
    </row>
    <row r="9" spans="1:18">
      <c r="A9" t="s">
        <v>203</v>
      </c>
      <c r="B9" t="s">
        <v>186</v>
      </c>
      <c r="C9" t="s">
        <v>445</v>
      </c>
      <c r="D9">
        <v>30</v>
      </c>
      <c r="E9">
        <f t="shared" si="0"/>
        <v>76.736709151452516</v>
      </c>
      <c r="F9">
        <v>6683</v>
      </c>
      <c r="G9">
        <v>8709</v>
      </c>
      <c r="H9" t="s">
        <v>204</v>
      </c>
      <c r="J9">
        <v>3</v>
      </c>
    </row>
    <row r="10" spans="1:18">
      <c r="A10" t="s">
        <v>203</v>
      </c>
      <c r="B10" t="s">
        <v>186</v>
      </c>
      <c r="C10" t="s">
        <v>445</v>
      </c>
      <c r="D10">
        <v>40</v>
      </c>
      <c r="E10">
        <f t="shared" si="0"/>
        <v>72.568607187966478</v>
      </c>
      <c r="F10">
        <v>6320</v>
      </c>
      <c r="G10">
        <v>8709</v>
      </c>
      <c r="H10" t="s">
        <v>204</v>
      </c>
      <c r="J10">
        <v>3</v>
      </c>
    </row>
    <row r="11" spans="1:18">
      <c r="A11" t="s">
        <v>203</v>
      </c>
      <c r="B11" t="s">
        <v>186</v>
      </c>
      <c r="C11" t="s">
        <v>445</v>
      </c>
      <c r="D11">
        <v>50</v>
      </c>
      <c r="E11">
        <f t="shared" si="0"/>
        <v>68.389022849925368</v>
      </c>
      <c r="F11">
        <v>5956</v>
      </c>
      <c r="G11">
        <v>8709</v>
      </c>
      <c r="H11" t="s">
        <v>204</v>
      </c>
      <c r="J11">
        <v>3</v>
      </c>
    </row>
    <row r="12" spans="1:18">
      <c r="A12" t="s">
        <v>203</v>
      </c>
      <c r="B12" t="s">
        <v>186</v>
      </c>
      <c r="C12" t="s">
        <v>445</v>
      </c>
      <c r="D12">
        <v>60</v>
      </c>
      <c r="E12">
        <f t="shared" si="0"/>
        <v>64.611321621311291</v>
      </c>
      <c r="F12">
        <v>5627</v>
      </c>
      <c r="G12">
        <v>8709</v>
      </c>
      <c r="H12" t="s">
        <v>204</v>
      </c>
      <c r="J12">
        <v>3</v>
      </c>
    </row>
    <row r="13" spans="1:18">
      <c r="A13" t="s">
        <v>203</v>
      </c>
      <c r="B13" t="s">
        <v>186</v>
      </c>
      <c r="C13" t="s">
        <v>445</v>
      </c>
      <c r="D13">
        <v>180</v>
      </c>
      <c r="E13">
        <f t="shared" si="0"/>
        <v>62.027787346423239</v>
      </c>
      <c r="F13">
        <v>5402</v>
      </c>
      <c r="G13">
        <v>8709</v>
      </c>
      <c r="H13" t="s">
        <v>204</v>
      </c>
      <c r="J13">
        <v>3</v>
      </c>
    </row>
    <row r="14" spans="1:18">
      <c r="A14" t="s">
        <v>203</v>
      </c>
      <c r="B14" t="s">
        <v>186</v>
      </c>
      <c r="C14" t="s">
        <v>445</v>
      </c>
      <c r="D14">
        <v>360</v>
      </c>
      <c r="E14">
        <f t="shared" si="0"/>
        <v>61.235503502124246</v>
      </c>
      <c r="F14">
        <v>5333</v>
      </c>
      <c r="G14">
        <v>8709</v>
      </c>
      <c r="H14" t="s">
        <v>204</v>
      </c>
      <c r="J14">
        <v>3</v>
      </c>
    </row>
    <row r="15" spans="1:18">
      <c r="A15" t="s">
        <v>225</v>
      </c>
      <c r="B15" t="s">
        <v>999</v>
      </c>
      <c r="C15" t="s">
        <v>226</v>
      </c>
      <c r="D15">
        <v>0</v>
      </c>
      <c r="E15">
        <f t="shared" si="0"/>
        <v>100</v>
      </c>
      <c r="F15">
        <v>100</v>
      </c>
      <c r="G15">
        <v>100</v>
      </c>
      <c r="H15" t="s">
        <v>228</v>
      </c>
      <c r="I15" t="s">
        <v>227</v>
      </c>
      <c r="J15">
        <v>6</v>
      </c>
      <c r="K15" t="s">
        <v>1387</v>
      </c>
      <c r="Q15" t="s">
        <v>190</v>
      </c>
    </row>
    <row r="16" spans="1:18">
      <c r="A16" t="s">
        <v>225</v>
      </c>
      <c r="B16" t="s">
        <v>999</v>
      </c>
      <c r="C16" t="s">
        <v>226</v>
      </c>
      <c r="D16">
        <v>7</v>
      </c>
      <c r="E16">
        <v>98.4</v>
      </c>
      <c r="F16">
        <v>98.4</v>
      </c>
      <c r="G16">
        <v>100</v>
      </c>
      <c r="H16" t="s">
        <v>228</v>
      </c>
      <c r="I16" t="s">
        <v>227</v>
      </c>
      <c r="J16">
        <v>6</v>
      </c>
    </row>
    <row r="17" spans="1:17">
      <c r="A17" t="s">
        <v>225</v>
      </c>
      <c r="B17" t="s">
        <v>999</v>
      </c>
      <c r="C17" t="s">
        <v>226</v>
      </c>
      <c r="D17">
        <v>12</v>
      </c>
      <c r="E17">
        <v>97.12</v>
      </c>
      <c r="F17">
        <v>97.12</v>
      </c>
      <c r="G17">
        <v>100</v>
      </c>
      <c r="H17" t="s">
        <v>228</v>
      </c>
      <c r="I17" t="s">
        <v>227</v>
      </c>
      <c r="J17">
        <v>6</v>
      </c>
    </row>
    <row r="18" spans="1:17">
      <c r="A18" t="s">
        <v>225</v>
      </c>
      <c r="B18" t="s">
        <v>999</v>
      </c>
      <c r="C18" t="s">
        <v>226</v>
      </c>
      <c r="D18">
        <v>20</v>
      </c>
      <c r="E18">
        <v>104.16</v>
      </c>
      <c r="F18">
        <v>104.16</v>
      </c>
      <c r="G18">
        <v>100</v>
      </c>
      <c r="H18" t="s">
        <v>228</v>
      </c>
      <c r="I18" t="s">
        <v>227</v>
      </c>
      <c r="J18">
        <v>6</v>
      </c>
    </row>
    <row r="19" spans="1:17">
      <c r="A19" t="s">
        <v>225</v>
      </c>
      <c r="B19" t="s">
        <v>999</v>
      </c>
      <c r="C19" t="s">
        <v>226</v>
      </c>
      <c r="D19">
        <v>26</v>
      </c>
      <c r="E19">
        <v>105.8</v>
      </c>
      <c r="F19">
        <v>105.8</v>
      </c>
      <c r="G19">
        <v>100</v>
      </c>
      <c r="H19" t="s">
        <v>228</v>
      </c>
      <c r="I19" t="s">
        <v>227</v>
      </c>
      <c r="J19">
        <v>6</v>
      </c>
    </row>
    <row r="20" spans="1:17">
      <c r="A20" t="s">
        <v>225</v>
      </c>
      <c r="B20" t="s">
        <v>999</v>
      </c>
      <c r="C20" t="s">
        <v>226</v>
      </c>
      <c r="D20">
        <v>33</v>
      </c>
      <c r="E20">
        <v>106.7</v>
      </c>
      <c r="F20">
        <v>106.7</v>
      </c>
      <c r="G20">
        <v>100</v>
      </c>
      <c r="H20" t="s">
        <v>228</v>
      </c>
      <c r="I20" t="s">
        <v>227</v>
      </c>
      <c r="J20">
        <v>6</v>
      </c>
    </row>
    <row r="21" spans="1:17">
      <c r="A21" t="s">
        <v>225</v>
      </c>
      <c r="B21" t="s">
        <v>999</v>
      </c>
      <c r="C21" t="s">
        <v>226</v>
      </c>
      <c r="D21">
        <v>40</v>
      </c>
      <c r="E21">
        <v>90.4</v>
      </c>
      <c r="F21">
        <v>90.4</v>
      </c>
      <c r="G21">
        <v>100</v>
      </c>
      <c r="H21" t="s">
        <v>228</v>
      </c>
      <c r="I21" t="s">
        <v>227</v>
      </c>
      <c r="J21">
        <v>6</v>
      </c>
    </row>
    <row r="22" spans="1:17">
      <c r="A22" t="s">
        <v>225</v>
      </c>
      <c r="B22" t="s">
        <v>999</v>
      </c>
      <c r="C22" t="s">
        <v>229</v>
      </c>
      <c r="D22">
        <v>0</v>
      </c>
      <c r="E22">
        <v>100</v>
      </c>
      <c r="F22">
        <v>100</v>
      </c>
      <c r="G22">
        <v>100</v>
      </c>
      <c r="H22" t="s">
        <v>228</v>
      </c>
      <c r="I22" t="s">
        <v>227</v>
      </c>
      <c r="J22">
        <v>6</v>
      </c>
      <c r="K22" t="s">
        <v>1387</v>
      </c>
      <c r="Q22" t="s">
        <v>190</v>
      </c>
    </row>
    <row r="23" spans="1:17">
      <c r="A23" t="s">
        <v>225</v>
      </c>
      <c r="B23" t="s">
        <v>999</v>
      </c>
      <c r="C23" t="s">
        <v>229</v>
      </c>
      <c r="D23">
        <v>7</v>
      </c>
      <c r="E23">
        <v>106.4</v>
      </c>
      <c r="F23">
        <v>106.4</v>
      </c>
      <c r="G23">
        <v>100</v>
      </c>
      <c r="H23" t="s">
        <v>228</v>
      </c>
      <c r="I23" t="s">
        <v>227</v>
      </c>
      <c r="J23">
        <v>6</v>
      </c>
    </row>
    <row r="24" spans="1:17">
      <c r="A24" t="s">
        <v>225</v>
      </c>
      <c r="B24" t="s">
        <v>999</v>
      </c>
      <c r="C24" t="s">
        <v>229</v>
      </c>
      <c r="D24">
        <v>12</v>
      </c>
      <c r="E24">
        <v>105.4</v>
      </c>
      <c r="F24">
        <v>105.4</v>
      </c>
      <c r="G24">
        <v>100</v>
      </c>
      <c r="H24" t="s">
        <v>228</v>
      </c>
      <c r="I24" t="s">
        <v>227</v>
      </c>
      <c r="J24">
        <v>6</v>
      </c>
    </row>
    <row r="25" spans="1:17">
      <c r="A25" t="s">
        <v>225</v>
      </c>
      <c r="B25" t="s">
        <v>999</v>
      </c>
      <c r="C25" t="s">
        <v>229</v>
      </c>
      <c r="D25">
        <v>20</v>
      </c>
      <c r="E25">
        <v>104.2</v>
      </c>
      <c r="F25">
        <v>104.2</v>
      </c>
      <c r="G25">
        <v>100</v>
      </c>
      <c r="H25" t="s">
        <v>228</v>
      </c>
      <c r="I25" t="s">
        <v>227</v>
      </c>
      <c r="J25">
        <v>6</v>
      </c>
    </row>
    <row r="26" spans="1:17">
      <c r="A26" t="s">
        <v>225</v>
      </c>
      <c r="B26" t="s">
        <v>999</v>
      </c>
      <c r="C26" t="s">
        <v>229</v>
      </c>
      <c r="D26">
        <v>26</v>
      </c>
      <c r="E26">
        <v>113.4</v>
      </c>
      <c r="F26">
        <v>113.4</v>
      </c>
      <c r="G26">
        <v>100</v>
      </c>
      <c r="H26" t="s">
        <v>228</v>
      </c>
      <c r="I26" t="s">
        <v>227</v>
      </c>
      <c r="J26">
        <v>6</v>
      </c>
    </row>
    <row r="27" spans="1:17">
      <c r="A27" t="s">
        <v>225</v>
      </c>
      <c r="B27" t="s">
        <v>999</v>
      </c>
      <c r="C27" t="s">
        <v>229</v>
      </c>
      <c r="D27">
        <v>33</v>
      </c>
      <c r="E27">
        <v>113.8</v>
      </c>
      <c r="F27">
        <v>113.8</v>
      </c>
      <c r="G27">
        <v>100</v>
      </c>
      <c r="H27" t="s">
        <v>228</v>
      </c>
      <c r="I27" t="s">
        <v>227</v>
      </c>
      <c r="J27">
        <v>6</v>
      </c>
    </row>
    <row r="28" spans="1:17">
      <c r="A28" t="s">
        <v>225</v>
      </c>
      <c r="B28" t="s">
        <v>999</v>
      </c>
      <c r="C28" t="s">
        <v>229</v>
      </c>
      <c r="D28">
        <v>40</v>
      </c>
      <c r="E28">
        <v>90.4</v>
      </c>
      <c r="F28">
        <v>90.4</v>
      </c>
      <c r="G28">
        <v>100</v>
      </c>
      <c r="H28" t="s">
        <v>228</v>
      </c>
      <c r="I28" t="s">
        <v>227</v>
      </c>
      <c r="J28">
        <v>6</v>
      </c>
    </row>
    <row r="29" spans="1:17">
      <c r="A29" t="s">
        <v>225</v>
      </c>
      <c r="B29" t="s">
        <v>999</v>
      </c>
      <c r="C29" t="s">
        <v>226</v>
      </c>
      <c r="D29">
        <v>0</v>
      </c>
      <c r="E29">
        <v>100</v>
      </c>
      <c r="F29">
        <v>100</v>
      </c>
      <c r="G29">
        <v>100</v>
      </c>
      <c r="H29" t="s">
        <v>228</v>
      </c>
      <c r="I29" t="s">
        <v>230</v>
      </c>
      <c r="J29">
        <v>6</v>
      </c>
      <c r="K29" t="s">
        <v>1387</v>
      </c>
      <c r="Q29" t="s">
        <v>190</v>
      </c>
    </row>
    <row r="30" spans="1:17">
      <c r="A30" t="s">
        <v>225</v>
      </c>
      <c r="B30" t="s">
        <v>999</v>
      </c>
      <c r="C30" t="s">
        <v>226</v>
      </c>
      <c r="D30">
        <v>7</v>
      </c>
      <c r="E30">
        <v>96.16</v>
      </c>
      <c r="F30">
        <v>96.16</v>
      </c>
      <c r="G30">
        <v>100</v>
      </c>
      <c r="H30" t="s">
        <v>228</v>
      </c>
      <c r="I30" t="s">
        <v>230</v>
      </c>
      <c r="J30">
        <v>6</v>
      </c>
    </row>
    <row r="31" spans="1:17">
      <c r="A31" t="s">
        <v>225</v>
      </c>
      <c r="B31" t="s">
        <v>999</v>
      </c>
      <c r="C31" t="s">
        <v>226</v>
      </c>
      <c r="D31">
        <v>12</v>
      </c>
      <c r="E31">
        <v>100.32</v>
      </c>
      <c r="F31">
        <v>100.32</v>
      </c>
      <c r="G31">
        <v>100</v>
      </c>
      <c r="H31" t="s">
        <v>228</v>
      </c>
      <c r="I31" t="s">
        <v>230</v>
      </c>
      <c r="J31">
        <v>6</v>
      </c>
    </row>
    <row r="32" spans="1:17">
      <c r="A32" t="s">
        <v>225</v>
      </c>
      <c r="B32" t="s">
        <v>999</v>
      </c>
      <c r="C32" t="s">
        <v>226</v>
      </c>
      <c r="D32">
        <v>20</v>
      </c>
      <c r="E32">
        <v>100.6</v>
      </c>
      <c r="F32">
        <v>100.6</v>
      </c>
      <c r="G32">
        <v>100</v>
      </c>
      <c r="H32" t="s">
        <v>228</v>
      </c>
      <c r="I32" t="s">
        <v>230</v>
      </c>
      <c r="J32">
        <v>6</v>
      </c>
    </row>
    <row r="33" spans="1:17">
      <c r="A33" t="s">
        <v>225</v>
      </c>
      <c r="B33" t="s">
        <v>999</v>
      </c>
      <c r="C33" t="s">
        <v>226</v>
      </c>
      <c r="D33">
        <v>26</v>
      </c>
      <c r="E33">
        <v>104.5</v>
      </c>
      <c r="F33">
        <v>104.5</v>
      </c>
      <c r="G33">
        <v>100</v>
      </c>
      <c r="H33" t="s">
        <v>228</v>
      </c>
      <c r="I33" t="s">
        <v>230</v>
      </c>
      <c r="J33">
        <v>6</v>
      </c>
    </row>
    <row r="34" spans="1:17">
      <c r="A34" t="s">
        <v>225</v>
      </c>
      <c r="B34" t="s">
        <v>999</v>
      </c>
      <c r="C34" t="s">
        <v>226</v>
      </c>
      <c r="D34">
        <v>33</v>
      </c>
      <c r="E34">
        <v>103.5</v>
      </c>
      <c r="F34">
        <v>103.5</v>
      </c>
      <c r="G34">
        <v>100</v>
      </c>
      <c r="H34" t="s">
        <v>228</v>
      </c>
      <c r="I34" t="s">
        <v>230</v>
      </c>
      <c r="J34">
        <v>6</v>
      </c>
    </row>
    <row r="35" spans="1:17">
      <c r="A35" t="s">
        <v>225</v>
      </c>
      <c r="B35" t="s">
        <v>999</v>
      </c>
      <c r="C35" t="s">
        <v>226</v>
      </c>
      <c r="D35">
        <v>40</v>
      </c>
      <c r="E35">
        <v>107.4</v>
      </c>
      <c r="F35">
        <v>107.4</v>
      </c>
      <c r="G35">
        <v>100</v>
      </c>
      <c r="H35" t="s">
        <v>228</v>
      </c>
      <c r="I35" t="s">
        <v>230</v>
      </c>
      <c r="J35">
        <v>6</v>
      </c>
    </row>
    <row r="36" spans="1:17">
      <c r="A36" t="s">
        <v>225</v>
      </c>
      <c r="B36" t="s">
        <v>999</v>
      </c>
      <c r="C36" t="s">
        <v>229</v>
      </c>
      <c r="D36">
        <v>0</v>
      </c>
      <c r="E36">
        <v>100</v>
      </c>
      <c r="F36">
        <v>100</v>
      </c>
      <c r="G36">
        <v>100</v>
      </c>
      <c r="H36" t="s">
        <v>228</v>
      </c>
      <c r="I36" t="s">
        <v>230</v>
      </c>
      <c r="J36">
        <v>6</v>
      </c>
      <c r="K36" t="s">
        <v>1388</v>
      </c>
      <c r="L36" t="s">
        <v>1389</v>
      </c>
      <c r="N36">
        <v>-2.1551999999999998</v>
      </c>
      <c r="O36">
        <v>0.92</v>
      </c>
      <c r="Q36" t="s">
        <v>190</v>
      </c>
    </row>
    <row r="37" spans="1:17">
      <c r="A37" t="s">
        <v>225</v>
      </c>
      <c r="B37" t="s">
        <v>999</v>
      </c>
      <c r="C37" t="s">
        <v>229</v>
      </c>
      <c r="D37">
        <v>7</v>
      </c>
      <c r="E37">
        <v>104.5</v>
      </c>
      <c r="F37">
        <v>104.5</v>
      </c>
      <c r="G37">
        <v>100</v>
      </c>
      <c r="H37" t="s">
        <v>228</v>
      </c>
      <c r="I37" t="s">
        <v>230</v>
      </c>
      <c r="J37">
        <v>6</v>
      </c>
      <c r="K37" s="9" t="s">
        <v>1430</v>
      </c>
      <c r="L37" s="9" t="s">
        <v>2362</v>
      </c>
      <c r="O37">
        <v>0.91</v>
      </c>
    </row>
    <row r="38" spans="1:17">
      <c r="A38" t="s">
        <v>225</v>
      </c>
      <c r="B38" t="s">
        <v>999</v>
      </c>
      <c r="C38" t="s">
        <v>229</v>
      </c>
      <c r="D38">
        <v>12</v>
      </c>
      <c r="E38">
        <v>115.4</v>
      </c>
      <c r="F38">
        <v>115.4</v>
      </c>
      <c r="G38">
        <v>100</v>
      </c>
      <c r="H38" t="s">
        <v>228</v>
      </c>
      <c r="I38" t="s">
        <v>230</v>
      </c>
      <c r="J38">
        <v>6</v>
      </c>
      <c r="K38" s="25" t="s">
        <v>181</v>
      </c>
      <c r="L38" s="25" t="s">
        <v>2373</v>
      </c>
      <c r="M38" s="25"/>
      <c r="N38" s="25">
        <v>1.0627</v>
      </c>
      <c r="O38" s="25">
        <v>0.54</v>
      </c>
    </row>
    <row r="39" spans="1:17">
      <c r="A39" t="s">
        <v>225</v>
      </c>
      <c r="B39" t="s">
        <v>999</v>
      </c>
      <c r="C39" t="s">
        <v>229</v>
      </c>
      <c r="D39">
        <v>20</v>
      </c>
      <c r="E39">
        <v>111.8</v>
      </c>
      <c r="F39">
        <v>111.8</v>
      </c>
      <c r="G39">
        <v>100</v>
      </c>
      <c r="H39" t="s">
        <v>228</v>
      </c>
      <c r="I39" t="s">
        <v>230</v>
      </c>
      <c r="J39">
        <v>6</v>
      </c>
    </row>
    <row r="40" spans="1:17">
      <c r="A40" t="s">
        <v>225</v>
      </c>
      <c r="B40" t="s">
        <v>999</v>
      </c>
      <c r="C40" t="s">
        <v>229</v>
      </c>
      <c r="D40">
        <v>26</v>
      </c>
      <c r="E40">
        <v>101</v>
      </c>
      <c r="F40">
        <v>101</v>
      </c>
      <c r="G40">
        <v>100</v>
      </c>
      <c r="H40" t="s">
        <v>228</v>
      </c>
      <c r="I40" t="s">
        <v>230</v>
      </c>
      <c r="J40">
        <v>6</v>
      </c>
    </row>
    <row r="41" spans="1:17">
      <c r="A41" t="s">
        <v>225</v>
      </c>
      <c r="B41" t="s">
        <v>999</v>
      </c>
      <c r="C41" t="s">
        <v>229</v>
      </c>
      <c r="D41">
        <v>33</v>
      </c>
      <c r="E41">
        <v>79.5</v>
      </c>
      <c r="F41">
        <v>79.5</v>
      </c>
      <c r="G41">
        <v>100</v>
      </c>
      <c r="H41" t="s">
        <v>228</v>
      </c>
      <c r="I41" t="s">
        <v>230</v>
      </c>
      <c r="J41">
        <v>6</v>
      </c>
    </row>
    <row r="42" spans="1:17">
      <c r="A42" t="s">
        <v>225</v>
      </c>
      <c r="B42" t="s">
        <v>999</v>
      </c>
      <c r="C42" t="s">
        <v>229</v>
      </c>
      <c r="D42">
        <v>40</v>
      </c>
      <c r="E42">
        <v>56.8</v>
      </c>
      <c r="F42">
        <v>56.8</v>
      </c>
      <c r="G42">
        <v>100</v>
      </c>
      <c r="H42" t="s">
        <v>228</v>
      </c>
      <c r="I42" t="s">
        <v>230</v>
      </c>
      <c r="J42">
        <v>6</v>
      </c>
    </row>
    <row r="43" spans="1:17">
      <c r="A43" t="s">
        <v>225</v>
      </c>
      <c r="B43" t="s">
        <v>999</v>
      </c>
      <c r="C43" t="s">
        <v>226</v>
      </c>
      <c r="D43">
        <v>0</v>
      </c>
      <c r="E43">
        <v>100</v>
      </c>
      <c r="F43">
        <v>100</v>
      </c>
      <c r="G43">
        <v>100</v>
      </c>
      <c r="H43" t="s">
        <v>228</v>
      </c>
      <c r="I43" t="s">
        <v>231</v>
      </c>
      <c r="J43">
        <v>6</v>
      </c>
      <c r="K43" t="s">
        <v>1387</v>
      </c>
    </row>
    <row r="44" spans="1:17">
      <c r="A44" t="s">
        <v>225</v>
      </c>
      <c r="B44" t="s">
        <v>999</v>
      </c>
      <c r="C44" t="s">
        <v>226</v>
      </c>
      <c r="D44">
        <v>7</v>
      </c>
      <c r="E44">
        <v>93.92</v>
      </c>
      <c r="F44">
        <v>93.92</v>
      </c>
      <c r="G44">
        <v>100</v>
      </c>
      <c r="H44" t="s">
        <v>228</v>
      </c>
      <c r="I44" t="s">
        <v>231</v>
      </c>
      <c r="J44">
        <v>6</v>
      </c>
    </row>
    <row r="45" spans="1:17">
      <c r="A45" t="s">
        <v>225</v>
      </c>
      <c r="B45" t="s">
        <v>999</v>
      </c>
      <c r="C45" t="s">
        <v>226</v>
      </c>
      <c r="D45">
        <v>12</v>
      </c>
      <c r="E45">
        <v>93.48</v>
      </c>
      <c r="F45">
        <v>93.48</v>
      </c>
      <c r="G45">
        <v>100</v>
      </c>
      <c r="H45" t="s">
        <v>228</v>
      </c>
      <c r="I45" t="s">
        <v>231</v>
      </c>
      <c r="J45">
        <v>6</v>
      </c>
    </row>
    <row r="46" spans="1:17">
      <c r="A46" t="s">
        <v>225</v>
      </c>
      <c r="B46" t="s">
        <v>999</v>
      </c>
      <c r="C46" t="s">
        <v>226</v>
      </c>
      <c r="D46">
        <v>20</v>
      </c>
      <c r="E46">
        <v>95.5</v>
      </c>
      <c r="F46">
        <v>95.5</v>
      </c>
      <c r="G46">
        <v>100</v>
      </c>
      <c r="H46" t="s">
        <v>228</v>
      </c>
      <c r="I46" t="s">
        <v>231</v>
      </c>
      <c r="J46">
        <v>6</v>
      </c>
    </row>
    <row r="47" spans="1:17">
      <c r="A47" t="s">
        <v>225</v>
      </c>
      <c r="B47" t="s">
        <v>999</v>
      </c>
      <c r="C47" t="s">
        <v>226</v>
      </c>
      <c r="D47">
        <v>26</v>
      </c>
      <c r="E47">
        <v>91.7</v>
      </c>
      <c r="F47">
        <v>91.7</v>
      </c>
      <c r="G47">
        <v>100</v>
      </c>
      <c r="H47" t="s">
        <v>228</v>
      </c>
      <c r="I47" t="s">
        <v>231</v>
      </c>
      <c r="J47">
        <v>6</v>
      </c>
    </row>
    <row r="48" spans="1:17">
      <c r="A48" t="s">
        <v>225</v>
      </c>
      <c r="B48" t="s">
        <v>999</v>
      </c>
      <c r="C48" t="s">
        <v>226</v>
      </c>
      <c r="D48">
        <v>33</v>
      </c>
      <c r="E48">
        <v>93.9</v>
      </c>
      <c r="F48">
        <v>93.9</v>
      </c>
      <c r="G48">
        <v>100</v>
      </c>
      <c r="H48" t="s">
        <v>228</v>
      </c>
      <c r="I48" t="s">
        <v>231</v>
      </c>
      <c r="J48">
        <v>6</v>
      </c>
    </row>
    <row r="49" spans="1:16">
      <c r="A49" t="s">
        <v>225</v>
      </c>
      <c r="B49" t="s">
        <v>999</v>
      </c>
      <c r="C49" t="s">
        <v>226</v>
      </c>
      <c r="D49">
        <v>40</v>
      </c>
      <c r="E49">
        <v>95.8</v>
      </c>
      <c r="F49">
        <v>95.8</v>
      </c>
      <c r="G49">
        <v>100</v>
      </c>
      <c r="H49" t="s">
        <v>228</v>
      </c>
      <c r="I49" t="s">
        <v>231</v>
      </c>
      <c r="J49">
        <v>6</v>
      </c>
    </row>
    <row r="50" spans="1:16">
      <c r="A50" t="s">
        <v>225</v>
      </c>
      <c r="B50" t="s">
        <v>999</v>
      </c>
      <c r="C50" t="s">
        <v>229</v>
      </c>
      <c r="D50">
        <v>0</v>
      </c>
      <c r="E50">
        <v>100</v>
      </c>
      <c r="F50">
        <v>100</v>
      </c>
      <c r="G50">
        <v>100</v>
      </c>
      <c r="H50" t="s">
        <v>228</v>
      </c>
      <c r="I50" t="s">
        <v>231</v>
      </c>
      <c r="J50">
        <v>6</v>
      </c>
      <c r="K50" t="s">
        <v>1388</v>
      </c>
      <c r="L50" t="s">
        <v>1390</v>
      </c>
      <c r="N50">
        <v>-2.0286</v>
      </c>
      <c r="O50">
        <v>0.89029999999999998</v>
      </c>
    </row>
    <row r="51" spans="1:16">
      <c r="A51" t="s">
        <v>225</v>
      </c>
      <c r="B51" t="s">
        <v>999</v>
      </c>
      <c r="C51" t="s">
        <v>229</v>
      </c>
      <c r="D51">
        <v>7</v>
      </c>
      <c r="E51">
        <v>106.72</v>
      </c>
      <c r="F51">
        <v>106.72</v>
      </c>
      <c r="G51">
        <v>100</v>
      </c>
      <c r="H51" t="s">
        <v>228</v>
      </c>
      <c r="I51" t="s">
        <v>231</v>
      </c>
      <c r="J51">
        <v>6</v>
      </c>
      <c r="K51" s="9" t="s">
        <v>1430</v>
      </c>
      <c r="L51" s="9" t="s">
        <v>2363</v>
      </c>
      <c r="O51">
        <v>0.9</v>
      </c>
    </row>
    <row r="52" spans="1:16">
      <c r="A52" t="s">
        <v>225</v>
      </c>
      <c r="B52" t="s">
        <v>999</v>
      </c>
      <c r="C52" t="s">
        <v>229</v>
      </c>
      <c r="D52">
        <v>12</v>
      </c>
      <c r="E52">
        <v>103.8</v>
      </c>
      <c r="F52">
        <v>103.8</v>
      </c>
      <c r="G52">
        <v>100</v>
      </c>
      <c r="H52" t="s">
        <v>228</v>
      </c>
      <c r="I52" t="s">
        <v>231</v>
      </c>
      <c r="J52">
        <v>6</v>
      </c>
      <c r="K52" t="s">
        <v>181</v>
      </c>
      <c r="L52" t="s">
        <v>2374</v>
      </c>
      <c r="N52">
        <v>1.3685</v>
      </c>
      <c r="O52">
        <v>0.77500000000000002</v>
      </c>
    </row>
    <row r="53" spans="1:16">
      <c r="A53" t="s">
        <v>225</v>
      </c>
      <c r="B53" t="s">
        <v>999</v>
      </c>
      <c r="C53" t="s">
        <v>229</v>
      </c>
      <c r="D53">
        <v>20</v>
      </c>
      <c r="E53">
        <v>104.2</v>
      </c>
      <c r="F53">
        <v>104.2</v>
      </c>
      <c r="G53">
        <v>100</v>
      </c>
      <c r="H53" t="s">
        <v>228</v>
      </c>
      <c r="I53" t="s">
        <v>231</v>
      </c>
      <c r="J53">
        <v>6</v>
      </c>
    </row>
    <row r="54" spans="1:16">
      <c r="A54" t="s">
        <v>225</v>
      </c>
      <c r="B54" t="s">
        <v>999</v>
      </c>
      <c r="C54" t="s">
        <v>229</v>
      </c>
      <c r="D54">
        <v>26</v>
      </c>
      <c r="E54">
        <v>72.8</v>
      </c>
      <c r="F54">
        <v>72.8</v>
      </c>
      <c r="G54">
        <v>100</v>
      </c>
      <c r="H54" t="s">
        <v>228</v>
      </c>
      <c r="I54" t="s">
        <v>231</v>
      </c>
      <c r="J54">
        <v>6</v>
      </c>
    </row>
    <row r="55" spans="1:16">
      <c r="A55" t="s">
        <v>225</v>
      </c>
      <c r="B55" t="s">
        <v>999</v>
      </c>
      <c r="C55" t="s">
        <v>229</v>
      </c>
      <c r="D55">
        <v>33</v>
      </c>
      <c r="E55">
        <v>70.599999999999994</v>
      </c>
      <c r="F55">
        <v>70.599999999999994</v>
      </c>
      <c r="G55">
        <v>100</v>
      </c>
      <c r="H55" t="s">
        <v>228</v>
      </c>
      <c r="I55" t="s">
        <v>231</v>
      </c>
      <c r="J55">
        <v>6</v>
      </c>
    </row>
    <row r="56" spans="1:16">
      <c r="A56" t="s">
        <v>225</v>
      </c>
      <c r="B56" t="s">
        <v>999</v>
      </c>
      <c r="C56" t="s">
        <v>229</v>
      </c>
      <c r="D56">
        <v>40</v>
      </c>
      <c r="E56">
        <v>49.8</v>
      </c>
      <c r="F56">
        <v>49.8</v>
      </c>
      <c r="G56">
        <v>100</v>
      </c>
      <c r="H56" t="s">
        <v>228</v>
      </c>
      <c r="I56" t="s">
        <v>231</v>
      </c>
      <c r="J56">
        <v>6</v>
      </c>
    </row>
    <row r="57" spans="1:16">
      <c r="A57" t="s">
        <v>225</v>
      </c>
      <c r="B57" t="s">
        <v>999</v>
      </c>
      <c r="C57" t="s">
        <v>226</v>
      </c>
      <c r="D57">
        <v>14</v>
      </c>
      <c r="E57">
        <v>100</v>
      </c>
      <c r="F57">
        <v>100</v>
      </c>
      <c r="G57">
        <v>100</v>
      </c>
      <c r="H57" t="s">
        <v>228</v>
      </c>
      <c r="I57" t="s">
        <v>233</v>
      </c>
    </row>
    <row r="58" spans="1:16">
      <c r="A58" t="s">
        <v>270</v>
      </c>
      <c r="B58" t="s">
        <v>999</v>
      </c>
      <c r="C58" t="s">
        <v>271</v>
      </c>
      <c r="D58">
        <v>0</v>
      </c>
      <c r="E58">
        <v>100</v>
      </c>
      <c r="F58">
        <v>100</v>
      </c>
      <c r="G58">
        <v>100</v>
      </c>
      <c r="H58" t="s">
        <v>228</v>
      </c>
      <c r="K58" s="12" t="s">
        <v>1385</v>
      </c>
      <c r="L58" s="9" t="s">
        <v>1393</v>
      </c>
      <c r="M58" s="9">
        <v>0.1105</v>
      </c>
      <c r="N58" s="9"/>
      <c r="O58" s="9">
        <v>0.95</v>
      </c>
      <c r="P58">
        <v>7.4</v>
      </c>
    </row>
    <row r="59" spans="1:16">
      <c r="A59" t="s">
        <v>270</v>
      </c>
      <c r="B59" t="s">
        <v>999</v>
      </c>
      <c r="C59" t="s">
        <v>271</v>
      </c>
      <c r="D59">
        <v>5</v>
      </c>
      <c r="E59">
        <v>80.599999999999994</v>
      </c>
      <c r="F59">
        <v>80.599999999999994</v>
      </c>
      <c r="G59">
        <v>100</v>
      </c>
      <c r="H59" t="s">
        <v>228</v>
      </c>
      <c r="K59" s="2" t="s">
        <v>1394</v>
      </c>
      <c r="L59" s="2" t="s">
        <v>1395</v>
      </c>
      <c r="M59" s="2">
        <v>7.0999999999999994E-2</v>
      </c>
      <c r="N59" s="2"/>
      <c r="O59" s="2">
        <v>0.95</v>
      </c>
    </row>
    <row r="60" spans="1:16">
      <c r="A60" t="s">
        <v>270</v>
      </c>
      <c r="B60" t="s">
        <v>999</v>
      </c>
      <c r="C60" t="s">
        <v>271</v>
      </c>
      <c r="D60">
        <v>7</v>
      </c>
      <c r="E60">
        <v>61.3</v>
      </c>
      <c r="F60">
        <v>61.3</v>
      </c>
      <c r="G60">
        <v>100</v>
      </c>
      <c r="H60" t="s">
        <v>228</v>
      </c>
    </row>
    <row r="61" spans="1:16">
      <c r="A61" t="s">
        <v>270</v>
      </c>
      <c r="B61" t="s">
        <v>999</v>
      </c>
      <c r="C61" t="s">
        <v>271</v>
      </c>
      <c r="D61">
        <v>8</v>
      </c>
      <c r="E61">
        <v>48.6</v>
      </c>
      <c r="F61">
        <v>48.6</v>
      </c>
      <c r="G61">
        <v>100</v>
      </c>
      <c r="H61" t="s">
        <v>228</v>
      </c>
    </row>
    <row r="62" spans="1:16">
      <c r="A62" t="s">
        <v>270</v>
      </c>
      <c r="B62" t="s">
        <v>999</v>
      </c>
      <c r="C62" t="s">
        <v>271</v>
      </c>
      <c r="D62">
        <v>11</v>
      </c>
      <c r="E62">
        <v>45.9</v>
      </c>
      <c r="F62">
        <v>45.9</v>
      </c>
      <c r="G62">
        <v>100</v>
      </c>
      <c r="H62" t="s">
        <v>228</v>
      </c>
    </row>
    <row r="63" spans="1:16">
      <c r="A63" t="s">
        <v>270</v>
      </c>
      <c r="B63" t="s">
        <v>999</v>
      </c>
      <c r="C63" t="s">
        <v>271</v>
      </c>
      <c r="D63">
        <v>12</v>
      </c>
      <c r="E63">
        <v>39.799999999999997</v>
      </c>
      <c r="F63">
        <v>39.799999999999997</v>
      </c>
      <c r="G63">
        <v>100</v>
      </c>
      <c r="H63" t="s">
        <v>228</v>
      </c>
    </row>
    <row r="64" spans="1:16">
      <c r="A64" t="s">
        <v>270</v>
      </c>
      <c r="B64" t="s">
        <v>999</v>
      </c>
      <c r="C64" t="s">
        <v>271</v>
      </c>
      <c r="D64">
        <v>14</v>
      </c>
      <c r="E64">
        <v>30.7</v>
      </c>
      <c r="F64">
        <v>30.7</v>
      </c>
      <c r="G64">
        <v>100</v>
      </c>
      <c r="H64" t="s">
        <v>228</v>
      </c>
    </row>
    <row r="65" spans="1:16">
      <c r="A65" t="s">
        <v>270</v>
      </c>
      <c r="B65" t="s">
        <v>999</v>
      </c>
      <c r="C65" t="s">
        <v>271</v>
      </c>
      <c r="D65">
        <v>15</v>
      </c>
      <c r="E65">
        <v>30.4</v>
      </c>
      <c r="F65">
        <v>30.4</v>
      </c>
      <c r="G65">
        <v>100</v>
      </c>
      <c r="H65" t="s">
        <v>228</v>
      </c>
    </row>
    <row r="66" spans="1:16">
      <c r="A66" t="s">
        <v>270</v>
      </c>
      <c r="B66" t="s">
        <v>999</v>
      </c>
      <c r="C66" t="s">
        <v>271</v>
      </c>
      <c r="D66">
        <v>18</v>
      </c>
      <c r="E66">
        <v>29.9</v>
      </c>
      <c r="F66">
        <v>29.9</v>
      </c>
      <c r="G66">
        <v>100</v>
      </c>
      <c r="H66" t="s">
        <v>228</v>
      </c>
    </row>
    <row r="67" spans="1:16">
      <c r="A67" t="s">
        <v>270</v>
      </c>
      <c r="B67" t="s">
        <v>999</v>
      </c>
      <c r="C67" t="s">
        <v>271</v>
      </c>
      <c r="D67">
        <v>20</v>
      </c>
      <c r="E67">
        <v>29.2</v>
      </c>
      <c r="F67">
        <v>29.2</v>
      </c>
      <c r="G67">
        <v>100</v>
      </c>
      <c r="H67" t="s">
        <v>228</v>
      </c>
    </row>
    <row r="68" spans="1:16">
      <c r="A68" t="s">
        <v>283</v>
      </c>
      <c r="B68" t="s">
        <v>999</v>
      </c>
      <c r="C68" t="s">
        <v>284</v>
      </c>
      <c r="D68">
        <v>0</v>
      </c>
      <c r="F68">
        <v>100</v>
      </c>
      <c r="G68">
        <v>100</v>
      </c>
      <c r="H68" t="s">
        <v>228</v>
      </c>
      <c r="K68" t="s">
        <v>1399</v>
      </c>
      <c r="L68" t="s">
        <v>1400</v>
      </c>
      <c r="O68">
        <v>0.98</v>
      </c>
    </row>
    <row r="69" spans="1:16">
      <c r="A69" t="s">
        <v>283</v>
      </c>
      <c r="B69" t="s">
        <v>999</v>
      </c>
      <c r="C69" t="s">
        <v>284</v>
      </c>
      <c r="D69">
        <v>3</v>
      </c>
      <c r="F69">
        <v>96.8</v>
      </c>
      <c r="G69">
        <v>100</v>
      </c>
      <c r="H69" t="s">
        <v>228</v>
      </c>
      <c r="K69" s="2" t="s">
        <v>1396</v>
      </c>
      <c r="L69" s="2" t="s">
        <v>1397</v>
      </c>
      <c r="M69" s="2"/>
      <c r="N69" s="2">
        <v>-4.0003000000000002</v>
      </c>
      <c r="O69" s="2">
        <v>0.96</v>
      </c>
    </row>
    <row r="70" spans="1:16">
      <c r="A70" t="s">
        <v>283</v>
      </c>
      <c r="B70" t="s">
        <v>999</v>
      </c>
      <c r="C70" t="s">
        <v>284</v>
      </c>
      <c r="D70">
        <v>9</v>
      </c>
      <c r="F70">
        <v>74.5</v>
      </c>
      <c r="G70">
        <v>100</v>
      </c>
      <c r="H70" t="s">
        <v>228</v>
      </c>
      <c r="K70" s="9" t="s">
        <v>1430</v>
      </c>
      <c r="L70" s="9" t="s">
        <v>2375</v>
      </c>
      <c r="M70" s="9"/>
      <c r="N70" s="9"/>
      <c r="O70" s="9">
        <v>0.98</v>
      </c>
    </row>
    <row r="71" spans="1:16">
      <c r="A71" t="s">
        <v>283</v>
      </c>
      <c r="B71" t="s">
        <v>999</v>
      </c>
      <c r="C71" t="s">
        <v>284</v>
      </c>
      <c r="D71">
        <v>17</v>
      </c>
      <c r="F71">
        <v>23.7</v>
      </c>
      <c r="G71">
        <v>100</v>
      </c>
      <c r="H71" t="s">
        <v>228</v>
      </c>
    </row>
    <row r="72" spans="1:16">
      <c r="A72" t="s">
        <v>283</v>
      </c>
      <c r="B72" t="s">
        <v>999</v>
      </c>
      <c r="C72" t="s">
        <v>284</v>
      </c>
      <c r="D72">
        <v>24</v>
      </c>
      <c r="F72">
        <v>14.2</v>
      </c>
      <c r="G72">
        <v>100</v>
      </c>
      <c r="H72" t="s">
        <v>228</v>
      </c>
    </row>
    <row r="73" spans="1:16">
      <c r="A73" t="s">
        <v>283</v>
      </c>
      <c r="B73" t="s">
        <v>999</v>
      </c>
      <c r="C73" t="s">
        <v>285</v>
      </c>
      <c r="D73">
        <v>0</v>
      </c>
      <c r="E73">
        <v>100</v>
      </c>
      <c r="F73">
        <v>100</v>
      </c>
      <c r="G73">
        <v>100</v>
      </c>
      <c r="H73" t="s">
        <v>228</v>
      </c>
      <c r="K73" s="10" t="s">
        <v>1401</v>
      </c>
      <c r="L73" s="10" t="s">
        <v>1402</v>
      </c>
      <c r="M73" s="2">
        <v>0.1215</v>
      </c>
      <c r="N73" s="2"/>
      <c r="O73" s="2">
        <v>0.995</v>
      </c>
      <c r="P73">
        <f>LN(2)/0.116</f>
        <v>5.9754067289650452</v>
      </c>
    </row>
    <row r="74" spans="1:16">
      <c r="A74" t="s">
        <v>283</v>
      </c>
      <c r="B74" t="s">
        <v>999</v>
      </c>
      <c r="C74" t="s">
        <v>285</v>
      </c>
      <c r="D74">
        <v>3</v>
      </c>
      <c r="E74">
        <v>74.05</v>
      </c>
      <c r="F74">
        <v>74.05</v>
      </c>
      <c r="G74">
        <v>100</v>
      </c>
      <c r="H74" t="s">
        <v>228</v>
      </c>
    </row>
    <row r="75" spans="1:16">
      <c r="A75" t="s">
        <v>283</v>
      </c>
      <c r="B75" t="s">
        <v>999</v>
      </c>
      <c r="C75" t="s">
        <v>285</v>
      </c>
      <c r="D75">
        <v>9</v>
      </c>
      <c r="E75">
        <v>32.75</v>
      </c>
      <c r="F75">
        <v>32.75</v>
      </c>
      <c r="G75">
        <v>100</v>
      </c>
      <c r="H75" t="s">
        <v>228</v>
      </c>
    </row>
    <row r="76" spans="1:16">
      <c r="A76" t="s">
        <v>283</v>
      </c>
      <c r="B76" t="s">
        <v>999</v>
      </c>
      <c r="C76" t="s">
        <v>285</v>
      </c>
      <c r="D76">
        <v>17</v>
      </c>
      <c r="E76">
        <v>10.44</v>
      </c>
      <c r="F76">
        <v>10.44</v>
      </c>
      <c r="G76">
        <v>100</v>
      </c>
      <c r="H76" t="s">
        <v>228</v>
      </c>
    </row>
    <row r="77" spans="1:16">
      <c r="A77" t="s">
        <v>283</v>
      </c>
      <c r="B77" t="s">
        <v>999</v>
      </c>
      <c r="C77" t="s">
        <v>285</v>
      </c>
      <c r="D77">
        <v>24</v>
      </c>
      <c r="E77">
        <v>7.12</v>
      </c>
      <c r="F77">
        <v>7.12</v>
      </c>
      <c r="G77">
        <v>100</v>
      </c>
      <c r="H77" t="s">
        <v>228</v>
      </c>
    </row>
    <row r="78" spans="1:16">
      <c r="A78" t="s">
        <v>283</v>
      </c>
      <c r="B78" t="s">
        <v>999</v>
      </c>
      <c r="C78" t="s">
        <v>286</v>
      </c>
      <c r="D78">
        <v>0</v>
      </c>
      <c r="E78">
        <v>100.16</v>
      </c>
      <c r="F78">
        <v>100.16</v>
      </c>
      <c r="G78">
        <v>100</v>
      </c>
      <c r="H78" t="s">
        <v>228</v>
      </c>
      <c r="K78" s="12" t="s">
        <v>1385</v>
      </c>
      <c r="L78" s="9" t="s">
        <v>1403</v>
      </c>
      <c r="M78">
        <v>5.2400000000000002E-2</v>
      </c>
      <c r="O78">
        <v>0.996</v>
      </c>
      <c r="P78">
        <v>9.6999999999999993</v>
      </c>
    </row>
    <row r="79" spans="1:16">
      <c r="A79" t="s">
        <v>283</v>
      </c>
      <c r="B79" t="s">
        <v>999</v>
      </c>
      <c r="C79" t="s">
        <v>286</v>
      </c>
      <c r="D79">
        <v>3</v>
      </c>
      <c r="E79">
        <v>84.02</v>
      </c>
      <c r="F79">
        <v>84.02</v>
      </c>
      <c r="G79">
        <v>100</v>
      </c>
      <c r="H79" t="s">
        <v>228</v>
      </c>
    </row>
    <row r="80" spans="1:16">
      <c r="A80" t="s">
        <v>283</v>
      </c>
      <c r="B80" t="s">
        <v>999</v>
      </c>
      <c r="C80" t="s">
        <v>286</v>
      </c>
      <c r="D80">
        <v>9</v>
      </c>
      <c r="E80">
        <v>53.63</v>
      </c>
      <c r="F80">
        <v>53.63</v>
      </c>
      <c r="G80">
        <v>100</v>
      </c>
      <c r="H80" t="s">
        <v>228</v>
      </c>
    </row>
    <row r="81" spans="1:18">
      <c r="A81" t="s">
        <v>283</v>
      </c>
      <c r="B81" t="s">
        <v>999</v>
      </c>
      <c r="C81" t="s">
        <v>286</v>
      </c>
      <c r="D81">
        <v>17</v>
      </c>
      <c r="E81">
        <v>22.78</v>
      </c>
      <c r="F81">
        <v>22.78</v>
      </c>
      <c r="G81">
        <v>100</v>
      </c>
      <c r="H81" t="s">
        <v>228</v>
      </c>
    </row>
    <row r="82" spans="1:18">
      <c r="A82" t="s">
        <v>283</v>
      </c>
      <c r="B82" t="s">
        <v>999</v>
      </c>
      <c r="C82" t="s">
        <v>286</v>
      </c>
      <c r="D82">
        <v>24</v>
      </c>
      <c r="E82">
        <v>10.4</v>
      </c>
      <c r="F82">
        <v>10.4</v>
      </c>
      <c r="G82">
        <v>100</v>
      </c>
      <c r="H82" t="s">
        <v>228</v>
      </c>
    </row>
    <row r="83" spans="1:18">
      <c r="A83" t="s">
        <v>1405</v>
      </c>
      <c r="B83" t="s">
        <v>3208</v>
      </c>
      <c r="C83" t="s">
        <v>300</v>
      </c>
      <c r="D83">
        <v>0</v>
      </c>
      <c r="E83">
        <v>100</v>
      </c>
      <c r="F83">
        <v>100</v>
      </c>
      <c r="G83">
        <v>100</v>
      </c>
      <c r="H83" t="s">
        <v>228</v>
      </c>
      <c r="I83" t="s">
        <v>299</v>
      </c>
      <c r="J83">
        <v>4</v>
      </c>
      <c r="K83" s="1" t="s">
        <v>1385</v>
      </c>
      <c r="L83" t="s">
        <v>1404</v>
      </c>
      <c r="M83">
        <v>5.4600000000000003E-2</v>
      </c>
      <c r="O83">
        <v>0.93500000000000005</v>
      </c>
      <c r="P83">
        <v>11.5</v>
      </c>
      <c r="Q83" s="1" t="s">
        <v>1385</v>
      </c>
      <c r="R83" t="s">
        <v>1406</v>
      </c>
    </row>
    <row r="84" spans="1:18">
      <c r="A84" t="s">
        <v>1405</v>
      </c>
      <c r="B84" t="s">
        <v>3208</v>
      </c>
      <c r="C84" t="s">
        <v>300</v>
      </c>
      <c r="D84">
        <v>7</v>
      </c>
      <c r="E84">
        <v>64.099999999999994</v>
      </c>
      <c r="F84">
        <v>64.099999999999994</v>
      </c>
      <c r="G84">
        <v>100</v>
      </c>
      <c r="H84" t="s">
        <v>228</v>
      </c>
      <c r="I84" t="s">
        <v>299</v>
      </c>
      <c r="J84">
        <v>4</v>
      </c>
    </row>
    <row r="85" spans="1:18">
      <c r="A85" t="s">
        <v>1405</v>
      </c>
      <c r="B85" t="s">
        <v>3208</v>
      </c>
      <c r="C85" t="s">
        <v>300</v>
      </c>
      <c r="D85">
        <v>21</v>
      </c>
      <c r="E85">
        <v>56.9</v>
      </c>
      <c r="F85">
        <v>56.9</v>
      </c>
      <c r="G85">
        <v>100</v>
      </c>
      <c r="H85" t="s">
        <v>228</v>
      </c>
      <c r="I85" t="s">
        <v>299</v>
      </c>
      <c r="J85">
        <v>4</v>
      </c>
    </row>
    <row r="86" spans="1:18">
      <c r="A86" t="s">
        <v>1405</v>
      </c>
      <c r="B86" t="s">
        <v>3208</v>
      </c>
      <c r="C86" t="s">
        <v>300</v>
      </c>
      <c r="D86">
        <v>49</v>
      </c>
      <c r="E86">
        <v>31.7</v>
      </c>
      <c r="F86">
        <v>31.7</v>
      </c>
      <c r="G86">
        <v>100</v>
      </c>
      <c r="H86" t="s">
        <v>228</v>
      </c>
      <c r="I86" t="s">
        <v>299</v>
      </c>
      <c r="J86">
        <v>4</v>
      </c>
    </row>
    <row r="87" spans="1:18">
      <c r="A87" t="s">
        <v>1405</v>
      </c>
      <c r="B87" t="s">
        <v>3208</v>
      </c>
      <c r="C87" t="s">
        <v>300</v>
      </c>
      <c r="D87">
        <v>77</v>
      </c>
      <c r="E87">
        <v>27.4</v>
      </c>
      <c r="F87">
        <v>27.4</v>
      </c>
      <c r="G87">
        <v>100</v>
      </c>
      <c r="H87" t="s">
        <v>228</v>
      </c>
      <c r="I87" t="s">
        <v>299</v>
      </c>
      <c r="J87">
        <v>4</v>
      </c>
    </row>
    <row r="88" spans="1:18">
      <c r="A88" t="s">
        <v>1405</v>
      </c>
      <c r="B88" t="s">
        <v>3208</v>
      </c>
      <c r="C88" t="s">
        <v>300</v>
      </c>
      <c r="D88">
        <v>105</v>
      </c>
      <c r="E88">
        <v>28.1</v>
      </c>
      <c r="F88">
        <v>28.1</v>
      </c>
      <c r="G88">
        <v>100</v>
      </c>
      <c r="H88" t="s">
        <v>228</v>
      </c>
      <c r="I88" t="s">
        <v>299</v>
      </c>
      <c r="J88">
        <v>4</v>
      </c>
    </row>
    <row r="89" spans="1:18">
      <c r="A89" t="s">
        <v>1405</v>
      </c>
      <c r="B89" t="s">
        <v>3208</v>
      </c>
      <c r="C89" t="s">
        <v>300</v>
      </c>
      <c r="D89">
        <v>126</v>
      </c>
      <c r="E89">
        <v>27.8</v>
      </c>
      <c r="F89">
        <v>27.8</v>
      </c>
      <c r="G89">
        <v>100</v>
      </c>
      <c r="H89" t="s">
        <v>228</v>
      </c>
      <c r="I89" t="s">
        <v>299</v>
      </c>
      <c r="J89">
        <v>4</v>
      </c>
    </row>
    <row r="90" spans="1:18">
      <c r="A90" t="s">
        <v>1405</v>
      </c>
      <c r="B90" t="s">
        <v>3208</v>
      </c>
      <c r="C90" t="s">
        <v>300</v>
      </c>
      <c r="D90">
        <v>149</v>
      </c>
      <c r="E90">
        <v>31.4</v>
      </c>
      <c r="F90">
        <v>31.4</v>
      </c>
      <c r="G90">
        <v>100</v>
      </c>
      <c r="H90" t="s">
        <v>228</v>
      </c>
      <c r="I90" t="s">
        <v>299</v>
      </c>
      <c r="J90">
        <v>4</v>
      </c>
    </row>
    <row r="91" spans="1:18">
      <c r="A91" t="s">
        <v>1405</v>
      </c>
      <c r="B91" t="s">
        <v>3208</v>
      </c>
      <c r="C91" t="s">
        <v>300</v>
      </c>
      <c r="D91">
        <v>193</v>
      </c>
      <c r="E91">
        <v>34.4</v>
      </c>
      <c r="F91">
        <v>34.4</v>
      </c>
      <c r="G91">
        <v>100</v>
      </c>
      <c r="H91" t="s">
        <v>228</v>
      </c>
      <c r="I91" t="s">
        <v>299</v>
      </c>
      <c r="J91">
        <v>4</v>
      </c>
    </row>
    <row r="92" spans="1:18">
      <c r="A92" t="s">
        <v>1405</v>
      </c>
      <c r="B92" t="s">
        <v>3208</v>
      </c>
      <c r="C92" t="s">
        <v>300</v>
      </c>
      <c r="D92">
        <v>229</v>
      </c>
      <c r="E92">
        <v>21.2</v>
      </c>
      <c r="F92">
        <v>21.2</v>
      </c>
      <c r="G92">
        <v>100</v>
      </c>
      <c r="H92" t="s">
        <v>228</v>
      </c>
      <c r="I92" t="s">
        <v>299</v>
      </c>
      <c r="J92">
        <v>4</v>
      </c>
    </row>
    <row r="93" spans="1:18">
      <c r="A93" t="s">
        <v>1405</v>
      </c>
      <c r="B93" t="s">
        <v>3208</v>
      </c>
      <c r="C93" t="s">
        <v>300</v>
      </c>
      <c r="D93">
        <v>280</v>
      </c>
      <c r="E93">
        <v>23.5</v>
      </c>
      <c r="F93">
        <v>23.5</v>
      </c>
      <c r="G93">
        <v>100</v>
      </c>
      <c r="H93" t="s">
        <v>228</v>
      </c>
      <c r="I93" t="s">
        <v>299</v>
      </c>
      <c r="J93">
        <v>4</v>
      </c>
    </row>
    <row r="94" spans="1:18">
      <c r="A94" t="s">
        <v>1405</v>
      </c>
      <c r="B94" t="s">
        <v>3208</v>
      </c>
      <c r="C94" t="s">
        <v>300</v>
      </c>
      <c r="D94">
        <v>0</v>
      </c>
      <c r="E94">
        <v>100</v>
      </c>
      <c r="F94">
        <v>100</v>
      </c>
      <c r="G94">
        <v>100</v>
      </c>
      <c r="H94" t="s">
        <v>228</v>
      </c>
      <c r="I94" t="s">
        <v>301</v>
      </c>
      <c r="J94">
        <v>4</v>
      </c>
      <c r="K94" s="1" t="s">
        <v>1385</v>
      </c>
      <c r="L94" t="s">
        <v>1410</v>
      </c>
      <c r="M94">
        <v>2.4199999999999999E-2</v>
      </c>
      <c r="O94">
        <v>0.9</v>
      </c>
      <c r="P94">
        <v>22</v>
      </c>
      <c r="Q94" s="1" t="s">
        <v>1385</v>
      </c>
      <c r="R94" t="s">
        <v>1407</v>
      </c>
    </row>
    <row r="95" spans="1:18">
      <c r="A95" t="s">
        <v>1405</v>
      </c>
      <c r="B95" t="s">
        <v>3208</v>
      </c>
      <c r="C95" t="s">
        <v>300</v>
      </c>
      <c r="D95">
        <v>7</v>
      </c>
      <c r="E95">
        <v>60.5</v>
      </c>
      <c r="F95">
        <v>60.5</v>
      </c>
      <c r="G95">
        <v>100</v>
      </c>
      <c r="H95" t="s">
        <v>228</v>
      </c>
      <c r="I95" t="s">
        <v>301</v>
      </c>
      <c r="J95">
        <v>4</v>
      </c>
    </row>
    <row r="96" spans="1:18">
      <c r="A96" t="s">
        <v>1405</v>
      </c>
      <c r="B96" t="s">
        <v>3208</v>
      </c>
      <c r="C96" t="s">
        <v>300</v>
      </c>
      <c r="D96">
        <v>21</v>
      </c>
      <c r="E96">
        <v>59.2</v>
      </c>
      <c r="F96">
        <v>59.2</v>
      </c>
      <c r="G96">
        <v>100</v>
      </c>
      <c r="H96" t="s">
        <v>228</v>
      </c>
      <c r="I96" t="s">
        <v>301</v>
      </c>
      <c r="J96">
        <v>4</v>
      </c>
    </row>
    <row r="97" spans="1:18">
      <c r="A97" t="s">
        <v>1405</v>
      </c>
      <c r="B97" t="s">
        <v>3208</v>
      </c>
      <c r="C97" t="s">
        <v>300</v>
      </c>
      <c r="D97">
        <v>49</v>
      </c>
      <c r="E97">
        <v>31.7</v>
      </c>
      <c r="F97">
        <v>31.7</v>
      </c>
      <c r="G97">
        <v>100</v>
      </c>
      <c r="H97" t="s">
        <v>228</v>
      </c>
      <c r="I97" t="s">
        <v>301</v>
      </c>
      <c r="J97">
        <v>4</v>
      </c>
    </row>
    <row r="98" spans="1:18">
      <c r="A98" t="s">
        <v>1405</v>
      </c>
      <c r="B98" t="s">
        <v>3208</v>
      </c>
      <c r="C98" t="s">
        <v>300</v>
      </c>
      <c r="D98">
        <v>77</v>
      </c>
      <c r="E98">
        <v>23.5</v>
      </c>
      <c r="F98">
        <v>23.5</v>
      </c>
      <c r="G98">
        <v>100</v>
      </c>
      <c r="H98" t="s">
        <v>228</v>
      </c>
      <c r="I98" t="s">
        <v>301</v>
      </c>
      <c r="J98">
        <v>4</v>
      </c>
    </row>
    <row r="99" spans="1:18">
      <c r="A99" t="s">
        <v>1405</v>
      </c>
      <c r="B99" t="s">
        <v>3208</v>
      </c>
      <c r="C99" t="s">
        <v>300</v>
      </c>
      <c r="D99">
        <v>105</v>
      </c>
      <c r="E99">
        <v>27.1</v>
      </c>
      <c r="F99">
        <v>27.1</v>
      </c>
      <c r="G99">
        <v>100</v>
      </c>
      <c r="H99" t="s">
        <v>228</v>
      </c>
      <c r="I99" t="s">
        <v>301</v>
      </c>
      <c r="J99">
        <v>4</v>
      </c>
    </row>
    <row r="100" spans="1:18">
      <c r="A100" t="s">
        <v>1405</v>
      </c>
      <c r="B100" t="s">
        <v>3208</v>
      </c>
      <c r="C100" t="s">
        <v>300</v>
      </c>
      <c r="D100">
        <v>126</v>
      </c>
      <c r="E100">
        <v>20.2</v>
      </c>
      <c r="F100">
        <v>20.2</v>
      </c>
      <c r="G100">
        <v>100</v>
      </c>
      <c r="H100" t="s">
        <v>228</v>
      </c>
      <c r="I100" t="s">
        <v>301</v>
      </c>
      <c r="J100">
        <v>4</v>
      </c>
    </row>
    <row r="101" spans="1:18">
      <c r="A101" t="s">
        <v>1405</v>
      </c>
      <c r="B101" t="s">
        <v>3208</v>
      </c>
      <c r="C101" t="s">
        <v>300</v>
      </c>
      <c r="D101">
        <v>149</v>
      </c>
      <c r="E101">
        <v>20.5</v>
      </c>
      <c r="F101">
        <v>20.5</v>
      </c>
      <c r="G101">
        <v>100</v>
      </c>
      <c r="H101" t="s">
        <v>228</v>
      </c>
      <c r="I101" t="s">
        <v>301</v>
      </c>
      <c r="J101">
        <v>4</v>
      </c>
    </row>
    <row r="102" spans="1:18">
      <c r="A102" t="s">
        <v>1405</v>
      </c>
      <c r="B102" t="s">
        <v>3208</v>
      </c>
      <c r="C102" t="s">
        <v>300</v>
      </c>
      <c r="D102">
        <v>193</v>
      </c>
      <c r="E102">
        <v>8.9</v>
      </c>
      <c r="F102">
        <v>8.9</v>
      </c>
      <c r="G102">
        <v>100</v>
      </c>
      <c r="H102" t="s">
        <v>228</v>
      </c>
      <c r="I102" t="s">
        <v>301</v>
      </c>
      <c r="J102">
        <v>4</v>
      </c>
    </row>
    <row r="103" spans="1:18">
      <c r="A103" t="s">
        <v>1405</v>
      </c>
      <c r="B103" t="s">
        <v>3208</v>
      </c>
      <c r="C103" t="s">
        <v>300</v>
      </c>
      <c r="D103">
        <v>229</v>
      </c>
      <c r="E103">
        <v>6.9</v>
      </c>
      <c r="F103">
        <v>6.9</v>
      </c>
      <c r="G103">
        <v>100</v>
      </c>
      <c r="H103" t="s">
        <v>228</v>
      </c>
      <c r="I103" t="s">
        <v>301</v>
      </c>
      <c r="J103">
        <v>4</v>
      </c>
    </row>
    <row r="104" spans="1:18">
      <c r="A104" t="s">
        <v>1405</v>
      </c>
      <c r="B104" t="s">
        <v>3208</v>
      </c>
      <c r="C104" t="s">
        <v>300</v>
      </c>
      <c r="D104">
        <v>280</v>
      </c>
      <c r="E104">
        <v>4.5999999999999996</v>
      </c>
      <c r="F104">
        <v>4.5999999999999996</v>
      </c>
      <c r="G104">
        <v>100</v>
      </c>
      <c r="H104" t="s">
        <v>228</v>
      </c>
      <c r="I104" t="s">
        <v>301</v>
      </c>
      <c r="J104">
        <v>4</v>
      </c>
    </row>
    <row r="105" spans="1:18">
      <c r="A105" t="s">
        <v>1405</v>
      </c>
      <c r="B105" t="s">
        <v>3208</v>
      </c>
      <c r="C105" t="s">
        <v>300</v>
      </c>
      <c r="D105">
        <v>0</v>
      </c>
      <c r="E105">
        <v>100</v>
      </c>
      <c r="F105">
        <v>100</v>
      </c>
      <c r="G105">
        <v>100</v>
      </c>
      <c r="H105" t="s">
        <v>228</v>
      </c>
      <c r="I105" t="s">
        <v>303</v>
      </c>
      <c r="J105">
        <v>4</v>
      </c>
      <c r="K105" s="1" t="s">
        <v>1385</v>
      </c>
      <c r="L105" t="s">
        <v>1411</v>
      </c>
      <c r="M105">
        <v>8.0799999999999997E-2</v>
      </c>
      <c r="O105">
        <v>0.97</v>
      </c>
      <c r="P105">
        <v>8</v>
      </c>
      <c r="Q105" s="1" t="s">
        <v>1385</v>
      </c>
      <c r="R105" t="s">
        <v>1408</v>
      </c>
    </row>
    <row r="106" spans="1:18">
      <c r="A106" t="s">
        <v>1405</v>
      </c>
      <c r="B106" t="s">
        <v>3208</v>
      </c>
      <c r="C106" t="s">
        <v>300</v>
      </c>
      <c r="D106">
        <v>7</v>
      </c>
      <c r="E106">
        <v>61.7</v>
      </c>
      <c r="F106">
        <v>61.7</v>
      </c>
      <c r="G106">
        <v>100</v>
      </c>
      <c r="H106" t="s">
        <v>228</v>
      </c>
      <c r="I106" t="s">
        <v>303</v>
      </c>
      <c r="J106">
        <v>4</v>
      </c>
    </row>
    <row r="107" spans="1:18">
      <c r="A107" t="s">
        <v>1405</v>
      </c>
      <c r="B107" t="s">
        <v>3208</v>
      </c>
      <c r="C107" t="s">
        <v>300</v>
      </c>
      <c r="D107">
        <v>21</v>
      </c>
      <c r="E107">
        <v>41.2</v>
      </c>
      <c r="F107">
        <v>41.2</v>
      </c>
      <c r="G107">
        <v>100</v>
      </c>
      <c r="H107" t="s">
        <v>228</v>
      </c>
      <c r="I107" t="s">
        <v>303</v>
      </c>
      <c r="J107">
        <v>4</v>
      </c>
    </row>
    <row r="108" spans="1:18">
      <c r="A108" t="s">
        <v>1405</v>
      </c>
      <c r="B108" t="s">
        <v>3208</v>
      </c>
      <c r="C108" t="s">
        <v>300</v>
      </c>
      <c r="D108">
        <v>49</v>
      </c>
      <c r="E108">
        <v>31.5</v>
      </c>
      <c r="F108">
        <v>31.5</v>
      </c>
      <c r="G108">
        <v>100</v>
      </c>
      <c r="H108" t="s">
        <v>228</v>
      </c>
      <c r="I108" t="s">
        <v>303</v>
      </c>
      <c r="J108">
        <v>4</v>
      </c>
    </row>
    <row r="109" spans="1:18">
      <c r="A109" t="s">
        <v>1405</v>
      </c>
      <c r="B109" t="s">
        <v>3208</v>
      </c>
      <c r="C109" t="s">
        <v>300</v>
      </c>
      <c r="D109">
        <v>77</v>
      </c>
      <c r="E109">
        <v>27.9</v>
      </c>
      <c r="F109">
        <v>27.9</v>
      </c>
      <c r="G109">
        <v>100</v>
      </c>
      <c r="H109" t="s">
        <v>228</v>
      </c>
      <c r="I109" t="s">
        <v>303</v>
      </c>
      <c r="J109">
        <v>4</v>
      </c>
    </row>
    <row r="110" spans="1:18">
      <c r="A110" t="s">
        <v>1405</v>
      </c>
      <c r="B110" t="s">
        <v>3208</v>
      </c>
      <c r="C110" t="s">
        <v>300</v>
      </c>
      <c r="D110">
        <v>105</v>
      </c>
      <c r="E110">
        <v>26.6</v>
      </c>
      <c r="F110">
        <v>26.6</v>
      </c>
      <c r="G110">
        <v>100</v>
      </c>
      <c r="H110" t="s">
        <v>228</v>
      </c>
      <c r="I110" t="s">
        <v>303</v>
      </c>
      <c r="J110">
        <v>4</v>
      </c>
    </row>
    <row r="111" spans="1:18">
      <c r="A111" t="s">
        <v>1405</v>
      </c>
      <c r="B111" t="s">
        <v>3208</v>
      </c>
      <c r="C111" t="s">
        <v>300</v>
      </c>
      <c r="D111">
        <v>126</v>
      </c>
      <c r="E111">
        <v>22.2</v>
      </c>
      <c r="F111">
        <v>22.2</v>
      </c>
      <c r="G111">
        <v>100</v>
      </c>
      <c r="H111" t="s">
        <v>228</v>
      </c>
      <c r="I111" t="s">
        <v>303</v>
      </c>
      <c r="J111">
        <v>4</v>
      </c>
    </row>
    <row r="112" spans="1:18">
      <c r="A112" t="s">
        <v>1405</v>
      </c>
      <c r="B112" t="s">
        <v>3208</v>
      </c>
      <c r="C112" t="s">
        <v>300</v>
      </c>
      <c r="D112">
        <v>149</v>
      </c>
      <c r="E112">
        <v>21.9</v>
      </c>
      <c r="F112">
        <v>21.9</v>
      </c>
      <c r="G112">
        <v>100</v>
      </c>
      <c r="H112" t="s">
        <v>228</v>
      </c>
      <c r="I112" t="s">
        <v>303</v>
      </c>
      <c r="J112">
        <v>4</v>
      </c>
    </row>
    <row r="113" spans="1:18">
      <c r="A113" t="s">
        <v>1405</v>
      </c>
      <c r="B113" t="s">
        <v>3208</v>
      </c>
      <c r="C113" t="s">
        <v>300</v>
      </c>
      <c r="D113">
        <v>193</v>
      </c>
      <c r="E113">
        <v>21.9</v>
      </c>
      <c r="F113">
        <v>21.9</v>
      </c>
      <c r="G113">
        <v>100</v>
      </c>
      <c r="H113" t="s">
        <v>228</v>
      </c>
      <c r="I113" t="s">
        <v>303</v>
      </c>
      <c r="J113">
        <v>4</v>
      </c>
    </row>
    <row r="114" spans="1:18">
      <c r="A114" t="s">
        <v>1405</v>
      </c>
      <c r="B114" t="s">
        <v>3208</v>
      </c>
      <c r="C114" t="s">
        <v>300</v>
      </c>
      <c r="D114">
        <v>229</v>
      </c>
      <c r="E114">
        <v>26.9</v>
      </c>
      <c r="F114">
        <v>26.9</v>
      </c>
      <c r="G114">
        <v>100</v>
      </c>
      <c r="H114" t="s">
        <v>228</v>
      </c>
      <c r="I114" t="s">
        <v>303</v>
      </c>
      <c r="J114">
        <v>4</v>
      </c>
    </row>
    <row r="115" spans="1:18">
      <c r="A115" t="s">
        <v>1405</v>
      </c>
      <c r="B115" t="s">
        <v>3208</v>
      </c>
      <c r="C115" t="s">
        <v>300</v>
      </c>
      <c r="D115">
        <v>280</v>
      </c>
      <c r="E115">
        <v>17.899999999999999</v>
      </c>
      <c r="F115">
        <v>17.899999999999999</v>
      </c>
      <c r="G115">
        <v>100</v>
      </c>
      <c r="H115" t="s">
        <v>228</v>
      </c>
      <c r="I115" t="s">
        <v>303</v>
      </c>
      <c r="J115">
        <v>4</v>
      </c>
    </row>
    <row r="116" spans="1:18">
      <c r="A116" t="s">
        <v>1405</v>
      </c>
      <c r="B116" t="s">
        <v>3208</v>
      </c>
      <c r="C116" t="s">
        <v>300</v>
      </c>
      <c r="D116">
        <v>0</v>
      </c>
      <c r="E116">
        <v>100</v>
      </c>
      <c r="F116">
        <v>100</v>
      </c>
      <c r="G116">
        <v>100</v>
      </c>
      <c r="H116" t="s">
        <v>228</v>
      </c>
      <c r="I116" t="s">
        <v>302</v>
      </c>
      <c r="J116">
        <v>4</v>
      </c>
      <c r="K116" s="1" t="s">
        <v>1412</v>
      </c>
      <c r="L116" t="s">
        <v>1413</v>
      </c>
      <c r="O116">
        <v>0.98599999999999999</v>
      </c>
      <c r="Q116" s="1" t="s">
        <v>1385</v>
      </c>
      <c r="R116" t="s">
        <v>1409</v>
      </c>
    </row>
    <row r="117" spans="1:18">
      <c r="A117" t="s">
        <v>1405</v>
      </c>
      <c r="B117" t="s">
        <v>3208</v>
      </c>
      <c r="C117" t="s">
        <v>300</v>
      </c>
      <c r="D117">
        <v>7</v>
      </c>
      <c r="E117">
        <v>37.6</v>
      </c>
      <c r="F117">
        <v>37.6</v>
      </c>
      <c r="G117">
        <v>100</v>
      </c>
      <c r="H117" t="s">
        <v>228</v>
      </c>
      <c r="I117" t="s">
        <v>302</v>
      </c>
      <c r="J117">
        <v>4</v>
      </c>
      <c r="K117" s="10" t="s">
        <v>1385</v>
      </c>
      <c r="L117" s="10" t="s">
        <v>1414</v>
      </c>
      <c r="M117" s="10">
        <v>0.13089999999999999</v>
      </c>
      <c r="N117" s="10"/>
      <c r="O117" s="10">
        <v>0.9022</v>
      </c>
      <c r="P117" s="2">
        <v>5</v>
      </c>
    </row>
    <row r="118" spans="1:18">
      <c r="A118" t="s">
        <v>1405</v>
      </c>
      <c r="B118" t="s">
        <v>3208</v>
      </c>
      <c r="C118" t="s">
        <v>300</v>
      </c>
      <c r="D118">
        <v>21</v>
      </c>
      <c r="E118">
        <v>30.7</v>
      </c>
      <c r="F118">
        <v>30.7</v>
      </c>
      <c r="G118">
        <v>100</v>
      </c>
      <c r="H118" t="s">
        <v>228</v>
      </c>
      <c r="I118" t="s">
        <v>302</v>
      </c>
      <c r="J118">
        <v>4</v>
      </c>
    </row>
    <row r="119" spans="1:18">
      <c r="A119" t="s">
        <v>1405</v>
      </c>
      <c r="B119" t="s">
        <v>3208</v>
      </c>
      <c r="C119" t="s">
        <v>300</v>
      </c>
      <c r="D119">
        <v>49</v>
      </c>
      <c r="E119">
        <v>18.5</v>
      </c>
      <c r="F119">
        <v>18.5</v>
      </c>
      <c r="G119">
        <v>100</v>
      </c>
      <c r="H119" t="s">
        <v>228</v>
      </c>
      <c r="I119" t="s">
        <v>302</v>
      </c>
      <c r="J119">
        <v>4</v>
      </c>
    </row>
    <row r="120" spans="1:18">
      <c r="A120" t="s">
        <v>1405</v>
      </c>
      <c r="B120" t="s">
        <v>3208</v>
      </c>
      <c r="C120" t="s">
        <v>300</v>
      </c>
      <c r="D120">
        <v>77</v>
      </c>
      <c r="E120">
        <v>21.5</v>
      </c>
      <c r="F120">
        <v>21.5</v>
      </c>
      <c r="G120">
        <v>100</v>
      </c>
      <c r="H120" t="s">
        <v>228</v>
      </c>
      <c r="I120" t="s">
        <v>302</v>
      </c>
      <c r="J120">
        <v>4</v>
      </c>
    </row>
    <row r="121" spans="1:18">
      <c r="A121" t="s">
        <v>1405</v>
      </c>
      <c r="B121" t="s">
        <v>3208</v>
      </c>
      <c r="C121" t="s">
        <v>300</v>
      </c>
      <c r="D121">
        <v>105</v>
      </c>
      <c r="E121">
        <v>15.5</v>
      </c>
      <c r="F121">
        <v>15.5</v>
      </c>
      <c r="G121">
        <v>100</v>
      </c>
      <c r="H121" t="s">
        <v>228</v>
      </c>
      <c r="I121" t="s">
        <v>302</v>
      </c>
      <c r="J121">
        <v>4</v>
      </c>
    </row>
    <row r="122" spans="1:18">
      <c r="A122" t="s">
        <v>1405</v>
      </c>
      <c r="B122" t="s">
        <v>3208</v>
      </c>
      <c r="C122" t="s">
        <v>300</v>
      </c>
      <c r="D122">
        <v>126</v>
      </c>
      <c r="E122">
        <v>7.9</v>
      </c>
      <c r="F122">
        <v>7.9</v>
      </c>
      <c r="G122">
        <v>100</v>
      </c>
      <c r="H122" t="s">
        <v>228</v>
      </c>
      <c r="I122" t="s">
        <v>302</v>
      </c>
      <c r="J122">
        <v>4</v>
      </c>
    </row>
    <row r="123" spans="1:18">
      <c r="A123" t="s">
        <v>1405</v>
      </c>
      <c r="B123" t="s">
        <v>3208</v>
      </c>
      <c r="C123" t="s">
        <v>300</v>
      </c>
      <c r="D123">
        <v>149</v>
      </c>
      <c r="E123">
        <v>3.3</v>
      </c>
      <c r="F123">
        <v>3.3</v>
      </c>
      <c r="G123">
        <v>100</v>
      </c>
      <c r="H123" t="s">
        <v>228</v>
      </c>
      <c r="I123" t="s">
        <v>302</v>
      </c>
      <c r="J123">
        <v>4</v>
      </c>
    </row>
    <row r="124" spans="1:18">
      <c r="A124" t="s">
        <v>1405</v>
      </c>
      <c r="B124" t="s">
        <v>3208</v>
      </c>
      <c r="C124" t="s">
        <v>300</v>
      </c>
      <c r="D124">
        <v>193</v>
      </c>
      <c r="E124">
        <v>2</v>
      </c>
      <c r="F124">
        <v>2</v>
      </c>
      <c r="G124">
        <v>100</v>
      </c>
      <c r="H124" t="s">
        <v>228</v>
      </c>
      <c r="I124" t="s">
        <v>302</v>
      </c>
      <c r="J124">
        <v>4</v>
      </c>
    </row>
    <row r="125" spans="1:18">
      <c r="A125" t="s">
        <v>1405</v>
      </c>
      <c r="B125" t="s">
        <v>3208</v>
      </c>
      <c r="C125" t="s">
        <v>300</v>
      </c>
      <c r="D125">
        <v>229</v>
      </c>
      <c r="E125">
        <v>0.7</v>
      </c>
      <c r="F125">
        <v>0.7</v>
      </c>
      <c r="G125">
        <v>100</v>
      </c>
      <c r="H125" t="s">
        <v>228</v>
      </c>
      <c r="I125" t="s">
        <v>302</v>
      </c>
      <c r="J125">
        <v>4</v>
      </c>
    </row>
    <row r="126" spans="1:18">
      <c r="A126" t="s">
        <v>1405</v>
      </c>
      <c r="B126" t="s">
        <v>3208</v>
      </c>
      <c r="C126" t="s">
        <v>300</v>
      </c>
      <c r="D126">
        <v>280</v>
      </c>
      <c r="E126">
        <v>0.3</v>
      </c>
      <c r="F126">
        <v>0.3</v>
      </c>
      <c r="G126">
        <v>100</v>
      </c>
      <c r="H126" t="s">
        <v>228</v>
      </c>
      <c r="I126" t="s">
        <v>302</v>
      </c>
      <c r="J126">
        <v>4</v>
      </c>
    </row>
    <row r="127" spans="1:18">
      <c r="A127" t="s">
        <v>1405</v>
      </c>
      <c r="B127" t="s">
        <v>3208</v>
      </c>
      <c r="C127" t="s">
        <v>300</v>
      </c>
      <c r="D127">
        <v>0</v>
      </c>
      <c r="E127">
        <v>100</v>
      </c>
      <c r="F127">
        <v>100</v>
      </c>
      <c r="G127">
        <v>100</v>
      </c>
      <c r="H127" t="s">
        <v>228</v>
      </c>
      <c r="I127" t="s">
        <v>304</v>
      </c>
      <c r="J127">
        <v>4</v>
      </c>
      <c r="K127" s="1" t="s">
        <v>1412</v>
      </c>
      <c r="L127" t="s">
        <v>1415</v>
      </c>
      <c r="O127">
        <v>0.88</v>
      </c>
      <c r="Q127" s="1" t="s">
        <v>1385</v>
      </c>
      <c r="R127">
        <v>2.9000000000000001E-2</v>
      </c>
    </row>
    <row r="128" spans="1:18">
      <c r="A128" t="s">
        <v>1405</v>
      </c>
      <c r="B128" t="s">
        <v>3208</v>
      </c>
      <c r="C128" t="s">
        <v>300</v>
      </c>
      <c r="D128">
        <v>7</v>
      </c>
      <c r="E128">
        <v>56.1</v>
      </c>
      <c r="F128">
        <v>56.1</v>
      </c>
      <c r="G128">
        <v>100</v>
      </c>
      <c r="H128" t="s">
        <v>228</v>
      </c>
      <c r="I128" t="s">
        <v>304</v>
      </c>
      <c r="J128">
        <v>4</v>
      </c>
      <c r="K128" s="10" t="s">
        <v>1385</v>
      </c>
      <c r="L128" s="10" t="s">
        <v>1416</v>
      </c>
      <c r="M128" s="10">
        <v>2.8799999999999999E-2</v>
      </c>
      <c r="N128" s="10"/>
      <c r="O128" s="10">
        <v>0.8</v>
      </c>
      <c r="P128" s="2">
        <v>16</v>
      </c>
    </row>
    <row r="129" spans="1:18">
      <c r="A129" t="s">
        <v>1405</v>
      </c>
      <c r="B129" t="s">
        <v>3208</v>
      </c>
      <c r="C129" t="s">
        <v>300</v>
      </c>
      <c r="D129">
        <v>21</v>
      </c>
      <c r="E129">
        <v>61.1</v>
      </c>
      <c r="F129">
        <v>61.1</v>
      </c>
      <c r="G129">
        <v>100</v>
      </c>
      <c r="H129" t="s">
        <v>228</v>
      </c>
      <c r="I129" t="s">
        <v>304</v>
      </c>
      <c r="J129">
        <v>4</v>
      </c>
    </row>
    <row r="130" spans="1:18">
      <c r="A130" t="s">
        <v>1405</v>
      </c>
      <c r="B130" t="s">
        <v>3208</v>
      </c>
      <c r="C130" t="s">
        <v>300</v>
      </c>
      <c r="D130">
        <v>49</v>
      </c>
      <c r="E130">
        <v>49.1</v>
      </c>
      <c r="F130">
        <v>49.1</v>
      </c>
      <c r="G130">
        <v>100</v>
      </c>
      <c r="H130" t="s">
        <v>228</v>
      </c>
      <c r="I130" t="s">
        <v>304</v>
      </c>
      <c r="J130">
        <v>4</v>
      </c>
    </row>
    <row r="131" spans="1:18">
      <c r="A131" t="s">
        <v>1405</v>
      </c>
      <c r="B131" t="s">
        <v>3208</v>
      </c>
      <c r="C131" t="s">
        <v>300</v>
      </c>
      <c r="D131">
        <v>77</v>
      </c>
      <c r="E131">
        <v>33.9</v>
      </c>
      <c r="F131">
        <v>33.9</v>
      </c>
      <c r="G131">
        <v>100</v>
      </c>
      <c r="H131" t="s">
        <v>228</v>
      </c>
      <c r="I131" t="s">
        <v>304</v>
      </c>
      <c r="J131">
        <v>4</v>
      </c>
    </row>
    <row r="132" spans="1:18">
      <c r="A132" t="s">
        <v>1405</v>
      </c>
      <c r="B132" t="s">
        <v>3208</v>
      </c>
      <c r="C132" t="s">
        <v>300</v>
      </c>
      <c r="D132">
        <v>105</v>
      </c>
      <c r="E132">
        <v>42.8</v>
      </c>
      <c r="F132">
        <v>42.8</v>
      </c>
      <c r="G132">
        <v>100</v>
      </c>
      <c r="H132" t="s">
        <v>228</v>
      </c>
      <c r="I132" t="s">
        <v>304</v>
      </c>
      <c r="J132">
        <v>4</v>
      </c>
    </row>
    <row r="133" spans="1:18">
      <c r="A133" t="s">
        <v>1405</v>
      </c>
      <c r="B133" t="s">
        <v>3208</v>
      </c>
      <c r="C133" t="s">
        <v>300</v>
      </c>
      <c r="D133">
        <v>140</v>
      </c>
      <c r="E133">
        <v>27.6</v>
      </c>
      <c r="F133">
        <v>27.6</v>
      </c>
      <c r="G133">
        <v>100</v>
      </c>
      <c r="H133" t="s">
        <v>228</v>
      </c>
      <c r="I133" t="s">
        <v>304</v>
      </c>
      <c r="J133">
        <v>4</v>
      </c>
    </row>
    <row r="134" spans="1:18">
      <c r="A134" t="s">
        <v>1405</v>
      </c>
      <c r="B134" t="s">
        <v>3208</v>
      </c>
      <c r="C134" t="s">
        <v>300</v>
      </c>
      <c r="D134">
        <v>193</v>
      </c>
      <c r="E134">
        <v>27.2</v>
      </c>
      <c r="F134">
        <v>27.2</v>
      </c>
      <c r="G134">
        <v>100</v>
      </c>
      <c r="H134" t="s">
        <v>228</v>
      </c>
      <c r="I134" t="s">
        <v>304</v>
      </c>
      <c r="J134">
        <v>4</v>
      </c>
    </row>
    <row r="135" spans="1:18">
      <c r="A135" t="s">
        <v>1405</v>
      </c>
      <c r="B135" t="s">
        <v>3208</v>
      </c>
      <c r="C135" t="s">
        <v>300</v>
      </c>
      <c r="D135">
        <v>229</v>
      </c>
      <c r="E135">
        <v>33.9</v>
      </c>
      <c r="F135">
        <v>33.9</v>
      </c>
      <c r="G135">
        <v>100</v>
      </c>
      <c r="H135" t="s">
        <v>228</v>
      </c>
      <c r="I135" t="s">
        <v>304</v>
      </c>
      <c r="J135">
        <v>4</v>
      </c>
    </row>
    <row r="136" spans="1:18">
      <c r="A136" t="s">
        <v>1405</v>
      </c>
      <c r="B136" t="s">
        <v>3208</v>
      </c>
      <c r="C136" t="s">
        <v>300</v>
      </c>
      <c r="D136">
        <v>280</v>
      </c>
      <c r="E136">
        <v>20.9</v>
      </c>
      <c r="F136">
        <v>20.9</v>
      </c>
      <c r="G136">
        <v>100</v>
      </c>
      <c r="H136" t="s">
        <v>228</v>
      </c>
      <c r="I136" t="s">
        <v>304</v>
      </c>
      <c r="J136">
        <v>4</v>
      </c>
    </row>
    <row r="137" spans="1:18">
      <c r="A137" t="s">
        <v>1405</v>
      </c>
      <c r="B137" t="s">
        <v>3208</v>
      </c>
      <c r="C137" t="s">
        <v>300</v>
      </c>
      <c r="D137">
        <v>308</v>
      </c>
      <c r="E137">
        <v>28.5</v>
      </c>
      <c r="F137">
        <v>28.5</v>
      </c>
      <c r="G137">
        <v>100</v>
      </c>
      <c r="H137" t="s">
        <v>228</v>
      </c>
      <c r="I137" t="s">
        <v>304</v>
      </c>
      <c r="J137">
        <v>4</v>
      </c>
    </row>
    <row r="138" spans="1:18">
      <c r="A138" t="s">
        <v>1405</v>
      </c>
      <c r="B138" t="s">
        <v>3208</v>
      </c>
      <c r="C138" t="s">
        <v>300</v>
      </c>
      <c r="D138">
        <v>0</v>
      </c>
      <c r="E138">
        <v>100</v>
      </c>
      <c r="F138">
        <v>100</v>
      </c>
      <c r="G138">
        <v>100</v>
      </c>
      <c r="H138" t="s">
        <v>228</v>
      </c>
      <c r="I138" t="s">
        <v>305</v>
      </c>
      <c r="J138">
        <v>4</v>
      </c>
      <c r="K138" s="1" t="s">
        <v>1412</v>
      </c>
      <c r="L138" t="s">
        <v>1417</v>
      </c>
      <c r="O138">
        <v>0.97</v>
      </c>
      <c r="Q138" s="1" t="s">
        <v>1385</v>
      </c>
      <c r="R138">
        <v>1.2999999999999999E-2</v>
      </c>
    </row>
    <row r="139" spans="1:18">
      <c r="A139" t="s">
        <v>1405</v>
      </c>
      <c r="B139" t="s">
        <v>3208</v>
      </c>
      <c r="C139" t="s">
        <v>300</v>
      </c>
      <c r="D139">
        <v>7</v>
      </c>
      <c r="E139">
        <v>70.400000000000006</v>
      </c>
      <c r="F139">
        <v>70.400000000000006</v>
      </c>
      <c r="G139">
        <v>100</v>
      </c>
      <c r="H139" t="s">
        <v>228</v>
      </c>
      <c r="I139" t="s">
        <v>305</v>
      </c>
      <c r="J139">
        <v>4</v>
      </c>
      <c r="K139" s="10" t="s">
        <v>1385</v>
      </c>
      <c r="L139" s="10" t="s">
        <v>1418</v>
      </c>
      <c r="M139" s="10">
        <v>1.3100000000000001E-2</v>
      </c>
      <c r="N139" s="10"/>
      <c r="O139" s="10">
        <v>0.92</v>
      </c>
      <c r="P139" s="2">
        <v>40</v>
      </c>
    </row>
    <row r="140" spans="1:18">
      <c r="A140" t="s">
        <v>1405</v>
      </c>
      <c r="B140" t="s">
        <v>3208</v>
      </c>
      <c r="C140" t="s">
        <v>300</v>
      </c>
      <c r="D140">
        <v>21</v>
      </c>
      <c r="E140">
        <v>68</v>
      </c>
      <c r="F140">
        <v>68</v>
      </c>
      <c r="G140">
        <v>100</v>
      </c>
      <c r="H140" t="s">
        <v>228</v>
      </c>
      <c r="I140" t="s">
        <v>305</v>
      </c>
      <c r="J140">
        <v>4</v>
      </c>
      <c r="K140" s="2" t="s">
        <v>1394</v>
      </c>
      <c r="L140" s="2" t="s">
        <v>1419</v>
      </c>
      <c r="M140" s="2">
        <v>6.0000000000000001E-3</v>
      </c>
      <c r="N140" s="2"/>
      <c r="O140" s="2">
        <v>0.9</v>
      </c>
    </row>
    <row r="141" spans="1:18">
      <c r="A141" t="s">
        <v>1405</v>
      </c>
      <c r="B141" t="s">
        <v>3208</v>
      </c>
      <c r="C141" t="s">
        <v>300</v>
      </c>
      <c r="D141">
        <v>49</v>
      </c>
      <c r="E141">
        <v>43.2</v>
      </c>
      <c r="F141">
        <v>43.2</v>
      </c>
      <c r="G141">
        <v>100</v>
      </c>
      <c r="H141" t="s">
        <v>228</v>
      </c>
      <c r="I141" t="s">
        <v>305</v>
      </c>
      <c r="J141">
        <v>4</v>
      </c>
    </row>
    <row r="142" spans="1:18">
      <c r="A142" t="s">
        <v>1405</v>
      </c>
      <c r="B142" t="s">
        <v>3208</v>
      </c>
      <c r="C142" t="s">
        <v>300</v>
      </c>
      <c r="D142">
        <v>77</v>
      </c>
      <c r="E142">
        <v>42.2</v>
      </c>
      <c r="F142">
        <v>42.2</v>
      </c>
      <c r="G142">
        <v>100</v>
      </c>
      <c r="H142" t="s">
        <v>228</v>
      </c>
      <c r="I142" t="s">
        <v>305</v>
      </c>
      <c r="J142">
        <v>4</v>
      </c>
    </row>
    <row r="143" spans="1:18">
      <c r="A143" t="s">
        <v>1405</v>
      </c>
      <c r="B143" t="s">
        <v>3208</v>
      </c>
      <c r="C143" t="s">
        <v>300</v>
      </c>
      <c r="D143">
        <v>105</v>
      </c>
      <c r="E143">
        <v>40.700000000000003</v>
      </c>
      <c r="F143">
        <v>40.700000000000003</v>
      </c>
      <c r="G143">
        <v>100</v>
      </c>
      <c r="H143" t="s">
        <v>228</v>
      </c>
      <c r="I143" t="s">
        <v>305</v>
      </c>
      <c r="J143">
        <v>4</v>
      </c>
    </row>
    <row r="144" spans="1:18">
      <c r="A144" t="s">
        <v>1405</v>
      </c>
      <c r="B144" t="s">
        <v>3208</v>
      </c>
      <c r="C144" t="s">
        <v>300</v>
      </c>
      <c r="D144">
        <v>140</v>
      </c>
      <c r="E144">
        <v>31.5</v>
      </c>
      <c r="F144">
        <v>31.5</v>
      </c>
      <c r="G144">
        <v>100</v>
      </c>
      <c r="H144" t="s">
        <v>228</v>
      </c>
      <c r="I144" t="s">
        <v>305</v>
      </c>
      <c r="J144">
        <v>4</v>
      </c>
    </row>
    <row r="145" spans="1:18">
      <c r="A145" t="s">
        <v>1405</v>
      </c>
      <c r="B145" t="s">
        <v>3208</v>
      </c>
      <c r="C145" t="s">
        <v>300</v>
      </c>
      <c r="D145">
        <v>193</v>
      </c>
      <c r="E145">
        <v>21.9</v>
      </c>
      <c r="F145">
        <v>21.9</v>
      </c>
      <c r="G145">
        <v>100</v>
      </c>
      <c r="H145" t="s">
        <v>228</v>
      </c>
      <c r="I145" t="s">
        <v>305</v>
      </c>
      <c r="J145">
        <v>4</v>
      </c>
    </row>
    <row r="146" spans="1:18">
      <c r="A146" t="s">
        <v>1405</v>
      </c>
      <c r="B146" t="s">
        <v>3208</v>
      </c>
      <c r="C146" t="s">
        <v>300</v>
      </c>
      <c r="D146">
        <v>229</v>
      </c>
      <c r="E146">
        <v>18.899999999999999</v>
      </c>
      <c r="F146">
        <v>18.899999999999999</v>
      </c>
      <c r="G146">
        <v>100</v>
      </c>
      <c r="H146" t="s">
        <v>228</v>
      </c>
      <c r="I146" t="s">
        <v>305</v>
      </c>
      <c r="J146">
        <v>4</v>
      </c>
    </row>
    <row r="147" spans="1:18">
      <c r="A147" t="s">
        <v>1405</v>
      </c>
      <c r="B147" t="s">
        <v>3208</v>
      </c>
      <c r="C147" t="s">
        <v>300</v>
      </c>
      <c r="D147">
        <v>280</v>
      </c>
      <c r="E147">
        <v>11.6</v>
      </c>
      <c r="F147">
        <v>11.6</v>
      </c>
      <c r="G147">
        <v>100</v>
      </c>
      <c r="H147" t="s">
        <v>228</v>
      </c>
      <c r="I147" t="s">
        <v>305</v>
      </c>
      <c r="J147">
        <v>4</v>
      </c>
    </row>
    <row r="148" spans="1:18">
      <c r="A148" t="s">
        <v>1405</v>
      </c>
      <c r="B148" t="s">
        <v>3208</v>
      </c>
      <c r="C148" t="s">
        <v>300</v>
      </c>
      <c r="D148">
        <v>308</v>
      </c>
      <c r="E148">
        <v>12.9</v>
      </c>
      <c r="F148">
        <v>12.9</v>
      </c>
      <c r="G148">
        <v>100</v>
      </c>
      <c r="H148" t="s">
        <v>228</v>
      </c>
      <c r="I148" t="s">
        <v>305</v>
      </c>
      <c r="J148">
        <v>4</v>
      </c>
    </row>
    <row r="149" spans="1:18">
      <c r="A149" t="s">
        <v>1405</v>
      </c>
      <c r="B149" t="s">
        <v>3208</v>
      </c>
      <c r="C149" t="s">
        <v>300</v>
      </c>
      <c r="D149">
        <v>0</v>
      </c>
      <c r="E149">
        <v>100</v>
      </c>
      <c r="F149">
        <v>100</v>
      </c>
      <c r="G149">
        <v>100</v>
      </c>
      <c r="H149" t="s">
        <v>228</v>
      </c>
      <c r="I149" t="s">
        <v>306</v>
      </c>
      <c r="J149">
        <v>4</v>
      </c>
      <c r="K149" s="1" t="s">
        <v>1412</v>
      </c>
      <c r="L149" t="s">
        <v>1420</v>
      </c>
      <c r="M149">
        <v>0.1</v>
      </c>
      <c r="O149">
        <v>0.96</v>
      </c>
      <c r="Q149" s="1" t="s">
        <v>1385</v>
      </c>
      <c r="R149">
        <v>3.6999999999999998E-2</v>
      </c>
    </row>
    <row r="150" spans="1:18">
      <c r="A150" t="s">
        <v>1405</v>
      </c>
      <c r="B150" t="s">
        <v>3208</v>
      </c>
      <c r="C150" t="s">
        <v>300</v>
      </c>
      <c r="D150">
        <v>7</v>
      </c>
      <c r="E150">
        <v>67</v>
      </c>
      <c r="F150">
        <v>67</v>
      </c>
      <c r="G150">
        <v>100</v>
      </c>
      <c r="H150" t="s">
        <v>228</v>
      </c>
      <c r="I150" t="s">
        <v>306</v>
      </c>
      <c r="J150">
        <v>4</v>
      </c>
      <c r="K150" s="10" t="s">
        <v>1385</v>
      </c>
      <c r="L150" s="10" t="s">
        <v>1421</v>
      </c>
      <c r="M150" s="10">
        <v>3.7900000000000003E-2</v>
      </c>
      <c r="N150" s="10"/>
      <c r="O150" s="10">
        <v>0.9</v>
      </c>
      <c r="P150" s="2">
        <v>16</v>
      </c>
    </row>
    <row r="151" spans="1:18">
      <c r="A151" t="s">
        <v>1405</v>
      </c>
      <c r="B151" t="s">
        <v>3208</v>
      </c>
      <c r="C151" t="s">
        <v>300</v>
      </c>
      <c r="D151">
        <v>21</v>
      </c>
      <c r="E151">
        <v>58</v>
      </c>
      <c r="F151">
        <v>58</v>
      </c>
      <c r="G151">
        <v>100</v>
      </c>
      <c r="H151" t="s">
        <v>228</v>
      </c>
      <c r="I151" t="s">
        <v>306</v>
      </c>
      <c r="J151">
        <v>4</v>
      </c>
    </row>
    <row r="152" spans="1:18">
      <c r="A152" t="s">
        <v>1405</v>
      </c>
      <c r="B152" t="s">
        <v>3208</v>
      </c>
      <c r="C152" t="s">
        <v>300</v>
      </c>
      <c r="D152">
        <v>49</v>
      </c>
      <c r="E152">
        <v>36.700000000000003</v>
      </c>
      <c r="F152">
        <v>36.700000000000003</v>
      </c>
      <c r="G152">
        <v>100</v>
      </c>
      <c r="H152" t="s">
        <v>228</v>
      </c>
      <c r="I152" t="s">
        <v>306</v>
      </c>
      <c r="J152">
        <v>4</v>
      </c>
    </row>
    <row r="153" spans="1:18">
      <c r="A153" t="s">
        <v>1405</v>
      </c>
      <c r="B153" t="s">
        <v>3208</v>
      </c>
      <c r="C153" t="s">
        <v>300</v>
      </c>
      <c r="D153">
        <v>77</v>
      </c>
      <c r="E153">
        <v>36</v>
      </c>
      <c r="F153">
        <v>36</v>
      </c>
      <c r="G153">
        <v>100</v>
      </c>
      <c r="H153" t="s">
        <v>228</v>
      </c>
      <c r="I153" t="s">
        <v>306</v>
      </c>
      <c r="J153">
        <v>4</v>
      </c>
    </row>
    <row r="154" spans="1:18">
      <c r="A154" t="s">
        <v>1405</v>
      </c>
      <c r="B154" t="s">
        <v>3208</v>
      </c>
      <c r="C154" t="s">
        <v>300</v>
      </c>
      <c r="D154">
        <v>105</v>
      </c>
      <c r="E154">
        <v>39.700000000000003</v>
      </c>
      <c r="F154">
        <v>39.700000000000003</v>
      </c>
      <c r="G154">
        <v>100</v>
      </c>
      <c r="H154" t="s">
        <v>228</v>
      </c>
      <c r="I154" t="s">
        <v>306</v>
      </c>
      <c r="J154">
        <v>4</v>
      </c>
    </row>
    <row r="155" spans="1:18">
      <c r="A155" t="s">
        <v>1405</v>
      </c>
      <c r="B155" t="s">
        <v>3208</v>
      </c>
      <c r="C155" t="s">
        <v>300</v>
      </c>
      <c r="D155">
        <v>140</v>
      </c>
      <c r="E155">
        <v>27</v>
      </c>
      <c r="F155">
        <v>27</v>
      </c>
      <c r="G155">
        <v>100</v>
      </c>
      <c r="H155" t="s">
        <v>228</v>
      </c>
      <c r="I155" t="s">
        <v>306</v>
      </c>
      <c r="J155">
        <v>4</v>
      </c>
    </row>
    <row r="156" spans="1:18">
      <c r="A156" t="s">
        <v>1405</v>
      </c>
      <c r="B156" t="s">
        <v>3208</v>
      </c>
      <c r="C156" t="s">
        <v>300</v>
      </c>
      <c r="D156">
        <v>193</v>
      </c>
      <c r="E156">
        <v>28.7</v>
      </c>
      <c r="F156">
        <v>28.7</v>
      </c>
      <c r="G156">
        <v>100</v>
      </c>
      <c r="H156" t="s">
        <v>228</v>
      </c>
      <c r="I156" t="s">
        <v>306</v>
      </c>
      <c r="J156">
        <v>4</v>
      </c>
    </row>
    <row r="157" spans="1:18">
      <c r="A157" t="s">
        <v>1405</v>
      </c>
      <c r="B157" t="s">
        <v>3208</v>
      </c>
      <c r="C157" t="s">
        <v>300</v>
      </c>
      <c r="D157">
        <v>229</v>
      </c>
      <c r="E157">
        <v>25</v>
      </c>
      <c r="F157">
        <v>25</v>
      </c>
      <c r="G157">
        <v>100</v>
      </c>
      <c r="H157" t="s">
        <v>228</v>
      </c>
      <c r="I157" t="s">
        <v>306</v>
      </c>
      <c r="J157">
        <v>4</v>
      </c>
    </row>
    <row r="158" spans="1:18">
      <c r="A158" t="s">
        <v>1405</v>
      </c>
      <c r="B158" t="s">
        <v>3208</v>
      </c>
      <c r="C158" t="s">
        <v>300</v>
      </c>
      <c r="D158">
        <v>280</v>
      </c>
      <c r="E158">
        <v>16.3</v>
      </c>
      <c r="F158">
        <v>16.3</v>
      </c>
      <c r="G158">
        <v>100</v>
      </c>
      <c r="H158" t="s">
        <v>228</v>
      </c>
      <c r="I158" t="s">
        <v>306</v>
      </c>
      <c r="J158">
        <v>4</v>
      </c>
    </row>
    <row r="159" spans="1:18">
      <c r="A159" t="s">
        <v>1405</v>
      </c>
      <c r="B159" t="s">
        <v>3208</v>
      </c>
      <c r="C159" t="s">
        <v>300</v>
      </c>
      <c r="D159">
        <v>308</v>
      </c>
      <c r="E159">
        <v>22.3</v>
      </c>
      <c r="F159">
        <v>22.3</v>
      </c>
      <c r="G159">
        <v>100</v>
      </c>
      <c r="H159" t="s">
        <v>228</v>
      </c>
      <c r="I159" t="s">
        <v>306</v>
      </c>
      <c r="J159">
        <v>4</v>
      </c>
    </row>
    <row r="160" spans="1:18">
      <c r="A160" t="s">
        <v>1405</v>
      </c>
      <c r="B160" t="s">
        <v>3208</v>
      </c>
      <c r="C160" t="s">
        <v>300</v>
      </c>
      <c r="D160">
        <v>0</v>
      </c>
      <c r="E160">
        <v>100</v>
      </c>
      <c r="F160">
        <v>100</v>
      </c>
      <c r="G160">
        <v>100</v>
      </c>
      <c r="H160" t="s">
        <v>228</v>
      </c>
      <c r="I160" t="s">
        <v>307</v>
      </c>
      <c r="J160">
        <v>4</v>
      </c>
      <c r="K160" s="1" t="s">
        <v>1412</v>
      </c>
      <c r="L160" t="s">
        <v>1422</v>
      </c>
      <c r="M160">
        <v>3.4200000000000001E-2</v>
      </c>
      <c r="O160">
        <v>0.89</v>
      </c>
      <c r="Q160" s="1" t="s">
        <v>1385</v>
      </c>
      <c r="R160">
        <v>1.7999999999999999E-2</v>
      </c>
    </row>
    <row r="161" spans="1:16">
      <c r="A161" t="s">
        <v>1405</v>
      </c>
      <c r="B161" t="s">
        <v>3208</v>
      </c>
      <c r="C161" t="s">
        <v>300</v>
      </c>
      <c r="D161">
        <v>7</v>
      </c>
      <c r="E161">
        <v>60.3</v>
      </c>
      <c r="F161">
        <v>60.3</v>
      </c>
      <c r="G161">
        <v>100</v>
      </c>
      <c r="H161" t="s">
        <v>228</v>
      </c>
      <c r="I161" t="s">
        <v>307</v>
      </c>
      <c r="J161">
        <v>4</v>
      </c>
      <c r="K161" s="10" t="s">
        <v>1385</v>
      </c>
      <c r="L161" s="10" t="s">
        <v>1423</v>
      </c>
      <c r="M161" s="10">
        <v>1.7999999999999999E-2</v>
      </c>
      <c r="N161" s="10"/>
      <c r="O161" s="10">
        <v>0.9</v>
      </c>
      <c r="P161" s="2">
        <v>30</v>
      </c>
    </row>
    <row r="162" spans="1:16">
      <c r="A162" t="s">
        <v>1405</v>
      </c>
      <c r="B162" t="s">
        <v>3208</v>
      </c>
      <c r="C162" t="s">
        <v>300</v>
      </c>
      <c r="D162">
        <v>21</v>
      </c>
      <c r="E162">
        <v>74</v>
      </c>
      <c r="F162">
        <v>74</v>
      </c>
      <c r="G162">
        <v>100</v>
      </c>
      <c r="H162" t="s">
        <v>228</v>
      </c>
      <c r="I162" t="s">
        <v>307</v>
      </c>
      <c r="J162">
        <v>4</v>
      </c>
      <c r="K162" s="2" t="s">
        <v>1394</v>
      </c>
      <c r="L162" s="2" t="s">
        <v>1424</v>
      </c>
      <c r="M162" s="2">
        <v>1.03E-2</v>
      </c>
      <c r="N162" s="2"/>
      <c r="O162" s="2">
        <v>0.87</v>
      </c>
    </row>
    <row r="163" spans="1:16">
      <c r="A163" t="s">
        <v>1405</v>
      </c>
      <c r="B163" t="s">
        <v>3208</v>
      </c>
      <c r="C163" t="s">
        <v>300</v>
      </c>
      <c r="D163">
        <v>49</v>
      </c>
      <c r="E163">
        <v>39.700000000000003</v>
      </c>
      <c r="F163">
        <v>39.700000000000003</v>
      </c>
      <c r="G163">
        <v>100</v>
      </c>
      <c r="H163" t="s">
        <v>228</v>
      </c>
      <c r="I163" t="s">
        <v>307</v>
      </c>
      <c r="J163">
        <v>4</v>
      </c>
    </row>
    <row r="164" spans="1:16">
      <c r="A164" t="s">
        <v>1405</v>
      </c>
      <c r="B164" t="s">
        <v>3208</v>
      </c>
      <c r="C164" t="s">
        <v>300</v>
      </c>
      <c r="D164">
        <v>77</v>
      </c>
      <c r="E164">
        <v>29.3</v>
      </c>
      <c r="F164">
        <v>29.3</v>
      </c>
      <c r="G164">
        <v>100</v>
      </c>
      <c r="H164" t="s">
        <v>228</v>
      </c>
      <c r="I164" t="s">
        <v>307</v>
      </c>
      <c r="J164">
        <v>4</v>
      </c>
    </row>
    <row r="165" spans="1:16">
      <c r="A165" t="s">
        <v>1405</v>
      </c>
      <c r="B165" t="s">
        <v>3208</v>
      </c>
      <c r="C165" t="s">
        <v>300</v>
      </c>
      <c r="D165">
        <v>105</v>
      </c>
      <c r="E165">
        <v>31.3</v>
      </c>
      <c r="F165">
        <v>31.3</v>
      </c>
      <c r="G165">
        <v>100</v>
      </c>
      <c r="H165" t="s">
        <v>228</v>
      </c>
      <c r="I165" t="s">
        <v>307</v>
      </c>
      <c r="J165">
        <v>4</v>
      </c>
    </row>
    <row r="166" spans="1:16">
      <c r="A166" t="s">
        <v>1405</v>
      </c>
      <c r="B166" t="s">
        <v>3208</v>
      </c>
      <c r="C166" t="s">
        <v>300</v>
      </c>
      <c r="D166">
        <v>140</v>
      </c>
      <c r="E166">
        <v>22</v>
      </c>
      <c r="F166">
        <v>22</v>
      </c>
      <c r="G166">
        <v>100</v>
      </c>
      <c r="H166" t="s">
        <v>228</v>
      </c>
      <c r="I166" t="s">
        <v>307</v>
      </c>
      <c r="J166">
        <v>4</v>
      </c>
    </row>
    <row r="167" spans="1:16">
      <c r="A167" t="s">
        <v>1405</v>
      </c>
      <c r="B167" t="s">
        <v>3208</v>
      </c>
      <c r="C167" t="s">
        <v>300</v>
      </c>
      <c r="D167">
        <v>193</v>
      </c>
      <c r="E167">
        <v>12.7</v>
      </c>
      <c r="F167">
        <v>12.7</v>
      </c>
      <c r="G167">
        <v>100</v>
      </c>
      <c r="H167" t="s">
        <v>228</v>
      </c>
      <c r="I167" t="s">
        <v>307</v>
      </c>
      <c r="J167">
        <v>4</v>
      </c>
    </row>
    <row r="168" spans="1:16">
      <c r="A168" t="s">
        <v>1405</v>
      </c>
      <c r="B168" t="s">
        <v>3208</v>
      </c>
      <c r="C168" t="s">
        <v>300</v>
      </c>
      <c r="D168">
        <v>229</v>
      </c>
      <c r="E168">
        <v>12.7</v>
      </c>
      <c r="F168">
        <v>12.7</v>
      </c>
      <c r="G168">
        <v>100</v>
      </c>
      <c r="H168" t="s">
        <v>228</v>
      </c>
      <c r="I168" t="s">
        <v>307</v>
      </c>
      <c r="J168">
        <v>4</v>
      </c>
    </row>
    <row r="169" spans="1:16">
      <c r="A169" t="s">
        <v>1405</v>
      </c>
      <c r="B169" t="s">
        <v>3208</v>
      </c>
      <c r="C169" t="s">
        <v>300</v>
      </c>
      <c r="D169">
        <v>280</v>
      </c>
      <c r="E169">
        <v>13.3</v>
      </c>
      <c r="F169">
        <v>13.3</v>
      </c>
      <c r="G169">
        <v>100</v>
      </c>
      <c r="H169" t="s">
        <v>228</v>
      </c>
      <c r="I169" t="s">
        <v>307</v>
      </c>
      <c r="J169">
        <v>4</v>
      </c>
    </row>
    <row r="170" spans="1:16">
      <c r="A170" t="s">
        <v>1405</v>
      </c>
      <c r="B170" t="s">
        <v>3208</v>
      </c>
      <c r="C170" t="s">
        <v>300</v>
      </c>
      <c r="D170">
        <v>308</v>
      </c>
      <c r="E170">
        <v>12.7</v>
      </c>
      <c r="F170">
        <v>12.7</v>
      </c>
      <c r="G170">
        <v>100</v>
      </c>
      <c r="H170" t="s">
        <v>228</v>
      </c>
      <c r="I170" t="s">
        <v>307</v>
      </c>
      <c r="J170">
        <v>4</v>
      </c>
    </row>
    <row r="171" spans="1:16">
      <c r="A171" t="s">
        <v>1405</v>
      </c>
      <c r="B171" t="s">
        <v>3208</v>
      </c>
      <c r="C171" t="s">
        <v>300</v>
      </c>
      <c r="D171">
        <v>0</v>
      </c>
      <c r="E171">
        <v>100</v>
      </c>
      <c r="F171">
        <v>100</v>
      </c>
      <c r="G171">
        <v>100</v>
      </c>
      <c r="H171" t="s">
        <v>228</v>
      </c>
      <c r="I171" t="s">
        <v>7</v>
      </c>
      <c r="J171">
        <v>4</v>
      </c>
      <c r="K171" t="s">
        <v>1387</v>
      </c>
    </row>
    <row r="172" spans="1:16">
      <c r="A172" t="s">
        <v>1405</v>
      </c>
      <c r="B172" t="s">
        <v>3208</v>
      </c>
      <c r="C172" t="s">
        <v>300</v>
      </c>
      <c r="D172">
        <v>52</v>
      </c>
      <c r="E172">
        <v>110.3</v>
      </c>
      <c r="F172">
        <v>110.3</v>
      </c>
      <c r="G172">
        <v>100</v>
      </c>
      <c r="H172" t="s">
        <v>228</v>
      </c>
      <c r="I172" t="s">
        <v>7</v>
      </c>
      <c r="J172">
        <v>4</v>
      </c>
    </row>
    <row r="173" spans="1:16">
      <c r="A173" t="s">
        <v>1405</v>
      </c>
      <c r="B173" t="s">
        <v>3208</v>
      </c>
      <c r="C173" t="s">
        <v>300</v>
      </c>
      <c r="D173">
        <v>121</v>
      </c>
      <c r="E173">
        <v>126.4</v>
      </c>
      <c r="F173">
        <v>126.4</v>
      </c>
      <c r="G173">
        <v>100</v>
      </c>
      <c r="H173" t="s">
        <v>228</v>
      </c>
      <c r="I173" t="s">
        <v>7</v>
      </c>
      <c r="J173">
        <v>4</v>
      </c>
    </row>
    <row r="174" spans="1:16">
      <c r="A174" t="s">
        <v>1405</v>
      </c>
      <c r="B174" t="s">
        <v>3208</v>
      </c>
      <c r="C174" t="s">
        <v>300</v>
      </c>
      <c r="D174">
        <v>0</v>
      </c>
      <c r="F174">
        <v>100</v>
      </c>
      <c r="G174">
        <v>100</v>
      </c>
      <c r="H174" t="s">
        <v>228</v>
      </c>
      <c r="I174" t="s">
        <v>7</v>
      </c>
      <c r="J174">
        <v>4</v>
      </c>
      <c r="K174" t="s">
        <v>1392</v>
      </c>
      <c r="L174" t="s">
        <v>1425</v>
      </c>
      <c r="N174">
        <v>-0.41620000000000001</v>
      </c>
    </row>
    <row r="175" spans="1:16">
      <c r="A175" t="s">
        <v>1405</v>
      </c>
      <c r="B175" t="s">
        <v>3208</v>
      </c>
      <c r="C175" t="s">
        <v>300</v>
      </c>
      <c r="D175">
        <v>37</v>
      </c>
      <c r="F175">
        <v>84.6</v>
      </c>
      <c r="G175">
        <v>100</v>
      </c>
      <c r="H175" t="s">
        <v>228</v>
      </c>
      <c r="I175" t="s">
        <v>7</v>
      </c>
      <c r="J175">
        <v>4</v>
      </c>
    </row>
    <row r="176" spans="1:16">
      <c r="A176" t="s">
        <v>313</v>
      </c>
      <c r="B176" t="s">
        <v>999</v>
      </c>
      <c r="C176" t="s">
        <v>300</v>
      </c>
      <c r="D176">
        <v>0</v>
      </c>
      <c r="E176">
        <v>100</v>
      </c>
      <c r="F176">
        <v>100</v>
      </c>
      <c r="G176">
        <v>0</v>
      </c>
      <c r="H176" t="s">
        <v>228</v>
      </c>
      <c r="I176" t="s">
        <v>314</v>
      </c>
      <c r="J176">
        <v>5</v>
      </c>
      <c r="K176" t="s">
        <v>1387</v>
      </c>
    </row>
    <row r="177" spans="1:16">
      <c r="A177" t="s">
        <v>313</v>
      </c>
      <c r="B177" t="s">
        <v>999</v>
      </c>
      <c r="C177" t="s">
        <v>300</v>
      </c>
      <c r="D177">
        <v>9</v>
      </c>
      <c r="E177">
        <v>100.2</v>
      </c>
      <c r="F177">
        <v>100.2</v>
      </c>
      <c r="G177">
        <v>0</v>
      </c>
      <c r="H177" t="s">
        <v>228</v>
      </c>
      <c r="I177" t="s">
        <v>314</v>
      </c>
      <c r="J177">
        <v>5</v>
      </c>
    </row>
    <row r="178" spans="1:16">
      <c r="A178" t="s">
        <v>313</v>
      </c>
      <c r="B178" t="s">
        <v>999</v>
      </c>
      <c r="C178" t="s">
        <v>300</v>
      </c>
      <c r="D178">
        <v>16</v>
      </c>
      <c r="E178">
        <v>98.6</v>
      </c>
      <c r="F178">
        <v>98.6</v>
      </c>
      <c r="G178">
        <v>0</v>
      </c>
      <c r="H178" t="s">
        <v>228</v>
      </c>
      <c r="I178" t="s">
        <v>314</v>
      </c>
      <c r="J178">
        <v>5</v>
      </c>
    </row>
    <row r="179" spans="1:16">
      <c r="A179" t="s">
        <v>313</v>
      </c>
      <c r="B179" t="s">
        <v>999</v>
      </c>
      <c r="C179" t="s">
        <v>300</v>
      </c>
      <c r="D179">
        <v>23</v>
      </c>
      <c r="E179">
        <v>97.8</v>
      </c>
      <c r="F179">
        <v>97.8</v>
      </c>
      <c r="G179">
        <v>0</v>
      </c>
      <c r="H179" t="s">
        <v>228</v>
      </c>
      <c r="I179" t="s">
        <v>314</v>
      </c>
      <c r="J179">
        <v>5</v>
      </c>
    </row>
    <row r="180" spans="1:16">
      <c r="A180" t="s">
        <v>313</v>
      </c>
      <c r="B180" t="s">
        <v>999</v>
      </c>
      <c r="C180" t="s">
        <v>300</v>
      </c>
      <c r="D180">
        <v>30</v>
      </c>
      <c r="E180">
        <v>99.4</v>
      </c>
      <c r="F180">
        <v>99.4</v>
      </c>
      <c r="G180">
        <v>0</v>
      </c>
      <c r="H180" t="s">
        <v>228</v>
      </c>
      <c r="I180" t="s">
        <v>314</v>
      </c>
      <c r="J180">
        <v>5</v>
      </c>
    </row>
    <row r="181" spans="1:16">
      <c r="A181" t="s">
        <v>313</v>
      </c>
      <c r="B181" t="s">
        <v>999</v>
      </c>
      <c r="C181" t="s">
        <v>300</v>
      </c>
      <c r="D181">
        <v>36</v>
      </c>
      <c r="E181">
        <v>99</v>
      </c>
      <c r="F181">
        <v>99</v>
      </c>
      <c r="G181">
        <v>0</v>
      </c>
      <c r="H181" t="s">
        <v>228</v>
      </c>
      <c r="I181" t="s">
        <v>314</v>
      </c>
      <c r="J181">
        <v>5</v>
      </c>
    </row>
    <row r="182" spans="1:16">
      <c r="A182" t="s">
        <v>313</v>
      </c>
      <c r="B182" t="s">
        <v>999</v>
      </c>
      <c r="C182" t="s">
        <v>300</v>
      </c>
      <c r="D182">
        <v>56</v>
      </c>
      <c r="E182">
        <v>101.5</v>
      </c>
      <c r="F182">
        <v>101.5</v>
      </c>
      <c r="G182">
        <v>0</v>
      </c>
      <c r="H182" t="s">
        <v>228</v>
      </c>
      <c r="I182" t="s">
        <v>314</v>
      </c>
      <c r="J182">
        <v>5</v>
      </c>
    </row>
    <row r="183" spans="1:16">
      <c r="A183" t="s">
        <v>313</v>
      </c>
      <c r="B183" t="s">
        <v>999</v>
      </c>
      <c r="C183" t="s">
        <v>300</v>
      </c>
      <c r="D183">
        <v>108</v>
      </c>
      <c r="E183">
        <v>97.4</v>
      </c>
      <c r="F183">
        <v>97.4</v>
      </c>
      <c r="G183">
        <v>0</v>
      </c>
      <c r="H183" t="s">
        <v>228</v>
      </c>
      <c r="I183" t="s">
        <v>314</v>
      </c>
      <c r="J183">
        <v>5</v>
      </c>
    </row>
    <row r="184" spans="1:16">
      <c r="A184" t="s">
        <v>313</v>
      </c>
      <c r="B184" t="s">
        <v>999</v>
      </c>
      <c r="C184" t="s">
        <v>300</v>
      </c>
      <c r="D184">
        <v>0</v>
      </c>
      <c r="E184">
        <v>100</v>
      </c>
      <c r="F184">
        <v>100</v>
      </c>
      <c r="G184">
        <v>0</v>
      </c>
      <c r="H184" t="s">
        <v>228</v>
      </c>
      <c r="I184" t="s">
        <v>315</v>
      </c>
      <c r="J184">
        <v>5</v>
      </c>
      <c r="K184" s="9" t="s">
        <v>1399</v>
      </c>
      <c r="L184" s="9" t="s">
        <v>1426</v>
      </c>
      <c r="O184">
        <v>0.997</v>
      </c>
    </row>
    <row r="185" spans="1:16">
      <c r="A185" t="s">
        <v>313</v>
      </c>
      <c r="B185" t="s">
        <v>999</v>
      </c>
      <c r="C185" t="s">
        <v>300</v>
      </c>
      <c r="D185">
        <v>9</v>
      </c>
      <c r="E185">
        <v>99.8</v>
      </c>
      <c r="F185">
        <v>99.8</v>
      </c>
      <c r="G185">
        <v>0</v>
      </c>
      <c r="H185" t="s">
        <v>228</v>
      </c>
      <c r="I185" t="s">
        <v>315</v>
      </c>
      <c r="J185">
        <v>5</v>
      </c>
      <c r="K185" s="2" t="s">
        <v>1427</v>
      </c>
      <c r="L185" s="2" t="s">
        <v>1428</v>
      </c>
      <c r="M185" s="2">
        <v>7.6499999999999999E-2</v>
      </c>
      <c r="N185" s="2"/>
      <c r="O185" s="2">
        <v>0.98</v>
      </c>
      <c r="P185" s="2">
        <v>8</v>
      </c>
    </row>
    <row r="186" spans="1:16">
      <c r="A186" t="s">
        <v>313</v>
      </c>
      <c r="B186" t="s">
        <v>999</v>
      </c>
      <c r="C186" t="s">
        <v>300</v>
      </c>
      <c r="D186">
        <v>16</v>
      </c>
      <c r="E186">
        <v>99</v>
      </c>
      <c r="F186">
        <v>99</v>
      </c>
      <c r="G186">
        <v>0</v>
      </c>
      <c r="H186" t="s">
        <v>228</v>
      </c>
      <c r="I186" t="s">
        <v>315</v>
      </c>
      <c r="J186">
        <v>5</v>
      </c>
      <c r="K186" s="9" t="s">
        <v>1401</v>
      </c>
      <c r="L186" s="9" t="s">
        <v>2383</v>
      </c>
      <c r="M186" s="9">
        <v>8.6E-3</v>
      </c>
      <c r="N186" s="9"/>
      <c r="O186" s="9">
        <v>0.81950000000000001</v>
      </c>
    </row>
    <row r="187" spans="1:16">
      <c r="A187" t="s">
        <v>313</v>
      </c>
      <c r="B187" t="s">
        <v>999</v>
      </c>
      <c r="C187" t="s">
        <v>300</v>
      </c>
      <c r="D187">
        <v>23</v>
      </c>
      <c r="E187">
        <v>96.5</v>
      </c>
      <c r="F187">
        <v>96.5</v>
      </c>
      <c r="G187">
        <v>0</v>
      </c>
      <c r="H187" t="s">
        <v>228</v>
      </c>
      <c r="I187" t="s">
        <v>315</v>
      </c>
      <c r="J187">
        <v>5</v>
      </c>
    </row>
    <row r="188" spans="1:16">
      <c r="A188" t="s">
        <v>313</v>
      </c>
      <c r="B188" t="s">
        <v>999</v>
      </c>
      <c r="C188" t="s">
        <v>300</v>
      </c>
      <c r="D188">
        <v>30</v>
      </c>
      <c r="E188">
        <v>80.400000000000006</v>
      </c>
      <c r="F188">
        <v>80.400000000000006</v>
      </c>
      <c r="G188">
        <v>0</v>
      </c>
      <c r="H188" t="s">
        <v>228</v>
      </c>
      <c r="I188" t="s">
        <v>315</v>
      </c>
      <c r="J188">
        <v>5</v>
      </c>
    </row>
    <row r="189" spans="1:16">
      <c r="A189" t="s">
        <v>313</v>
      </c>
      <c r="B189" t="s">
        <v>999</v>
      </c>
      <c r="C189" t="s">
        <v>300</v>
      </c>
      <c r="D189">
        <v>36</v>
      </c>
      <c r="E189">
        <v>66.400000000000006</v>
      </c>
      <c r="F189">
        <v>66.400000000000006</v>
      </c>
      <c r="G189">
        <v>0</v>
      </c>
      <c r="H189" t="s">
        <v>228</v>
      </c>
      <c r="I189" t="s">
        <v>315</v>
      </c>
      <c r="J189">
        <v>5</v>
      </c>
    </row>
    <row r="190" spans="1:16">
      <c r="A190" t="s">
        <v>313</v>
      </c>
      <c r="B190" t="s">
        <v>999</v>
      </c>
      <c r="C190" t="s">
        <v>300</v>
      </c>
      <c r="D190">
        <v>56</v>
      </c>
      <c r="E190">
        <v>52</v>
      </c>
      <c r="F190">
        <v>52</v>
      </c>
      <c r="G190">
        <v>0</v>
      </c>
      <c r="H190" t="s">
        <v>228</v>
      </c>
      <c r="I190" t="s">
        <v>315</v>
      </c>
      <c r="J190">
        <v>5</v>
      </c>
    </row>
    <row r="191" spans="1:16">
      <c r="A191" t="s">
        <v>313</v>
      </c>
      <c r="B191" t="s">
        <v>999</v>
      </c>
      <c r="C191" t="s">
        <v>300</v>
      </c>
      <c r="D191">
        <v>108</v>
      </c>
      <c r="E191">
        <v>51.6</v>
      </c>
      <c r="F191">
        <v>51.6</v>
      </c>
      <c r="G191">
        <v>0</v>
      </c>
      <c r="H191" t="s">
        <v>228</v>
      </c>
      <c r="I191" t="s">
        <v>315</v>
      </c>
      <c r="J191">
        <v>5</v>
      </c>
    </row>
    <row r="192" spans="1:16">
      <c r="A192" t="s">
        <v>313</v>
      </c>
      <c r="B192" t="s">
        <v>999</v>
      </c>
      <c r="C192" t="s">
        <v>300</v>
      </c>
      <c r="D192">
        <v>0</v>
      </c>
      <c r="E192">
        <v>100</v>
      </c>
      <c r="F192">
        <v>100</v>
      </c>
      <c r="G192">
        <v>0</v>
      </c>
      <c r="H192" t="s">
        <v>228</v>
      </c>
      <c r="I192" t="s">
        <v>316</v>
      </c>
      <c r="J192">
        <v>5</v>
      </c>
      <c r="K192" t="s">
        <v>1399</v>
      </c>
      <c r="L192" t="s">
        <v>1429</v>
      </c>
      <c r="O192">
        <v>0.99</v>
      </c>
    </row>
    <row r="193" spans="1:16">
      <c r="A193" t="s">
        <v>313</v>
      </c>
      <c r="B193" t="s">
        <v>999</v>
      </c>
      <c r="C193" t="s">
        <v>300</v>
      </c>
      <c r="D193">
        <v>9</v>
      </c>
      <c r="E193">
        <v>100.7</v>
      </c>
      <c r="F193">
        <v>100.7</v>
      </c>
      <c r="G193">
        <v>0</v>
      </c>
      <c r="H193" t="s">
        <v>228</v>
      </c>
      <c r="I193" t="s">
        <v>316</v>
      </c>
      <c r="J193">
        <v>5</v>
      </c>
      <c r="K193" s="2" t="s">
        <v>2347</v>
      </c>
      <c r="L193" s="2" t="s">
        <v>2368</v>
      </c>
      <c r="M193" s="2">
        <v>4.2299999999999997E-2</v>
      </c>
      <c r="N193" s="2"/>
      <c r="O193" s="2">
        <v>0.85</v>
      </c>
      <c r="P193" s="2">
        <v>5</v>
      </c>
    </row>
    <row r="194" spans="1:16">
      <c r="A194" t="s">
        <v>313</v>
      </c>
      <c r="B194" t="s">
        <v>999</v>
      </c>
      <c r="C194" t="s">
        <v>300</v>
      </c>
      <c r="D194">
        <v>16</v>
      </c>
      <c r="E194">
        <v>86.2</v>
      </c>
      <c r="F194">
        <v>86.2</v>
      </c>
      <c r="G194">
        <v>0</v>
      </c>
      <c r="H194" t="s">
        <v>228</v>
      </c>
      <c r="I194" t="s">
        <v>316</v>
      </c>
      <c r="J194">
        <v>5</v>
      </c>
      <c r="K194" s="9" t="s">
        <v>1430</v>
      </c>
      <c r="L194" s="9" t="s">
        <v>2367</v>
      </c>
      <c r="M194" s="9"/>
      <c r="N194" s="9"/>
      <c r="O194" s="9">
        <v>0.99299999999999999</v>
      </c>
    </row>
    <row r="195" spans="1:16">
      <c r="A195" t="s">
        <v>313</v>
      </c>
      <c r="B195" t="s">
        <v>999</v>
      </c>
      <c r="C195" t="s">
        <v>300</v>
      </c>
      <c r="D195">
        <v>23</v>
      </c>
      <c r="E195">
        <v>40.4</v>
      </c>
      <c r="F195">
        <v>40.4</v>
      </c>
      <c r="G195">
        <v>0</v>
      </c>
      <c r="H195" t="s">
        <v>228</v>
      </c>
      <c r="I195" t="s">
        <v>316</v>
      </c>
      <c r="J195">
        <v>5</v>
      </c>
    </row>
    <row r="196" spans="1:16">
      <c r="A196" t="s">
        <v>313</v>
      </c>
      <c r="B196" t="s">
        <v>999</v>
      </c>
      <c r="C196" t="s">
        <v>300</v>
      </c>
      <c r="D196">
        <v>30</v>
      </c>
      <c r="E196">
        <v>18.600000000000001</v>
      </c>
      <c r="F196">
        <v>18.600000000000001</v>
      </c>
      <c r="G196">
        <v>0</v>
      </c>
      <c r="H196" t="s">
        <v>228</v>
      </c>
      <c r="I196" t="s">
        <v>316</v>
      </c>
      <c r="J196">
        <v>5</v>
      </c>
    </row>
    <row r="197" spans="1:16">
      <c r="A197" t="s">
        <v>313</v>
      </c>
      <c r="B197" t="s">
        <v>999</v>
      </c>
      <c r="C197" t="s">
        <v>300</v>
      </c>
      <c r="D197">
        <v>36</v>
      </c>
      <c r="E197">
        <v>9.5</v>
      </c>
      <c r="F197">
        <v>9.5</v>
      </c>
      <c r="G197">
        <v>0</v>
      </c>
      <c r="H197" t="s">
        <v>228</v>
      </c>
      <c r="I197" t="s">
        <v>316</v>
      </c>
      <c r="J197">
        <v>5</v>
      </c>
    </row>
    <row r="198" spans="1:16">
      <c r="A198" t="s">
        <v>313</v>
      </c>
      <c r="B198" t="s">
        <v>999</v>
      </c>
      <c r="C198" t="s">
        <v>300</v>
      </c>
      <c r="D198">
        <v>56</v>
      </c>
      <c r="E198">
        <v>0</v>
      </c>
      <c r="F198">
        <v>0</v>
      </c>
      <c r="G198">
        <v>0</v>
      </c>
      <c r="H198" t="s">
        <v>228</v>
      </c>
      <c r="I198" t="s">
        <v>316</v>
      </c>
      <c r="J198">
        <v>5</v>
      </c>
    </row>
    <row r="199" spans="1:16">
      <c r="A199" t="s">
        <v>313</v>
      </c>
      <c r="B199" t="s">
        <v>999</v>
      </c>
      <c r="C199" t="s">
        <v>300</v>
      </c>
      <c r="D199">
        <v>108</v>
      </c>
      <c r="E199">
        <v>0</v>
      </c>
      <c r="F199">
        <v>0</v>
      </c>
      <c r="G199">
        <v>0</v>
      </c>
      <c r="H199" t="s">
        <v>228</v>
      </c>
      <c r="I199" t="s">
        <v>316</v>
      </c>
      <c r="J199">
        <v>5</v>
      </c>
    </row>
    <row r="200" spans="1:16">
      <c r="A200" t="s">
        <v>313</v>
      </c>
      <c r="B200" t="s">
        <v>999</v>
      </c>
      <c r="C200" t="s">
        <v>317</v>
      </c>
      <c r="D200">
        <v>0</v>
      </c>
      <c r="E200">
        <v>100</v>
      </c>
      <c r="F200">
        <v>100</v>
      </c>
      <c r="G200">
        <v>0</v>
      </c>
      <c r="H200" t="s">
        <v>228</v>
      </c>
      <c r="I200" t="s">
        <v>314</v>
      </c>
      <c r="J200">
        <v>5</v>
      </c>
      <c r="K200" s="9" t="s">
        <v>2380</v>
      </c>
      <c r="L200" s="9" t="s">
        <v>2381</v>
      </c>
      <c r="M200" s="9"/>
      <c r="N200" s="9"/>
      <c r="O200" s="9">
        <v>0.99</v>
      </c>
    </row>
    <row r="201" spans="1:16">
      <c r="A201" t="s">
        <v>313</v>
      </c>
      <c r="B201" t="s">
        <v>999</v>
      </c>
      <c r="C201" t="s">
        <v>317</v>
      </c>
      <c r="D201">
        <v>9</v>
      </c>
      <c r="E201">
        <v>99.8</v>
      </c>
      <c r="F201">
        <v>99.8</v>
      </c>
      <c r="G201">
        <v>0</v>
      </c>
      <c r="H201" t="s">
        <v>228</v>
      </c>
      <c r="I201" t="s">
        <v>314</v>
      </c>
      <c r="J201">
        <v>5</v>
      </c>
      <c r="K201" t="s">
        <v>181</v>
      </c>
      <c r="L201" t="s">
        <v>2379</v>
      </c>
      <c r="N201">
        <v>0.88670000000000004</v>
      </c>
      <c r="O201">
        <v>0.71240000000000003</v>
      </c>
    </row>
    <row r="202" spans="1:16">
      <c r="A202" t="s">
        <v>313</v>
      </c>
      <c r="B202" t="s">
        <v>999</v>
      </c>
      <c r="C202" t="s">
        <v>317</v>
      </c>
      <c r="D202">
        <v>16</v>
      </c>
      <c r="E202">
        <v>98.2</v>
      </c>
      <c r="F202">
        <v>98.2</v>
      </c>
      <c r="G202">
        <v>0</v>
      </c>
      <c r="H202" t="s">
        <v>228</v>
      </c>
      <c r="I202" t="s">
        <v>314</v>
      </c>
      <c r="J202">
        <v>5</v>
      </c>
    </row>
    <row r="203" spans="1:16">
      <c r="A203" t="s">
        <v>313</v>
      </c>
      <c r="B203" t="s">
        <v>999</v>
      </c>
      <c r="C203" t="s">
        <v>317</v>
      </c>
      <c r="D203">
        <v>23</v>
      </c>
      <c r="E203">
        <v>101.1</v>
      </c>
      <c r="F203">
        <v>101.1</v>
      </c>
      <c r="G203">
        <v>0</v>
      </c>
      <c r="H203" t="s">
        <v>228</v>
      </c>
      <c r="I203" t="s">
        <v>314</v>
      </c>
      <c r="J203">
        <v>5</v>
      </c>
    </row>
    <row r="204" spans="1:16">
      <c r="A204" t="s">
        <v>313</v>
      </c>
      <c r="B204" t="s">
        <v>999</v>
      </c>
      <c r="C204" t="s">
        <v>317</v>
      </c>
      <c r="D204">
        <v>30</v>
      </c>
      <c r="E204">
        <v>105.6</v>
      </c>
      <c r="F204">
        <v>105.6</v>
      </c>
      <c r="G204">
        <v>0</v>
      </c>
      <c r="H204" t="s">
        <v>228</v>
      </c>
      <c r="I204" t="s">
        <v>314</v>
      </c>
      <c r="J204">
        <v>5</v>
      </c>
    </row>
    <row r="205" spans="1:16">
      <c r="A205" t="s">
        <v>313</v>
      </c>
      <c r="B205" t="s">
        <v>999</v>
      </c>
      <c r="C205" t="s">
        <v>317</v>
      </c>
      <c r="D205">
        <v>36</v>
      </c>
      <c r="E205">
        <v>103.5</v>
      </c>
      <c r="F205">
        <v>103.5</v>
      </c>
      <c r="G205">
        <v>0</v>
      </c>
      <c r="H205" t="s">
        <v>228</v>
      </c>
      <c r="I205" t="s">
        <v>314</v>
      </c>
      <c r="J205">
        <v>5</v>
      </c>
    </row>
    <row r="206" spans="1:16">
      <c r="A206" t="s">
        <v>313</v>
      </c>
      <c r="B206" t="s">
        <v>999</v>
      </c>
      <c r="C206" t="s">
        <v>317</v>
      </c>
      <c r="D206">
        <v>56</v>
      </c>
      <c r="E206">
        <v>102.3</v>
      </c>
      <c r="F206">
        <v>102.3</v>
      </c>
      <c r="G206">
        <v>0</v>
      </c>
      <c r="H206" t="s">
        <v>228</v>
      </c>
      <c r="I206" t="s">
        <v>314</v>
      </c>
      <c r="J206">
        <v>5</v>
      </c>
    </row>
    <row r="207" spans="1:16">
      <c r="A207" t="s">
        <v>313</v>
      </c>
      <c r="B207" t="s">
        <v>999</v>
      </c>
      <c r="C207" t="s">
        <v>317</v>
      </c>
      <c r="D207">
        <v>108</v>
      </c>
      <c r="E207">
        <v>0</v>
      </c>
      <c r="F207">
        <v>0</v>
      </c>
      <c r="G207">
        <v>0</v>
      </c>
      <c r="H207" t="s">
        <v>228</v>
      </c>
      <c r="I207" t="s">
        <v>314</v>
      </c>
      <c r="J207">
        <v>5</v>
      </c>
    </row>
    <row r="208" spans="1:16">
      <c r="A208" t="s">
        <v>313</v>
      </c>
      <c r="B208" t="s">
        <v>999</v>
      </c>
      <c r="C208" t="s">
        <v>317</v>
      </c>
      <c r="D208">
        <v>0</v>
      </c>
      <c r="E208">
        <v>100</v>
      </c>
      <c r="F208">
        <v>100</v>
      </c>
      <c r="G208">
        <v>0</v>
      </c>
      <c r="H208" t="s">
        <v>228</v>
      </c>
      <c r="I208" t="s">
        <v>315</v>
      </c>
      <c r="J208">
        <v>5</v>
      </c>
      <c r="K208" t="s">
        <v>1387</v>
      </c>
    </row>
    <row r="209" spans="1:18">
      <c r="A209" t="s">
        <v>313</v>
      </c>
      <c r="B209" t="s">
        <v>999</v>
      </c>
      <c r="C209" t="s">
        <v>317</v>
      </c>
      <c r="D209">
        <v>9</v>
      </c>
      <c r="E209">
        <v>100.7</v>
      </c>
      <c r="F209">
        <v>100.7</v>
      </c>
      <c r="G209">
        <v>0</v>
      </c>
      <c r="H209" t="s">
        <v>228</v>
      </c>
      <c r="I209" t="s">
        <v>315</v>
      </c>
      <c r="J209">
        <v>5</v>
      </c>
    </row>
    <row r="210" spans="1:18">
      <c r="A210" t="s">
        <v>313</v>
      </c>
      <c r="B210" t="s">
        <v>999</v>
      </c>
      <c r="C210" t="s">
        <v>317</v>
      </c>
      <c r="D210">
        <v>16</v>
      </c>
      <c r="E210">
        <v>96.5</v>
      </c>
      <c r="F210">
        <v>96.5</v>
      </c>
      <c r="G210">
        <v>0</v>
      </c>
      <c r="H210" t="s">
        <v>228</v>
      </c>
      <c r="I210" t="s">
        <v>315</v>
      </c>
      <c r="J210">
        <v>5</v>
      </c>
    </row>
    <row r="211" spans="1:18">
      <c r="A211" t="s">
        <v>313</v>
      </c>
      <c r="B211" t="s">
        <v>999</v>
      </c>
      <c r="C211" t="s">
        <v>317</v>
      </c>
      <c r="D211">
        <v>23</v>
      </c>
      <c r="E211">
        <v>95.7</v>
      </c>
      <c r="F211">
        <v>95.7</v>
      </c>
      <c r="G211">
        <v>0</v>
      </c>
      <c r="H211" t="s">
        <v>228</v>
      </c>
      <c r="I211" t="s">
        <v>315</v>
      </c>
      <c r="J211">
        <v>5</v>
      </c>
    </row>
    <row r="212" spans="1:18">
      <c r="A212" t="s">
        <v>313</v>
      </c>
      <c r="B212" t="s">
        <v>999</v>
      </c>
      <c r="C212" t="s">
        <v>317</v>
      </c>
      <c r="D212">
        <v>30</v>
      </c>
      <c r="E212">
        <v>96.9</v>
      </c>
      <c r="F212">
        <v>96.9</v>
      </c>
      <c r="G212">
        <v>0</v>
      </c>
      <c r="H212" t="s">
        <v>228</v>
      </c>
      <c r="I212" t="s">
        <v>315</v>
      </c>
      <c r="J212">
        <v>5</v>
      </c>
    </row>
    <row r="213" spans="1:18">
      <c r="A213" t="s">
        <v>313</v>
      </c>
      <c r="B213" t="s">
        <v>999</v>
      </c>
      <c r="C213" t="s">
        <v>317</v>
      </c>
      <c r="D213">
        <v>36</v>
      </c>
      <c r="E213">
        <v>98.2</v>
      </c>
      <c r="F213">
        <v>98.2</v>
      </c>
      <c r="G213">
        <v>0</v>
      </c>
      <c r="H213" t="s">
        <v>228</v>
      </c>
      <c r="I213" t="s">
        <v>315</v>
      </c>
      <c r="J213">
        <v>5</v>
      </c>
    </row>
    <row r="214" spans="1:18">
      <c r="A214" t="s">
        <v>313</v>
      </c>
      <c r="B214" t="s">
        <v>999</v>
      </c>
      <c r="C214" t="s">
        <v>317</v>
      </c>
      <c r="D214">
        <v>56</v>
      </c>
      <c r="E214">
        <v>104</v>
      </c>
      <c r="F214">
        <v>104</v>
      </c>
      <c r="G214">
        <v>0</v>
      </c>
      <c r="H214" t="s">
        <v>228</v>
      </c>
      <c r="I214" t="s">
        <v>315</v>
      </c>
      <c r="J214">
        <v>5</v>
      </c>
    </row>
    <row r="215" spans="1:18">
      <c r="A215" t="s">
        <v>313</v>
      </c>
      <c r="B215" t="s">
        <v>999</v>
      </c>
      <c r="C215" t="s">
        <v>317</v>
      </c>
      <c r="D215">
        <v>108</v>
      </c>
      <c r="E215">
        <v>100.7</v>
      </c>
      <c r="F215">
        <v>100.7</v>
      </c>
      <c r="G215">
        <v>0</v>
      </c>
      <c r="H215" t="s">
        <v>228</v>
      </c>
      <c r="I215" t="s">
        <v>315</v>
      </c>
      <c r="J215">
        <v>5</v>
      </c>
    </row>
    <row r="216" spans="1:18">
      <c r="A216" t="s">
        <v>313</v>
      </c>
      <c r="B216" t="s">
        <v>999</v>
      </c>
      <c r="C216" t="s">
        <v>317</v>
      </c>
      <c r="D216">
        <v>0</v>
      </c>
      <c r="E216">
        <v>100</v>
      </c>
      <c r="F216">
        <v>100</v>
      </c>
      <c r="G216">
        <v>0</v>
      </c>
      <c r="H216" t="s">
        <v>228</v>
      </c>
      <c r="I216" t="s">
        <v>316</v>
      </c>
      <c r="J216">
        <v>5</v>
      </c>
      <c r="K216" s="9" t="s">
        <v>1430</v>
      </c>
      <c r="L216" s="9" t="s">
        <v>2376</v>
      </c>
      <c r="M216" s="9"/>
      <c r="N216" s="9"/>
      <c r="O216" s="9">
        <v>0.996</v>
      </c>
    </row>
    <row r="217" spans="1:18">
      <c r="A217" t="s">
        <v>313</v>
      </c>
      <c r="B217" t="s">
        <v>999</v>
      </c>
      <c r="C217" t="s">
        <v>317</v>
      </c>
      <c r="D217">
        <v>9</v>
      </c>
      <c r="E217">
        <v>100.24</v>
      </c>
      <c r="F217">
        <v>100.24</v>
      </c>
      <c r="G217">
        <v>0</v>
      </c>
      <c r="H217" t="s">
        <v>228</v>
      </c>
      <c r="I217" t="s">
        <v>316</v>
      </c>
      <c r="J217">
        <v>5</v>
      </c>
      <c r="K217" t="s">
        <v>181</v>
      </c>
      <c r="L217" t="s">
        <v>2377</v>
      </c>
      <c r="N217">
        <v>1.022</v>
      </c>
      <c r="O217">
        <v>0.94699999999999995</v>
      </c>
    </row>
    <row r="218" spans="1:18">
      <c r="A218" t="s">
        <v>313</v>
      </c>
      <c r="B218" t="s">
        <v>999</v>
      </c>
      <c r="C218" t="s">
        <v>317</v>
      </c>
      <c r="D218">
        <v>16</v>
      </c>
      <c r="E218">
        <v>97.8</v>
      </c>
      <c r="F218">
        <v>97.8</v>
      </c>
      <c r="G218">
        <v>0</v>
      </c>
      <c r="H218" t="s">
        <v>228</v>
      </c>
      <c r="I218" t="s">
        <v>316</v>
      </c>
      <c r="J218">
        <v>5</v>
      </c>
    </row>
    <row r="219" spans="1:18">
      <c r="A219" t="s">
        <v>313</v>
      </c>
      <c r="B219" t="s">
        <v>999</v>
      </c>
      <c r="C219" t="s">
        <v>317</v>
      </c>
      <c r="D219">
        <v>23</v>
      </c>
      <c r="E219">
        <v>96.9</v>
      </c>
      <c r="F219">
        <v>96.9</v>
      </c>
      <c r="G219">
        <v>0</v>
      </c>
      <c r="H219" t="s">
        <v>228</v>
      </c>
      <c r="I219" t="s">
        <v>316</v>
      </c>
      <c r="J219">
        <v>5</v>
      </c>
    </row>
    <row r="220" spans="1:18">
      <c r="A220" t="s">
        <v>313</v>
      </c>
      <c r="B220" t="s">
        <v>999</v>
      </c>
      <c r="C220" t="s">
        <v>317</v>
      </c>
      <c r="D220">
        <v>30</v>
      </c>
      <c r="E220">
        <v>93.6</v>
      </c>
      <c r="F220">
        <v>93.6</v>
      </c>
      <c r="G220">
        <v>0</v>
      </c>
      <c r="H220" t="s">
        <v>228</v>
      </c>
      <c r="I220" t="s">
        <v>316</v>
      </c>
      <c r="J220">
        <v>5</v>
      </c>
    </row>
    <row r="221" spans="1:18">
      <c r="A221" t="s">
        <v>313</v>
      </c>
      <c r="B221" t="s">
        <v>999</v>
      </c>
      <c r="C221" t="s">
        <v>317</v>
      </c>
      <c r="D221">
        <v>36</v>
      </c>
      <c r="E221">
        <v>80.900000000000006</v>
      </c>
      <c r="F221">
        <v>80.900000000000006</v>
      </c>
      <c r="G221">
        <v>0</v>
      </c>
      <c r="H221" t="s">
        <v>228</v>
      </c>
      <c r="I221" t="s">
        <v>316</v>
      </c>
      <c r="J221">
        <v>5</v>
      </c>
    </row>
    <row r="222" spans="1:18">
      <c r="A222" t="s">
        <v>313</v>
      </c>
      <c r="B222" t="s">
        <v>999</v>
      </c>
      <c r="C222" t="s">
        <v>317</v>
      </c>
      <c r="D222">
        <v>56</v>
      </c>
      <c r="E222">
        <v>46.6</v>
      </c>
      <c r="F222">
        <v>46.6</v>
      </c>
      <c r="G222">
        <v>0</v>
      </c>
      <c r="H222" t="s">
        <v>228</v>
      </c>
      <c r="I222" t="s">
        <v>316</v>
      </c>
      <c r="J222">
        <v>5</v>
      </c>
    </row>
    <row r="223" spans="1:18">
      <c r="A223" t="s">
        <v>313</v>
      </c>
      <c r="B223" t="s">
        <v>999</v>
      </c>
      <c r="C223" t="s">
        <v>317</v>
      </c>
      <c r="D223">
        <v>108</v>
      </c>
      <c r="E223">
        <v>0</v>
      </c>
      <c r="F223">
        <v>0</v>
      </c>
      <c r="G223">
        <v>0</v>
      </c>
      <c r="H223" t="s">
        <v>228</v>
      </c>
      <c r="I223" t="s">
        <v>316</v>
      </c>
      <c r="J223">
        <v>5</v>
      </c>
    </row>
    <row r="224" spans="1:18">
      <c r="A224" t="s">
        <v>334</v>
      </c>
      <c r="B224" t="s">
        <v>186</v>
      </c>
      <c r="C224" t="s">
        <v>335</v>
      </c>
      <c r="D224">
        <v>0</v>
      </c>
      <c r="E224">
        <v>100</v>
      </c>
      <c r="F224">
        <v>7</v>
      </c>
      <c r="G224">
        <v>7</v>
      </c>
      <c r="H224" t="s">
        <v>336</v>
      </c>
      <c r="I224" t="s">
        <v>327</v>
      </c>
      <c r="J224">
        <v>6</v>
      </c>
      <c r="K224" s="12" t="s">
        <v>1385</v>
      </c>
      <c r="L224" s="12" t="s">
        <v>1431</v>
      </c>
      <c r="M224" s="12">
        <v>3.3099999999999997E-2</v>
      </c>
      <c r="N224" s="12"/>
      <c r="O224" s="12">
        <v>0.95</v>
      </c>
      <c r="P224">
        <v>33</v>
      </c>
      <c r="Q224" t="s">
        <v>1434</v>
      </c>
      <c r="R224">
        <v>0.04</v>
      </c>
    </row>
    <row r="225" spans="1:18">
      <c r="A225" t="s">
        <v>334</v>
      </c>
      <c r="B225" t="s">
        <v>186</v>
      </c>
      <c r="C225" t="s">
        <v>335</v>
      </c>
      <c r="D225">
        <v>5</v>
      </c>
      <c r="E225">
        <f t="shared" ref="E225:E267" si="1">F225/G225*100</f>
        <v>92.857142857142861</v>
      </c>
      <c r="F225">
        <v>6.5</v>
      </c>
      <c r="G225">
        <v>7</v>
      </c>
      <c r="H225" t="s">
        <v>336</v>
      </c>
      <c r="I225" t="s">
        <v>327</v>
      </c>
      <c r="J225">
        <v>6</v>
      </c>
    </row>
    <row r="226" spans="1:18">
      <c r="A226" t="s">
        <v>334</v>
      </c>
      <c r="B226" t="s">
        <v>186</v>
      </c>
      <c r="C226" t="s">
        <v>335</v>
      </c>
      <c r="D226">
        <v>15</v>
      </c>
      <c r="E226">
        <f t="shared" si="1"/>
        <v>85.714285714285708</v>
      </c>
      <c r="F226">
        <v>6</v>
      </c>
      <c r="G226">
        <v>7</v>
      </c>
      <c r="H226" t="s">
        <v>336</v>
      </c>
      <c r="I226" t="s">
        <v>327</v>
      </c>
      <c r="J226">
        <v>6</v>
      </c>
    </row>
    <row r="227" spans="1:18">
      <c r="A227" t="s">
        <v>334</v>
      </c>
      <c r="B227" t="s">
        <v>186</v>
      </c>
      <c r="C227" t="s">
        <v>335</v>
      </c>
      <c r="D227">
        <v>30</v>
      </c>
      <c r="E227">
        <f t="shared" si="1"/>
        <v>52.857142857142861</v>
      </c>
      <c r="F227">
        <v>3.7</v>
      </c>
      <c r="G227">
        <v>7</v>
      </c>
      <c r="H227" t="s">
        <v>336</v>
      </c>
      <c r="I227" t="s">
        <v>327</v>
      </c>
      <c r="J227">
        <v>6</v>
      </c>
    </row>
    <row r="228" spans="1:18">
      <c r="A228" t="s">
        <v>334</v>
      </c>
      <c r="B228" t="s">
        <v>186</v>
      </c>
      <c r="C228" t="s">
        <v>335</v>
      </c>
      <c r="D228">
        <v>60</v>
      </c>
      <c r="E228">
        <f t="shared" si="1"/>
        <v>47.142857142857139</v>
      </c>
      <c r="F228">
        <v>3.3</v>
      </c>
      <c r="G228">
        <v>7</v>
      </c>
      <c r="H228" t="s">
        <v>336</v>
      </c>
      <c r="I228" t="s">
        <v>327</v>
      </c>
      <c r="J228">
        <v>6</v>
      </c>
    </row>
    <row r="229" spans="1:18">
      <c r="A229" t="s">
        <v>334</v>
      </c>
      <c r="B229" t="s">
        <v>186</v>
      </c>
      <c r="C229" t="s">
        <v>335</v>
      </c>
      <c r="D229">
        <v>90</v>
      </c>
      <c r="E229">
        <f t="shared" si="1"/>
        <v>42.857142857142854</v>
      </c>
      <c r="F229">
        <v>3</v>
      </c>
      <c r="G229">
        <v>7</v>
      </c>
      <c r="H229" t="s">
        <v>336</v>
      </c>
      <c r="I229" t="s">
        <v>327</v>
      </c>
      <c r="J229">
        <v>6</v>
      </c>
    </row>
    <row r="230" spans="1:18">
      <c r="A230" t="s">
        <v>334</v>
      </c>
      <c r="B230" t="s">
        <v>186</v>
      </c>
      <c r="C230" t="s">
        <v>335</v>
      </c>
      <c r="D230">
        <v>120</v>
      </c>
      <c r="E230">
        <f t="shared" si="1"/>
        <v>38.571428571428577</v>
      </c>
      <c r="F230">
        <v>2.7</v>
      </c>
      <c r="G230">
        <v>7</v>
      </c>
      <c r="H230" t="s">
        <v>336</v>
      </c>
      <c r="I230" t="s">
        <v>327</v>
      </c>
      <c r="J230">
        <v>6</v>
      </c>
    </row>
    <row r="231" spans="1:18">
      <c r="A231" t="s">
        <v>334</v>
      </c>
      <c r="B231" t="s">
        <v>186</v>
      </c>
      <c r="C231" t="s">
        <v>335</v>
      </c>
      <c r="D231">
        <v>150</v>
      </c>
      <c r="E231">
        <f t="shared" si="1"/>
        <v>37.142857142857146</v>
      </c>
      <c r="F231">
        <v>2.6</v>
      </c>
      <c r="G231">
        <v>7</v>
      </c>
      <c r="H231" t="s">
        <v>336</v>
      </c>
      <c r="I231" t="s">
        <v>327</v>
      </c>
      <c r="J231">
        <v>6</v>
      </c>
    </row>
    <row r="232" spans="1:18">
      <c r="A232" t="s">
        <v>334</v>
      </c>
      <c r="B232" t="s">
        <v>186</v>
      </c>
      <c r="C232" t="s">
        <v>335</v>
      </c>
      <c r="D232">
        <v>0</v>
      </c>
      <c r="E232">
        <f t="shared" si="1"/>
        <v>100</v>
      </c>
      <c r="F232">
        <v>6.2</v>
      </c>
      <c r="G232">
        <v>6.2</v>
      </c>
      <c r="H232" t="s">
        <v>336</v>
      </c>
      <c r="I232" t="s">
        <v>319</v>
      </c>
      <c r="J232">
        <v>6</v>
      </c>
      <c r="K232" s="1" t="s">
        <v>1412</v>
      </c>
      <c r="L232" t="s">
        <v>1432</v>
      </c>
      <c r="O232">
        <v>0.98</v>
      </c>
      <c r="Q232" t="s">
        <v>1434</v>
      </c>
      <c r="R232">
        <v>0.09</v>
      </c>
    </row>
    <row r="233" spans="1:18">
      <c r="A233" t="s">
        <v>334</v>
      </c>
      <c r="B233" t="s">
        <v>186</v>
      </c>
      <c r="C233" t="s">
        <v>335</v>
      </c>
      <c r="D233">
        <v>5</v>
      </c>
      <c r="E233">
        <f t="shared" si="1"/>
        <v>70.967741935483872</v>
      </c>
      <c r="F233">
        <v>4.4000000000000004</v>
      </c>
      <c r="G233">
        <v>6.2</v>
      </c>
      <c r="H233" t="s">
        <v>336</v>
      </c>
      <c r="I233" t="s">
        <v>319</v>
      </c>
      <c r="J233">
        <v>6</v>
      </c>
      <c r="K233" s="10" t="s">
        <v>1385</v>
      </c>
      <c r="L233" s="10" t="s">
        <v>1433</v>
      </c>
      <c r="M233" s="10">
        <v>9.9199999999999997E-2</v>
      </c>
      <c r="N233" s="10"/>
      <c r="O233" s="10">
        <v>0.97</v>
      </c>
      <c r="P233" s="2">
        <v>7</v>
      </c>
    </row>
    <row r="234" spans="1:18">
      <c r="A234" t="s">
        <v>334</v>
      </c>
      <c r="B234" t="s">
        <v>186</v>
      </c>
      <c r="C234" t="s">
        <v>335</v>
      </c>
      <c r="D234">
        <v>15</v>
      </c>
      <c r="E234">
        <f t="shared" si="1"/>
        <v>54.838709677419352</v>
      </c>
      <c r="F234">
        <v>3.4</v>
      </c>
      <c r="G234">
        <v>6.2</v>
      </c>
      <c r="H234" t="s">
        <v>336</v>
      </c>
      <c r="I234" t="s">
        <v>319</v>
      </c>
      <c r="J234">
        <v>6</v>
      </c>
    </row>
    <row r="235" spans="1:18">
      <c r="A235" t="s">
        <v>334</v>
      </c>
      <c r="B235" t="s">
        <v>186</v>
      </c>
      <c r="C235" t="s">
        <v>335</v>
      </c>
      <c r="D235">
        <v>30</v>
      </c>
      <c r="E235">
        <f t="shared" si="1"/>
        <v>48.387096774193544</v>
      </c>
      <c r="F235">
        <v>3</v>
      </c>
      <c r="G235">
        <v>6.2</v>
      </c>
      <c r="H235" t="s">
        <v>336</v>
      </c>
      <c r="I235" t="s">
        <v>319</v>
      </c>
      <c r="J235">
        <v>6</v>
      </c>
    </row>
    <row r="236" spans="1:18">
      <c r="A236" t="s">
        <v>334</v>
      </c>
      <c r="B236" t="s">
        <v>186</v>
      </c>
      <c r="C236" t="s">
        <v>335</v>
      </c>
      <c r="D236">
        <v>60</v>
      </c>
      <c r="E236">
        <f t="shared" si="1"/>
        <v>40.322580645161288</v>
      </c>
      <c r="F236">
        <v>2.5</v>
      </c>
      <c r="G236">
        <v>6.2</v>
      </c>
      <c r="H236" t="s">
        <v>336</v>
      </c>
      <c r="I236" t="s">
        <v>319</v>
      </c>
      <c r="J236">
        <v>6</v>
      </c>
    </row>
    <row r="237" spans="1:18">
      <c r="A237" t="s">
        <v>334</v>
      </c>
      <c r="B237" t="s">
        <v>186</v>
      </c>
      <c r="C237" t="s">
        <v>335</v>
      </c>
      <c r="D237">
        <v>90</v>
      </c>
      <c r="E237">
        <f t="shared" si="1"/>
        <v>38.70967741935484</v>
      </c>
      <c r="F237">
        <v>2.4</v>
      </c>
      <c r="G237">
        <v>6.2</v>
      </c>
      <c r="H237" t="s">
        <v>336</v>
      </c>
      <c r="I237" t="s">
        <v>319</v>
      </c>
      <c r="J237">
        <v>6</v>
      </c>
    </row>
    <row r="238" spans="1:18">
      <c r="A238" t="s">
        <v>334</v>
      </c>
      <c r="B238" t="s">
        <v>186</v>
      </c>
      <c r="C238" t="s">
        <v>335</v>
      </c>
      <c r="D238">
        <v>120</v>
      </c>
      <c r="E238">
        <f t="shared" si="1"/>
        <v>38.70967741935484</v>
      </c>
      <c r="F238">
        <v>2.4</v>
      </c>
      <c r="G238">
        <v>6.2</v>
      </c>
      <c r="H238" t="s">
        <v>336</v>
      </c>
      <c r="I238" t="s">
        <v>319</v>
      </c>
      <c r="J238">
        <v>6</v>
      </c>
    </row>
    <row r="239" spans="1:18">
      <c r="A239" t="s">
        <v>334</v>
      </c>
      <c r="B239" t="s">
        <v>186</v>
      </c>
      <c r="C239" t="s">
        <v>335</v>
      </c>
      <c r="D239">
        <v>150</v>
      </c>
      <c r="E239">
        <f t="shared" si="1"/>
        <v>38.70967741935484</v>
      </c>
      <c r="F239">
        <v>2.4</v>
      </c>
      <c r="G239">
        <v>6.2</v>
      </c>
      <c r="H239" t="s">
        <v>336</v>
      </c>
      <c r="I239" t="s">
        <v>319</v>
      </c>
      <c r="J239">
        <v>6</v>
      </c>
    </row>
    <row r="240" spans="1:18">
      <c r="A240" t="s">
        <v>358</v>
      </c>
      <c r="B240" t="s">
        <v>999</v>
      </c>
      <c r="C240" t="s">
        <v>359</v>
      </c>
      <c r="D240">
        <v>0</v>
      </c>
      <c r="E240">
        <f t="shared" si="1"/>
        <v>100</v>
      </c>
      <c r="F240">
        <v>1.25</v>
      </c>
      <c r="G240">
        <v>1.25</v>
      </c>
      <c r="H240" t="s">
        <v>360</v>
      </c>
      <c r="I240" t="s">
        <v>361</v>
      </c>
      <c r="J240">
        <v>20</v>
      </c>
      <c r="K240" s="1" t="s">
        <v>1385</v>
      </c>
      <c r="L240" s="1" t="s">
        <v>1435</v>
      </c>
      <c r="M240" s="1">
        <v>0.19520000000000001</v>
      </c>
      <c r="N240" s="1"/>
      <c r="O240" s="1">
        <v>0.94</v>
      </c>
      <c r="P240" s="1">
        <v>3.5</v>
      </c>
      <c r="Q240" s="1" t="s">
        <v>1385</v>
      </c>
      <c r="R240">
        <v>6.7877999999999994E-2</v>
      </c>
    </row>
    <row r="241" spans="1:18">
      <c r="A241" t="s">
        <v>358</v>
      </c>
      <c r="B241" t="s">
        <v>999</v>
      </c>
      <c r="C241" t="s">
        <v>359</v>
      </c>
      <c r="D241">
        <v>5</v>
      </c>
      <c r="E241">
        <f t="shared" si="1"/>
        <v>51.2</v>
      </c>
      <c r="F241">
        <v>0.64</v>
      </c>
      <c r="G241">
        <v>1.25</v>
      </c>
      <c r="H241" t="s">
        <v>360</v>
      </c>
      <c r="I241" t="s">
        <v>361</v>
      </c>
      <c r="J241">
        <v>20</v>
      </c>
    </row>
    <row r="242" spans="1:18">
      <c r="A242" t="s">
        <v>358</v>
      </c>
      <c r="B242" t="s">
        <v>999</v>
      </c>
      <c r="C242" t="s">
        <v>359</v>
      </c>
      <c r="D242">
        <v>10</v>
      </c>
      <c r="E242">
        <f t="shared" si="1"/>
        <v>44.800000000000004</v>
      </c>
      <c r="F242">
        <v>0.56000000000000005</v>
      </c>
      <c r="G242">
        <v>1.25</v>
      </c>
      <c r="H242" t="s">
        <v>360</v>
      </c>
      <c r="I242" t="s">
        <v>361</v>
      </c>
      <c r="J242">
        <v>20</v>
      </c>
    </row>
    <row r="243" spans="1:18">
      <c r="A243" t="s">
        <v>358</v>
      </c>
      <c r="B243" t="s">
        <v>999</v>
      </c>
      <c r="C243" t="s">
        <v>359</v>
      </c>
      <c r="D243">
        <v>20</v>
      </c>
      <c r="E243">
        <f t="shared" si="1"/>
        <v>27.200000000000003</v>
      </c>
      <c r="F243">
        <v>0.34</v>
      </c>
      <c r="G243">
        <v>1.25</v>
      </c>
      <c r="H243" t="s">
        <v>360</v>
      </c>
      <c r="I243" t="s">
        <v>361</v>
      </c>
      <c r="J243">
        <v>20</v>
      </c>
    </row>
    <row r="244" spans="1:18">
      <c r="A244" t="s">
        <v>358</v>
      </c>
      <c r="B244" t="s">
        <v>999</v>
      </c>
      <c r="C244" t="s">
        <v>359</v>
      </c>
      <c r="D244">
        <v>0</v>
      </c>
      <c r="E244">
        <f t="shared" si="1"/>
        <v>100</v>
      </c>
      <c r="F244">
        <v>1.25</v>
      </c>
      <c r="G244">
        <v>1.25</v>
      </c>
      <c r="H244" t="s">
        <v>360</v>
      </c>
      <c r="I244" t="s">
        <v>362</v>
      </c>
      <c r="J244">
        <v>20</v>
      </c>
      <c r="K244" s="1" t="s">
        <v>1385</v>
      </c>
      <c r="L244" s="1" t="s">
        <v>1436</v>
      </c>
      <c r="M244" s="1">
        <v>0.12230000000000001</v>
      </c>
      <c r="N244" s="1"/>
      <c r="O244" s="1">
        <v>0.95</v>
      </c>
      <c r="P244">
        <v>5.5</v>
      </c>
      <c r="Q244" s="1" t="s">
        <v>1385</v>
      </c>
      <c r="R244">
        <v>5.7100999999999999E-2</v>
      </c>
    </row>
    <row r="245" spans="1:18">
      <c r="A245" t="s">
        <v>358</v>
      </c>
      <c r="B245" t="s">
        <v>999</v>
      </c>
      <c r="C245" t="s">
        <v>359</v>
      </c>
      <c r="D245">
        <v>5</v>
      </c>
      <c r="E245">
        <f t="shared" si="1"/>
        <v>62.4</v>
      </c>
      <c r="F245">
        <v>0.78</v>
      </c>
      <c r="G245">
        <v>1.25</v>
      </c>
      <c r="H245" t="s">
        <v>360</v>
      </c>
      <c r="I245" t="s">
        <v>362</v>
      </c>
      <c r="J245">
        <v>20</v>
      </c>
    </row>
    <row r="246" spans="1:18">
      <c r="A246" t="s">
        <v>358</v>
      </c>
      <c r="B246" t="s">
        <v>999</v>
      </c>
      <c r="C246" t="s">
        <v>359</v>
      </c>
      <c r="D246">
        <v>10</v>
      </c>
      <c r="E246">
        <f t="shared" si="1"/>
        <v>52.800000000000004</v>
      </c>
      <c r="F246">
        <v>0.66</v>
      </c>
      <c r="G246">
        <v>1.25</v>
      </c>
      <c r="H246" t="s">
        <v>360</v>
      </c>
      <c r="I246" t="s">
        <v>362</v>
      </c>
      <c r="J246">
        <v>20</v>
      </c>
    </row>
    <row r="247" spans="1:18">
      <c r="A247" t="s">
        <v>358</v>
      </c>
      <c r="B247" t="s">
        <v>999</v>
      </c>
      <c r="C247" t="s">
        <v>359</v>
      </c>
      <c r="D247">
        <v>20</v>
      </c>
      <c r="E247">
        <f t="shared" si="1"/>
        <v>32</v>
      </c>
      <c r="F247">
        <v>0.4</v>
      </c>
      <c r="G247">
        <v>1.25</v>
      </c>
      <c r="H247" t="s">
        <v>360</v>
      </c>
      <c r="I247" t="s">
        <v>362</v>
      </c>
      <c r="J247">
        <v>20</v>
      </c>
    </row>
    <row r="248" spans="1:18">
      <c r="A248" t="s">
        <v>358</v>
      </c>
      <c r="B248" t="s">
        <v>999</v>
      </c>
      <c r="C248" t="s">
        <v>359</v>
      </c>
      <c r="D248">
        <v>0</v>
      </c>
      <c r="E248">
        <f t="shared" si="1"/>
        <v>100</v>
      </c>
      <c r="F248">
        <v>1.25</v>
      </c>
      <c r="G248">
        <v>1.25</v>
      </c>
      <c r="H248" t="s">
        <v>360</v>
      </c>
      <c r="I248" t="s">
        <v>363</v>
      </c>
      <c r="J248">
        <v>20</v>
      </c>
      <c r="K248" s="1" t="s">
        <v>1385</v>
      </c>
      <c r="L248" s="1" t="s">
        <v>1437</v>
      </c>
      <c r="M248" s="1">
        <v>0.32029999999999997</v>
      </c>
      <c r="N248" s="1"/>
      <c r="O248" s="1">
        <v>0.94</v>
      </c>
      <c r="P248">
        <v>2.1</v>
      </c>
      <c r="Q248" s="1" t="s">
        <v>1385</v>
      </c>
      <c r="R248">
        <v>4.0224999999999997E-2</v>
      </c>
    </row>
    <row r="249" spans="1:18">
      <c r="A249" t="s">
        <v>358</v>
      </c>
      <c r="B249" t="s">
        <v>999</v>
      </c>
      <c r="C249" t="s">
        <v>359</v>
      </c>
      <c r="D249">
        <v>5</v>
      </c>
      <c r="E249">
        <f t="shared" si="1"/>
        <v>58.4</v>
      </c>
      <c r="F249">
        <v>0.73</v>
      </c>
      <c r="G249">
        <v>1.25</v>
      </c>
      <c r="H249" t="s">
        <v>360</v>
      </c>
      <c r="I249" t="s">
        <v>363</v>
      </c>
      <c r="J249">
        <v>20</v>
      </c>
    </row>
    <row r="250" spans="1:18">
      <c r="A250" t="s">
        <v>358</v>
      </c>
      <c r="B250" t="s">
        <v>999</v>
      </c>
      <c r="C250" t="s">
        <v>359</v>
      </c>
      <c r="D250">
        <v>10</v>
      </c>
      <c r="E250">
        <f t="shared" si="1"/>
        <v>56.8</v>
      </c>
      <c r="F250">
        <v>0.71</v>
      </c>
      <c r="G250">
        <v>1.25</v>
      </c>
      <c r="H250" t="s">
        <v>360</v>
      </c>
      <c r="I250" t="s">
        <v>363</v>
      </c>
      <c r="J250">
        <v>20</v>
      </c>
    </row>
    <row r="251" spans="1:18">
      <c r="A251" t="s">
        <v>358</v>
      </c>
      <c r="B251" t="s">
        <v>999</v>
      </c>
      <c r="C251" t="s">
        <v>359</v>
      </c>
      <c r="D251">
        <v>20</v>
      </c>
      <c r="E251">
        <f t="shared" si="1"/>
        <v>47.199999999999996</v>
      </c>
      <c r="F251">
        <v>0.59</v>
      </c>
      <c r="G251">
        <v>1.25</v>
      </c>
      <c r="H251" t="s">
        <v>360</v>
      </c>
      <c r="I251" t="s">
        <v>363</v>
      </c>
      <c r="J251">
        <v>20</v>
      </c>
    </row>
    <row r="252" spans="1:18">
      <c r="A252" t="s">
        <v>358</v>
      </c>
      <c r="B252" t="s">
        <v>999</v>
      </c>
      <c r="C252" t="s">
        <v>359</v>
      </c>
      <c r="D252">
        <v>0</v>
      </c>
      <c r="E252">
        <f t="shared" si="1"/>
        <v>100</v>
      </c>
      <c r="F252">
        <v>1.25</v>
      </c>
      <c r="G252">
        <v>1.25</v>
      </c>
      <c r="H252" t="s">
        <v>360</v>
      </c>
      <c r="I252" t="s">
        <v>364</v>
      </c>
      <c r="J252">
        <v>20</v>
      </c>
      <c r="K252" s="1" t="s">
        <v>1385</v>
      </c>
      <c r="L252" s="1" t="s">
        <v>1438</v>
      </c>
      <c r="M252" s="1">
        <v>0.23680000000000001</v>
      </c>
      <c r="N252" s="1"/>
      <c r="O252" s="1">
        <v>0.94</v>
      </c>
      <c r="P252">
        <v>2.9</v>
      </c>
      <c r="Q252" s="1" t="s">
        <v>1385</v>
      </c>
      <c r="R252">
        <v>6.2950000000000006E-2</v>
      </c>
    </row>
    <row r="253" spans="1:18">
      <c r="A253" t="s">
        <v>358</v>
      </c>
      <c r="B253" t="s">
        <v>999</v>
      </c>
      <c r="C253" t="s">
        <v>359</v>
      </c>
      <c r="D253">
        <v>5</v>
      </c>
      <c r="E253">
        <f t="shared" si="1"/>
        <v>51.2</v>
      </c>
      <c r="F253">
        <v>0.64</v>
      </c>
      <c r="G253">
        <v>1.25</v>
      </c>
      <c r="H253" t="s">
        <v>360</v>
      </c>
      <c r="I253" t="s">
        <v>364</v>
      </c>
      <c r="J253">
        <v>20</v>
      </c>
    </row>
    <row r="254" spans="1:18">
      <c r="A254" t="s">
        <v>358</v>
      </c>
      <c r="B254" t="s">
        <v>999</v>
      </c>
      <c r="C254" t="s">
        <v>359</v>
      </c>
      <c r="D254">
        <v>10</v>
      </c>
      <c r="E254">
        <f t="shared" si="1"/>
        <v>46.4</v>
      </c>
      <c r="F254">
        <v>0.57999999999999996</v>
      </c>
      <c r="G254">
        <v>1.25</v>
      </c>
      <c r="H254" t="s">
        <v>360</v>
      </c>
      <c r="I254" t="s">
        <v>364</v>
      </c>
      <c r="J254">
        <v>20</v>
      </c>
    </row>
    <row r="255" spans="1:18">
      <c r="A255" t="s">
        <v>358</v>
      </c>
      <c r="B255" t="s">
        <v>999</v>
      </c>
      <c r="C255" t="s">
        <v>359</v>
      </c>
      <c r="D255">
        <v>20</v>
      </c>
      <c r="E255">
        <f t="shared" si="1"/>
        <v>32</v>
      </c>
      <c r="F255">
        <v>0.4</v>
      </c>
      <c r="G255">
        <v>1.25</v>
      </c>
      <c r="H255" t="s">
        <v>360</v>
      </c>
      <c r="I255" t="s">
        <v>364</v>
      </c>
      <c r="J255">
        <v>20</v>
      </c>
    </row>
    <row r="256" spans="1:18">
      <c r="A256" t="s">
        <v>358</v>
      </c>
      <c r="B256" t="s">
        <v>999</v>
      </c>
      <c r="C256" t="s">
        <v>359</v>
      </c>
      <c r="D256">
        <v>0</v>
      </c>
      <c r="E256">
        <f t="shared" si="1"/>
        <v>100</v>
      </c>
      <c r="F256">
        <v>1.25</v>
      </c>
      <c r="G256">
        <v>1.25</v>
      </c>
      <c r="H256" t="s">
        <v>360</v>
      </c>
      <c r="I256" t="s">
        <v>365</v>
      </c>
      <c r="J256">
        <v>20</v>
      </c>
      <c r="K256" s="1" t="s">
        <v>1385</v>
      </c>
      <c r="L256" s="1" t="s">
        <v>1439</v>
      </c>
      <c r="M256" s="1">
        <v>0.16700000000000001</v>
      </c>
      <c r="N256" s="1"/>
      <c r="O256" s="1">
        <v>0.95</v>
      </c>
      <c r="P256">
        <v>4.0999999999999996</v>
      </c>
      <c r="Q256" s="1" t="s">
        <v>1385</v>
      </c>
      <c r="R256">
        <v>7.2806999999999997E-2</v>
      </c>
    </row>
    <row r="257" spans="1:18">
      <c r="A257" t="s">
        <v>358</v>
      </c>
      <c r="B257" t="s">
        <v>999</v>
      </c>
      <c r="C257" t="s">
        <v>359</v>
      </c>
      <c r="D257">
        <v>5</v>
      </c>
      <c r="E257">
        <f t="shared" si="1"/>
        <v>50.4</v>
      </c>
      <c r="F257">
        <v>0.63</v>
      </c>
      <c r="G257">
        <v>1.25</v>
      </c>
      <c r="H257" t="s">
        <v>360</v>
      </c>
      <c r="I257" t="s">
        <v>365</v>
      </c>
      <c r="J257">
        <v>20</v>
      </c>
    </row>
    <row r="258" spans="1:18">
      <c r="A258" t="s">
        <v>358</v>
      </c>
      <c r="B258" t="s">
        <v>999</v>
      </c>
      <c r="C258" t="s">
        <v>359</v>
      </c>
      <c r="D258">
        <v>10</v>
      </c>
      <c r="E258">
        <f t="shared" si="1"/>
        <v>40.800000000000004</v>
      </c>
      <c r="F258">
        <v>0.51</v>
      </c>
      <c r="G258">
        <v>1.25</v>
      </c>
      <c r="H258" t="s">
        <v>360</v>
      </c>
      <c r="I258" t="s">
        <v>365</v>
      </c>
      <c r="J258">
        <v>20</v>
      </c>
    </row>
    <row r="259" spans="1:18">
      <c r="A259" t="s">
        <v>358</v>
      </c>
      <c r="B259" t="s">
        <v>999</v>
      </c>
      <c r="C259" t="s">
        <v>359</v>
      </c>
      <c r="D259">
        <v>20</v>
      </c>
      <c r="E259">
        <f t="shared" si="1"/>
        <v>20.8</v>
      </c>
      <c r="F259">
        <v>0.26</v>
      </c>
      <c r="G259">
        <v>1.25</v>
      </c>
      <c r="H259" t="s">
        <v>360</v>
      </c>
      <c r="I259" t="s">
        <v>365</v>
      </c>
      <c r="J259">
        <v>20</v>
      </c>
    </row>
    <row r="260" spans="1:18">
      <c r="A260" t="s">
        <v>358</v>
      </c>
      <c r="B260" t="s">
        <v>999</v>
      </c>
      <c r="C260" t="s">
        <v>359</v>
      </c>
      <c r="D260">
        <v>0</v>
      </c>
      <c r="E260">
        <f t="shared" si="1"/>
        <v>100</v>
      </c>
      <c r="F260">
        <v>1.25</v>
      </c>
      <c r="G260">
        <v>1.25</v>
      </c>
      <c r="H260" t="s">
        <v>360</v>
      </c>
      <c r="I260" t="s">
        <v>366</v>
      </c>
      <c r="J260">
        <v>20</v>
      </c>
      <c r="K260" s="1" t="s">
        <v>1385</v>
      </c>
      <c r="L260" s="1" t="s">
        <v>1440</v>
      </c>
      <c r="M260" s="1">
        <v>0.2334</v>
      </c>
      <c r="N260" s="1"/>
      <c r="O260" s="1">
        <v>0.98</v>
      </c>
      <c r="P260">
        <v>2.9</v>
      </c>
      <c r="Q260" s="1" t="s">
        <v>1385</v>
      </c>
      <c r="R260">
        <v>7.5502E-2</v>
      </c>
    </row>
    <row r="261" spans="1:18">
      <c r="A261" t="s">
        <v>358</v>
      </c>
      <c r="B261" t="s">
        <v>999</v>
      </c>
      <c r="C261" t="s">
        <v>359</v>
      </c>
      <c r="D261">
        <v>5</v>
      </c>
      <c r="E261">
        <f t="shared" si="1"/>
        <v>48</v>
      </c>
      <c r="F261">
        <v>0.6</v>
      </c>
      <c r="G261">
        <v>1.25</v>
      </c>
      <c r="H261" t="s">
        <v>360</v>
      </c>
      <c r="I261" t="s">
        <v>366</v>
      </c>
      <c r="J261">
        <v>20</v>
      </c>
    </row>
    <row r="262" spans="1:18">
      <c r="A262" t="s">
        <v>358</v>
      </c>
      <c r="B262" t="s">
        <v>999</v>
      </c>
      <c r="C262" t="s">
        <v>359</v>
      </c>
      <c r="D262">
        <v>10</v>
      </c>
      <c r="E262">
        <f t="shared" si="1"/>
        <v>38.4</v>
      </c>
      <c r="F262">
        <v>0.48</v>
      </c>
      <c r="G262">
        <v>1.25</v>
      </c>
      <c r="H262" t="s">
        <v>360</v>
      </c>
      <c r="I262" t="s">
        <v>366</v>
      </c>
      <c r="J262">
        <v>20</v>
      </c>
    </row>
    <row r="263" spans="1:18">
      <c r="A263" t="s">
        <v>358</v>
      </c>
      <c r="B263" t="s">
        <v>999</v>
      </c>
      <c r="C263" t="s">
        <v>359</v>
      </c>
      <c r="D263">
        <v>20</v>
      </c>
      <c r="E263">
        <f t="shared" si="1"/>
        <v>26.400000000000002</v>
      </c>
      <c r="F263">
        <v>0.33</v>
      </c>
      <c r="G263">
        <v>1.25</v>
      </c>
      <c r="H263" t="s">
        <v>360</v>
      </c>
      <c r="I263" t="s">
        <v>366</v>
      </c>
      <c r="J263">
        <v>20</v>
      </c>
    </row>
    <row r="264" spans="1:18">
      <c r="A264" t="s">
        <v>358</v>
      </c>
      <c r="B264" t="s">
        <v>999</v>
      </c>
      <c r="C264" t="s">
        <v>359</v>
      </c>
      <c r="D264">
        <v>0</v>
      </c>
      <c r="E264">
        <f t="shared" si="1"/>
        <v>100</v>
      </c>
      <c r="F264">
        <v>1.25</v>
      </c>
      <c r="G264">
        <v>1.25</v>
      </c>
      <c r="H264" t="s">
        <v>360</v>
      </c>
      <c r="I264" t="s">
        <v>367</v>
      </c>
      <c r="J264">
        <v>20</v>
      </c>
      <c r="K264" s="1" t="s">
        <v>1385</v>
      </c>
      <c r="L264" s="1" t="s">
        <v>1441</v>
      </c>
      <c r="M264" s="1">
        <v>0.22170000000000001</v>
      </c>
      <c r="N264" s="1"/>
      <c r="O264" s="1">
        <v>0.93</v>
      </c>
      <c r="P264">
        <v>3.1</v>
      </c>
      <c r="Q264" s="1" t="s">
        <v>1385</v>
      </c>
      <c r="R264">
        <v>6.0255000000000003E-2</v>
      </c>
    </row>
    <row r="265" spans="1:18">
      <c r="A265" t="s">
        <v>358</v>
      </c>
      <c r="B265" t="s">
        <v>999</v>
      </c>
      <c r="C265" t="s">
        <v>359</v>
      </c>
      <c r="D265">
        <v>5</v>
      </c>
      <c r="E265">
        <f t="shared" si="1"/>
        <v>52.800000000000004</v>
      </c>
      <c r="F265">
        <v>0.66</v>
      </c>
      <c r="G265">
        <v>1.25</v>
      </c>
      <c r="H265" t="s">
        <v>360</v>
      </c>
      <c r="I265" t="s">
        <v>367</v>
      </c>
      <c r="J265">
        <v>20</v>
      </c>
    </row>
    <row r="266" spans="1:18">
      <c r="A266" t="s">
        <v>358</v>
      </c>
      <c r="B266" t="s">
        <v>999</v>
      </c>
      <c r="C266" t="s">
        <v>359</v>
      </c>
      <c r="D266">
        <v>10</v>
      </c>
      <c r="E266">
        <f t="shared" si="1"/>
        <v>48</v>
      </c>
      <c r="F266">
        <v>0.6</v>
      </c>
      <c r="G266">
        <v>1.25</v>
      </c>
      <c r="H266" t="s">
        <v>360</v>
      </c>
      <c r="I266" t="s">
        <v>367</v>
      </c>
      <c r="J266">
        <v>20</v>
      </c>
    </row>
    <row r="267" spans="1:18">
      <c r="A267" t="s">
        <v>358</v>
      </c>
      <c r="B267" t="s">
        <v>999</v>
      </c>
      <c r="C267" t="s">
        <v>359</v>
      </c>
      <c r="D267">
        <v>20</v>
      </c>
      <c r="E267">
        <f t="shared" si="1"/>
        <v>32.799999999999997</v>
      </c>
      <c r="F267">
        <v>0.41</v>
      </c>
      <c r="G267">
        <v>1.25</v>
      </c>
      <c r="H267" t="s">
        <v>360</v>
      </c>
      <c r="I267" t="s">
        <v>367</v>
      </c>
      <c r="J267">
        <v>20</v>
      </c>
    </row>
    <row r="268" spans="1:18">
      <c r="A268" t="s">
        <v>1442</v>
      </c>
      <c r="B268" t="s">
        <v>999</v>
      </c>
      <c r="C268" t="s">
        <v>300</v>
      </c>
      <c r="D268">
        <v>0</v>
      </c>
      <c r="E268">
        <v>100</v>
      </c>
      <c r="F268">
        <v>100</v>
      </c>
      <c r="G268">
        <v>100</v>
      </c>
      <c r="H268" t="s">
        <v>228</v>
      </c>
      <c r="I268" t="s">
        <v>372</v>
      </c>
      <c r="K268" s="12" t="s">
        <v>1401</v>
      </c>
      <c r="L268" s="12" t="s">
        <v>1443</v>
      </c>
      <c r="M268" s="12">
        <v>1.18E-2</v>
      </c>
      <c r="N268" s="12"/>
      <c r="O268" s="12">
        <v>0.96</v>
      </c>
      <c r="P268">
        <v>65</v>
      </c>
      <c r="Q268" t="s">
        <v>1447</v>
      </c>
      <c r="R268">
        <v>1.0699999999999999E-2</v>
      </c>
    </row>
    <row r="269" spans="1:18">
      <c r="A269" t="s">
        <v>1442</v>
      </c>
      <c r="B269" t="s">
        <v>999</v>
      </c>
      <c r="C269" t="s">
        <v>300</v>
      </c>
      <c r="D269">
        <v>14</v>
      </c>
      <c r="E269">
        <v>104.7</v>
      </c>
      <c r="F269">
        <v>104.7</v>
      </c>
      <c r="G269">
        <v>100</v>
      </c>
      <c r="H269" t="s">
        <v>228</v>
      </c>
      <c r="I269" t="s">
        <v>372</v>
      </c>
      <c r="K269" s="2" t="s">
        <v>1385</v>
      </c>
      <c r="L269" s="2" t="s">
        <v>1444</v>
      </c>
      <c r="M269" s="2">
        <v>1.2500000000000001E-2</v>
      </c>
      <c r="N269" s="2"/>
      <c r="O269" s="2">
        <v>0.95</v>
      </c>
    </row>
    <row r="270" spans="1:18">
      <c r="A270" t="s">
        <v>1442</v>
      </c>
      <c r="B270" t="s">
        <v>999</v>
      </c>
      <c r="C270" t="s">
        <v>300</v>
      </c>
      <c r="D270">
        <v>28</v>
      </c>
      <c r="E270">
        <v>80.599999999999994</v>
      </c>
      <c r="F270">
        <v>80.599999999999994</v>
      </c>
      <c r="G270">
        <v>100</v>
      </c>
      <c r="H270" t="s">
        <v>228</v>
      </c>
      <c r="I270" t="s">
        <v>372</v>
      </c>
    </row>
    <row r="271" spans="1:18">
      <c r="A271" t="s">
        <v>1442</v>
      </c>
      <c r="B271" t="s">
        <v>999</v>
      </c>
      <c r="C271" t="s">
        <v>300</v>
      </c>
      <c r="D271">
        <v>42</v>
      </c>
      <c r="E271">
        <v>61.6</v>
      </c>
      <c r="F271">
        <v>61.6</v>
      </c>
      <c r="G271">
        <v>100</v>
      </c>
      <c r="H271" t="s">
        <v>228</v>
      </c>
      <c r="I271" t="s">
        <v>372</v>
      </c>
    </row>
    <row r="272" spans="1:18">
      <c r="A272" t="s">
        <v>1442</v>
      </c>
      <c r="B272" t="s">
        <v>999</v>
      </c>
      <c r="C272" t="s">
        <v>300</v>
      </c>
      <c r="D272">
        <v>77</v>
      </c>
      <c r="E272">
        <v>38.799999999999997</v>
      </c>
      <c r="F272">
        <v>38.799999999999997</v>
      </c>
      <c r="G272">
        <v>100</v>
      </c>
      <c r="H272" t="s">
        <v>228</v>
      </c>
      <c r="I272" t="s">
        <v>372</v>
      </c>
    </row>
    <row r="273" spans="1:18">
      <c r="A273" t="s">
        <v>1442</v>
      </c>
      <c r="B273" t="s">
        <v>999</v>
      </c>
      <c r="C273" t="s">
        <v>300</v>
      </c>
      <c r="D273">
        <v>105</v>
      </c>
      <c r="E273">
        <v>28.9</v>
      </c>
      <c r="F273">
        <v>28.9</v>
      </c>
      <c r="G273">
        <v>100</v>
      </c>
      <c r="H273" t="s">
        <v>228</v>
      </c>
      <c r="I273" t="s">
        <v>372</v>
      </c>
    </row>
    <row r="274" spans="1:18">
      <c r="A274" t="s">
        <v>1442</v>
      </c>
      <c r="B274" t="s">
        <v>999</v>
      </c>
      <c r="C274" t="s">
        <v>300</v>
      </c>
      <c r="D274">
        <v>140</v>
      </c>
      <c r="E274">
        <v>23.3</v>
      </c>
      <c r="F274">
        <v>23.3</v>
      </c>
      <c r="G274">
        <v>100</v>
      </c>
      <c r="H274" t="s">
        <v>228</v>
      </c>
      <c r="I274" t="s">
        <v>372</v>
      </c>
    </row>
    <row r="275" spans="1:18">
      <c r="A275" t="s">
        <v>1442</v>
      </c>
      <c r="B275" t="s">
        <v>999</v>
      </c>
      <c r="C275" t="s">
        <v>300</v>
      </c>
      <c r="D275">
        <v>168</v>
      </c>
      <c r="E275">
        <v>17.2</v>
      </c>
      <c r="F275">
        <v>17.2</v>
      </c>
      <c r="G275">
        <v>100</v>
      </c>
      <c r="H275" t="s">
        <v>228</v>
      </c>
      <c r="I275" t="s">
        <v>372</v>
      </c>
    </row>
    <row r="276" spans="1:18">
      <c r="A276" t="s">
        <v>1442</v>
      </c>
      <c r="B276" t="s">
        <v>999</v>
      </c>
      <c r="C276" t="s">
        <v>300</v>
      </c>
      <c r="D276">
        <v>0</v>
      </c>
      <c r="E276">
        <v>100</v>
      </c>
      <c r="F276">
        <v>100</v>
      </c>
      <c r="G276">
        <v>100</v>
      </c>
      <c r="H276" t="s">
        <v>228</v>
      </c>
      <c r="I276" t="s">
        <v>373</v>
      </c>
      <c r="K276" s="12" t="s">
        <v>1401</v>
      </c>
      <c r="L276" s="12" t="s">
        <v>1445</v>
      </c>
      <c r="M276" s="12">
        <v>3.61E-2</v>
      </c>
      <c r="N276" s="12"/>
      <c r="O276" s="12">
        <v>0.94499999999999995</v>
      </c>
      <c r="P276">
        <v>19</v>
      </c>
      <c r="Q276" t="s">
        <v>1447</v>
      </c>
      <c r="R276">
        <v>3.6600000000000001E-2</v>
      </c>
    </row>
    <row r="277" spans="1:18">
      <c r="A277" t="s">
        <v>1442</v>
      </c>
      <c r="B277" t="s">
        <v>999</v>
      </c>
      <c r="C277" t="s">
        <v>300</v>
      </c>
      <c r="D277">
        <v>28</v>
      </c>
      <c r="E277">
        <v>25</v>
      </c>
      <c r="F277">
        <v>25</v>
      </c>
      <c r="G277">
        <v>100</v>
      </c>
      <c r="H277" t="s">
        <v>228</v>
      </c>
      <c r="I277" t="s">
        <v>373</v>
      </c>
      <c r="K277" s="2" t="s">
        <v>1385</v>
      </c>
      <c r="L277" s="2" t="s">
        <v>1446</v>
      </c>
      <c r="M277" s="2">
        <v>4.6800000000000001E-2</v>
      </c>
      <c r="N277" s="2"/>
      <c r="O277" s="2">
        <v>0.95199999999999996</v>
      </c>
    </row>
    <row r="278" spans="1:18">
      <c r="A278" t="s">
        <v>1442</v>
      </c>
      <c r="B278" t="s">
        <v>999</v>
      </c>
      <c r="C278" t="s">
        <v>300</v>
      </c>
      <c r="D278">
        <v>42</v>
      </c>
      <c r="E278">
        <v>27.6</v>
      </c>
      <c r="F278">
        <v>27.6</v>
      </c>
      <c r="G278">
        <v>100</v>
      </c>
      <c r="H278" t="s">
        <v>228</v>
      </c>
      <c r="I278" t="s">
        <v>373</v>
      </c>
    </row>
    <row r="279" spans="1:18">
      <c r="A279" t="s">
        <v>1442</v>
      </c>
      <c r="B279" t="s">
        <v>999</v>
      </c>
      <c r="C279" t="s">
        <v>300</v>
      </c>
      <c r="D279">
        <v>77</v>
      </c>
      <c r="E279">
        <v>16.399999999999999</v>
      </c>
      <c r="F279">
        <v>16.399999999999999</v>
      </c>
      <c r="G279">
        <v>100</v>
      </c>
      <c r="H279" t="s">
        <v>228</v>
      </c>
      <c r="I279" t="s">
        <v>373</v>
      </c>
    </row>
    <row r="280" spans="1:18">
      <c r="A280" t="s">
        <v>1442</v>
      </c>
      <c r="B280" t="s">
        <v>999</v>
      </c>
      <c r="C280" t="s">
        <v>300</v>
      </c>
      <c r="D280">
        <v>105</v>
      </c>
      <c r="E280">
        <v>2.2000000000000002</v>
      </c>
      <c r="F280">
        <v>2.2000000000000002</v>
      </c>
      <c r="G280">
        <v>100</v>
      </c>
      <c r="H280" t="s">
        <v>228</v>
      </c>
      <c r="I280" t="s">
        <v>373</v>
      </c>
    </row>
    <row r="281" spans="1:18">
      <c r="A281" t="s">
        <v>1442</v>
      </c>
      <c r="B281" t="s">
        <v>999</v>
      </c>
      <c r="C281" t="s">
        <v>300</v>
      </c>
      <c r="D281">
        <v>140</v>
      </c>
      <c r="E281">
        <v>5.2</v>
      </c>
      <c r="F281">
        <v>5.2</v>
      </c>
      <c r="G281">
        <v>100</v>
      </c>
      <c r="H281" t="s">
        <v>228</v>
      </c>
      <c r="I281" t="s">
        <v>373</v>
      </c>
    </row>
    <row r="282" spans="1:18">
      <c r="A282" t="s">
        <v>386</v>
      </c>
      <c r="B282" t="s">
        <v>186</v>
      </c>
      <c r="C282" t="s">
        <v>387</v>
      </c>
      <c r="D282">
        <v>0</v>
      </c>
      <c r="E282">
        <f t="shared" ref="E282:E293" si="2">F282/G282*100</f>
        <v>100</v>
      </c>
      <c r="F282">
        <v>136.88</v>
      </c>
      <c r="G282">
        <v>136.88</v>
      </c>
      <c r="H282" t="s">
        <v>390</v>
      </c>
      <c r="I282" t="s">
        <v>388</v>
      </c>
      <c r="K282" s="1" t="s">
        <v>1385</v>
      </c>
      <c r="L282" s="1" t="s">
        <v>1448</v>
      </c>
      <c r="M282" s="1">
        <v>2.2200000000000001E-2</v>
      </c>
      <c r="N282" s="1"/>
      <c r="O282" s="1">
        <v>0.98</v>
      </c>
      <c r="P282">
        <v>33.5</v>
      </c>
      <c r="Q282" t="s">
        <v>1450</v>
      </c>
      <c r="R282">
        <v>4.4000000000000003E-3</v>
      </c>
    </row>
    <row r="283" spans="1:18">
      <c r="A283" t="s">
        <v>386</v>
      </c>
      <c r="B283" t="s">
        <v>186</v>
      </c>
      <c r="C283" t="s">
        <v>387</v>
      </c>
      <c r="D283">
        <v>3</v>
      </c>
      <c r="E283">
        <f t="shared" si="2"/>
        <v>100.66481589713618</v>
      </c>
      <c r="F283">
        <v>137.79</v>
      </c>
      <c r="G283">
        <v>136.88</v>
      </c>
      <c r="H283" t="s">
        <v>390</v>
      </c>
      <c r="I283" t="s">
        <v>388</v>
      </c>
    </row>
    <row r="284" spans="1:18">
      <c r="A284" t="s">
        <v>386</v>
      </c>
      <c r="B284" t="s">
        <v>186</v>
      </c>
      <c r="C284" t="s">
        <v>387</v>
      </c>
      <c r="D284">
        <v>10</v>
      </c>
      <c r="E284">
        <f t="shared" si="2"/>
        <v>95.170952659263591</v>
      </c>
      <c r="F284">
        <v>130.27000000000001</v>
      </c>
      <c r="G284">
        <v>136.88</v>
      </c>
      <c r="H284" t="s">
        <v>390</v>
      </c>
      <c r="I284" t="s">
        <v>388</v>
      </c>
    </row>
    <row r="285" spans="1:18">
      <c r="A285" t="s">
        <v>386</v>
      </c>
      <c r="B285" t="s">
        <v>186</v>
      </c>
      <c r="C285" t="s">
        <v>387</v>
      </c>
      <c r="D285">
        <v>30</v>
      </c>
      <c r="E285">
        <f t="shared" si="2"/>
        <v>77.834599649327885</v>
      </c>
      <c r="F285">
        <v>106.54</v>
      </c>
      <c r="G285">
        <v>136.88</v>
      </c>
      <c r="H285" t="s">
        <v>390</v>
      </c>
      <c r="I285" t="s">
        <v>388</v>
      </c>
    </row>
    <row r="286" spans="1:18">
      <c r="A286" t="s">
        <v>386</v>
      </c>
      <c r="B286" t="s">
        <v>186</v>
      </c>
      <c r="C286" t="s">
        <v>387</v>
      </c>
      <c r="D286">
        <v>90</v>
      </c>
      <c r="E286">
        <f t="shared" si="2"/>
        <v>57.670952659263577</v>
      </c>
      <c r="F286">
        <v>78.939999999999984</v>
      </c>
      <c r="G286">
        <v>136.88</v>
      </c>
      <c r="H286" t="s">
        <v>390</v>
      </c>
      <c r="I286" t="s">
        <v>388</v>
      </c>
    </row>
    <row r="287" spans="1:18">
      <c r="A287" t="s">
        <v>386</v>
      </c>
      <c r="B287" t="s">
        <v>186</v>
      </c>
      <c r="C287" t="s">
        <v>387</v>
      </c>
      <c r="D287">
        <v>150</v>
      </c>
      <c r="E287">
        <f t="shared" si="2"/>
        <v>55.749561659848034</v>
      </c>
      <c r="F287">
        <v>76.309999999999988</v>
      </c>
      <c r="G287">
        <v>136.88</v>
      </c>
      <c r="H287" t="s">
        <v>390</v>
      </c>
      <c r="I287" t="s">
        <v>388</v>
      </c>
    </row>
    <row r="288" spans="1:18">
      <c r="A288" t="s">
        <v>386</v>
      </c>
      <c r="B288" t="s">
        <v>186</v>
      </c>
      <c r="C288" t="s">
        <v>387</v>
      </c>
      <c r="D288">
        <v>0</v>
      </c>
      <c r="E288">
        <f t="shared" si="2"/>
        <v>100.00000000000004</v>
      </c>
      <c r="F288">
        <v>21.290000000000006</v>
      </c>
      <c r="G288">
        <v>21.29</v>
      </c>
      <c r="I288" t="s">
        <v>389</v>
      </c>
      <c r="K288" s="1" t="s">
        <v>1385</v>
      </c>
      <c r="L288" s="1" t="s">
        <v>1449</v>
      </c>
      <c r="M288" s="1">
        <v>1.8100000000000002E-2</v>
      </c>
      <c r="N288" s="1"/>
      <c r="O288" s="1">
        <v>0.89</v>
      </c>
      <c r="P288">
        <v>47.5</v>
      </c>
      <c r="Q288" t="s">
        <v>1450</v>
      </c>
      <c r="R288">
        <v>2.0999999999999999E-3</v>
      </c>
    </row>
    <row r="289" spans="1:18">
      <c r="A289" t="s">
        <v>386</v>
      </c>
      <c r="B289" t="s">
        <v>186</v>
      </c>
      <c r="C289" t="s">
        <v>387</v>
      </c>
      <c r="D289">
        <v>3</v>
      </c>
      <c r="E289">
        <f t="shared" si="2"/>
        <v>107.46829497416633</v>
      </c>
      <c r="F289">
        <v>22.88000000000001</v>
      </c>
      <c r="G289">
        <v>21.29</v>
      </c>
      <c r="I289" t="s">
        <v>389</v>
      </c>
    </row>
    <row r="290" spans="1:18">
      <c r="A290" t="s">
        <v>386</v>
      </c>
      <c r="B290" t="s">
        <v>186</v>
      </c>
      <c r="C290" t="s">
        <v>387</v>
      </c>
      <c r="D290">
        <v>10</v>
      </c>
      <c r="E290">
        <f t="shared" si="2"/>
        <v>100.09394081728513</v>
      </c>
      <c r="F290">
        <v>21.310000000000002</v>
      </c>
      <c r="G290">
        <v>21.29</v>
      </c>
      <c r="I290" t="s">
        <v>389</v>
      </c>
    </row>
    <row r="291" spans="1:18">
      <c r="A291" t="s">
        <v>386</v>
      </c>
      <c r="B291" t="s">
        <v>186</v>
      </c>
      <c r="C291" t="s">
        <v>387</v>
      </c>
      <c r="D291">
        <v>30</v>
      </c>
      <c r="E291">
        <f t="shared" si="2"/>
        <v>92.672616251761411</v>
      </c>
      <c r="F291">
        <v>19.730000000000004</v>
      </c>
      <c r="G291">
        <v>21.29</v>
      </c>
      <c r="I291" t="s">
        <v>389</v>
      </c>
    </row>
    <row r="292" spans="1:18">
      <c r="A292" t="s">
        <v>386</v>
      </c>
      <c r="B292" t="s">
        <v>186</v>
      </c>
      <c r="C292" t="s">
        <v>387</v>
      </c>
      <c r="D292">
        <v>90</v>
      </c>
      <c r="E292">
        <f t="shared" si="2"/>
        <v>77.829967120713917</v>
      </c>
      <c r="F292">
        <v>16.569999999999993</v>
      </c>
      <c r="G292">
        <v>21.29</v>
      </c>
      <c r="I292" t="s">
        <v>389</v>
      </c>
    </row>
    <row r="293" spans="1:18">
      <c r="A293" t="s">
        <v>386</v>
      </c>
      <c r="B293" t="s">
        <v>186</v>
      </c>
      <c r="C293" t="s">
        <v>387</v>
      </c>
      <c r="D293">
        <v>150</v>
      </c>
      <c r="E293">
        <f t="shared" si="2"/>
        <v>77.829967120713988</v>
      </c>
      <c r="F293">
        <v>16.570000000000007</v>
      </c>
      <c r="G293">
        <v>21.29</v>
      </c>
      <c r="I293" t="s">
        <v>389</v>
      </c>
    </row>
    <row r="294" spans="1:18">
      <c r="A294" t="s">
        <v>3210</v>
      </c>
      <c r="B294" t="s">
        <v>999</v>
      </c>
      <c r="C294" t="s">
        <v>300</v>
      </c>
      <c r="D294">
        <v>40</v>
      </c>
      <c r="F294">
        <v>4.4999999999999998E-2</v>
      </c>
      <c r="G294">
        <v>105</v>
      </c>
      <c r="H294" t="s">
        <v>411</v>
      </c>
      <c r="I294" t="s">
        <v>409</v>
      </c>
      <c r="K294" t="s">
        <v>1392</v>
      </c>
      <c r="N294">
        <f>(F294/G294)*100</f>
        <v>4.2857142857142858E-2</v>
      </c>
      <c r="Q294" t="s">
        <v>190</v>
      </c>
    </row>
    <row r="295" spans="1:18">
      <c r="A295" t="s">
        <v>3210</v>
      </c>
      <c r="B295" t="s">
        <v>999</v>
      </c>
      <c r="C295" t="s">
        <v>300</v>
      </c>
      <c r="D295">
        <v>40</v>
      </c>
      <c r="F295">
        <v>0.23</v>
      </c>
      <c r="G295">
        <v>105</v>
      </c>
      <c r="H295" t="s">
        <v>411</v>
      </c>
      <c r="I295" t="s">
        <v>410</v>
      </c>
      <c r="K295" t="s">
        <v>1392</v>
      </c>
      <c r="N295">
        <f>(F295/G295)*100</f>
        <v>0.21904761904761905</v>
      </c>
      <c r="Q295" t="s">
        <v>190</v>
      </c>
    </row>
    <row r="296" spans="1:18">
      <c r="A296" t="s">
        <v>3210</v>
      </c>
      <c r="B296" t="s">
        <v>999</v>
      </c>
      <c r="C296" t="s">
        <v>317</v>
      </c>
      <c r="D296">
        <v>40</v>
      </c>
      <c r="F296">
        <v>0.8</v>
      </c>
      <c r="G296">
        <v>105</v>
      </c>
      <c r="H296" t="s">
        <v>411</v>
      </c>
      <c r="I296" t="s">
        <v>409</v>
      </c>
      <c r="K296" t="s">
        <v>1392</v>
      </c>
      <c r="N296">
        <f>(F296/G296)*100</f>
        <v>0.76190476190476186</v>
      </c>
      <c r="Q296" t="s">
        <v>190</v>
      </c>
    </row>
    <row r="297" spans="1:18">
      <c r="A297" t="s">
        <v>3210</v>
      </c>
      <c r="B297" t="s">
        <v>999</v>
      </c>
      <c r="C297" t="s">
        <v>317</v>
      </c>
      <c r="D297">
        <v>40</v>
      </c>
      <c r="F297">
        <v>1.5</v>
      </c>
      <c r="G297">
        <v>105</v>
      </c>
      <c r="H297" t="s">
        <v>411</v>
      </c>
      <c r="I297" t="s">
        <v>410</v>
      </c>
      <c r="K297" t="s">
        <v>1392</v>
      </c>
      <c r="N297">
        <f>(F297/G297)*100</f>
        <v>1.4285714285714286</v>
      </c>
      <c r="Q297" t="s">
        <v>190</v>
      </c>
    </row>
    <row r="298" spans="1:18">
      <c r="A298" t="s">
        <v>423</v>
      </c>
      <c r="B298" t="s">
        <v>999</v>
      </c>
      <c r="C298" t="s">
        <v>425</v>
      </c>
      <c r="D298">
        <v>0</v>
      </c>
      <c r="E298">
        <v>100</v>
      </c>
      <c r="F298">
        <v>100</v>
      </c>
      <c r="G298">
        <v>150</v>
      </c>
      <c r="H298" t="s">
        <v>428</v>
      </c>
      <c r="I298" t="s">
        <v>426</v>
      </c>
      <c r="J298">
        <v>6</v>
      </c>
      <c r="K298" s="1" t="s">
        <v>1385</v>
      </c>
      <c r="L298" s="1" t="s">
        <v>1451</v>
      </c>
      <c r="M298" s="1">
        <v>1.8985000000000001</v>
      </c>
      <c r="N298" s="1"/>
      <c r="O298" s="1">
        <v>0.93</v>
      </c>
      <c r="P298">
        <v>0.4</v>
      </c>
      <c r="Q298" t="s">
        <v>1455</v>
      </c>
      <c r="R298" t="s">
        <v>1456</v>
      </c>
    </row>
    <row r="299" spans="1:18">
      <c r="A299" t="s">
        <v>423</v>
      </c>
      <c r="B299" t="s">
        <v>999</v>
      </c>
      <c r="C299" t="s">
        <v>425</v>
      </c>
      <c r="D299">
        <v>1</v>
      </c>
      <c r="E299">
        <v>45.2</v>
      </c>
      <c r="F299">
        <v>45.2</v>
      </c>
      <c r="G299">
        <v>150</v>
      </c>
      <c r="H299" t="s">
        <v>428</v>
      </c>
      <c r="I299" t="s">
        <v>426</v>
      </c>
      <c r="J299">
        <v>6</v>
      </c>
    </row>
    <row r="300" spans="1:18">
      <c r="A300" t="s">
        <v>423</v>
      </c>
      <c r="B300" t="s">
        <v>999</v>
      </c>
      <c r="C300" t="s">
        <v>425</v>
      </c>
      <c r="D300">
        <v>3</v>
      </c>
      <c r="E300">
        <v>34.5</v>
      </c>
      <c r="F300">
        <v>34.5</v>
      </c>
      <c r="G300">
        <v>150</v>
      </c>
      <c r="H300" t="s">
        <v>428</v>
      </c>
      <c r="I300" t="s">
        <v>426</v>
      </c>
      <c r="J300">
        <v>6</v>
      </c>
    </row>
    <row r="301" spans="1:18">
      <c r="A301" t="s">
        <v>423</v>
      </c>
      <c r="B301" t="s">
        <v>999</v>
      </c>
      <c r="C301" t="s">
        <v>425</v>
      </c>
      <c r="D301">
        <v>9</v>
      </c>
      <c r="E301">
        <v>39.6</v>
      </c>
      <c r="F301">
        <v>39.6</v>
      </c>
      <c r="G301">
        <v>150</v>
      </c>
      <c r="H301" t="s">
        <v>428</v>
      </c>
      <c r="I301" t="s">
        <v>426</v>
      </c>
      <c r="J301">
        <v>6</v>
      </c>
    </row>
    <row r="302" spans="1:18">
      <c r="A302" t="s">
        <v>423</v>
      </c>
      <c r="B302" t="s">
        <v>999</v>
      </c>
      <c r="C302" t="s">
        <v>425</v>
      </c>
      <c r="D302">
        <v>16</v>
      </c>
      <c r="E302">
        <v>30.900000000000006</v>
      </c>
      <c r="F302">
        <v>30.900000000000006</v>
      </c>
      <c r="G302">
        <v>150</v>
      </c>
      <c r="H302" t="s">
        <v>428</v>
      </c>
      <c r="I302" t="s">
        <v>426</v>
      </c>
      <c r="J302">
        <v>6</v>
      </c>
    </row>
    <row r="303" spans="1:18">
      <c r="A303" t="s">
        <v>423</v>
      </c>
      <c r="B303" t="s">
        <v>999</v>
      </c>
      <c r="C303" t="s">
        <v>425</v>
      </c>
      <c r="D303">
        <v>24</v>
      </c>
      <c r="E303">
        <v>44.3</v>
      </c>
      <c r="F303">
        <v>44.3</v>
      </c>
      <c r="G303">
        <v>150</v>
      </c>
      <c r="H303" t="s">
        <v>428</v>
      </c>
      <c r="I303" t="s">
        <v>426</v>
      </c>
      <c r="J303">
        <v>6</v>
      </c>
    </row>
    <row r="304" spans="1:18">
      <c r="A304" t="s">
        <v>423</v>
      </c>
      <c r="B304" t="s">
        <v>999</v>
      </c>
      <c r="C304" t="s">
        <v>425</v>
      </c>
      <c r="D304">
        <v>43</v>
      </c>
      <c r="E304">
        <v>28.099999999999994</v>
      </c>
      <c r="F304">
        <v>28.099999999999994</v>
      </c>
      <c r="G304">
        <v>150</v>
      </c>
      <c r="H304" t="s">
        <v>428</v>
      </c>
      <c r="I304" t="s">
        <v>426</v>
      </c>
      <c r="J304">
        <v>6</v>
      </c>
    </row>
    <row r="305" spans="1:18">
      <c r="A305" t="s">
        <v>423</v>
      </c>
      <c r="B305" t="s">
        <v>999</v>
      </c>
      <c r="C305" t="s">
        <v>425</v>
      </c>
      <c r="D305">
        <v>0</v>
      </c>
      <c r="E305">
        <v>100</v>
      </c>
      <c r="F305">
        <v>100</v>
      </c>
      <c r="G305">
        <v>150</v>
      </c>
      <c r="H305" t="s">
        <v>428</v>
      </c>
      <c r="I305" t="s">
        <v>421</v>
      </c>
      <c r="J305">
        <v>6</v>
      </c>
      <c r="K305" s="1" t="s">
        <v>1412</v>
      </c>
      <c r="L305" t="s">
        <v>1452</v>
      </c>
      <c r="M305">
        <v>3.0486</v>
      </c>
      <c r="O305">
        <v>1</v>
      </c>
      <c r="Q305" t="s">
        <v>1455</v>
      </c>
      <c r="R305" t="s">
        <v>1456</v>
      </c>
    </row>
    <row r="306" spans="1:18">
      <c r="A306" t="s">
        <v>423</v>
      </c>
      <c r="B306" t="s">
        <v>999</v>
      </c>
      <c r="C306" t="s">
        <v>425</v>
      </c>
      <c r="D306">
        <v>1</v>
      </c>
      <c r="E306">
        <v>43.9</v>
      </c>
      <c r="F306">
        <v>43.9</v>
      </c>
      <c r="G306">
        <v>150</v>
      </c>
      <c r="H306" t="s">
        <v>428</v>
      </c>
      <c r="I306" t="s">
        <v>421</v>
      </c>
      <c r="J306">
        <v>6</v>
      </c>
      <c r="K306" s="10" t="s">
        <v>1385</v>
      </c>
      <c r="L306" s="10" t="s">
        <v>1453</v>
      </c>
      <c r="M306" s="10">
        <v>0.78210000000000002</v>
      </c>
      <c r="N306" s="10"/>
      <c r="O306" s="10">
        <v>0.87</v>
      </c>
      <c r="P306" s="10">
        <v>0.7</v>
      </c>
    </row>
    <row r="307" spans="1:18">
      <c r="A307" t="s">
        <v>423</v>
      </c>
      <c r="B307" t="s">
        <v>999</v>
      </c>
      <c r="C307" t="s">
        <v>425</v>
      </c>
      <c r="D307">
        <v>3</v>
      </c>
      <c r="E307">
        <v>36.4</v>
      </c>
      <c r="F307">
        <v>36.4</v>
      </c>
      <c r="G307">
        <v>150</v>
      </c>
      <c r="H307" t="s">
        <v>428</v>
      </c>
      <c r="I307" t="s">
        <v>421</v>
      </c>
      <c r="J307">
        <v>6</v>
      </c>
    </row>
    <row r="308" spans="1:18">
      <c r="A308" t="s">
        <v>423</v>
      </c>
      <c r="B308" t="s">
        <v>999</v>
      </c>
      <c r="C308" t="s">
        <v>425</v>
      </c>
      <c r="D308">
        <v>9</v>
      </c>
      <c r="E308">
        <v>24.400000000000006</v>
      </c>
      <c r="F308">
        <v>24.400000000000006</v>
      </c>
      <c r="G308">
        <v>150</v>
      </c>
      <c r="H308" t="s">
        <v>428</v>
      </c>
      <c r="I308" t="s">
        <v>421</v>
      </c>
      <c r="J308">
        <v>6</v>
      </c>
    </row>
    <row r="309" spans="1:18">
      <c r="A309" t="s">
        <v>423</v>
      </c>
      <c r="B309" t="s">
        <v>999</v>
      </c>
      <c r="C309" t="s">
        <v>425</v>
      </c>
      <c r="D309">
        <v>16</v>
      </c>
      <c r="E309">
        <v>15.400000000000006</v>
      </c>
      <c r="F309">
        <v>15.400000000000006</v>
      </c>
      <c r="G309">
        <v>150</v>
      </c>
      <c r="H309" t="s">
        <v>428</v>
      </c>
      <c r="I309" t="s">
        <v>421</v>
      </c>
      <c r="J309">
        <v>6</v>
      </c>
    </row>
    <row r="310" spans="1:18">
      <c r="A310" t="s">
        <v>423</v>
      </c>
      <c r="B310" t="s">
        <v>999</v>
      </c>
      <c r="C310" t="s">
        <v>425</v>
      </c>
      <c r="D310">
        <v>24</v>
      </c>
      <c r="E310">
        <v>10.599999999999994</v>
      </c>
      <c r="F310">
        <v>10.599999999999994</v>
      </c>
      <c r="G310">
        <v>150</v>
      </c>
      <c r="H310" t="s">
        <v>428</v>
      </c>
      <c r="I310" t="s">
        <v>421</v>
      </c>
      <c r="J310">
        <v>6</v>
      </c>
    </row>
    <row r="311" spans="1:18">
      <c r="A311" t="s">
        <v>423</v>
      </c>
      <c r="B311" t="s">
        <v>999</v>
      </c>
      <c r="C311" t="s">
        <v>425</v>
      </c>
      <c r="D311">
        <v>43</v>
      </c>
      <c r="E311">
        <v>1.7000000000000028</v>
      </c>
      <c r="F311">
        <v>1.7000000000000028</v>
      </c>
      <c r="G311">
        <v>150</v>
      </c>
      <c r="H311" t="s">
        <v>428</v>
      </c>
      <c r="I311" t="s">
        <v>421</v>
      </c>
      <c r="J311">
        <v>6</v>
      </c>
    </row>
    <row r="312" spans="1:18">
      <c r="A312" t="s">
        <v>423</v>
      </c>
      <c r="B312" t="s">
        <v>999</v>
      </c>
      <c r="C312" t="s">
        <v>425</v>
      </c>
      <c r="D312">
        <v>0</v>
      </c>
      <c r="E312">
        <v>100</v>
      </c>
      <c r="F312">
        <v>100</v>
      </c>
      <c r="G312">
        <v>150</v>
      </c>
      <c r="H312" t="s">
        <v>428</v>
      </c>
      <c r="I312" t="s">
        <v>427</v>
      </c>
      <c r="J312">
        <v>6</v>
      </c>
      <c r="K312" s="2" t="s">
        <v>1385</v>
      </c>
      <c r="L312" s="2" t="s">
        <v>1454</v>
      </c>
      <c r="M312" s="2">
        <v>0.19650000000000001</v>
      </c>
      <c r="N312" s="2"/>
      <c r="O312" s="2">
        <v>0.84</v>
      </c>
      <c r="P312" s="2">
        <v>0.6</v>
      </c>
      <c r="Q312" t="s">
        <v>1455</v>
      </c>
      <c r="R312" t="s">
        <v>1456</v>
      </c>
    </row>
    <row r="313" spans="1:18">
      <c r="A313" t="s">
        <v>423</v>
      </c>
      <c r="B313" t="s">
        <v>999</v>
      </c>
      <c r="C313" t="s">
        <v>425</v>
      </c>
      <c r="D313">
        <v>1</v>
      </c>
      <c r="E313">
        <v>39</v>
      </c>
      <c r="F313">
        <v>39</v>
      </c>
      <c r="G313">
        <v>150</v>
      </c>
      <c r="H313" t="s">
        <v>428</v>
      </c>
      <c r="I313" t="s">
        <v>427</v>
      </c>
      <c r="J313">
        <v>6</v>
      </c>
    </row>
    <row r="314" spans="1:18">
      <c r="A314" t="s">
        <v>423</v>
      </c>
      <c r="B314" t="s">
        <v>999</v>
      </c>
      <c r="C314" t="s">
        <v>425</v>
      </c>
      <c r="D314">
        <v>3</v>
      </c>
      <c r="E314">
        <v>34.700000000000003</v>
      </c>
      <c r="F314">
        <v>34.700000000000003</v>
      </c>
      <c r="G314">
        <v>150</v>
      </c>
      <c r="H314" t="s">
        <v>428</v>
      </c>
      <c r="I314" t="s">
        <v>427</v>
      </c>
      <c r="J314">
        <v>6</v>
      </c>
    </row>
    <row r="315" spans="1:18">
      <c r="A315" t="s">
        <v>423</v>
      </c>
      <c r="B315" t="s">
        <v>999</v>
      </c>
      <c r="C315" t="s">
        <v>425</v>
      </c>
      <c r="D315">
        <v>9</v>
      </c>
      <c r="E315">
        <v>32.900000000000006</v>
      </c>
      <c r="F315">
        <v>32.900000000000006</v>
      </c>
      <c r="G315">
        <v>150</v>
      </c>
      <c r="H315" t="s">
        <v>428</v>
      </c>
      <c r="I315" t="s">
        <v>427</v>
      </c>
      <c r="J315">
        <v>6</v>
      </c>
    </row>
    <row r="316" spans="1:18">
      <c r="A316" t="s">
        <v>423</v>
      </c>
      <c r="B316" t="s">
        <v>999</v>
      </c>
      <c r="C316" t="s">
        <v>425</v>
      </c>
      <c r="D316">
        <v>16</v>
      </c>
      <c r="E316">
        <v>10.799999999999997</v>
      </c>
      <c r="F316">
        <v>10.799999999999997</v>
      </c>
      <c r="G316">
        <v>150</v>
      </c>
      <c r="H316" t="s">
        <v>428</v>
      </c>
      <c r="I316" t="s">
        <v>427</v>
      </c>
      <c r="J316">
        <v>6</v>
      </c>
    </row>
    <row r="317" spans="1:18">
      <c r="A317" t="s">
        <v>423</v>
      </c>
      <c r="B317" t="s">
        <v>999</v>
      </c>
      <c r="C317" t="s">
        <v>425</v>
      </c>
      <c r="D317">
        <v>24</v>
      </c>
      <c r="E317">
        <v>9</v>
      </c>
      <c r="F317">
        <v>9</v>
      </c>
      <c r="G317">
        <v>150</v>
      </c>
      <c r="H317" t="s">
        <v>428</v>
      </c>
      <c r="I317" t="s">
        <v>427</v>
      </c>
      <c r="J317">
        <v>6</v>
      </c>
    </row>
    <row r="318" spans="1:18">
      <c r="A318" t="s">
        <v>423</v>
      </c>
      <c r="B318" t="s">
        <v>999</v>
      </c>
      <c r="C318" t="s">
        <v>425</v>
      </c>
      <c r="D318">
        <v>43</v>
      </c>
      <c r="E318">
        <v>10.099999999999994</v>
      </c>
      <c r="F318">
        <v>10.099999999999994</v>
      </c>
      <c r="G318">
        <v>150</v>
      </c>
      <c r="H318" t="s">
        <v>428</v>
      </c>
      <c r="I318" t="s">
        <v>427</v>
      </c>
      <c r="J318">
        <v>6</v>
      </c>
    </row>
    <row r="319" spans="1:18">
      <c r="A319" s="2" t="s">
        <v>2565</v>
      </c>
      <c r="B319" t="s">
        <v>999</v>
      </c>
      <c r="C319" t="s">
        <v>441</v>
      </c>
      <c r="D319">
        <v>0</v>
      </c>
      <c r="E319">
        <v>100</v>
      </c>
      <c r="F319">
        <v>100</v>
      </c>
      <c r="G319">
        <v>100</v>
      </c>
      <c r="H319" t="s">
        <v>428</v>
      </c>
      <c r="I319" t="s">
        <v>440</v>
      </c>
      <c r="K319" s="12" t="s">
        <v>1401</v>
      </c>
      <c r="L319" s="12" t="s">
        <v>1457</v>
      </c>
      <c r="M319" s="12">
        <v>0.36909999999999998</v>
      </c>
      <c r="N319" s="12"/>
      <c r="O319" s="12">
        <v>0.96</v>
      </c>
      <c r="P319">
        <v>1.9</v>
      </c>
      <c r="Q319" t="s">
        <v>190</v>
      </c>
    </row>
    <row r="320" spans="1:18">
      <c r="A320" s="2" t="s">
        <v>2565</v>
      </c>
      <c r="B320" t="s">
        <v>999</v>
      </c>
      <c r="C320" t="s">
        <v>441</v>
      </c>
      <c r="D320">
        <v>1</v>
      </c>
      <c r="E320">
        <v>67.3</v>
      </c>
      <c r="F320">
        <v>67.3</v>
      </c>
      <c r="G320">
        <v>100</v>
      </c>
      <c r="H320" t="s">
        <v>428</v>
      </c>
      <c r="I320" t="s">
        <v>440</v>
      </c>
      <c r="K320" s="2" t="s">
        <v>1385</v>
      </c>
      <c r="L320" s="2" t="s">
        <v>1458</v>
      </c>
      <c r="M320" s="2">
        <v>0.2303</v>
      </c>
      <c r="N320" s="2"/>
      <c r="O320" s="2">
        <v>0.97</v>
      </c>
    </row>
    <row r="321" spans="1:17">
      <c r="A321" s="2" t="s">
        <v>2565</v>
      </c>
      <c r="B321" t="s">
        <v>999</v>
      </c>
      <c r="C321" t="s">
        <v>441</v>
      </c>
      <c r="D321">
        <v>2</v>
      </c>
      <c r="E321">
        <v>56</v>
      </c>
      <c r="F321">
        <v>56</v>
      </c>
      <c r="G321">
        <v>100</v>
      </c>
      <c r="H321" t="s">
        <v>428</v>
      </c>
      <c r="I321" t="s">
        <v>440</v>
      </c>
    </row>
    <row r="322" spans="1:17">
      <c r="A322" s="2" t="s">
        <v>2565</v>
      </c>
      <c r="B322" t="s">
        <v>999</v>
      </c>
      <c r="C322" t="s">
        <v>441</v>
      </c>
      <c r="D322">
        <v>3</v>
      </c>
      <c r="E322">
        <v>41.5</v>
      </c>
      <c r="F322">
        <v>41.5</v>
      </c>
      <c r="G322">
        <v>100</v>
      </c>
      <c r="H322" t="s">
        <v>428</v>
      </c>
      <c r="I322" t="s">
        <v>440</v>
      </c>
    </row>
    <row r="323" spans="1:17">
      <c r="A323" s="2" t="s">
        <v>2565</v>
      </c>
      <c r="B323" t="s">
        <v>999</v>
      </c>
      <c r="C323" t="s">
        <v>441</v>
      </c>
      <c r="D323">
        <v>4</v>
      </c>
      <c r="E323">
        <v>26.4</v>
      </c>
      <c r="F323">
        <v>26.4</v>
      </c>
      <c r="G323">
        <v>100</v>
      </c>
      <c r="H323" t="s">
        <v>428</v>
      </c>
      <c r="I323" t="s">
        <v>440</v>
      </c>
    </row>
    <row r="324" spans="1:17">
      <c r="A324" s="2" t="s">
        <v>2565</v>
      </c>
      <c r="B324" t="s">
        <v>999</v>
      </c>
      <c r="C324" t="s">
        <v>441</v>
      </c>
      <c r="D324">
        <v>5</v>
      </c>
      <c r="E324">
        <v>4.97</v>
      </c>
      <c r="F324">
        <v>4.97</v>
      </c>
      <c r="G324">
        <v>100</v>
      </c>
      <c r="H324" t="s">
        <v>428</v>
      </c>
      <c r="I324" t="s">
        <v>440</v>
      </c>
    </row>
    <row r="325" spans="1:17">
      <c r="A325" s="2" t="s">
        <v>2565</v>
      </c>
      <c r="B325" t="s">
        <v>999</v>
      </c>
      <c r="C325" t="s">
        <v>441</v>
      </c>
      <c r="D325">
        <v>6</v>
      </c>
      <c r="E325">
        <v>3.82</v>
      </c>
      <c r="F325">
        <v>3.82</v>
      </c>
      <c r="G325">
        <v>100</v>
      </c>
      <c r="H325" t="s">
        <v>428</v>
      </c>
      <c r="I325" t="s">
        <v>440</v>
      </c>
    </row>
    <row r="326" spans="1:17">
      <c r="A326" s="2" t="s">
        <v>2565</v>
      </c>
      <c r="B326" t="s">
        <v>999</v>
      </c>
      <c r="C326" t="s">
        <v>441</v>
      </c>
      <c r="D326">
        <v>7</v>
      </c>
      <c r="E326">
        <v>4</v>
      </c>
      <c r="F326">
        <v>4</v>
      </c>
      <c r="G326">
        <v>100</v>
      </c>
      <c r="H326" t="s">
        <v>428</v>
      </c>
      <c r="I326" t="s">
        <v>440</v>
      </c>
    </row>
    <row r="327" spans="1:17">
      <c r="A327" s="2" t="s">
        <v>2565</v>
      </c>
      <c r="B327" t="s">
        <v>999</v>
      </c>
      <c r="C327" t="s">
        <v>441</v>
      </c>
      <c r="D327">
        <v>0</v>
      </c>
      <c r="E327">
        <v>100</v>
      </c>
      <c r="F327">
        <v>100</v>
      </c>
      <c r="G327">
        <v>100</v>
      </c>
      <c r="H327" t="s">
        <v>428</v>
      </c>
      <c r="I327" t="s">
        <v>442</v>
      </c>
      <c r="K327" s="1" t="s">
        <v>1385</v>
      </c>
      <c r="L327" s="1" t="s">
        <v>1459</v>
      </c>
      <c r="M327" s="1">
        <v>0.89670000000000005</v>
      </c>
      <c r="N327" s="1"/>
      <c r="O327" s="1">
        <v>0.87</v>
      </c>
      <c r="P327">
        <v>0.7</v>
      </c>
      <c r="Q327" t="s">
        <v>190</v>
      </c>
    </row>
    <row r="328" spans="1:17">
      <c r="A328" s="2" t="s">
        <v>2565</v>
      </c>
      <c r="B328" t="s">
        <v>999</v>
      </c>
      <c r="C328" t="s">
        <v>441</v>
      </c>
      <c r="D328">
        <v>1</v>
      </c>
      <c r="E328">
        <v>71.099999999999994</v>
      </c>
      <c r="F328">
        <v>71.099999999999994</v>
      </c>
      <c r="G328">
        <v>100</v>
      </c>
      <c r="H328" t="s">
        <v>428</v>
      </c>
      <c r="I328" t="s">
        <v>442</v>
      </c>
    </row>
    <row r="329" spans="1:17">
      <c r="A329" s="2" t="s">
        <v>2565</v>
      </c>
      <c r="B329" t="s">
        <v>999</v>
      </c>
      <c r="C329" t="s">
        <v>441</v>
      </c>
      <c r="D329">
        <v>2</v>
      </c>
      <c r="E329">
        <v>70.599999999999994</v>
      </c>
      <c r="F329">
        <v>70.599999999999994</v>
      </c>
      <c r="G329">
        <v>100</v>
      </c>
      <c r="H329" t="s">
        <v>428</v>
      </c>
      <c r="I329" t="s">
        <v>442</v>
      </c>
    </row>
    <row r="330" spans="1:17">
      <c r="A330" s="2" t="s">
        <v>2565</v>
      </c>
      <c r="B330" t="s">
        <v>999</v>
      </c>
      <c r="C330" t="s">
        <v>441</v>
      </c>
      <c r="D330">
        <v>3</v>
      </c>
      <c r="E330">
        <v>60.6</v>
      </c>
      <c r="F330">
        <v>60.6</v>
      </c>
      <c r="G330">
        <v>100</v>
      </c>
      <c r="H330" t="s">
        <v>428</v>
      </c>
      <c r="I330" t="s">
        <v>442</v>
      </c>
    </row>
    <row r="331" spans="1:17">
      <c r="A331" s="2" t="s">
        <v>2565</v>
      </c>
      <c r="B331" t="s">
        <v>999</v>
      </c>
      <c r="C331" t="s">
        <v>441</v>
      </c>
      <c r="D331">
        <v>4</v>
      </c>
      <c r="E331">
        <v>64.400000000000006</v>
      </c>
      <c r="F331">
        <v>64.400000000000006</v>
      </c>
      <c r="G331">
        <v>100</v>
      </c>
      <c r="H331" t="s">
        <v>428</v>
      </c>
      <c r="I331" t="s">
        <v>442</v>
      </c>
    </row>
    <row r="332" spans="1:17">
      <c r="A332" s="2" t="s">
        <v>2565</v>
      </c>
      <c r="B332" t="s">
        <v>999</v>
      </c>
      <c r="C332" t="s">
        <v>441</v>
      </c>
      <c r="D332">
        <v>5</v>
      </c>
      <c r="E332">
        <v>64.8</v>
      </c>
      <c r="F332">
        <v>64.8</v>
      </c>
      <c r="G332">
        <v>100</v>
      </c>
      <c r="H332" t="s">
        <v>428</v>
      </c>
      <c r="I332" t="s">
        <v>442</v>
      </c>
    </row>
    <row r="333" spans="1:17">
      <c r="A333" s="2" t="s">
        <v>2565</v>
      </c>
      <c r="B333" t="s">
        <v>999</v>
      </c>
      <c r="C333" t="s">
        <v>441</v>
      </c>
      <c r="D333">
        <v>6</v>
      </c>
      <c r="E333">
        <v>58.3</v>
      </c>
      <c r="F333">
        <v>58.3</v>
      </c>
      <c r="G333">
        <v>100</v>
      </c>
      <c r="H333" t="s">
        <v>428</v>
      </c>
      <c r="I333" t="s">
        <v>442</v>
      </c>
    </row>
    <row r="334" spans="1:17">
      <c r="A334" s="2" t="s">
        <v>2565</v>
      </c>
      <c r="B334" t="s">
        <v>999</v>
      </c>
      <c r="C334" t="s">
        <v>441</v>
      </c>
      <c r="D334">
        <v>7</v>
      </c>
      <c r="E334">
        <v>52.2</v>
      </c>
      <c r="F334">
        <v>52.2</v>
      </c>
      <c r="G334">
        <v>100</v>
      </c>
      <c r="H334" t="s">
        <v>428</v>
      </c>
      <c r="I334" t="s">
        <v>442</v>
      </c>
    </row>
    <row r="335" spans="1:17">
      <c r="A335" s="2" t="s">
        <v>2565</v>
      </c>
      <c r="B335" t="s">
        <v>999</v>
      </c>
      <c r="C335" t="s">
        <v>447</v>
      </c>
      <c r="D335">
        <v>7</v>
      </c>
      <c r="F335">
        <v>75.599999999999994</v>
      </c>
      <c r="G335">
        <v>100</v>
      </c>
      <c r="H335" t="s">
        <v>428</v>
      </c>
      <c r="I335" t="s">
        <v>442</v>
      </c>
      <c r="K335" t="s">
        <v>1392</v>
      </c>
      <c r="N335">
        <f t="shared" ref="N335:N349" si="3">(G335-F335)/D335</f>
        <v>3.4857142857142867</v>
      </c>
      <c r="Q335" t="s">
        <v>190</v>
      </c>
    </row>
    <row r="336" spans="1:17">
      <c r="A336" s="2" t="s">
        <v>2565</v>
      </c>
      <c r="B336" t="s">
        <v>999</v>
      </c>
      <c r="C336" t="s">
        <v>445</v>
      </c>
      <c r="D336">
        <v>7</v>
      </c>
      <c r="F336">
        <v>54.8</v>
      </c>
      <c r="G336">
        <v>100</v>
      </c>
      <c r="H336" t="s">
        <v>428</v>
      </c>
      <c r="I336" t="s">
        <v>442</v>
      </c>
      <c r="K336" t="s">
        <v>1392</v>
      </c>
      <c r="N336">
        <f t="shared" si="3"/>
        <v>6.4571428571428573</v>
      </c>
      <c r="Q336" t="s">
        <v>190</v>
      </c>
    </row>
    <row r="337" spans="1:18">
      <c r="A337" s="2" t="s">
        <v>2565</v>
      </c>
      <c r="B337" t="s">
        <v>999</v>
      </c>
      <c r="C337" t="s">
        <v>448</v>
      </c>
      <c r="D337">
        <v>7</v>
      </c>
      <c r="F337">
        <v>100.6</v>
      </c>
      <c r="G337">
        <v>100</v>
      </c>
      <c r="H337" t="s">
        <v>428</v>
      </c>
      <c r="I337" t="s">
        <v>442</v>
      </c>
      <c r="K337" t="s">
        <v>1392</v>
      </c>
      <c r="N337">
        <f t="shared" si="3"/>
        <v>-8.5714285714284896E-2</v>
      </c>
      <c r="Q337" t="s">
        <v>190</v>
      </c>
    </row>
    <row r="338" spans="1:18">
      <c r="A338" s="2" t="s">
        <v>2565</v>
      </c>
      <c r="B338" t="s">
        <v>999</v>
      </c>
      <c r="C338" t="s">
        <v>450</v>
      </c>
      <c r="D338">
        <v>7</v>
      </c>
      <c r="F338">
        <v>53</v>
      </c>
      <c r="G338">
        <v>100</v>
      </c>
      <c r="H338" t="s">
        <v>428</v>
      </c>
      <c r="I338" t="s">
        <v>442</v>
      </c>
      <c r="K338" t="s">
        <v>1392</v>
      </c>
      <c r="N338">
        <f t="shared" si="3"/>
        <v>6.7142857142857144</v>
      </c>
      <c r="Q338" t="s">
        <v>190</v>
      </c>
    </row>
    <row r="339" spans="1:18">
      <c r="A339" s="2" t="s">
        <v>2565</v>
      </c>
      <c r="B339" t="s">
        <v>999</v>
      </c>
      <c r="C339" t="s">
        <v>449</v>
      </c>
      <c r="D339">
        <v>7</v>
      </c>
      <c r="F339">
        <v>38.5</v>
      </c>
      <c r="G339">
        <v>100</v>
      </c>
      <c r="H339" t="s">
        <v>428</v>
      </c>
      <c r="I339" t="s">
        <v>442</v>
      </c>
      <c r="K339" t="s">
        <v>1392</v>
      </c>
      <c r="N339">
        <f t="shared" si="3"/>
        <v>8.7857142857142865</v>
      </c>
      <c r="Q339" t="s">
        <v>190</v>
      </c>
    </row>
    <row r="340" spans="1:18">
      <c r="A340" s="2" t="s">
        <v>2565</v>
      </c>
      <c r="B340" t="s">
        <v>999</v>
      </c>
      <c r="C340" t="s">
        <v>447</v>
      </c>
      <c r="D340">
        <v>7</v>
      </c>
      <c r="F340">
        <v>17.2</v>
      </c>
      <c r="G340">
        <v>100</v>
      </c>
      <c r="H340" t="s">
        <v>428</v>
      </c>
      <c r="I340" t="s">
        <v>451</v>
      </c>
      <c r="K340" t="s">
        <v>1392</v>
      </c>
      <c r="N340">
        <f t="shared" si="3"/>
        <v>11.828571428571427</v>
      </c>
      <c r="Q340" t="s">
        <v>190</v>
      </c>
    </row>
    <row r="341" spans="1:18">
      <c r="A341" s="2" t="s">
        <v>2565</v>
      </c>
      <c r="B341" t="s">
        <v>999</v>
      </c>
      <c r="C341" t="s">
        <v>445</v>
      </c>
      <c r="D341">
        <v>7</v>
      </c>
      <c r="F341">
        <v>51.3</v>
      </c>
      <c r="G341">
        <v>100</v>
      </c>
      <c r="H341" t="s">
        <v>428</v>
      </c>
      <c r="I341" t="s">
        <v>451</v>
      </c>
      <c r="K341" t="s">
        <v>1392</v>
      </c>
      <c r="N341">
        <f t="shared" si="3"/>
        <v>6.9571428571428573</v>
      </c>
      <c r="Q341" t="s">
        <v>190</v>
      </c>
    </row>
    <row r="342" spans="1:18">
      <c r="A342" s="2" t="s">
        <v>2565</v>
      </c>
      <c r="B342" t="s">
        <v>999</v>
      </c>
      <c r="C342" t="s">
        <v>448</v>
      </c>
      <c r="D342">
        <v>7</v>
      </c>
      <c r="F342">
        <v>100</v>
      </c>
      <c r="G342">
        <v>100</v>
      </c>
      <c r="H342" t="s">
        <v>428</v>
      </c>
      <c r="I342" t="s">
        <v>451</v>
      </c>
      <c r="K342" t="s">
        <v>1392</v>
      </c>
      <c r="N342">
        <f t="shared" si="3"/>
        <v>0</v>
      </c>
      <c r="Q342" t="s">
        <v>190</v>
      </c>
    </row>
    <row r="343" spans="1:18">
      <c r="A343" s="2" t="s">
        <v>2565</v>
      </c>
      <c r="B343" t="s">
        <v>999</v>
      </c>
      <c r="C343" t="s">
        <v>450</v>
      </c>
      <c r="D343">
        <v>7</v>
      </c>
      <c r="F343">
        <v>41.4</v>
      </c>
      <c r="G343">
        <v>100</v>
      </c>
      <c r="H343" t="s">
        <v>428</v>
      </c>
      <c r="I343" t="s">
        <v>451</v>
      </c>
      <c r="K343" t="s">
        <v>1392</v>
      </c>
      <c r="N343">
        <f t="shared" si="3"/>
        <v>8.3714285714285719</v>
      </c>
      <c r="Q343" t="s">
        <v>190</v>
      </c>
    </row>
    <row r="344" spans="1:18">
      <c r="A344" s="2" t="s">
        <v>2565</v>
      </c>
      <c r="B344" t="s">
        <v>999</v>
      </c>
      <c r="C344" t="s">
        <v>449</v>
      </c>
      <c r="D344">
        <v>7</v>
      </c>
      <c r="F344">
        <v>23</v>
      </c>
      <c r="G344">
        <v>100</v>
      </c>
      <c r="H344" t="s">
        <v>428</v>
      </c>
      <c r="I344" t="s">
        <v>451</v>
      </c>
      <c r="K344" t="s">
        <v>1392</v>
      </c>
      <c r="N344">
        <f t="shared" si="3"/>
        <v>11</v>
      </c>
      <c r="Q344" t="s">
        <v>190</v>
      </c>
    </row>
    <row r="345" spans="1:18">
      <c r="A345" s="2" t="s">
        <v>2565</v>
      </c>
      <c r="B345" t="s">
        <v>999</v>
      </c>
      <c r="C345" t="s">
        <v>447</v>
      </c>
      <c r="D345">
        <v>7</v>
      </c>
      <c r="F345">
        <v>12.2</v>
      </c>
      <c r="G345">
        <v>100</v>
      </c>
      <c r="H345" t="s">
        <v>428</v>
      </c>
      <c r="I345" t="s">
        <v>452</v>
      </c>
      <c r="K345" t="s">
        <v>1392</v>
      </c>
      <c r="N345">
        <f t="shared" si="3"/>
        <v>12.542857142857143</v>
      </c>
      <c r="Q345" t="s">
        <v>190</v>
      </c>
    </row>
    <row r="346" spans="1:18">
      <c r="A346" s="2" t="s">
        <v>2565</v>
      </c>
      <c r="B346" t="s">
        <v>999</v>
      </c>
      <c r="C346" t="s">
        <v>445</v>
      </c>
      <c r="D346">
        <v>7</v>
      </c>
      <c r="F346">
        <v>20.9</v>
      </c>
      <c r="G346">
        <v>100</v>
      </c>
      <c r="H346" t="s">
        <v>428</v>
      </c>
      <c r="I346" t="s">
        <v>452</v>
      </c>
      <c r="K346" t="s">
        <v>1392</v>
      </c>
      <c r="N346">
        <f t="shared" si="3"/>
        <v>11.299999999999999</v>
      </c>
      <c r="Q346" t="s">
        <v>190</v>
      </c>
    </row>
    <row r="347" spans="1:18">
      <c r="A347" s="2" t="s">
        <v>2565</v>
      </c>
      <c r="B347" t="s">
        <v>999</v>
      </c>
      <c r="C347" t="s">
        <v>448</v>
      </c>
      <c r="D347">
        <v>7</v>
      </c>
      <c r="F347">
        <v>14.1</v>
      </c>
      <c r="G347">
        <v>100</v>
      </c>
      <c r="H347" t="s">
        <v>428</v>
      </c>
      <c r="I347" t="s">
        <v>452</v>
      </c>
      <c r="K347" t="s">
        <v>1392</v>
      </c>
      <c r="N347">
        <f t="shared" si="3"/>
        <v>12.271428571428572</v>
      </c>
      <c r="Q347" t="s">
        <v>190</v>
      </c>
    </row>
    <row r="348" spans="1:18">
      <c r="A348" s="2" t="s">
        <v>2565</v>
      </c>
      <c r="B348" t="s">
        <v>999</v>
      </c>
      <c r="C348" t="s">
        <v>450</v>
      </c>
      <c r="D348">
        <v>7</v>
      </c>
      <c r="F348">
        <v>13</v>
      </c>
      <c r="G348">
        <v>100</v>
      </c>
      <c r="H348" t="s">
        <v>428</v>
      </c>
      <c r="I348" t="s">
        <v>452</v>
      </c>
      <c r="K348" t="s">
        <v>1392</v>
      </c>
      <c r="N348">
        <f t="shared" si="3"/>
        <v>12.428571428571429</v>
      </c>
      <c r="Q348" t="s">
        <v>190</v>
      </c>
    </row>
    <row r="349" spans="1:18">
      <c r="A349" s="2" t="s">
        <v>2565</v>
      </c>
      <c r="B349" t="s">
        <v>999</v>
      </c>
      <c r="C349" t="s">
        <v>449</v>
      </c>
      <c r="D349">
        <v>7</v>
      </c>
      <c r="F349">
        <v>4.0999999999999996</v>
      </c>
      <c r="G349">
        <v>100</v>
      </c>
      <c r="H349" t="s">
        <v>428</v>
      </c>
      <c r="I349" t="s">
        <v>452</v>
      </c>
      <c r="K349" t="s">
        <v>1392</v>
      </c>
      <c r="N349">
        <f t="shared" si="3"/>
        <v>13.700000000000001</v>
      </c>
      <c r="Q349" t="s">
        <v>190</v>
      </c>
    </row>
    <row r="350" spans="1:18">
      <c r="A350" t="s">
        <v>485</v>
      </c>
      <c r="B350" t="s">
        <v>999</v>
      </c>
      <c r="C350" t="s">
        <v>359</v>
      </c>
      <c r="D350">
        <v>0</v>
      </c>
      <c r="E350">
        <v>100</v>
      </c>
      <c r="F350">
        <v>100</v>
      </c>
      <c r="G350">
        <v>100</v>
      </c>
      <c r="H350" t="s">
        <v>428</v>
      </c>
      <c r="K350" s="1" t="s">
        <v>1401</v>
      </c>
      <c r="L350" s="1" t="s">
        <v>1460</v>
      </c>
      <c r="M350" s="1">
        <v>0.2661</v>
      </c>
      <c r="N350" s="1"/>
      <c r="O350" s="1">
        <v>1</v>
      </c>
      <c r="P350">
        <v>2.6</v>
      </c>
      <c r="Q350" t="s">
        <v>1461</v>
      </c>
      <c r="R350" t="s">
        <v>190</v>
      </c>
    </row>
    <row r="351" spans="1:18">
      <c r="A351" t="s">
        <v>485</v>
      </c>
      <c r="B351" t="s">
        <v>999</v>
      </c>
      <c r="C351" t="s">
        <v>359</v>
      </c>
      <c r="D351">
        <v>4</v>
      </c>
      <c r="E351">
        <v>34.299999999999997</v>
      </c>
      <c r="F351">
        <v>34.299999999999997</v>
      </c>
      <c r="G351">
        <v>100</v>
      </c>
      <c r="H351" t="s">
        <v>428</v>
      </c>
      <c r="K351" s="1"/>
      <c r="L351" s="1"/>
      <c r="M351" s="1"/>
      <c r="N351" s="1"/>
      <c r="O351" s="1"/>
    </row>
    <row r="352" spans="1:18">
      <c r="A352" t="s">
        <v>485</v>
      </c>
      <c r="B352" t="s">
        <v>999</v>
      </c>
      <c r="C352" t="s">
        <v>359</v>
      </c>
      <c r="D352">
        <v>17</v>
      </c>
      <c r="E352">
        <v>2.4</v>
      </c>
      <c r="F352">
        <v>2.4</v>
      </c>
      <c r="G352">
        <v>100</v>
      </c>
      <c r="H352" t="s">
        <v>428</v>
      </c>
    </row>
    <row r="353" spans="1:18">
      <c r="A353" t="s">
        <v>485</v>
      </c>
      <c r="B353" t="s">
        <v>999</v>
      </c>
      <c r="C353" t="s">
        <v>359</v>
      </c>
      <c r="D353">
        <v>46</v>
      </c>
      <c r="E353">
        <v>0</v>
      </c>
      <c r="F353">
        <v>0</v>
      </c>
      <c r="G353">
        <v>100</v>
      </c>
      <c r="H353" t="s">
        <v>428</v>
      </c>
    </row>
    <row r="354" spans="1:18">
      <c r="A354" t="s">
        <v>511</v>
      </c>
      <c r="B354" t="s">
        <v>999</v>
      </c>
      <c r="C354" t="s">
        <v>512</v>
      </c>
      <c r="D354">
        <v>7</v>
      </c>
      <c r="F354">
        <v>5.8</v>
      </c>
      <c r="G354">
        <v>100</v>
      </c>
      <c r="H354" t="s">
        <v>428</v>
      </c>
      <c r="I354" t="s">
        <v>513</v>
      </c>
      <c r="K354" t="s">
        <v>1392</v>
      </c>
      <c r="N354">
        <f>(G354-F354)/D354</f>
        <v>13.457142857142857</v>
      </c>
      <c r="Q354" t="s">
        <v>190</v>
      </c>
    </row>
    <row r="355" spans="1:18">
      <c r="A355" t="s">
        <v>511</v>
      </c>
      <c r="B355" t="s">
        <v>999</v>
      </c>
      <c r="C355" t="s">
        <v>514</v>
      </c>
      <c r="D355">
        <v>14</v>
      </c>
      <c r="F355">
        <v>79.5</v>
      </c>
      <c r="G355">
        <v>100</v>
      </c>
      <c r="H355" t="s">
        <v>428</v>
      </c>
      <c r="I355" t="s">
        <v>513</v>
      </c>
      <c r="K355" t="s">
        <v>1392</v>
      </c>
      <c r="N355">
        <f>(G355-F355)/D355</f>
        <v>1.4642857142857142</v>
      </c>
      <c r="Q355" t="s">
        <v>190</v>
      </c>
    </row>
    <row r="356" spans="1:18">
      <c r="A356" t="s">
        <v>511</v>
      </c>
      <c r="B356" t="s">
        <v>999</v>
      </c>
      <c r="C356" t="s">
        <v>512</v>
      </c>
      <c r="D356">
        <v>21</v>
      </c>
      <c r="F356">
        <v>32.700000000000003</v>
      </c>
      <c r="G356">
        <v>100</v>
      </c>
      <c r="H356" t="s">
        <v>428</v>
      </c>
      <c r="I356" t="s">
        <v>153</v>
      </c>
      <c r="K356" t="s">
        <v>1392</v>
      </c>
      <c r="N356">
        <f>(G356-F356)/D356</f>
        <v>3.2047619047619045</v>
      </c>
      <c r="Q356" t="s">
        <v>190</v>
      </c>
    </row>
    <row r="357" spans="1:18">
      <c r="A357" t="s">
        <v>511</v>
      </c>
      <c r="B357" t="s">
        <v>999</v>
      </c>
      <c r="C357" t="s">
        <v>514</v>
      </c>
      <c r="D357">
        <v>28</v>
      </c>
      <c r="F357">
        <v>84.2</v>
      </c>
      <c r="G357">
        <v>100</v>
      </c>
      <c r="H357" t="s">
        <v>428</v>
      </c>
      <c r="I357" t="s">
        <v>153</v>
      </c>
      <c r="K357" t="s">
        <v>1392</v>
      </c>
      <c r="N357">
        <f>(G357-F357)/D357</f>
        <v>0.56428571428571417</v>
      </c>
      <c r="Q357" t="s">
        <v>190</v>
      </c>
    </row>
    <row r="358" spans="1:18">
      <c r="A358" t="s">
        <v>511</v>
      </c>
      <c r="B358" t="s">
        <v>999</v>
      </c>
      <c r="C358" t="s">
        <v>512</v>
      </c>
      <c r="D358">
        <v>0</v>
      </c>
      <c r="E358">
        <v>100</v>
      </c>
      <c r="F358">
        <v>100</v>
      </c>
      <c r="G358">
        <v>100</v>
      </c>
      <c r="H358" t="s">
        <v>428</v>
      </c>
      <c r="K358" t="s">
        <v>1399</v>
      </c>
      <c r="L358" t="s">
        <v>1462</v>
      </c>
      <c r="O358">
        <v>1</v>
      </c>
      <c r="Q358" t="s">
        <v>190</v>
      </c>
    </row>
    <row r="359" spans="1:18">
      <c r="A359" t="s">
        <v>511</v>
      </c>
      <c r="B359" t="s">
        <v>999</v>
      </c>
      <c r="C359" t="s">
        <v>512</v>
      </c>
      <c r="D359">
        <v>7</v>
      </c>
      <c r="E359">
        <v>98.8</v>
      </c>
      <c r="F359">
        <v>98.8</v>
      </c>
      <c r="G359">
        <v>100</v>
      </c>
      <c r="H359" t="s">
        <v>428</v>
      </c>
      <c r="K359" s="2" t="s">
        <v>1463</v>
      </c>
      <c r="L359" s="2" t="s">
        <v>1464</v>
      </c>
      <c r="M359" s="2">
        <v>0.24660000000000001</v>
      </c>
      <c r="N359" s="2"/>
      <c r="O359" s="2">
        <v>0.995</v>
      </c>
      <c r="P359" s="2">
        <v>2.4</v>
      </c>
      <c r="Q359" t="s">
        <v>190</v>
      </c>
    </row>
    <row r="360" spans="1:18">
      <c r="A360" t="s">
        <v>511</v>
      </c>
      <c r="B360" t="s">
        <v>999</v>
      </c>
      <c r="C360" t="s">
        <v>512</v>
      </c>
      <c r="D360">
        <v>14</v>
      </c>
      <c r="E360">
        <v>90.3</v>
      </c>
      <c r="F360">
        <v>90.3</v>
      </c>
      <c r="G360">
        <v>100</v>
      </c>
      <c r="H360" t="s">
        <v>428</v>
      </c>
      <c r="K360" s="9" t="s">
        <v>2386</v>
      </c>
      <c r="L360" s="9" t="s">
        <v>2387</v>
      </c>
      <c r="O360">
        <v>0.996</v>
      </c>
    </row>
    <row r="361" spans="1:18">
      <c r="A361" t="s">
        <v>511</v>
      </c>
      <c r="B361" t="s">
        <v>999</v>
      </c>
      <c r="C361" t="s">
        <v>512</v>
      </c>
      <c r="D361">
        <v>21</v>
      </c>
      <c r="E361">
        <v>15</v>
      </c>
      <c r="F361">
        <v>15</v>
      </c>
      <c r="G361">
        <v>100</v>
      </c>
      <c r="H361" t="s">
        <v>428</v>
      </c>
      <c r="K361" s="9" t="s">
        <v>181</v>
      </c>
      <c r="L361" t="s">
        <v>2388</v>
      </c>
      <c r="N361">
        <v>3.8860000000000001</v>
      </c>
      <c r="O361">
        <v>0.82</v>
      </c>
    </row>
    <row r="362" spans="1:18">
      <c r="A362" t="s">
        <v>511</v>
      </c>
      <c r="B362" t="s">
        <v>999</v>
      </c>
      <c r="C362" t="s">
        <v>512</v>
      </c>
      <c r="D362">
        <v>28</v>
      </c>
      <c r="E362">
        <v>5.8</v>
      </c>
      <c r="F362">
        <v>5.8</v>
      </c>
      <c r="G362">
        <v>100</v>
      </c>
      <c r="H362" t="s">
        <v>428</v>
      </c>
    </row>
    <row r="363" spans="1:18">
      <c r="A363" t="s">
        <v>523</v>
      </c>
      <c r="B363" t="s">
        <v>999</v>
      </c>
      <c r="C363" t="s">
        <v>260</v>
      </c>
      <c r="D363">
        <v>0</v>
      </c>
      <c r="E363">
        <v>100</v>
      </c>
      <c r="F363">
        <v>100</v>
      </c>
      <c r="G363">
        <v>100</v>
      </c>
      <c r="H363" t="s">
        <v>428</v>
      </c>
      <c r="K363" t="s">
        <v>1387</v>
      </c>
    </row>
    <row r="364" spans="1:18">
      <c r="A364" t="s">
        <v>523</v>
      </c>
      <c r="B364" t="s">
        <v>999</v>
      </c>
      <c r="C364" t="s">
        <v>260</v>
      </c>
      <c r="D364">
        <v>1</v>
      </c>
      <c r="E364">
        <v>100.2</v>
      </c>
      <c r="F364">
        <v>100.2</v>
      </c>
      <c r="G364">
        <v>100</v>
      </c>
      <c r="H364" t="s">
        <v>428</v>
      </c>
    </row>
    <row r="365" spans="1:18">
      <c r="A365" t="s">
        <v>523</v>
      </c>
      <c r="B365" t="s">
        <v>999</v>
      </c>
      <c r="C365" t="s">
        <v>260</v>
      </c>
      <c r="D365">
        <v>4</v>
      </c>
      <c r="E365">
        <v>100.9</v>
      </c>
      <c r="F365">
        <v>100.9</v>
      </c>
      <c r="G365">
        <v>100</v>
      </c>
      <c r="H365" t="s">
        <v>428</v>
      </c>
    </row>
    <row r="366" spans="1:18">
      <c r="A366" t="s">
        <v>523</v>
      </c>
      <c r="B366" t="s">
        <v>999</v>
      </c>
      <c r="C366" t="s">
        <v>260</v>
      </c>
      <c r="D366">
        <v>29</v>
      </c>
      <c r="E366">
        <v>84.4</v>
      </c>
      <c r="F366">
        <v>84.4</v>
      </c>
      <c r="G366">
        <v>100</v>
      </c>
      <c r="H366" t="s">
        <v>428</v>
      </c>
    </row>
    <row r="367" spans="1:18">
      <c r="A367" t="s">
        <v>543</v>
      </c>
      <c r="B367" t="s">
        <v>999</v>
      </c>
      <c r="C367" t="s">
        <v>545</v>
      </c>
      <c r="D367">
        <v>0</v>
      </c>
      <c r="E367">
        <v>100</v>
      </c>
      <c r="F367">
        <v>100</v>
      </c>
      <c r="G367">
        <v>100</v>
      </c>
      <c r="H367" t="s">
        <v>428</v>
      </c>
      <c r="I367" t="s">
        <v>539</v>
      </c>
      <c r="J367">
        <v>3</v>
      </c>
      <c r="K367" s="1" t="s">
        <v>1385</v>
      </c>
      <c r="L367" s="1" t="s">
        <v>1465</v>
      </c>
      <c r="M367" s="1">
        <v>0.29339999999999999</v>
      </c>
      <c r="N367" s="1"/>
      <c r="O367" s="1">
        <v>0.97</v>
      </c>
      <c r="P367" s="1">
        <v>2.4</v>
      </c>
      <c r="Q367" t="s">
        <v>1467</v>
      </c>
      <c r="R367" t="s">
        <v>1469</v>
      </c>
    </row>
    <row r="368" spans="1:18">
      <c r="A368" t="s">
        <v>543</v>
      </c>
      <c r="B368" t="s">
        <v>999</v>
      </c>
      <c r="C368" t="s">
        <v>545</v>
      </c>
      <c r="D368">
        <v>3</v>
      </c>
      <c r="E368">
        <v>87.3</v>
      </c>
      <c r="F368">
        <v>87.3</v>
      </c>
      <c r="G368">
        <v>100</v>
      </c>
      <c r="H368" t="s">
        <v>428</v>
      </c>
      <c r="I368" t="s">
        <v>539</v>
      </c>
      <c r="J368">
        <v>3</v>
      </c>
    </row>
    <row r="369" spans="1:18">
      <c r="A369" t="s">
        <v>543</v>
      </c>
      <c r="B369" t="s">
        <v>999</v>
      </c>
      <c r="C369" t="s">
        <v>545</v>
      </c>
      <c r="D369">
        <v>5</v>
      </c>
      <c r="E369">
        <v>82.6</v>
      </c>
      <c r="F369">
        <v>82.6</v>
      </c>
      <c r="G369">
        <v>100</v>
      </c>
      <c r="H369" t="s">
        <v>428</v>
      </c>
      <c r="I369" t="s">
        <v>539</v>
      </c>
      <c r="J369">
        <v>3</v>
      </c>
    </row>
    <row r="370" spans="1:18">
      <c r="A370" t="s">
        <v>543</v>
      </c>
      <c r="B370" t="s">
        <v>999</v>
      </c>
      <c r="C370" t="s">
        <v>545</v>
      </c>
      <c r="D370">
        <v>7</v>
      </c>
      <c r="E370">
        <v>77.7</v>
      </c>
      <c r="F370">
        <v>77.7</v>
      </c>
      <c r="G370">
        <v>100</v>
      </c>
      <c r="H370" t="s">
        <v>428</v>
      </c>
      <c r="I370" t="s">
        <v>539</v>
      </c>
      <c r="J370">
        <v>3</v>
      </c>
    </row>
    <row r="371" spans="1:18">
      <c r="A371" t="s">
        <v>543</v>
      </c>
      <c r="B371" t="s">
        <v>999</v>
      </c>
      <c r="C371" t="s">
        <v>545</v>
      </c>
      <c r="D371">
        <v>14</v>
      </c>
      <c r="E371">
        <v>78</v>
      </c>
      <c r="F371">
        <v>78</v>
      </c>
      <c r="G371">
        <v>100</v>
      </c>
      <c r="H371" t="s">
        <v>428</v>
      </c>
      <c r="I371" t="s">
        <v>539</v>
      </c>
      <c r="J371">
        <v>3</v>
      </c>
    </row>
    <row r="372" spans="1:18">
      <c r="A372" t="s">
        <v>543</v>
      </c>
      <c r="B372" t="s">
        <v>999</v>
      </c>
      <c r="C372" t="s">
        <v>546</v>
      </c>
      <c r="D372">
        <v>0</v>
      </c>
      <c r="E372">
        <v>100</v>
      </c>
      <c r="F372">
        <v>100</v>
      </c>
      <c r="G372">
        <v>100</v>
      </c>
      <c r="H372" t="s">
        <v>428</v>
      </c>
      <c r="I372" t="s">
        <v>540</v>
      </c>
      <c r="J372">
        <v>3</v>
      </c>
      <c r="K372" s="2" t="s">
        <v>1385</v>
      </c>
      <c r="L372" s="2" t="s">
        <v>1466</v>
      </c>
      <c r="M372" s="2">
        <v>0.38219999999999998</v>
      </c>
      <c r="N372" s="2"/>
      <c r="O372" s="2">
        <v>0.77</v>
      </c>
      <c r="P372" s="2">
        <v>1.9</v>
      </c>
      <c r="Q372" t="s">
        <v>1467</v>
      </c>
      <c r="R372" t="s">
        <v>1468</v>
      </c>
    </row>
    <row r="373" spans="1:18">
      <c r="A373" t="s">
        <v>543</v>
      </c>
      <c r="B373" t="s">
        <v>999</v>
      </c>
      <c r="C373" t="s">
        <v>546</v>
      </c>
      <c r="D373">
        <v>3</v>
      </c>
      <c r="E373">
        <v>80.5</v>
      </c>
      <c r="F373">
        <v>80.5</v>
      </c>
      <c r="G373">
        <v>100</v>
      </c>
      <c r="H373" t="s">
        <v>428</v>
      </c>
      <c r="I373" t="s">
        <v>540</v>
      </c>
      <c r="J373">
        <v>3</v>
      </c>
    </row>
    <row r="374" spans="1:18">
      <c r="A374" t="s">
        <v>543</v>
      </c>
      <c r="B374" t="s">
        <v>999</v>
      </c>
      <c r="C374" t="s">
        <v>546</v>
      </c>
      <c r="D374">
        <v>5</v>
      </c>
      <c r="E374">
        <v>58.6</v>
      </c>
      <c r="F374">
        <v>58.6</v>
      </c>
      <c r="G374">
        <v>100</v>
      </c>
      <c r="H374" t="s">
        <v>428</v>
      </c>
      <c r="I374" t="s">
        <v>540</v>
      </c>
      <c r="J374">
        <v>3</v>
      </c>
    </row>
    <row r="375" spans="1:18">
      <c r="A375" t="s">
        <v>543</v>
      </c>
      <c r="B375" t="s">
        <v>999</v>
      </c>
      <c r="C375" t="s">
        <v>546</v>
      </c>
      <c r="D375">
        <v>7</v>
      </c>
      <c r="E375">
        <v>61.6</v>
      </c>
      <c r="F375">
        <v>61.6</v>
      </c>
      <c r="G375">
        <v>100</v>
      </c>
      <c r="H375" t="s">
        <v>428</v>
      </c>
      <c r="I375" t="s">
        <v>540</v>
      </c>
      <c r="J375">
        <v>3</v>
      </c>
    </row>
    <row r="376" spans="1:18">
      <c r="A376" t="s">
        <v>543</v>
      </c>
      <c r="B376" t="s">
        <v>999</v>
      </c>
      <c r="C376" t="s">
        <v>546</v>
      </c>
      <c r="D376">
        <v>14</v>
      </c>
      <c r="E376">
        <v>64.900000000000006</v>
      </c>
      <c r="F376">
        <v>64.900000000000006</v>
      </c>
      <c r="G376">
        <v>100</v>
      </c>
      <c r="H376" t="s">
        <v>428</v>
      </c>
      <c r="I376" t="s">
        <v>540</v>
      </c>
      <c r="J376">
        <v>3</v>
      </c>
    </row>
    <row r="377" spans="1:18">
      <c r="A377" t="s">
        <v>565</v>
      </c>
      <c r="B377" t="s">
        <v>999</v>
      </c>
      <c r="C377" t="s">
        <v>566</v>
      </c>
      <c r="D377">
        <v>0</v>
      </c>
      <c r="E377">
        <v>100</v>
      </c>
      <c r="F377">
        <v>100</v>
      </c>
      <c r="G377">
        <v>100</v>
      </c>
      <c r="H377" t="s">
        <v>428</v>
      </c>
      <c r="I377" t="s">
        <v>254</v>
      </c>
      <c r="J377">
        <v>4</v>
      </c>
      <c r="K377" s="1" t="s">
        <v>1412</v>
      </c>
      <c r="L377" t="s">
        <v>1470</v>
      </c>
      <c r="O377">
        <v>0.99</v>
      </c>
      <c r="Q377" t="s">
        <v>190</v>
      </c>
    </row>
    <row r="378" spans="1:18">
      <c r="A378" t="s">
        <v>565</v>
      </c>
      <c r="B378" t="s">
        <v>999</v>
      </c>
      <c r="C378" t="s">
        <v>566</v>
      </c>
      <c r="D378">
        <v>1</v>
      </c>
      <c r="E378">
        <v>67.099999999999994</v>
      </c>
      <c r="F378">
        <v>67.099999999999994</v>
      </c>
      <c r="G378">
        <v>100</v>
      </c>
      <c r="H378" t="s">
        <v>428</v>
      </c>
      <c r="I378" t="s">
        <v>254</v>
      </c>
      <c r="J378">
        <v>4</v>
      </c>
      <c r="K378" s="10" t="s">
        <v>1385</v>
      </c>
      <c r="L378" s="10" t="s">
        <v>1471</v>
      </c>
      <c r="M378" s="10">
        <v>0.82420000000000004</v>
      </c>
      <c r="N378" s="2"/>
      <c r="O378" s="2">
        <v>0.97</v>
      </c>
      <c r="P378" s="2">
        <v>0.8</v>
      </c>
    </row>
    <row r="379" spans="1:18">
      <c r="A379" t="s">
        <v>565</v>
      </c>
      <c r="B379" t="s">
        <v>999</v>
      </c>
      <c r="C379" t="s">
        <v>566</v>
      </c>
      <c r="D379">
        <v>3</v>
      </c>
      <c r="E379">
        <v>52.7</v>
      </c>
      <c r="F379">
        <v>52.7</v>
      </c>
      <c r="G379">
        <v>100</v>
      </c>
      <c r="H379" t="s">
        <v>428</v>
      </c>
      <c r="I379" t="s">
        <v>254</v>
      </c>
      <c r="J379">
        <v>4</v>
      </c>
      <c r="P379" s="2"/>
    </row>
    <row r="380" spans="1:18">
      <c r="A380" t="s">
        <v>565</v>
      </c>
      <c r="B380" t="s">
        <v>999</v>
      </c>
      <c r="C380" t="s">
        <v>566</v>
      </c>
      <c r="D380">
        <v>6</v>
      </c>
      <c r="E380">
        <v>48.6</v>
      </c>
      <c r="F380">
        <v>48.6</v>
      </c>
      <c r="G380">
        <v>100</v>
      </c>
      <c r="H380" t="s">
        <v>428</v>
      </c>
      <c r="I380" t="s">
        <v>254</v>
      </c>
      <c r="J380">
        <v>4</v>
      </c>
      <c r="P380" s="2"/>
    </row>
    <row r="381" spans="1:18">
      <c r="A381" t="s">
        <v>565</v>
      </c>
      <c r="B381" t="s">
        <v>999</v>
      </c>
      <c r="C381" t="s">
        <v>566</v>
      </c>
      <c r="D381">
        <v>10</v>
      </c>
      <c r="E381">
        <v>47.3</v>
      </c>
      <c r="F381">
        <v>47.3</v>
      </c>
      <c r="G381">
        <v>100</v>
      </c>
      <c r="H381" t="s">
        <v>428</v>
      </c>
      <c r="I381" t="s">
        <v>254</v>
      </c>
      <c r="J381">
        <v>4</v>
      </c>
      <c r="P381" s="2"/>
    </row>
    <row r="382" spans="1:18">
      <c r="A382" t="s">
        <v>565</v>
      </c>
      <c r="B382" t="s">
        <v>999</v>
      </c>
      <c r="C382" t="s">
        <v>566</v>
      </c>
      <c r="D382">
        <v>20</v>
      </c>
      <c r="E382">
        <v>41.9</v>
      </c>
      <c r="F382">
        <v>41.9</v>
      </c>
      <c r="G382">
        <v>100</v>
      </c>
      <c r="H382" t="s">
        <v>428</v>
      </c>
      <c r="I382" t="s">
        <v>254</v>
      </c>
      <c r="J382">
        <v>4</v>
      </c>
      <c r="P382" s="2"/>
    </row>
    <row r="383" spans="1:18">
      <c r="A383" t="s">
        <v>565</v>
      </c>
      <c r="B383" t="s">
        <v>999</v>
      </c>
      <c r="C383" t="s">
        <v>566</v>
      </c>
      <c r="D383">
        <v>30</v>
      </c>
      <c r="E383">
        <v>42.3</v>
      </c>
      <c r="F383">
        <v>42.3</v>
      </c>
      <c r="G383">
        <v>100</v>
      </c>
      <c r="H383" t="s">
        <v>428</v>
      </c>
      <c r="I383" t="s">
        <v>254</v>
      </c>
      <c r="J383">
        <v>4</v>
      </c>
      <c r="P383" s="2"/>
    </row>
    <row r="384" spans="1:18">
      <c r="A384" t="s">
        <v>565</v>
      </c>
      <c r="B384" t="s">
        <v>999</v>
      </c>
      <c r="C384" t="s">
        <v>566</v>
      </c>
      <c r="D384">
        <v>0</v>
      </c>
      <c r="E384">
        <v>100</v>
      </c>
      <c r="F384">
        <v>100</v>
      </c>
      <c r="G384">
        <v>100</v>
      </c>
      <c r="H384" t="s">
        <v>428</v>
      </c>
      <c r="I384" t="s">
        <v>328</v>
      </c>
      <c r="J384">
        <v>4</v>
      </c>
      <c r="K384" s="2" t="s">
        <v>1385</v>
      </c>
      <c r="L384" s="2" t="s">
        <v>1472</v>
      </c>
      <c r="M384" s="2">
        <v>1.5206999999999999</v>
      </c>
      <c r="N384" s="2"/>
      <c r="O384" s="2">
        <v>0.83</v>
      </c>
      <c r="P384" s="2">
        <v>0.4</v>
      </c>
      <c r="Q384" t="s">
        <v>190</v>
      </c>
    </row>
    <row r="385" spans="1:17">
      <c r="A385" t="s">
        <v>565</v>
      </c>
      <c r="B385" t="s">
        <v>999</v>
      </c>
      <c r="C385" t="s">
        <v>566</v>
      </c>
      <c r="D385">
        <v>1</v>
      </c>
      <c r="E385">
        <v>71.2</v>
      </c>
      <c r="F385">
        <v>71.2</v>
      </c>
      <c r="G385">
        <v>100</v>
      </c>
      <c r="H385" t="s">
        <v>428</v>
      </c>
      <c r="I385" t="s">
        <v>328</v>
      </c>
      <c r="J385">
        <v>4</v>
      </c>
    </row>
    <row r="386" spans="1:17">
      <c r="A386" t="s">
        <v>565</v>
      </c>
      <c r="B386" t="s">
        <v>999</v>
      </c>
      <c r="C386" t="s">
        <v>566</v>
      </c>
      <c r="D386">
        <v>3</v>
      </c>
      <c r="E386">
        <v>58.1</v>
      </c>
      <c r="F386">
        <v>58.1</v>
      </c>
      <c r="G386">
        <v>100</v>
      </c>
      <c r="H386" t="s">
        <v>428</v>
      </c>
      <c r="I386" t="s">
        <v>328</v>
      </c>
      <c r="J386">
        <v>4</v>
      </c>
    </row>
    <row r="387" spans="1:17">
      <c r="A387" t="s">
        <v>565</v>
      </c>
      <c r="B387" t="s">
        <v>999</v>
      </c>
      <c r="C387" t="s">
        <v>566</v>
      </c>
      <c r="D387">
        <v>6</v>
      </c>
      <c r="E387">
        <v>65.8</v>
      </c>
      <c r="F387">
        <v>65.8</v>
      </c>
      <c r="G387">
        <v>100</v>
      </c>
      <c r="H387" t="s">
        <v>428</v>
      </c>
      <c r="I387" t="s">
        <v>328</v>
      </c>
      <c r="J387">
        <v>4</v>
      </c>
    </row>
    <row r="388" spans="1:17">
      <c r="A388" t="s">
        <v>565</v>
      </c>
      <c r="B388" t="s">
        <v>999</v>
      </c>
      <c r="C388" t="s">
        <v>566</v>
      </c>
      <c r="D388">
        <v>10</v>
      </c>
      <c r="E388">
        <v>63.1</v>
      </c>
      <c r="F388">
        <v>63.1</v>
      </c>
      <c r="G388">
        <v>100</v>
      </c>
      <c r="H388" t="s">
        <v>428</v>
      </c>
      <c r="I388" t="s">
        <v>328</v>
      </c>
      <c r="J388">
        <v>4</v>
      </c>
    </row>
    <row r="389" spans="1:17">
      <c r="A389" t="s">
        <v>565</v>
      </c>
      <c r="B389" t="s">
        <v>999</v>
      </c>
      <c r="C389" t="s">
        <v>566</v>
      </c>
      <c r="D389">
        <v>20</v>
      </c>
      <c r="E389">
        <v>69.8</v>
      </c>
      <c r="F389">
        <v>69.8</v>
      </c>
      <c r="G389">
        <v>100</v>
      </c>
      <c r="H389" t="s">
        <v>428</v>
      </c>
      <c r="I389" t="s">
        <v>328</v>
      </c>
      <c r="J389">
        <v>4</v>
      </c>
    </row>
    <row r="390" spans="1:17">
      <c r="A390" t="s">
        <v>565</v>
      </c>
      <c r="B390" t="s">
        <v>999</v>
      </c>
      <c r="C390" t="s">
        <v>566</v>
      </c>
      <c r="D390">
        <v>30</v>
      </c>
      <c r="E390">
        <v>54.5</v>
      </c>
      <c r="F390">
        <v>54.5</v>
      </c>
      <c r="G390">
        <v>100</v>
      </c>
      <c r="H390" t="s">
        <v>428</v>
      </c>
      <c r="I390" t="s">
        <v>328</v>
      </c>
      <c r="J390">
        <v>4</v>
      </c>
    </row>
    <row r="391" spans="1:17">
      <c r="A391" t="s">
        <v>591</v>
      </c>
      <c r="B391" t="s">
        <v>999</v>
      </c>
      <c r="C391" t="s">
        <v>261</v>
      </c>
      <c r="D391">
        <v>0</v>
      </c>
      <c r="E391">
        <f t="shared" ref="E391:E400" si="4">(F391/G391*100)</f>
        <v>100</v>
      </c>
      <c r="F391">
        <v>505</v>
      </c>
      <c r="G391">
        <v>505</v>
      </c>
      <c r="H391" t="s">
        <v>593</v>
      </c>
      <c r="K391" t="s">
        <v>1399</v>
      </c>
      <c r="L391" t="s">
        <v>1473</v>
      </c>
      <c r="O391">
        <v>1</v>
      </c>
      <c r="Q391" t="s">
        <v>190</v>
      </c>
    </row>
    <row r="392" spans="1:17">
      <c r="A392" t="s">
        <v>591</v>
      </c>
      <c r="B392" t="s">
        <v>999</v>
      </c>
      <c r="C392" t="s">
        <v>261</v>
      </c>
      <c r="D392">
        <v>28</v>
      </c>
      <c r="E392">
        <f t="shared" si="4"/>
        <v>84.43564356435644</v>
      </c>
      <c r="F392">
        <v>426.4</v>
      </c>
      <c r="G392">
        <v>505</v>
      </c>
      <c r="H392" t="s">
        <v>593</v>
      </c>
      <c r="K392" s="2" t="s">
        <v>1474</v>
      </c>
      <c r="L392" s="2" t="s">
        <v>1475</v>
      </c>
      <c r="M392" s="2">
        <v>5.62E-2</v>
      </c>
      <c r="N392" s="2"/>
      <c r="O392" s="2">
        <v>1</v>
      </c>
      <c r="P392">
        <v>9</v>
      </c>
    </row>
    <row r="393" spans="1:17">
      <c r="A393" t="s">
        <v>591</v>
      </c>
      <c r="B393" t="s">
        <v>999</v>
      </c>
      <c r="C393" t="s">
        <v>261</v>
      </c>
      <c r="D393">
        <v>56</v>
      </c>
      <c r="E393">
        <f t="shared" si="4"/>
        <v>23.920792079207921</v>
      </c>
      <c r="F393">
        <v>120.8</v>
      </c>
      <c r="G393">
        <v>505</v>
      </c>
      <c r="H393" t="s">
        <v>593</v>
      </c>
      <c r="K393" s="9" t="s">
        <v>2389</v>
      </c>
      <c r="L393" s="9" t="s">
        <v>2390</v>
      </c>
      <c r="O393">
        <v>0.98</v>
      </c>
    </row>
    <row r="394" spans="1:17">
      <c r="A394" t="s">
        <v>591</v>
      </c>
      <c r="B394" t="s">
        <v>999</v>
      </c>
      <c r="C394" t="s">
        <v>261</v>
      </c>
      <c r="D394">
        <v>84</v>
      </c>
      <c r="E394">
        <f t="shared" si="4"/>
        <v>10.455445544554456</v>
      </c>
      <c r="F394">
        <v>52.8</v>
      </c>
      <c r="G394">
        <v>505</v>
      </c>
      <c r="H394" t="s">
        <v>593</v>
      </c>
      <c r="K394" t="s">
        <v>2208</v>
      </c>
      <c r="L394" t="s">
        <v>2391</v>
      </c>
    </row>
    <row r="395" spans="1:17">
      <c r="A395" t="s">
        <v>591</v>
      </c>
      <c r="B395" t="s">
        <v>999</v>
      </c>
      <c r="C395" t="s">
        <v>261</v>
      </c>
      <c r="D395">
        <v>112</v>
      </c>
      <c r="E395">
        <f t="shared" si="4"/>
        <v>8.9702970297029694</v>
      </c>
      <c r="F395">
        <v>45.3</v>
      </c>
      <c r="G395">
        <v>505</v>
      </c>
      <c r="H395" t="s">
        <v>593</v>
      </c>
    </row>
    <row r="396" spans="1:17">
      <c r="A396" t="s">
        <v>591</v>
      </c>
      <c r="B396" t="s">
        <v>999</v>
      </c>
      <c r="C396" t="s">
        <v>592</v>
      </c>
      <c r="D396">
        <v>0</v>
      </c>
      <c r="E396">
        <f t="shared" si="4"/>
        <v>100</v>
      </c>
      <c r="F396">
        <v>509</v>
      </c>
      <c r="G396">
        <v>509</v>
      </c>
      <c r="H396" t="s">
        <v>593</v>
      </c>
      <c r="K396" t="s">
        <v>1399</v>
      </c>
      <c r="L396" t="s">
        <v>1476</v>
      </c>
      <c r="O396">
        <v>1</v>
      </c>
      <c r="Q396" t="s">
        <v>190</v>
      </c>
    </row>
    <row r="397" spans="1:17">
      <c r="A397" t="s">
        <v>591</v>
      </c>
      <c r="B397" t="s">
        <v>999</v>
      </c>
      <c r="C397" t="s">
        <v>592</v>
      </c>
      <c r="D397">
        <v>28</v>
      </c>
      <c r="E397">
        <f t="shared" si="4"/>
        <v>96.385068762278976</v>
      </c>
      <c r="F397">
        <v>490.6</v>
      </c>
      <c r="G397">
        <v>509</v>
      </c>
      <c r="H397" t="s">
        <v>593</v>
      </c>
      <c r="K397" s="2" t="s">
        <v>1477</v>
      </c>
      <c r="L397" s="2" t="s">
        <v>1478</v>
      </c>
      <c r="M397" s="2">
        <v>2.46E-2</v>
      </c>
      <c r="N397" s="2"/>
      <c r="O397" s="2">
        <v>0.996</v>
      </c>
      <c r="P397" s="2">
        <v>16.3</v>
      </c>
    </row>
    <row r="398" spans="1:17">
      <c r="A398" t="s">
        <v>591</v>
      </c>
      <c r="B398" t="s">
        <v>999</v>
      </c>
      <c r="C398" t="s">
        <v>592</v>
      </c>
      <c r="D398">
        <v>56</v>
      </c>
      <c r="E398">
        <f t="shared" si="4"/>
        <v>74.872298624754436</v>
      </c>
      <c r="F398">
        <v>381.1</v>
      </c>
      <c r="G398">
        <v>509</v>
      </c>
      <c r="H398" t="s">
        <v>593</v>
      </c>
      <c r="K398" s="9" t="s">
        <v>181</v>
      </c>
      <c r="L398" t="s">
        <v>2392</v>
      </c>
      <c r="O398">
        <v>0.94</v>
      </c>
    </row>
    <row r="399" spans="1:17">
      <c r="A399" t="s">
        <v>591</v>
      </c>
      <c r="B399" t="s">
        <v>999</v>
      </c>
      <c r="C399" t="s">
        <v>592</v>
      </c>
      <c r="D399">
        <v>84</v>
      </c>
      <c r="E399">
        <f t="shared" si="4"/>
        <v>36.326129666011795</v>
      </c>
      <c r="F399">
        <v>184.9</v>
      </c>
      <c r="G399">
        <v>509</v>
      </c>
      <c r="H399" t="s">
        <v>593</v>
      </c>
      <c r="K399" s="9" t="s">
        <v>2386</v>
      </c>
      <c r="L399" t="s">
        <v>2393</v>
      </c>
      <c r="O399">
        <v>0.99</v>
      </c>
    </row>
    <row r="400" spans="1:17">
      <c r="A400" t="s">
        <v>591</v>
      </c>
      <c r="B400" t="s">
        <v>999</v>
      </c>
      <c r="C400" t="s">
        <v>592</v>
      </c>
      <c r="D400">
        <v>112</v>
      </c>
      <c r="E400">
        <f t="shared" si="4"/>
        <v>20.019646365422396</v>
      </c>
      <c r="F400">
        <v>101.9</v>
      </c>
      <c r="G400">
        <v>509</v>
      </c>
      <c r="H400" t="s">
        <v>593</v>
      </c>
    </row>
    <row r="401" spans="1:18">
      <c r="A401" t="s">
        <v>618</v>
      </c>
      <c r="B401" t="s">
        <v>999</v>
      </c>
      <c r="C401" t="s">
        <v>619</v>
      </c>
      <c r="D401">
        <v>14</v>
      </c>
      <c r="F401">
        <v>100.75</v>
      </c>
      <c r="G401">
        <v>120</v>
      </c>
      <c r="H401" t="s">
        <v>593</v>
      </c>
      <c r="K401" t="s">
        <v>1392</v>
      </c>
      <c r="N401">
        <f t="shared" ref="N401:N406" si="5">(((G401-F401)/G401)*100)/D401</f>
        <v>1.1458333333333335</v>
      </c>
      <c r="Q401" t="s">
        <v>190</v>
      </c>
    </row>
    <row r="402" spans="1:18">
      <c r="A402" t="s">
        <v>618</v>
      </c>
      <c r="B402" t="s">
        <v>999</v>
      </c>
      <c r="C402" t="s">
        <v>620</v>
      </c>
      <c r="D402">
        <v>14</v>
      </c>
      <c r="F402">
        <v>88.93</v>
      </c>
      <c r="G402">
        <v>120</v>
      </c>
      <c r="H402" t="s">
        <v>593</v>
      </c>
      <c r="K402" t="s">
        <v>1392</v>
      </c>
      <c r="N402">
        <f t="shared" si="5"/>
        <v>1.8494047619047616</v>
      </c>
      <c r="Q402" t="s">
        <v>190</v>
      </c>
    </row>
    <row r="403" spans="1:18">
      <c r="A403" t="s">
        <v>618</v>
      </c>
      <c r="B403" t="s">
        <v>999</v>
      </c>
      <c r="C403" t="s">
        <v>621</v>
      </c>
      <c r="D403">
        <v>14</v>
      </c>
      <c r="F403">
        <v>107.62</v>
      </c>
      <c r="G403">
        <v>120</v>
      </c>
      <c r="H403" t="s">
        <v>593</v>
      </c>
      <c r="K403" t="s">
        <v>1392</v>
      </c>
      <c r="N403">
        <f t="shared" si="5"/>
        <v>0.73690476190476162</v>
      </c>
      <c r="Q403" t="s">
        <v>190</v>
      </c>
    </row>
    <row r="404" spans="1:18">
      <c r="A404" t="s">
        <v>618</v>
      </c>
      <c r="B404" t="s">
        <v>999</v>
      </c>
      <c r="C404" t="s">
        <v>622</v>
      </c>
      <c r="D404">
        <v>14</v>
      </c>
      <c r="F404">
        <v>113.37</v>
      </c>
      <c r="G404">
        <v>120</v>
      </c>
      <c r="H404" t="s">
        <v>593</v>
      </c>
      <c r="K404" t="s">
        <v>1392</v>
      </c>
      <c r="N404">
        <f t="shared" si="5"/>
        <v>0.39464285714285685</v>
      </c>
      <c r="Q404" t="s">
        <v>190</v>
      </c>
    </row>
    <row r="405" spans="1:18">
      <c r="A405" t="s">
        <v>618</v>
      </c>
      <c r="B405" t="s">
        <v>999</v>
      </c>
      <c r="C405" t="s">
        <v>623</v>
      </c>
      <c r="D405">
        <v>14</v>
      </c>
      <c r="F405">
        <v>76.17</v>
      </c>
      <c r="G405">
        <v>120</v>
      </c>
      <c r="H405" t="s">
        <v>593</v>
      </c>
      <c r="K405" t="s">
        <v>1392</v>
      </c>
      <c r="N405">
        <f t="shared" si="5"/>
        <v>2.6089285714285713</v>
      </c>
      <c r="Q405" t="s">
        <v>190</v>
      </c>
    </row>
    <row r="406" spans="1:18">
      <c r="A406" t="s">
        <v>3211</v>
      </c>
      <c r="B406" t="s">
        <v>999</v>
      </c>
      <c r="C406" t="s">
        <v>655</v>
      </c>
      <c r="D406">
        <v>25</v>
      </c>
      <c r="F406">
        <v>1.3</v>
      </c>
      <c r="G406">
        <v>5.4</v>
      </c>
      <c r="H406" t="s">
        <v>656</v>
      </c>
      <c r="I406" t="s">
        <v>187</v>
      </c>
      <c r="K406" t="s">
        <v>1392</v>
      </c>
      <c r="N406">
        <f t="shared" si="5"/>
        <v>3.0370370370370368</v>
      </c>
      <c r="Q406" t="s">
        <v>1455</v>
      </c>
      <c r="R406">
        <v>0.433</v>
      </c>
    </row>
    <row r="407" spans="1:18">
      <c r="A407" t="s">
        <v>3211</v>
      </c>
      <c r="B407" t="s">
        <v>999</v>
      </c>
      <c r="C407" t="s">
        <v>655</v>
      </c>
      <c r="D407">
        <v>0</v>
      </c>
      <c r="E407">
        <v>100</v>
      </c>
      <c r="G407">
        <v>100</v>
      </c>
      <c r="H407" t="s">
        <v>428</v>
      </c>
      <c r="I407" t="s">
        <v>170</v>
      </c>
      <c r="K407" t="s">
        <v>2380</v>
      </c>
      <c r="L407" t="s">
        <v>2482</v>
      </c>
      <c r="O407">
        <v>0.88959999999999995</v>
      </c>
    </row>
    <row r="408" spans="1:18">
      <c r="A408" t="s">
        <v>3211</v>
      </c>
      <c r="B408" t="s">
        <v>999</v>
      </c>
      <c r="C408" t="s">
        <v>655</v>
      </c>
      <c r="D408">
        <v>7</v>
      </c>
      <c r="E408">
        <v>86.88</v>
      </c>
      <c r="H408" t="s">
        <v>428</v>
      </c>
      <c r="I408" t="s">
        <v>170</v>
      </c>
      <c r="K408" t="s">
        <v>181</v>
      </c>
      <c r="L408" t="s">
        <v>2483</v>
      </c>
      <c r="O408">
        <v>0.75</v>
      </c>
    </row>
    <row r="409" spans="1:18">
      <c r="A409" t="s">
        <v>3211</v>
      </c>
      <c r="B409" t="s">
        <v>999</v>
      </c>
      <c r="C409" t="s">
        <v>655</v>
      </c>
      <c r="D409">
        <v>9</v>
      </c>
      <c r="E409">
        <v>81.77</v>
      </c>
      <c r="H409" t="s">
        <v>428</v>
      </c>
      <c r="I409" t="s">
        <v>170</v>
      </c>
    </row>
    <row r="410" spans="1:18">
      <c r="A410" t="s">
        <v>3211</v>
      </c>
      <c r="B410" t="s">
        <v>999</v>
      </c>
      <c r="C410" t="s">
        <v>655</v>
      </c>
      <c r="D410">
        <v>15</v>
      </c>
      <c r="E410">
        <v>96.76</v>
      </c>
      <c r="H410" t="s">
        <v>428</v>
      </c>
      <c r="I410" t="s">
        <v>170</v>
      </c>
    </row>
    <row r="411" spans="1:18">
      <c r="A411" t="s">
        <v>3211</v>
      </c>
      <c r="B411" t="s">
        <v>999</v>
      </c>
      <c r="C411" t="s">
        <v>655</v>
      </c>
      <c r="D411">
        <v>19</v>
      </c>
      <c r="E411">
        <v>48.91</v>
      </c>
      <c r="H411" t="s">
        <v>428</v>
      </c>
      <c r="I411" t="s">
        <v>170</v>
      </c>
    </row>
    <row r="412" spans="1:18">
      <c r="A412" t="s">
        <v>3211</v>
      </c>
      <c r="B412" t="s">
        <v>999</v>
      </c>
      <c r="C412" t="s">
        <v>655</v>
      </c>
      <c r="D412">
        <v>21</v>
      </c>
      <c r="E412">
        <v>27.38</v>
      </c>
      <c r="H412" t="s">
        <v>428</v>
      </c>
      <c r="I412" t="s">
        <v>170</v>
      </c>
    </row>
    <row r="413" spans="1:18">
      <c r="A413" t="s">
        <v>3211</v>
      </c>
      <c r="B413" t="s">
        <v>999</v>
      </c>
      <c r="C413" t="s">
        <v>655</v>
      </c>
      <c r="D413">
        <v>25</v>
      </c>
      <c r="E413">
        <v>23.954999999999998</v>
      </c>
      <c r="H413" t="s">
        <v>428</v>
      </c>
      <c r="I413" t="s">
        <v>170</v>
      </c>
    </row>
    <row r="414" spans="1:18">
      <c r="A414" t="s">
        <v>3211</v>
      </c>
      <c r="B414" t="s">
        <v>999</v>
      </c>
      <c r="C414" t="s">
        <v>655</v>
      </c>
      <c r="D414">
        <v>0</v>
      </c>
      <c r="E414">
        <v>100</v>
      </c>
      <c r="F414">
        <v>100</v>
      </c>
      <c r="G414">
        <v>100</v>
      </c>
      <c r="H414" t="s">
        <v>428</v>
      </c>
      <c r="I414" t="s">
        <v>217</v>
      </c>
      <c r="K414" s="1" t="s">
        <v>1385</v>
      </c>
      <c r="L414" s="1" t="s">
        <v>1479</v>
      </c>
      <c r="M414" s="1">
        <v>0.23380000000000001</v>
      </c>
      <c r="N414" s="1"/>
      <c r="O414" s="1">
        <v>0.82</v>
      </c>
      <c r="P414">
        <v>2.9</v>
      </c>
      <c r="Q414" t="s">
        <v>1455</v>
      </c>
      <c r="R414">
        <v>8.2000000000000003E-2</v>
      </c>
    </row>
    <row r="415" spans="1:18">
      <c r="A415" t="s">
        <v>3211</v>
      </c>
      <c r="B415" t="s">
        <v>999</v>
      </c>
      <c r="C415" t="s">
        <v>655</v>
      </c>
      <c r="D415">
        <v>8</v>
      </c>
      <c r="E415">
        <v>43</v>
      </c>
      <c r="F415">
        <v>43</v>
      </c>
      <c r="G415">
        <v>100</v>
      </c>
      <c r="H415" t="s">
        <v>428</v>
      </c>
      <c r="I415" t="s">
        <v>217</v>
      </c>
    </row>
    <row r="416" spans="1:18">
      <c r="A416" t="s">
        <v>3211</v>
      </c>
      <c r="B416" t="s">
        <v>999</v>
      </c>
      <c r="C416" t="s">
        <v>655</v>
      </c>
      <c r="D416">
        <v>11</v>
      </c>
      <c r="E416">
        <v>33</v>
      </c>
      <c r="F416">
        <v>33</v>
      </c>
      <c r="G416">
        <v>100</v>
      </c>
      <c r="H416" t="s">
        <v>428</v>
      </c>
      <c r="I416" t="s">
        <v>217</v>
      </c>
    </row>
    <row r="417" spans="1:18">
      <c r="A417" t="s">
        <v>3211</v>
      </c>
      <c r="B417" t="s">
        <v>999</v>
      </c>
      <c r="C417" t="s">
        <v>655</v>
      </c>
      <c r="D417">
        <v>13</v>
      </c>
      <c r="E417">
        <v>21</v>
      </c>
      <c r="F417">
        <v>21</v>
      </c>
      <c r="G417">
        <v>100</v>
      </c>
      <c r="H417" t="s">
        <v>428</v>
      </c>
      <c r="I417" t="s">
        <v>217</v>
      </c>
    </row>
    <row r="418" spans="1:18">
      <c r="A418" t="s">
        <v>3211</v>
      </c>
      <c r="B418" t="s">
        <v>999</v>
      </c>
      <c r="C418" t="s">
        <v>655</v>
      </c>
      <c r="D418">
        <v>15</v>
      </c>
      <c r="E418">
        <v>48</v>
      </c>
      <c r="F418">
        <v>48</v>
      </c>
      <c r="G418">
        <v>100</v>
      </c>
      <c r="H418" t="s">
        <v>428</v>
      </c>
      <c r="I418" t="s">
        <v>217</v>
      </c>
    </row>
    <row r="419" spans="1:18">
      <c r="A419" t="s">
        <v>3211</v>
      </c>
      <c r="B419" t="s">
        <v>999</v>
      </c>
      <c r="C419" t="s">
        <v>655</v>
      </c>
      <c r="D419">
        <v>18</v>
      </c>
      <c r="E419">
        <v>26</v>
      </c>
      <c r="F419">
        <v>26</v>
      </c>
      <c r="G419">
        <v>100</v>
      </c>
      <c r="H419" t="s">
        <v>428</v>
      </c>
      <c r="I419" t="s">
        <v>217</v>
      </c>
    </row>
    <row r="420" spans="1:18">
      <c r="A420" t="s">
        <v>3211</v>
      </c>
      <c r="B420" t="s">
        <v>999</v>
      </c>
      <c r="C420" t="s">
        <v>655</v>
      </c>
      <c r="D420">
        <v>0</v>
      </c>
      <c r="E420">
        <v>100</v>
      </c>
      <c r="F420">
        <v>100</v>
      </c>
      <c r="G420">
        <v>100</v>
      </c>
      <c r="H420" t="s">
        <v>428</v>
      </c>
      <c r="I420" t="s">
        <v>657</v>
      </c>
      <c r="K420" s="2" t="s">
        <v>1399</v>
      </c>
      <c r="L420" s="2" t="s">
        <v>1480</v>
      </c>
      <c r="M420" s="2"/>
      <c r="N420" s="2"/>
      <c r="O420" s="2">
        <v>0.96</v>
      </c>
      <c r="Q420" t="s">
        <v>1455</v>
      </c>
      <c r="R420">
        <v>0.223</v>
      </c>
    </row>
    <row r="421" spans="1:18">
      <c r="A421" t="s">
        <v>3211</v>
      </c>
      <c r="B421" t="s">
        <v>999</v>
      </c>
      <c r="C421" t="s">
        <v>655</v>
      </c>
      <c r="D421">
        <v>7</v>
      </c>
      <c r="E421">
        <v>95</v>
      </c>
      <c r="F421">
        <v>95</v>
      </c>
      <c r="G421">
        <v>100</v>
      </c>
      <c r="H421" t="s">
        <v>428</v>
      </c>
      <c r="I421" t="s">
        <v>657</v>
      </c>
      <c r="K421" s="9" t="s">
        <v>2389</v>
      </c>
      <c r="L421" t="s">
        <v>2394</v>
      </c>
      <c r="O421">
        <v>0.97</v>
      </c>
    </row>
    <row r="422" spans="1:18">
      <c r="A422" t="s">
        <v>3211</v>
      </c>
      <c r="B422" t="s">
        <v>999</v>
      </c>
      <c r="C422" t="s">
        <v>655</v>
      </c>
      <c r="D422">
        <v>12</v>
      </c>
      <c r="E422">
        <v>105</v>
      </c>
      <c r="F422">
        <v>105</v>
      </c>
      <c r="G422">
        <v>100</v>
      </c>
      <c r="H422" t="s">
        <v>428</v>
      </c>
      <c r="I422" t="s">
        <v>657</v>
      </c>
      <c r="K422" t="s">
        <v>181</v>
      </c>
      <c r="L422" t="s">
        <v>2395</v>
      </c>
      <c r="O422">
        <v>0.78779999999999994</v>
      </c>
    </row>
    <row r="423" spans="1:18">
      <c r="A423" t="s">
        <v>3211</v>
      </c>
      <c r="B423" t="s">
        <v>999</v>
      </c>
      <c r="C423" t="s">
        <v>655</v>
      </c>
      <c r="D423">
        <v>15</v>
      </c>
      <c r="E423">
        <v>104</v>
      </c>
      <c r="F423">
        <v>104</v>
      </c>
      <c r="G423">
        <v>100</v>
      </c>
      <c r="H423" t="s">
        <v>428</v>
      </c>
      <c r="I423" t="s">
        <v>657</v>
      </c>
    </row>
    <row r="424" spans="1:18">
      <c r="A424" t="s">
        <v>3211</v>
      </c>
      <c r="B424" t="s">
        <v>999</v>
      </c>
      <c r="C424" t="s">
        <v>655</v>
      </c>
      <c r="D424">
        <v>19</v>
      </c>
      <c r="E424">
        <v>85</v>
      </c>
      <c r="F424">
        <v>85</v>
      </c>
      <c r="G424">
        <v>100</v>
      </c>
      <c r="H424" t="s">
        <v>428</v>
      </c>
      <c r="I424" t="s">
        <v>657</v>
      </c>
    </row>
    <row r="425" spans="1:18">
      <c r="A425" t="s">
        <v>3211</v>
      </c>
      <c r="B425" t="s">
        <v>999</v>
      </c>
      <c r="C425" t="s">
        <v>655</v>
      </c>
      <c r="D425">
        <v>26</v>
      </c>
      <c r="E425">
        <v>66</v>
      </c>
      <c r="F425">
        <v>66</v>
      </c>
      <c r="G425">
        <v>100</v>
      </c>
      <c r="H425" t="s">
        <v>428</v>
      </c>
      <c r="I425" t="s">
        <v>657</v>
      </c>
    </row>
    <row r="426" spans="1:18">
      <c r="A426" t="s">
        <v>3211</v>
      </c>
      <c r="B426" t="s">
        <v>999</v>
      </c>
      <c r="C426" t="s">
        <v>655</v>
      </c>
      <c r="D426">
        <v>30</v>
      </c>
      <c r="E426">
        <v>34</v>
      </c>
      <c r="F426">
        <v>34</v>
      </c>
      <c r="G426">
        <v>100</v>
      </c>
      <c r="H426" t="s">
        <v>428</v>
      </c>
      <c r="I426" t="s">
        <v>657</v>
      </c>
    </row>
    <row r="427" spans="1:18">
      <c r="A427" t="s">
        <v>3211</v>
      </c>
      <c r="B427" t="s">
        <v>999</v>
      </c>
      <c r="C427" t="s">
        <v>655</v>
      </c>
      <c r="D427">
        <v>36</v>
      </c>
      <c r="E427">
        <v>19</v>
      </c>
      <c r="F427">
        <v>19</v>
      </c>
      <c r="G427">
        <v>100</v>
      </c>
      <c r="H427" t="s">
        <v>428</v>
      </c>
      <c r="I427" t="s">
        <v>657</v>
      </c>
    </row>
    <row r="428" spans="1:18">
      <c r="A428" t="s">
        <v>3211</v>
      </c>
      <c r="B428" t="s">
        <v>999</v>
      </c>
      <c r="C428" t="s">
        <v>655</v>
      </c>
      <c r="D428">
        <v>0</v>
      </c>
      <c r="E428">
        <v>100</v>
      </c>
      <c r="F428">
        <v>100</v>
      </c>
      <c r="G428">
        <v>100</v>
      </c>
      <c r="H428" t="s">
        <v>428</v>
      </c>
      <c r="I428" t="s">
        <v>328</v>
      </c>
      <c r="K428" s="2" t="s">
        <v>1396</v>
      </c>
      <c r="L428" s="2" t="s">
        <v>1481</v>
      </c>
      <c r="M428" s="2"/>
      <c r="N428" s="2">
        <v>-1.6</v>
      </c>
      <c r="O428" s="2">
        <v>0.69</v>
      </c>
      <c r="Q428" t="s">
        <v>1482</v>
      </c>
      <c r="R428">
        <v>0.223</v>
      </c>
    </row>
    <row r="429" spans="1:18">
      <c r="A429" t="s">
        <v>3211</v>
      </c>
      <c r="B429" t="s">
        <v>999</v>
      </c>
      <c r="C429" t="s">
        <v>655</v>
      </c>
      <c r="D429">
        <v>6</v>
      </c>
      <c r="E429">
        <v>80</v>
      </c>
      <c r="F429">
        <v>80</v>
      </c>
      <c r="G429">
        <v>100</v>
      </c>
      <c r="H429" t="s">
        <v>428</v>
      </c>
      <c r="I429" t="s">
        <v>328</v>
      </c>
      <c r="K429" s="9" t="s">
        <v>2380</v>
      </c>
      <c r="L429" s="9" t="s">
        <v>2396</v>
      </c>
      <c r="O429">
        <v>0.75</v>
      </c>
    </row>
    <row r="430" spans="1:18">
      <c r="A430" t="s">
        <v>3211</v>
      </c>
      <c r="B430" t="s">
        <v>999</v>
      </c>
      <c r="C430" t="s">
        <v>655</v>
      </c>
      <c r="D430">
        <v>12</v>
      </c>
      <c r="E430">
        <v>95</v>
      </c>
      <c r="F430">
        <v>95</v>
      </c>
      <c r="G430">
        <v>100</v>
      </c>
      <c r="H430" t="s">
        <v>428</v>
      </c>
      <c r="I430" t="s">
        <v>328</v>
      </c>
      <c r="K430" s="9"/>
      <c r="L430" s="9"/>
    </row>
    <row r="431" spans="1:18">
      <c r="A431" t="s">
        <v>3211</v>
      </c>
      <c r="B431" t="s">
        <v>999</v>
      </c>
      <c r="C431" t="s">
        <v>655</v>
      </c>
      <c r="D431">
        <v>15</v>
      </c>
      <c r="E431">
        <v>48</v>
      </c>
      <c r="F431">
        <v>48</v>
      </c>
      <c r="G431">
        <v>100</v>
      </c>
      <c r="H431" t="s">
        <v>428</v>
      </c>
      <c r="I431" t="s">
        <v>328</v>
      </c>
    </row>
    <row r="432" spans="1:18">
      <c r="A432" t="s">
        <v>3211</v>
      </c>
      <c r="B432" t="s">
        <v>999</v>
      </c>
      <c r="C432" t="s">
        <v>655</v>
      </c>
      <c r="D432">
        <v>19</v>
      </c>
      <c r="E432">
        <v>94</v>
      </c>
      <c r="F432">
        <v>94</v>
      </c>
      <c r="G432">
        <v>100</v>
      </c>
      <c r="H432" t="s">
        <v>428</v>
      </c>
      <c r="I432" t="s">
        <v>328</v>
      </c>
    </row>
    <row r="433" spans="1:17">
      <c r="A433" t="s">
        <v>3211</v>
      </c>
      <c r="B433" t="s">
        <v>999</v>
      </c>
      <c r="C433" t="s">
        <v>655</v>
      </c>
      <c r="D433">
        <v>26</v>
      </c>
      <c r="E433">
        <v>70</v>
      </c>
      <c r="F433">
        <v>70</v>
      </c>
      <c r="G433">
        <v>100</v>
      </c>
      <c r="H433" t="s">
        <v>428</v>
      </c>
      <c r="I433" t="s">
        <v>328</v>
      </c>
    </row>
    <row r="434" spans="1:17">
      <c r="A434" t="s">
        <v>3211</v>
      </c>
      <c r="B434" t="s">
        <v>999</v>
      </c>
      <c r="C434" t="s">
        <v>655</v>
      </c>
      <c r="D434">
        <v>30</v>
      </c>
      <c r="E434">
        <v>54</v>
      </c>
      <c r="F434">
        <v>54</v>
      </c>
      <c r="G434">
        <v>100</v>
      </c>
      <c r="H434" t="s">
        <v>428</v>
      </c>
      <c r="I434" t="s">
        <v>328</v>
      </c>
    </row>
    <row r="435" spans="1:17">
      <c r="A435" t="s">
        <v>3211</v>
      </c>
      <c r="B435" t="s">
        <v>999</v>
      </c>
      <c r="C435" t="s">
        <v>655</v>
      </c>
      <c r="D435">
        <v>55</v>
      </c>
      <c r="E435">
        <v>5.3</v>
      </c>
      <c r="F435">
        <v>5.3</v>
      </c>
      <c r="G435">
        <v>10.78</v>
      </c>
      <c r="H435" t="s">
        <v>656</v>
      </c>
      <c r="K435" t="s">
        <v>1702</v>
      </c>
    </row>
    <row r="436" spans="1:17">
      <c r="A436" t="s">
        <v>662</v>
      </c>
      <c r="B436" t="s">
        <v>999</v>
      </c>
      <c r="C436" t="s">
        <v>663</v>
      </c>
      <c r="D436">
        <v>1</v>
      </c>
      <c r="E436">
        <v>100</v>
      </c>
      <c r="F436">
        <v>100</v>
      </c>
      <c r="G436">
        <v>100</v>
      </c>
      <c r="H436" t="s">
        <v>428</v>
      </c>
      <c r="I436" t="s">
        <v>664</v>
      </c>
      <c r="K436" s="1" t="s">
        <v>1412</v>
      </c>
      <c r="L436" t="s">
        <v>1483</v>
      </c>
      <c r="M436">
        <v>0.34239999999999998</v>
      </c>
      <c r="O436">
        <v>0.92</v>
      </c>
      <c r="Q436" t="s">
        <v>190</v>
      </c>
    </row>
    <row r="437" spans="1:17">
      <c r="A437" t="s">
        <v>662</v>
      </c>
      <c r="B437" t="s">
        <v>999</v>
      </c>
      <c r="C437" t="s">
        <v>663</v>
      </c>
      <c r="D437">
        <v>6</v>
      </c>
      <c r="E437">
        <v>60</v>
      </c>
      <c r="F437">
        <v>60</v>
      </c>
      <c r="G437">
        <v>100</v>
      </c>
      <c r="H437" t="s">
        <v>428</v>
      </c>
      <c r="I437" t="s">
        <v>664</v>
      </c>
      <c r="K437" s="10" t="s">
        <v>1385</v>
      </c>
      <c r="L437" s="10" t="s">
        <v>1484</v>
      </c>
      <c r="M437" s="10">
        <v>0.13250000000000001</v>
      </c>
      <c r="N437" s="10"/>
      <c r="O437" s="10">
        <v>0.9</v>
      </c>
      <c r="P437" s="2">
        <v>6</v>
      </c>
    </row>
    <row r="438" spans="1:17">
      <c r="A438" t="s">
        <v>662</v>
      </c>
      <c r="B438" t="s">
        <v>999</v>
      </c>
      <c r="C438" t="s">
        <v>663</v>
      </c>
      <c r="D438">
        <v>9</v>
      </c>
      <c r="E438">
        <v>37</v>
      </c>
      <c r="F438">
        <v>37</v>
      </c>
      <c r="G438">
        <v>100</v>
      </c>
      <c r="H438" t="s">
        <v>428</v>
      </c>
      <c r="I438" t="s">
        <v>664</v>
      </c>
    </row>
    <row r="439" spans="1:17">
      <c r="A439" t="s">
        <v>662</v>
      </c>
      <c r="B439" t="s">
        <v>999</v>
      </c>
      <c r="C439" t="s">
        <v>663</v>
      </c>
      <c r="D439">
        <v>15</v>
      </c>
      <c r="E439">
        <v>46</v>
      </c>
      <c r="F439">
        <v>46</v>
      </c>
      <c r="G439">
        <v>100</v>
      </c>
      <c r="H439" t="s">
        <v>428</v>
      </c>
      <c r="I439" t="s">
        <v>664</v>
      </c>
    </row>
    <row r="440" spans="1:17">
      <c r="A440" t="s">
        <v>662</v>
      </c>
      <c r="B440" t="s">
        <v>999</v>
      </c>
      <c r="C440" t="s">
        <v>663</v>
      </c>
      <c r="D440">
        <v>22</v>
      </c>
      <c r="E440">
        <v>29</v>
      </c>
      <c r="F440">
        <v>29</v>
      </c>
      <c r="G440">
        <v>100</v>
      </c>
      <c r="H440" t="s">
        <v>428</v>
      </c>
      <c r="I440" t="s">
        <v>664</v>
      </c>
    </row>
    <row r="441" spans="1:17">
      <c r="A441" t="s">
        <v>662</v>
      </c>
      <c r="B441" t="s">
        <v>999</v>
      </c>
      <c r="C441" t="s">
        <v>663</v>
      </c>
      <c r="D441">
        <v>29</v>
      </c>
      <c r="E441">
        <v>30</v>
      </c>
      <c r="F441">
        <v>30</v>
      </c>
      <c r="G441">
        <v>100</v>
      </c>
      <c r="H441" t="s">
        <v>428</v>
      </c>
      <c r="I441" t="s">
        <v>664</v>
      </c>
    </row>
    <row r="442" spans="1:17">
      <c r="A442" t="s">
        <v>662</v>
      </c>
      <c r="B442" t="s">
        <v>999</v>
      </c>
      <c r="C442" t="s">
        <v>663</v>
      </c>
      <c r="D442">
        <v>35</v>
      </c>
      <c r="E442">
        <v>14</v>
      </c>
      <c r="F442">
        <v>14</v>
      </c>
      <c r="G442">
        <v>100</v>
      </c>
      <c r="H442" t="s">
        <v>428</v>
      </c>
      <c r="I442" t="s">
        <v>664</v>
      </c>
    </row>
    <row r="443" spans="1:17">
      <c r="A443" t="s">
        <v>662</v>
      </c>
      <c r="B443" t="s">
        <v>999</v>
      </c>
      <c r="C443" t="s">
        <v>663</v>
      </c>
      <c r="D443">
        <v>41</v>
      </c>
      <c r="E443">
        <v>21</v>
      </c>
      <c r="F443">
        <v>21</v>
      </c>
      <c r="G443">
        <v>100</v>
      </c>
      <c r="H443" t="s">
        <v>428</v>
      </c>
      <c r="I443" t="s">
        <v>664</v>
      </c>
    </row>
    <row r="444" spans="1:17">
      <c r="A444" t="s">
        <v>662</v>
      </c>
      <c r="B444" t="s">
        <v>999</v>
      </c>
      <c r="C444" t="s">
        <v>663</v>
      </c>
      <c r="D444">
        <v>48</v>
      </c>
      <c r="E444">
        <v>18</v>
      </c>
      <c r="F444">
        <v>18</v>
      </c>
      <c r="G444">
        <v>100</v>
      </c>
      <c r="H444" t="s">
        <v>428</v>
      </c>
      <c r="I444" t="s">
        <v>664</v>
      </c>
    </row>
    <row r="445" spans="1:17">
      <c r="A445" t="s">
        <v>662</v>
      </c>
      <c r="B445" t="s">
        <v>999</v>
      </c>
      <c r="C445" t="s">
        <v>663</v>
      </c>
      <c r="D445">
        <v>1</v>
      </c>
      <c r="E445">
        <v>100</v>
      </c>
      <c r="F445">
        <v>100</v>
      </c>
      <c r="G445">
        <v>100</v>
      </c>
      <c r="H445" t="s">
        <v>428</v>
      </c>
      <c r="I445" t="s">
        <v>665</v>
      </c>
      <c r="K445" t="s">
        <v>1394</v>
      </c>
      <c r="L445" t="s">
        <v>1486</v>
      </c>
      <c r="M445">
        <v>4.7399999999999998E-2</v>
      </c>
      <c r="O445">
        <v>0.95</v>
      </c>
      <c r="P445">
        <v>15.9</v>
      </c>
      <c r="Q445" t="s">
        <v>190</v>
      </c>
    </row>
    <row r="446" spans="1:17">
      <c r="A446" t="s">
        <v>662</v>
      </c>
      <c r="B446" t="s">
        <v>999</v>
      </c>
      <c r="C446" t="s">
        <v>663</v>
      </c>
      <c r="D446">
        <v>6</v>
      </c>
      <c r="E446">
        <v>73</v>
      </c>
      <c r="F446">
        <v>73</v>
      </c>
      <c r="G446">
        <v>100</v>
      </c>
      <c r="H446" t="s">
        <v>428</v>
      </c>
      <c r="I446" t="s">
        <v>665</v>
      </c>
      <c r="K446" s="2" t="s">
        <v>1396</v>
      </c>
      <c r="L446" s="2" t="s">
        <v>1485</v>
      </c>
      <c r="M446" s="2"/>
      <c r="N446" s="2">
        <v>-1.9059999999999999</v>
      </c>
      <c r="O446" s="2">
        <v>0.88</v>
      </c>
    </row>
    <row r="447" spans="1:17">
      <c r="A447" t="s">
        <v>662</v>
      </c>
      <c r="B447" t="s">
        <v>999</v>
      </c>
      <c r="C447" t="s">
        <v>663</v>
      </c>
      <c r="D447">
        <v>9</v>
      </c>
      <c r="E447">
        <v>74</v>
      </c>
      <c r="F447">
        <v>74</v>
      </c>
      <c r="G447">
        <v>100</v>
      </c>
      <c r="H447" t="s">
        <v>428</v>
      </c>
      <c r="I447" t="s">
        <v>665</v>
      </c>
    </row>
    <row r="448" spans="1:17">
      <c r="A448" t="s">
        <v>662</v>
      </c>
      <c r="B448" t="s">
        <v>999</v>
      </c>
      <c r="C448" t="s">
        <v>663</v>
      </c>
      <c r="D448">
        <v>15</v>
      </c>
      <c r="E448">
        <v>62</v>
      </c>
      <c r="F448">
        <v>62</v>
      </c>
      <c r="G448">
        <v>100</v>
      </c>
      <c r="H448" t="s">
        <v>428</v>
      </c>
      <c r="I448" t="s">
        <v>665</v>
      </c>
    </row>
    <row r="449" spans="1:17">
      <c r="A449" t="s">
        <v>662</v>
      </c>
      <c r="B449" t="s">
        <v>999</v>
      </c>
      <c r="C449" t="s">
        <v>663</v>
      </c>
      <c r="D449">
        <v>22</v>
      </c>
      <c r="E449">
        <v>44</v>
      </c>
      <c r="F449">
        <v>44</v>
      </c>
      <c r="G449">
        <v>100</v>
      </c>
      <c r="H449" t="s">
        <v>428</v>
      </c>
      <c r="I449" t="s">
        <v>665</v>
      </c>
    </row>
    <row r="450" spans="1:17">
      <c r="A450" t="s">
        <v>662</v>
      </c>
      <c r="B450" t="s">
        <v>999</v>
      </c>
      <c r="C450" t="s">
        <v>663</v>
      </c>
      <c r="D450">
        <v>29</v>
      </c>
      <c r="E450">
        <v>18</v>
      </c>
      <c r="F450">
        <v>18</v>
      </c>
      <c r="G450">
        <v>100</v>
      </c>
      <c r="H450" t="s">
        <v>428</v>
      </c>
      <c r="I450" t="s">
        <v>665</v>
      </c>
    </row>
    <row r="451" spans="1:17">
      <c r="A451" t="s">
        <v>662</v>
      </c>
      <c r="B451" t="s">
        <v>999</v>
      </c>
      <c r="C451" t="s">
        <v>663</v>
      </c>
      <c r="D451">
        <v>35</v>
      </c>
      <c r="E451">
        <v>11</v>
      </c>
      <c r="F451">
        <v>11</v>
      </c>
      <c r="G451">
        <v>100</v>
      </c>
      <c r="H451" t="s">
        <v>428</v>
      </c>
      <c r="I451" t="s">
        <v>665</v>
      </c>
    </row>
    <row r="452" spans="1:17">
      <c r="A452" t="s">
        <v>662</v>
      </c>
      <c r="B452" t="s">
        <v>999</v>
      </c>
      <c r="C452" t="s">
        <v>663</v>
      </c>
      <c r="D452">
        <v>41</v>
      </c>
      <c r="E452">
        <v>13</v>
      </c>
      <c r="F452">
        <v>13</v>
      </c>
      <c r="G452">
        <v>100</v>
      </c>
      <c r="H452" t="s">
        <v>428</v>
      </c>
      <c r="I452" t="s">
        <v>665</v>
      </c>
    </row>
    <row r="453" spans="1:17">
      <c r="A453" t="s">
        <v>662</v>
      </c>
      <c r="B453" t="s">
        <v>999</v>
      </c>
      <c r="C453" t="s">
        <v>663</v>
      </c>
      <c r="D453">
        <v>48</v>
      </c>
      <c r="E453">
        <v>15</v>
      </c>
      <c r="F453">
        <v>15</v>
      </c>
      <c r="G453">
        <v>100</v>
      </c>
      <c r="H453" t="s">
        <v>428</v>
      </c>
      <c r="I453" t="s">
        <v>665</v>
      </c>
    </row>
    <row r="454" spans="1:17">
      <c r="A454" t="s">
        <v>674</v>
      </c>
      <c r="B454" t="s">
        <v>999</v>
      </c>
      <c r="C454" t="s">
        <v>675</v>
      </c>
      <c r="D454">
        <v>0</v>
      </c>
      <c r="E454">
        <v>100</v>
      </c>
      <c r="F454">
        <v>100</v>
      </c>
      <c r="G454">
        <v>100</v>
      </c>
      <c r="H454" t="s">
        <v>428</v>
      </c>
      <c r="I454" t="s">
        <v>676</v>
      </c>
      <c r="K454" s="2" t="s">
        <v>2352</v>
      </c>
      <c r="L454" t="s">
        <v>2353</v>
      </c>
      <c r="O454">
        <v>0.85</v>
      </c>
      <c r="Q454" t="s">
        <v>190</v>
      </c>
    </row>
    <row r="455" spans="1:17">
      <c r="A455" t="s">
        <v>674</v>
      </c>
      <c r="B455" t="s">
        <v>999</v>
      </c>
      <c r="C455" t="s">
        <v>675</v>
      </c>
      <c r="D455">
        <v>33</v>
      </c>
      <c r="E455">
        <v>97</v>
      </c>
      <c r="F455">
        <v>97</v>
      </c>
      <c r="G455">
        <v>100</v>
      </c>
      <c r="H455" t="s">
        <v>428</v>
      </c>
      <c r="I455" t="s">
        <v>676</v>
      </c>
      <c r="K455" s="9" t="s">
        <v>2283</v>
      </c>
      <c r="L455" s="9" t="s">
        <v>2354</v>
      </c>
      <c r="O455">
        <v>0.90700000000000003</v>
      </c>
    </row>
    <row r="456" spans="1:17">
      <c r="A456" t="s">
        <v>674</v>
      </c>
      <c r="B456" t="s">
        <v>999</v>
      </c>
      <c r="C456" t="s">
        <v>675</v>
      </c>
      <c r="D456">
        <v>61</v>
      </c>
      <c r="E456">
        <v>95</v>
      </c>
      <c r="F456">
        <v>95</v>
      </c>
      <c r="G456">
        <v>100</v>
      </c>
      <c r="H456" t="s">
        <v>428</v>
      </c>
      <c r="I456" t="s">
        <v>676</v>
      </c>
      <c r="K456" s="9" t="s">
        <v>181</v>
      </c>
      <c r="L456" s="9" t="s">
        <v>2399</v>
      </c>
      <c r="O456">
        <v>0.68369999999999997</v>
      </c>
    </row>
    <row r="457" spans="1:17">
      <c r="A457" t="s">
        <v>674</v>
      </c>
      <c r="B457" t="s">
        <v>999</v>
      </c>
      <c r="C457" t="s">
        <v>675</v>
      </c>
      <c r="D457">
        <v>88</v>
      </c>
      <c r="E457">
        <v>99</v>
      </c>
      <c r="F457">
        <v>99</v>
      </c>
      <c r="G457">
        <v>100</v>
      </c>
      <c r="H457" t="s">
        <v>428</v>
      </c>
      <c r="I457" t="s">
        <v>676</v>
      </c>
      <c r="K457" s="9"/>
      <c r="L457" s="9"/>
    </row>
    <row r="458" spans="1:17">
      <c r="A458" t="s">
        <v>674</v>
      </c>
      <c r="B458" t="s">
        <v>999</v>
      </c>
      <c r="C458" t="s">
        <v>675</v>
      </c>
      <c r="D458">
        <v>115</v>
      </c>
      <c r="E458">
        <v>93</v>
      </c>
      <c r="F458">
        <v>93</v>
      </c>
      <c r="G458">
        <v>100</v>
      </c>
      <c r="H458" t="s">
        <v>428</v>
      </c>
      <c r="I458" t="s">
        <v>676</v>
      </c>
    </row>
    <row r="459" spans="1:17">
      <c r="A459" t="s">
        <v>674</v>
      </c>
      <c r="B459" t="s">
        <v>999</v>
      </c>
      <c r="C459" t="s">
        <v>675</v>
      </c>
      <c r="D459">
        <v>143</v>
      </c>
      <c r="E459">
        <v>99</v>
      </c>
      <c r="F459">
        <v>99</v>
      </c>
      <c r="G459">
        <v>100</v>
      </c>
      <c r="H459" t="s">
        <v>428</v>
      </c>
      <c r="I459" t="s">
        <v>676</v>
      </c>
    </row>
    <row r="460" spans="1:17">
      <c r="A460" t="s">
        <v>674</v>
      </c>
      <c r="B460" t="s">
        <v>999</v>
      </c>
      <c r="C460" t="s">
        <v>675</v>
      </c>
      <c r="D460">
        <v>172</v>
      </c>
      <c r="E460">
        <v>94</v>
      </c>
      <c r="F460">
        <v>94</v>
      </c>
      <c r="G460">
        <v>100</v>
      </c>
      <c r="H460" t="s">
        <v>428</v>
      </c>
      <c r="I460" t="s">
        <v>676</v>
      </c>
      <c r="K460" t="e">
        <f>AVERAGE(#REF!)</f>
        <v>#REF!</v>
      </c>
    </row>
    <row r="461" spans="1:17">
      <c r="A461" t="s">
        <v>674</v>
      </c>
      <c r="B461" t="s">
        <v>999</v>
      </c>
      <c r="C461" t="s">
        <v>675</v>
      </c>
      <c r="D461">
        <v>199</v>
      </c>
      <c r="E461">
        <v>91</v>
      </c>
      <c r="F461">
        <v>91</v>
      </c>
      <c r="G461">
        <v>100</v>
      </c>
      <c r="H461" t="s">
        <v>428</v>
      </c>
      <c r="I461" t="s">
        <v>676</v>
      </c>
    </row>
    <row r="462" spans="1:17">
      <c r="A462" t="s">
        <v>674</v>
      </c>
      <c r="B462" t="s">
        <v>999</v>
      </c>
      <c r="C462" t="s">
        <v>675</v>
      </c>
      <c r="D462">
        <v>228</v>
      </c>
      <c r="E462">
        <v>89</v>
      </c>
      <c r="F462">
        <v>89</v>
      </c>
      <c r="G462">
        <v>100</v>
      </c>
      <c r="H462" t="s">
        <v>428</v>
      </c>
      <c r="I462" t="s">
        <v>676</v>
      </c>
    </row>
    <row r="463" spans="1:17">
      <c r="A463" t="s">
        <v>674</v>
      </c>
      <c r="B463" t="s">
        <v>999</v>
      </c>
      <c r="C463" t="s">
        <v>675</v>
      </c>
      <c r="D463">
        <v>259</v>
      </c>
      <c r="E463">
        <v>81</v>
      </c>
      <c r="F463">
        <v>81</v>
      </c>
      <c r="G463">
        <v>100</v>
      </c>
      <c r="H463" t="s">
        <v>428</v>
      </c>
      <c r="I463" t="s">
        <v>676</v>
      </c>
    </row>
    <row r="464" spans="1:17">
      <c r="A464" t="s">
        <v>674</v>
      </c>
      <c r="B464" t="s">
        <v>999</v>
      </c>
      <c r="C464" t="s">
        <v>675</v>
      </c>
      <c r="D464">
        <v>285</v>
      </c>
      <c r="E464">
        <v>86</v>
      </c>
      <c r="F464">
        <v>86</v>
      </c>
      <c r="G464">
        <v>100</v>
      </c>
      <c r="H464" t="s">
        <v>428</v>
      </c>
      <c r="I464" t="s">
        <v>676</v>
      </c>
    </row>
    <row r="465" spans="1:17">
      <c r="A465" t="s">
        <v>674</v>
      </c>
      <c r="B465" t="s">
        <v>999</v>
      </c>
      <c r="C465" t="s">
        <v>675</v>
      </c>
      <c r="D465">
        <v>306</v>
      </c>
      <c r="E465">
        <v>68</v>
      </c>
      <c r="F465">
        <v>68</v>
      </c>
      <c r="G465">
        <v>100</v>
      </c>
      <c r="H465" t="s">
        <v>428</v>
      </c>
      <c r="I465" t="s">
        <v>676</v>
      </c>
    </row>
    <row r="466" spans="1:17">
      <c r="A466" t="s">
        <v>674</v>
      </c>
      <c r="B466" t="s">
        <v>999</v>
      </c>
      <c r="C466" t="s">
        <v>675</v>
      </c>
      <c r="D466">
        <v>313</v>
      </c>
      <c r="E466">
        <v>60</v>
      </c>
      <c r="F466">
        <v>60</v>
      </c>
      <c r="G466">
        <v>100</v>
      </c>
      <c r="H466" t="s">
        <v>428</v>
      </c>
      <c r="I466" t="s">
        <v>676</v>
      </c>
    </row>
    <row r="467" spans="1:17">
      <c r="A467" t="s">
        <v>674</v>
      </c>
      <c r="B467" t="s">
        <v>999</v>
      </c>
      <c r="C467" t="s">
        <v>675</v>
      </c>
      <c r="D467">
        <v>0</v>
      </c>
      <c r="E467">
        <v>100</v>
      </c>
      <c r="F467">
        <v>100</v>
      </c>
      <c r="G467">
        <v>100</v>
      </c>
      <c r="H467" t="s">
        <v>428</v>
      </c>
      <c r="I467" t="s">
        <v>677</v>
      </c>
      <c r="K467" s="1" t="s">
        <v>1385</v>
      </c>
      <c r="L467" s="1" t="s">
        <v>1487</v>
      </c>
      <c r="M467" s="1">
        <v>1.6400000000000001E-2</v>
      </c>
      <c r="N467" s="1"/>
      <c r="O467" s="1">
        <v>0.96</v>
      </c>
      <c r="P467">
        <v>28</v>
      </c>
      <c r="Q467" t="s">
        <v>190</v>
      </c>
    </row>
    <row r="468" spans="1:17">
      <c r="A468" t="s">
        <v>674</v>
      </c>
      <c r="B468" t="s">
        <v>999</v>
      </c>
      <c r="C468" t="s">
        <v>675</v>
      </c>
      <c r="D468">
        <v>26</v>
      </c>
      <c r="E468">
        <v>60</v>
      </c>
      <c r="F468">
        <v>60</v>
      </c>
      <c r="G468">
        <v>100</v>
      </c>
      <c r="H468" t="s">
        <v>428</v>
      </c>
      <c r="I468" t="s">
        <v>677</v>
      </c>
      <c r="K468" s="9" t="s">
        <v>2397</v>
      </c>
      <c r="L468" t="s">
        <v>2398</v>
      </c>
      <c r="O468">
        <v>0.93259999999999998</v>
      </c>
    </row>
    <row r="469" spans="1:17">
      <c r="A469" t="s">
        <v>674</v>
      </c>
      <c r="B469" t="s">
        <v>999</v>
      </c>
      <c r="C469" t="s">
        <v>675</v>
      </c>
      <c r="D469">
        <v>34</v>
      </c>
      <c r="E469">
        <v>44</v>
      </c>
      <c r="F469">
        <v>44</v>
      </c>
      <c r="G469">
        <v>100</v>
      </c>
      <c r="H469" t="s">
        <v>428</v>
      </c>
      <c r="I469" t="s">
        <v>677</v>
      </c>
    </row>
    <row r="470" spans="1:17">
      <c r="A470" t="s">
        <v>674</v>
      </c>
      <c r="B470" t="s">
        <v>999</v>
      </c>
      <c r="C470" t="s">
        <v>675</v>
      </c>
      <c r="D470">
        <v>41</v>
      </c>
      <c r="E470">
        <v>35</v>
      </c>
      <c r="F470">
        <v>35</v>
      </c>
      <c r="G470">
        <v>100</v>
      </c>
      <c r="H470" t="s">
        <v>428</v>
      </c>
      <c r="I470" t="s">
        <v>677</v>
      </c>
    </row>
    <row r="471" spans="1:17">
      <c r="A471" t="s">
        <v>674</v>
      </c>
      <c r="B471" t="s">
        <v>999</v>
      </c>
      <c r="C471" t="s">
        <v>675</v>
      </c>
      <c r="D471">
        <v>48</v>
      </c>
      <c r="E471">
        <v>25</v>
      </c>
      <c r="F471">
        <v>25</v>
      </c>
      <c r="G471">
        <v>100</v>
      </c>
      <c r="H471" t="s">
        <v>428</v>
      </c>
      <c r="I471" t="s">
        <v>677</v>
      </c>
    </row>
    <row r="472" spans="1:17">
      <c r="A472" t="s">
        <v>674</v>
      </c>
      <c r="B472" t="s">
        <v>999</v>
      </c>
      <c r="C472" t="s">
        <v>675</v>
      </c>
      <c r="D472">
        <v>55</v>
      </c>
      <c r="E472">
        <v>6</v>
      </c>
      <c r="F472">
        <v>6</v>
      </c>
      <c r="G472">
        <v>100</v>
      </c>
      <c r="H472" t="s">
        <v>428</v>
      </c>
      <c r="I472" t="s">
        <v>677</v>
      </c>
    </row>
    <row r="473" spans="1:17">
      <c r="A473" t="s">
        <v>674</v>
      </c>
      <c r="B473" t="s">
        <v>999</v>
      </c>
      <c r="C473" t="s">
        <v>675</v>
      </c>
      <c r="D473">
        <v>61</v>
      </c>
      <c r="E473">
        <v>10</v>
      </c>
      <c r="F473">
        <v>10</v>
      </c>
      <c r="G473">
        <v>100</v>
      </c>
      <c r="H473" t="s">
        <v>428</v>
      </c>
      <c r="I473" t="s">
        <v>677</v>
      </c>
    </row>
    <row r="474" spans="1:17">
      <c r="A474" t="s">
        <v>674</v>
      </c>
      <c r="B474" t="s">
        <v>999</v>
      </c>
      <c r="C474" t="s">
        <v>675</v>
      </c>
      <c r="D474">
        <v>70</v>
      </c>
      <c r="E474">
        <v>6</v>
      </c>
      <c r="F474">
        <v>6</v>
      </c>
      <c r="G474">
        <v>100</v>
      </c>
      <c r="H474" t="s">
        <v>428</v>
      </c>
      <c r="I474" t="s">
        <v>677</v>
      </c>
    </row>
    <row r="475" spans="1:17">
      <c r="A475" t="s">
        <v>674</v>
      </c>
      <c r="B475" t="s">
        <v>999</v>
      </c>
      <c r="C475" t="s">
        <v>675</v>
      </c>
      <c r="D475">
        <v>76</v>
      </c>
      <c r="E475">
        <v>2</v>
      </c>
      <c r="F475">
        <v>2</v>
      </c>
      <c r="G475">
        <v>100</v>
      </c>
      <c r="H475" t="s">
        <v>428</v>
      </c>
      <c r="I475" t="s">
        <v>677</v>
      </c>
    </row>
    <row r="476" spans="1:17">
      <c r="A476" t="s">
        <v>674</v>
      </c>
      <c r="B476" t="s">
        <v>999</v>
      </c>
      <c r="C476" t="s">
        <v>675</v>
      </c>
      <c r="D476">
        <v>83</v>
      </c>
      <c r="E476">
        <v>3</v>
      </c>
      <c r="F476">
        <v>3</v>
      </c>
      <c r="G476">
        <v>100</v>
      </c>
      <c r="H476" t="s">
        <v>428</v>
      </c>
      <c r="I476" t="s">
        <v>677</v>
      </c>
    </row>
    <row r="477" spans="1:17">
      <c r="A477" t="s">
        <v>691</v>
      </c>
      <c r="B477" t="s">
        <v>186</v>
      </c>
      <c r="C477" t="s">
        <v>619</v>
      </c>
      <c r="D477">
        <v>0</v>
      </c>
      <c r="E477">
        <f t="shared" ref="E477:E521" si="6">F477/G477*100</f>
        <v>100</v>
      </c>
      <c r="F477">
        <v>450</v>
      </c>
      <c r="G477">
        <v>450</v>
      </c>
      <c r="H477" t="s">
        <v>692</v>
      </c>
      <c r="I477" t="s">
        <v>693</v>
      </c>
      <c r="K477" s="1" t="s">
        <v>1385</v>
      </c>
      <c r="L477" s="1" t="s">
        <v>1488</v>
      </c>
      <c r="M477" s="1">
        <v>0.4904</v>
      </c>
      <c r="N477" s="1"/>
      <c r="O477" s="1">
        <v>0.88</v>
      </c>
      <c r="P477">
        <v>1.3</v>
      </c>
      <c r="Q477" t="s">
        <v>190</v>
      </c>
    </row>
    <row r="478" spans="1:17">
      <c r="A478" t="s">
        <v>691</v>
      </c>
      <c r="B478" t="s">
        <v>186</v>
      </c>
      <c r="C478" t="s">
        <v>619</v>
      </c>
      <c r="D478">
        <v>1</v>
      </c>
      <c r="E478">
        <f t="shared" si="6"/>
        <v>54.444444444444443</v>
      </c>
      <c r="F478">
        <v>245</v>
      </c>
      <c r="G478">
        <v>450</v>
      </c>
      <c r="H478" t="s">
        <v>692</v>
      </c>
      <c r="I478" t="s">
        <v>693</v>
      </c>
    </row>
    <row r="479" spans="1:17">
      <c r="A479" t="s">
        <v>691</v>
      </c>
      <c r="B479" t="s">
        <v>186</v>
      </c>
      <c r="C479" t="s">
        <v>619</v>
      </c>
      <c r="D479">
        <v>2</v>
      </c>
      <c r="E479">
        <f t="shared" si="6"/>
        <v>51.555555555555557</v>
      </c>
      <c r="F479">
        <v>232</v>
      </c>
      <c r="G479">
        <v>450</v>
      </c>
      <c r="H479" t="s">
        <v>692</v>
      </c>
      <c r="I479" t="s">
        <v>693</v>
      </c>
    </row>
    <row r="480" spans="1:17">
      <c r="A480" t="s">
        <v>691</v>
      </c>
      <c r="B480" t="s">
        <v>186</v>
      </c>
      <c r="C480" t="s">
        <v>619</v>
      </c>
      <c r="D480">
        <v>3</v>
      </c>
      <c r="E480">
        <f t="shared" si="6"/>
        <v>46.888888888888893</v>
      </c>
      <c r="F480">
        <v>211</v>
      </c>
      <c r="G480">
        <v>450</v>
      </c>
      <c r="H480" t="s">
        <v>692</v>
      </c>
      <c r="I480" t="s">
        <v>693</v>
      </c>
    </row>
    <row r="481" spans="1:17">
      <c r="A481" t="s">
        <v>691</v>
      </c>
      <c r="B481" t="s">
        <v>186</v>
      </c>
      <c r="C481" t="s">
        <v>619</v>
      </c>
      <c r="D481">
        <v>4</v>
      </c>
      <c r="E481">
        <f t="shared" si="6"/>
        <v>28.222222222222221</v>
      </c>
      <c r="F481">
        <v>127</v>
      </c>
      <c r="G481">
        <v>450</v>
      </c>
      <c r="H481" t="s">
        <v>692</v>
      </c>
      <c r="I481" t="s">
        <v>693</v>
      </c>
    </row>
    <row r="482" spans="1:17">
      <c r="A482" t="s">
        <v>691</v>
      </c>
      <c r="B482" t="s">
        <v>186</v>
      </c>
      <c r="C482" t="s">
        <v>619</v>
      </c>
      <c r="D482">
        <v>7</v>
      </c>
      <c r="E482">
        <f t="shared" si="6"/>
        <v>18.888888888888889</v>
      </c>
      <c r="F482">
        <v>85</v>
      </c>
      <c r="G482">
        <v>450</v>
      </c>
      <c r="H482" t="s">
        <v>692</v>
      </c>
      <c r="I482" t="s">
        <v>693</v>
      </c>
    </row>
    <row r="483" spans="1:17">
      <c r="A483" t="s">
        <v>691</v>
      </c>
      <c r="B483" t="s">
        <v>186</v>
      </c>
      <c r="C483" t="s">
        <v>619</v>
      </c>
      <c r="D483">
        <v>0</v>
      </c>
      <c r="E483">
        <f t="shared" si="6"/>
        <v>100</v>
      </c>
      <c r="F483">
        <v>300</v>
      </c>
      <c r="G483">
        <v>300</v>
      </c>
      <c r="H483" t="s">
        <v>692</v>
      </c>
      <c r="I483" t="s">
        <v>694</v>
      </c>
      <c r="K483" s="1" t="s">
        <v>1385</v>
      </c>
      <c r="L483" s="1" t="s">
        <v>1489</v>
      </c>
      <c r="M483" s="1">
        <v>0.83819999999999995</v>
      </c>
      <c r="N483" s="1"/>
      <c r="O483" s="1">
        <v>0.99</v>
      </c>
      <c r="P483">
        <v>0.8</v>
      </c>
      <c r="Q483" t="s">
        <v>190</v>
      </c>
    </row>
    <row r="484" spans="1:17">
      <c r="A484" t="s">
        <v>691</v>
      </c>
      <c r="B484" t="s">
        <v>186</v>
      </c>
      <c r="C484" t="s">
        <v>619</v>
      </c>
      <c r="D484">
        <v>1</v>
      </c>
      <c r="E484">
        <f t="shared" si="6"/>
        <v>59</v>
      </c>
      <c r="F484">
        <v>177</v>
      </c>
      <c r="G484">
        <v>300</v>
      </c>
      <c r="H484" t="s">
        <v>692</v>
      </c>
      <c r="I484" t="s">
        <v>694</v>
      </c>
    </row>
    <row r="485" spans="1:17">
      <c r="A485" t="s">
        <v>691</v>
      </c>
      <c r="B485" t="s">
        <v>186</v>
      </c>
      <c r="C485" t="s">
        <v>619</v>
      </c>
      <c r="D485">
        <v>2</v>
      </c>
      <c r="E485">
        <f t="shared" si="6"/>
        <v>33</v>
      </c>
      <c r="F485">
        <v>99</v>
      </c>
      <c r="G485">
        <v>300</v>
      </c>
      <c r="H485" t="s">
        <v>692</v>
      </c>
      <c r="I485" t="s">
        <v>694</v>
      </c>
    </row>
    <row r="486" spans="1:17">
      <c r="A486" t="s">
        <v>691</v>
      </c>
      <c r="B486" t="s">
        <v>186</v>
      </c>
      <c r="C486" t="s">
        <v>619</v>
      </c>
      <c r="D486">
        <v>3</v>
      </c>
      <c r="E486">
        <f t="shared" si="6"/>
        <v>28.000000000000004</v>
      </c>
      <c r="F486">
        <v>84</v>
      </c>
      <c r="G486">
        <v>300</v>
      </c>
      <c r="H486" t="s">
        <v>692</v>
      </c>
      <c r="I486" t="s">
        <v>694</v>
      </c>
    </row>
    <row r="487" spans="1:17">
      <c r="A487" t="s">
        <v>691</v>
      </c>
      <c r="B487" t="s">
        <v>186</v>
      </c>
      <c r="C487" t="s">
        <v>619</v>
      </c>
      <c r="D487">
        <v>4</v>
      </c>
      <c r="E487">
        <f t="shared" si="6"/>
        <v>22</v>
      </c>
      <c r="F487">
        <v>66</v>
      </c>
      <c r="G487">
        <v>300</v>
      </c>
      <c r="H487" t="s">
        <v>692</v>
      </c>
      <c r="I487" t="s">
        <v>694</v>
      </c>
    </row>
    <row r="488" spans="1:17">
      <c r="A488" t="s">
        <v>691</v>
      </c>
      <c r="B488" t="s">
        <v>186</v>
      </c>
      <c r="C488" t="s">
        <v>619</v>
      </c>
      <c r="D488">
        <v>7</v>
      </c>
      <c r="E488">
        <f t="shared" si="6"/>
        <v>24.333333333333336</v>
      </c>
      <c r="F488">
        <v>73</v>
      </c>
      <c r="G488">
        <v>300</v>
      </c>
      <c r="H488" t="s">
        <v>692</v>
      </c>
      <c r="I488" t="s">
        <v>694</v>
      </c>
    </row>
    <row r="489" spans="1:17">
      <c r="A489" t="s">
        <v>691</v>
      </c>
      <c r="B489" t="s">
        <v>186</v>
      </c>
      <c r="C489" t="s">
        <v>619</v>
      </c>
      <c r="D489">
        <v>0</v>
      </c>
      <c r="E489">
        <f t="shared" si="6"/>
        <v>100</v>
      </c>
      <c r="F489">
        <v>168</v>
      </c>
      <c r="G489">
        <v>168</v>
      </c>
      <c r="H489" t="s">
        <v>692</v>
      </c>
      <c r="I489" t="s">
        <v>695</v>
      </c>
      <c r="K489" s="1" t="s">
        <v>1385</v>
      </c>
      <c r="L489" s="1" t="s">
        <v>1490</v>
      </c>
      <c r="M489" s="1">
        <v>0.7732</v>
      </c>
      <c r="N489" s="1"/>
      <c r="O489" s="1">
        <v>0.99</v>
      </c>
      <c r="P489">
        <v>0.8</v>
      </c>
      <c r="Q489" t="s">
        <v>190</v>
      </c>
    </row>
    <row r="490" spans="1:17">
      <c r="A490" t="s">
        <v>691</v>
      </c>
      <c r="B490" t="s">
        <v>186</v>
      </c>
      <c r="C490" t="s">
        <v>619</v>
      </c>
      <c r="D490">
        <v>1</v>
      </c>
      <c r="E490">
        <f t="shared" si="6"/>
        <v>57.142857142857139</v>
      </c>
      <c r="F490">
        <v>96</v>
      </c>
      <c r="G490">
        <v>168</v>
      </c>
      <c r="H490" t="s">
        <v>692</v>
      </c>
      <c r="I490" t="s">
        <v>695</v>
      </c>
    </row>
    <row r="491" spans="1:17">
      <c r="A491" t="s">
        <v>691</v>
      </c>
      <c r="B491" t="s">
        <v>186</v>
      </c>
      <c r="C491" t="s">
        <v>619</v>
      </c>
      <c r="D491">
        <v>2</v>
      </c>
      <c r="E491">
        <f t="shared" si="6"/>
        <v>39.285714285714285</v>
      </c>
      <c r="F491">
        <v>66</v>
      </c>
      <c r="G491">
        <v>168</v>
      </c>
      <c r="H491" t="s">
        <v>692</v>
      </c>
      <c r="I491" t="s">
        <v>695</v>
      </c>
    </row>
    <row r="492" spans="1:17">
      <c r="A492" t="s">
        <v>691</v>
      </c>
      <c r="B492" t="s">
        <v>186</v>
      </c>
      <c r="C492" t="s">
        <v>619</v>
      </c>
      <c r="D492">
        <v>4</v>
      </c>
      <c r="E492">
        <f t="shared" si="6"/>
        <v>29.166666666666668</v>
      </c>
      <c r="F492">
        <v>49</v>
      </c>
      <c r="G492">
        <v>168</v>
      </c>
      <c r="H492" t="s">
        <v>692</v>
      </c>
      <c r="I492" t="s">
        <v>695</v>
      </c>
    </row>
    <row r="493" spans="1:17">
      <c r="A493" t="s">
        <v>691</v>
      </c>
      <c r="B493" t="s">
        <v>186</v>
      </c>
      <c r="C493" t="s">
        <v>619</v>
      </c>
      <c r="D493">
        <v>7</v>
      </c>
      <c r="E493">
        <f t="shared" si="6"/>
        <v>20.833333333333336</v>
      </c>
      <c r="F493">
        <v>35</v>
      </c>
      <c r="G493">
        <v>168</v>
      </c>
      <c r="H493" t="s">
        <v>692</v>
      </c>
      <c r="I493" t="s">
        <v>695</v>
      </c>
    </row>
    <row r="494" spans="1:17">
      <c r="A494" t="s">
        <v>691</v>
      </c>
      <c r="B494" t="s">
        <v>186</v>
      </c>
      <c r="C494" t="s">
        <v>619</v>
      </c>
      <c r="D494">
        <v>0</v>
      </c>
      <c r="E494">
        <f t="shared" si="6"/>
        <v>100</v>
      </c>
      <c r="F494">
        <v>88</v>
      </c>
      <c r="G494">
        <v>88</v>
      </c>
      <c r="H494" t="s">
        <v>692</v>
      </c>
      <c r="I494" t="s">
        <v>696</v>
      </c>
      <c r="K494" s="1" t="s">
        <v>1385</v>
      </c>
      <c r="L494" s="1" t="s">
        <v>1491</v>
      </c>
      <c r="M494" s="1">
        <v>0.70640000000000003</v>
      </c>
      <c r="N494" s="1"/>
      <c r="O494" s="1">
        <v>0.99</v>
      </c>
      <c r="P494">
        <v>1</v>
      </c>
      <c r="Q494" t="s">
        <v>190</v>
      </c>
    </row>
    <row r="495" spans="1:17">
      <c r="A495" t="s">
        <v>691</v>
      </c>
      <c r="B495" t="s">
        <v>186</v>
      </c>
      <c r="C495" t="s">
        <v>619</v>
      </c>
      <c r="D495">
        <v>1</v>
      </c>
      <c r="E495">
        <f t="shared" si="6"/>
        <v>56.81818181818182</v>
      </c>
      <c r="F495">
        <v>50</v>
      </c>
      <c r="G495">
        <v>88</v>
      </c>
      <c r="H495" t="s">
        <v>692</v>
      </c>
      <c r="I495" t="s">
        <v>696</v>
      </c>
    </row>
    <row r="496" spans="1:17">
      <c r="A496" t="s">
        <v>691</v>
      </c>
      <c r="B496" t="s">
        <v>186</v>
      </c>
      <c r="C496" t="s">
        <v>619</v>
      </c>
      <c r="D496">
        <v>2</v>
      </c>
      <c r="E496">
        <f t="shared" si="6"/>
        <v>43.18181818181818</v>
      </c>
      <c r="F496">
        <v>38</v>
      </c>
      <c r="G496">
        <v>88</v>
      </c>
      <c r="H496" t="s">
        <v>692</v>
      </c>
      <c r="I496" t="s">
        <v>696</v>
      </c>
    </row>
    <row r="497" spans="1:17">
      <c r="A497" t="s">
        <v>691</v>
      </c>
      <c r="B497" t="s">
        <v>186</v>
      </c>
      <c r="C497" t="s">
        <v>619</v>
      </c>
      <c r="D497">
        <v>3</v>
      </c>
      <c r="E497">
        <f t="shared" si="6"/>
        <v>31.818181818181817</v>
      </c>
      <c r="F497">
        <v>28</v>
      </c>
      <c r="G497">
        <v>88</v>
      </c>
      <c r="H497" t="s">
        <v>692</v>
      </c>
      <c r="I497" t="s">
        <v>696</v>
      </c>
    </row>
    <row r="498" spans="1:17">
      <c r="A498" t="s">
        <v>691</v>
      </c>
      <c r="B498" t="s">
        <v>186</v>
      </c>
      <c r="C498" t="s">
        <v>619</v>
      </c>
      <c r="D498">
        <v>4</v>
      </c>
      <c r="E498">
        <f t="shared" si="6"/>
        <v>28.40909090909091</v>
      </c>
      <c r="F498">
        <v>25</v>
      </c>
      <c r="G498">
        <v>88</v>
      </c>
      <c r="H498" t="s">
        <v>692</v>
      </c>
      <c r="I498" t="s">
        <v>696</v>
      </c>
    </row>
    <row r="499" spans="1:17">
      <c r="A499" t="s">
        <v>691</v>
      </c>
      <c r="B499" t="s">
        <v>186</v>
      </c>
      <c r="C499" t="s">
        <v>619</v>
      </c>
      <c r="D499">
        <v>7</v>
      </c>
      <c r="E499">
        <f t="shared" si="6"/>
        <v>20.454545454545457</v>
      </c>
      <c r="F499">
        <v>18</v>
      </c>
      <c r="G499">
        <v>88</v>
      </c>
      <c r="H499" t="s">
        <v>692</v>
      </c>
      <c r="I499" t="s">
        <v>696</v>
      </c>
    </row>
    <row r="500" spans="1:17">
      <c r="A500" t="s">
        <v>691</v>
      </c>
      <c r="B500" t="s">
        <v>186</v>
      </c>
      <c r="C500" t="s">
        <v>619</v>
      </c>
      <c r="D500">
        <v>0</v>
      </c>
      <c r="E500">
        <f t="shared" si="6"/>
        <v>100</v>
      </c>
      <c r="F500">
        <v>21</v>
      </c>
      <c r="G500">
        <v>21</v>
      </c>
      <c r="H500" t="s">
        <v>692</v>
      </c>
      <c r="I500" s="7" t="s">
        <v>697</v>
      </c>
      <c r="K500" s="1" t="s">
        <v>1385</v>
      </c>
      <c r="L500" s="1" t="s">
        <v>1492</v>
      </c>
      <c r="M500" s="1">
        <v>1.2485999999999999</v>
      </c>
      <c r="N500" s="1"/>
      <c r="O500" s="1">
        <v>0.94</v>
      </c>
      <c r="P500">
        <v>0.6</v>
      </c>
      <c r="Q500" t="s">
        <v>190</v>
      </c>
    </row>
    <row r="501" spans="1:17">
      <c r="A501" t="s">
        <v>691</v>
      </c>
      <c r="B501" t="s">
        <v>186</v>
      </c>
      <c r="C501" t="s">
        <v>619</v>
      </c>
      <c r="D501">
        <v>1</v>
      </c>
      <c r="E501">
        <f t="shared" si="6"/>
        <v>61.904761904761905</v>
      </c>
      <c r="F501">
        <v>13</v>
      </c>
      <c r="G501">
        <v>21</v>
      </c>
      <c r="H501" t="s">
        <v>692</v>
      </c>
      <c r="I501" s="7" t="s">
        <v>697</v>
      </c>
    </row>
    <row r="502" spans="1:17">
      <c r="A502" t="s">
        <v>691</v>
      </c>
      <c r="B502" t="s">
        <v>186</v>
      </c>
      <c r="C502" t="s">
        <v>619</v>
      </c>
      <c r="D502">
        <v>2</v>
      </c>
      <c r="E502">
        <f t="shared" si="6"/>
        <v>57.142857142857139</v>
      </c>
      <c r="F502">
        <v>12</v>
      </c>
      <c r="G502">
        <v>21</v>
      </c>
      <c r="H502" t="s">
        <v>692</v>
      </c>
      <c r="I502" s="7" t="s">
        <v>697</v>
      </c>
    </row>
    <row r="503" spans="1:17">
      <c r="A503" t="s">
        <v>691</v>
      </c>
      <c r="B503" t="s">
        <v>186</v>
      </c>
      <c r="C503" t="s">
        <v>619</v>
      </c>
      <c r="D503">
        <v>3</v>
      </c>
      <c r="E503">
        <f t="shared" si="6"/>
        <v>52.380952380952387</v>
      </c>
      <c r="F503">
        <v>11</v>
      </c>
      <c r="G503">
        <v>21</v>
      </c>
      <c r="H503" t="s">
        <v>692</v>
      </c>
      <c r="I503" s="7" t="s">
        <v>697</v>
      </c>
    </row>
    <row r="504" spans="1:17">
      <c r="A504" t="s">
        <v>691</v>
      </c>
      <c r="B504" t="s">
        <v>186</v>
      </c>
      <c r="C504" t="s">
        <v>619</v>
      </c>
      <c r="D504">
        <v>4</v>
      </c>
      <c r="E504">
        <f t="shared" si="6"/>
        <v>42.857142857142854</v>
      </c>
      <c r="F504">
        <v>9</v>
      </c>
      <c r="G504">
        <v>21</v>
      </c>
      <c r="H504" t="s">
        <v>692</v>
      </c>
      <c r="I504" s="7" t="s">
        <v>697</v>
      </c>
    </row>
    <row r="505" spans="1:17">
      <c r="A505" t="s">
        <v>691</v>
      </c>
      <c r="B505" t="s">
        <v>186</v>
      </c>
      <c r="C505" t="s">
        <v>619</v>
      </c>
      <c r="D505">
        <v>7</v>
      </c>
      <c r="E505">
        <f t="shared" si="6"/>
        <v>52.380952380952387</v>
      </c>
      <c r="F505">
        <v>11</v>
      </c>
      <c r="G505">
        <v>21</v>
      </c>
      <c r="H505" t="s">
        <v>692</v>
      </c>
      <c r="I505" s="7" t="s">
        <v>697</v>
      </c>
    </row>
    <row r="506" spans="1:17">
      <c r="A506" t="s">
        <v>691</v>
      </c>
      <c r="B506" t="s">
        <v>186</v>
      </c>
      <c r="C506" t="s">
        <v>619</v>
      </c>
      <c r="D506">
        <v>0</v>
      </c>
      <c r="E506">
        <f t="shared" si="6"/>
        <v>100</v>
      </c>
      <c r="F506">
        <v>395</v>
      </c>
      <c r="G506">
        <v>395</v>
      </c>
      <c r="H506" t="s">
        <v>692</v>
      </c>
      <c r="I506" s="7" t="s">
        <v>705</v>
      </c>
      <c r="K506" s="2" t="s">
        <v>1385</v>
      </c>
      <c r="L506" s="2" t="s">
        <v>1493</v>
      </c>
      <c r="M506" s="2">
        <v>1.2071000000000001</v>
      </c>
      <c r="N506" s="2"/>
      <c r="O506" s="15" t="s">
        <v>1494</v>
      </c>
      <c r="Q506" t="s">
        <v>190</v>
      </c>
    </row>
    <row r="507" spans="1:17">
      <c r="A507" t="s">
        <v>691</v>
      </c>
      <c r="B507" t="s">
        <v>186</v>
      </c>
      <c r="C507" t="s">
        <v>619</v>
      </c>
      <c r="D507">
        <v>2</v>
      </c>
      <c r="E507">
        <f t="shared" si="6"/>
        <v>31.139240506329113</v>
      </c>
      <c r="F507">
        <v>123</v>
      </c>
      <c r="G507">
        <v>395</v>
      </c>
      <c r="H507" t="s">
        <v>692</v>
      </c>
      <c r="I507" s="7" t="s">
        <v>705</v>
      </c>
      <c r="K507" s="2" t="s">
        <v>1394</v>
      </c>
      <c r="L507" s="2" t="s">
        <v>1495</v>
      </c>
      <c r="M507" s="2">
        <v>0.44</v>
      </c>
      <c r="N507" s="2"/>
      <c r="O507" s="2">
        <v>0.84</v>
      </c>
      <c r="P507" s="2">
        <v>1.5</v>
      </c>
    </row>
    <row r="508" spans="1:17">
      <c r="A508" t="s">
        <v>691</v>
      </c>
      <c r="B508" t="s">
        <v>186</v>
      </c>
      <c r="C508" t="s">
        <v>619</v>
      </c>
      <c r="D508">
        <v>5</v>
      </c>
      <c r="E508">
        <f t="shared" si="6"/>
        <v>24.556962025316455</v>
      </c>
      <c r="F508">
        <v>97</v>
      </c>
      <c r="G508">
        <v>395</v>
      </c>
      <c r="H508" t="s">
        <v>692</v>
      </c>
      <c r="I508" s="7" t="s">
        <v>705</v>
      </c>
    </row>
    <row r="509" spans="1:17">
      <c r="A509" t="s">
        <v>691</v>
      </c>
      <c r="B509" t="s">
        <v>186</v>
      </c>
      <c r="C509" t="s">
        <v>619</v>
      </c>
      <c r="D509">
        <v>0</v>
      </c>
      <c r="E509">
        <f t="shared" si="6"/>
        <v>100</v>
      </c>
      <c r="F509">
        <v>833</v>
      </c>
      <c r="G509">
        <v>833</v>
      </c>
      <c r="H509" t="s">
        <v>692</v>
      </c>
      <c r="I509" s="7" t="s">
        <v>706</v>
      </c>
      <c r="K509" t="s">
        <v>1394</v>
      </c>
      <c r="L509" t="s">
        <v>1496</v>
      </c>
      <c r="M509">
        <v>0.308</v>
      </c>
      <c r="O509">
        <v>0.99</v>
      </c>
      <c r="P509">
        <v>2.2000000000000002</v>
      </c>
      <c r="Q509" t="s">
        <v>190</v>
      </c>
    </row>
    <row r="510" spans="1:17">
      <c r="A510" t="s">
        <v>691</v>
      </c>
      <c r="B510" t="s">
        <v>186</v>
      </c>
      <c r="C510" t="s">
        <v>619</v>
      </c>
      <c r="D510">
        <v>4</v>
      </c>
      <c r="E510">
        <f t="shared" si="6"/>
        <v>26.17046818727491</v>
      </c>
      <c r="F510">
        <v>218</v>
      </c>
      <c r="G510">
        <v>833</v>
      </c>
      <c r="H510" t="s">
        <v>692</v>
      </c>
      <c r="I510" s="7" t="s">
        <v>706</v>
      </c>
    </row>
    <row r="511" spans="1:17">
      <c r="A511" t="s">
        <v>691</v>
      </c>
      <c r="B511" t="s">
        <v>186</v>
      </c>
      <c r="C511" t="s">
        <v>619</v>
      </c>
      <c r="D511">
        <v>5</v>
      </c>
      <c r="E511">
        <f t="shared" si="6"/>
        <v>24.609843937575029</v>
      </c>
      <c r="F511">
        <v>205</v>
      </c>
      <c r="G511">
        <v>833</v>
      </c>
      <c r="H511" t="s">
        <v>692</v>
      </c>
      <c r="I511" s="7" t="s">
        <v>706</v>
      </c>
    </row>
    <row r="512" spans="1:17">
      <c r="A512" t="s">
        <v>691</v>
      </c>
      <c r="B512" t="s">
        <v>186</v>
      </c>
      <c r="C512" t="s">
        <v>707</v>
      </c>
      <c r="D512">
        <v>0</v>
      </c>
      <c r="E512">
        <f t="shared" si="6"/>
        <v>100</v>
      </c>
      <c r="F512">
        <v>282</v>
      </c>
      <c r="G512">
        <v>282</v>
      </c>
      <c r="H512" t="s">
        <v>692</v>
      </c>
      <c r="I512" s="7" t="s">
        <v>705</v>
      </c>
      <c r="K512" t="s">
        <v>1394</v>
      </c>
      <c r="L512" t="s">
        <v>1497</v>
      </c>
      <c r="M512">
        <v>0.24529999999999999</v>
      </c>
      <c r="O512">
        <v>0.96</v>
      </c>
      <c r="P512">
        <v>2.8</v>
      </c>
      <c r="Q512" t="s">
        <v>190</v>
      </c>
    </row>
    <row r="513" spans="1:17">
      <c r="A513" t="s">
        <v>691</v>
      </c>
      <c r="B513" t="s">
        <v>186</v>
      </c>
      <c r="C513" t="s">
        <v>707</v>
      </c>
      <c r="D513">
        <v>3</v>
      </c>
      <c r="E513">
        <f t="shared" si="6"/>
        <v>42.198581560283685</v>
      </c>
      <c r="F513">
        <v>119</v>
      </c>
      <c r="G513">
        <v>282</v>
      </c>
      <c r="H513" t="s">
        <v>692</v>
      </c>
      <c r="I513" s="7" t="s">
        <v>705</v>
      </c>
    </row>
    <row r="514" spans="1:17">
      <c r="A514" t="s">
        <v>691</v>
      </c>
      <c r="B514" t="s">
        <v>186</v>
      </c>
      <c r="C514" t="s">
        <v>707</v>
      </c>
      <c r="D514">
        <v>6</v>
      </c>
      <c r="E514">
        <f t="shared" si="6"/>
        <v>28.01418439716312</v>
      </c>
      <c r="F514">
        <v>79</v>
      </c>
      <c r="G514">
        <v>282</v>
      </c>
      <c r="H514" t="s">
        <v>692</v>
      </c>
      <c r="I514" s="7" t="s">
        <v>705</v>
      </c>
    </row>
    <row r="515" spans="1:17">
      <c r="A515" t="s">
        <v>691</v>
      </c>
      <c r="B515" t="s">
        <v>186</v>
      </c>
      <c r="C515" t="s">
        <v>707</v>
      </c>
      <c r="D515">
        <v>0</v>
      </c>
      <c r="E515">
        <f t="shared" si="6"/>
        <v>100</v>
      </c>
      <c r="F515">
        <v>187</v>
      </c>
      <c r="G515">
        <v>187</v>
      </c>
      <c r="H515" t="s">
        <v>692</v>
      </c>
      <c r="I515" s="7" t="s">
        <v>706</v>
      </c>
      <c r="K515" t="s">
        <v>1394</v>
      </c>
      <c r="L515" t="s">
        <v>1498</v>
      </c>
      <c r="M515">
        <v>0.19520000000000001</v>
      </c>
      <c r="O515">
        <v>0.98</v>
      </c>
      <c r="P515">
        <v>3.6</v>
      </c>
      <c r="Q515" t="s">
        <v>190</v>
      </c>
    </row>
    <row r="516" spans="1:17">
      <c r="A516" t="s">
        <v>691</v>
      </c>
      <c r="B516" t="s">
        <v>186</v>
      </c>
      <c r="C516" t="s">
        <v>707</v>
      </c>
      <c r="D516">
        <v>3</v>
      </c>
      <c r="E516">
        <f t="shared" si="6"/>
        <v>60.962566844919785</v>
      </c>
      <c r="F516">
        <v>114</v>
      </c>
      <c r="G516">
        <v>187</v>
      </c>
      <c r="H516" t="s">
        <v>692</v>
      </c>
      <c r="I516" s="7" t="s">
        <v>706</v>
      </c>
    </row>
    <row r="517" spans="1:17">
      <c r="A517" t="s">
        <v>691</v>
      </c>
      <c r="B517" t="s">
        <v>186</v>
      </c>
      <c r="C517" t="s">
        <v>707</v>
      </c>
      <c r="D517">
        <v>5</v>
      </c>
      <c r="E517">
        <f t="shared" si="6"/>
        <v>33.689839572192511</v>
      </c>
      <c r="F517">
        <v>63</v>
      </c>
      <c r="G517">
        <v>187</v>
      </c>
      <c r="H517" t="s">
        <v>692</v>
      </c>
      <c r="I517" s="7" t="s">
        <v>706</v>
      </c>
    </row>
    <row r="518" spans="1:17">
      <c r="A518" t="s">
        <v>691</v>
      </c>
      <c r="B518" t="s">
        <v>186</v>
      </c>
      <c r="C518" t="s">
        <v>707</v>
      </c>
      <c r="D518">
        <v>6</v>
      </c>
      <c r="E518">
        <f t="shared" si="6"/>
        <v>31.550802139037433</v>
      </c>
      <c r="F518">
        <v>59</v>
      </c>
      <c r="G518">
        <v>187</v>
      </c>
      <c r="H518" t="s">
        <v>692</v>
      </c>
      <c r="I518" s="7" t="s">
        <v>706</v>
      </c>
    </row>
    <row r="519" spans="1:17">
      <c r="A519" t="s">
        <v>691</v>
      </c>
      <c r="B519" t="s">
        <v>186</v>
      </c>
      <c r="C519" t="s">
        <v>445</v>
      </c>
      <c r="D519">
        <v>0</v>
      </c>
      <c r="E519">
        <f t="shared" si="6"/>
        <v>100</v>
      </c>
      <c r="F519">
        <v>284</v>
      </c>
      <c r="G519">
        <v>284</v>
      </c>
      <c r="H519" t="s">
        <v>692</v>
      </c>
      <c r="I519" s="7" t="s">
        <v>705</v>
      </c>
      <c r="K519" t="s">
        <v>1394</v>
      </c>
      <c r="L519" t="s">
        <v>1499</v>
      </c>
      <c r="M519">
        <v>0.2475</v>
      </c>
      <c r="O519">
        <v>0.99</v>
      </c>
      <c r="P519">
        <f>LN(2)/M519</f>
        <v>2.8005946689290719</v>
      </c>
      <c r="Q519" t="s">
        <v>190</v>
      </c>
    </row>
    <row r="520" spans="1:17">
      <c r="A520" t="s">
        <v>691</v>
      </c>
      <c r="B520" t="s">
        <v>186</v>
      </c>
      <c r="C520" t="s">
        <v>445</v>
      </c>
      <c r="D520">
        <v>4</v>
      </c>
      <c r="E520">
        <f t="shared" si="6"/>
        <v>34.859154929577464</v>
      </c>
      <c r="F520">
        <v>99</v>
      </c>
      <c r="G520">
        <v>284</v>
      </c>
      <c r="H520" t="s">
        <v>692</v>
      </c>
      <c r="I520" s="7" t="s">
        <v>705</v>
      </c>
    </row>
    <row r="521" spans="1:17">
      <c r="A521" t="s">
        <v>691</v>
      </c>
      <c r="B521" t="s">
        <v>186</v>
      </c>
      <c r="C521" t="s">
        <v>445</v>
      </c>
      <c r="D521">
        <v>6</v>
      </c>
      <c r="E521">
        <f t="shared" si="6"/>
        <v>25</v>
      </c>
      <c r="F521">
        <v>71</v>
      </c>
      <c r="G521">
        <v>284</v>
      </c>
      <c r="H521" t="s">
        <v>692</v>
      </c>
      <c r="I521" s="7" t="s">
        <v>705</v>
      </c>
    </row>
    <row r="522" spans="1:17">
      <c r="A522" t="s">
        <v>1020</v>
      </c>
      <c r="B522" t="s">
        <v>999</v>
      </c>
      <c r="C522" t="s">
        <v>1021</v>
      </c>
      <c r="D522">
        <v>0</v>
      </c>
      <c r="E522">
        <v>100</v>
      </c>
      <c r="F522">
        <v>100</v>
      </c>
      <c r="G522">
        <v>100</v>
      </c>
      <c r="H522" t="s">
        <v>428</v>
      </c>
      <c r="I522" s="11">
        <v>31260</v>
      </c>
      <c r="J522">
        <v>4</v>
      </c>
      <c r="K522" t="s">
        <v>1394</v>
      </c>
      <c r="L522" t="s">
        <v>1500</v>
      </c>
      <c r="M522">
        <v>0.1416</v>
      </c>
      <c r="O522">
        <v>0.997</v>
      </c>
      <c r="P522">
        <f>LN(2)/M522</f>
        <v>4.8951072073442461</v>
      </c>
      <c r="Q522" t="s">
        <v>190</v>
      </c>
    </row>
    <row r="523" spans="1:17">
      <c r="A523" t="s">
        <v>1020</v>
      </c>
      <c r="B523" t="s">
        <v>999</v>
      </c>
      <c r="C523" t="s">
        <v>1021</v>
      </c>
      <c r="D523">
        <v>10</v>
      </c>
      <c r="E523">
        <v>25.200000000000003</v>
      </c>
      <c r="F523">
        <v>25.200000000000003</v>
      </c>
      <c r="G523">
        <v>100</v>
      </c>
      <c r="H523" t="s">
        <v>428</v>
      </c>
      <c r="I523" s="11">
        <v>31260</v>
      </c>
      <c r="J523">
        <v>4</v>
      </c>
    </row>
    <row r="524" spans="1:17">
      <c r="A524" t="s">
        <v>1020</v>
      </c>
      <c r="B524" t="s">
        <v>999</v>
      </c>
      <c r="C524" t="s">
        <v>1021</v>
      </c>
      <c r="D524">
        <v>20</v>
      </c>
      <c r="E524">
        <v>3.4000000000000057</v>
      </c>
      <c r="F524">
        <v>3.4000000000000057</v>
      </c>
      <c r="G524">
        <v>100</v>
      </c>
      <c r="H524" t="s">
        <v>428</v>
      </c>
      <c r="I524" s="11">
        <v>31260</v>
      </c>
      <c r="J524">
        <v>4</v>
      </c>
    </row>
    <row r="525" spans="1:17">
      <c r="A525" t="s">
        <v>1020</v>
      </c>
      <c r="B525" t="s">
        <v>999</v>
      </c>
      <c r="C525" t="s">
        <v>1021</v>
      </c>
      <c r="D525">
        <v>33</v>
      </c>
      <c r="E525">
        <v>3.4000000000000057</v>
      </c>
      <c r="F525">
        <v>3.4000000000000057</v>
      </c>
      <c r="G525">
        <v>100</v>
      </c>
      <c r="H525" t="s">
        <v>428</v>
      </c>
      <c r="I525" s="11">
        <v>31260</v>
      </c>
      <c r="J525">
        <v>4</v>
      </c>
    </row>
    <row r="526" spans="1:17">
      <c r="A526" t="s">
        <v>1020</v>
      </c>
      <c r="B526" t="s">
        <v>999</v>
      </c>
      <c r="C526" t="s">
        <v>1016</v>
      </c>
      <c r="D526">
        <v>0</v>
      </c>
      <c r="E526">
        <v>100</v>
      </c>
      <c r="F526">
        <v>100</v>
      </c>
      <c r="G526">
        <v>100</v>
      </c>
      <c r="H526" t="s">
        <v>428</v>
      </c>
      <c r="I526" s="11">
        <v>31260</v>
      </c>
      <c r="J526">
        <v>2</v>
      </c>
      <c r="K526" t="s">
        <v>1394</v>
      </c>
      <c r="L526" t="s">
        <v>1501</v>
      </c>
      <c r="M526">
        <v>0.1191</v>
      </c>
      <c r="O526">
        <v>0.999</v>
      </c>
      <c r="P526">
        <f>LN(2)/M526</f>
        <v>5.8198755714521013</v>
      </c>
      <c r="Q526" t="s">
        <v>190</v>
      </c>
    </row>
    <row r="527" spans="1:17">
      <c r="A527" t="s">
        <v>1020</v>
      </c>
      <c r="B527" t="s">
        <v>999</v>
      </c>
      <c r="C527" t="s">
        <v>1016</v>
      </c>
      <c r="D527">
        <v>10</v>
      </c>
      <c r="E527">
        <v>31.299999999999997</v>
      </c>
      <c r="F527">
        <v>31.299999999999997</v>
      </c>
      <c r="G527">
        <v>100</v>
      </c>
      <c r="H527" t="s">
        <v>428</v>
      </c>
      <c r="I527" s="11">
        <v>31260</v>
      </c>
      <c r="J527">
        <v>2</v>
      </c>
    </row>
    <row r="528" spans="1:17">
      <c r="A528" t="s">
        <v>1020</v>
      </c>
      <c r="B528" t="s">
        <v>999</v>
      </c>
      <c r="C528" t="s">
        <v>1016</v>
      </c>
      <c r="D528">
        <v>20</v>
      </c>
      <c r="E528">
        <v>7.7999999999999972</v>
      </c>
      <c r="F528">
        <v>7.7999999999999972</v>
      </c>
      <c r="G528">
        <v>100</v>
      </c>
      <c r="H528" t="s">
        <v>428</v>
      </c>
      <c r="I528" s="11">
        <v>31260</v>
      </c>
      <c r="J528">
        <v>2</v>
      </c>
    </row>
    <row r="529" spans="1:17">
      <c r="A529" t="s">
        <v>1020</v>
      </c>
      <c r="B529" t="s">
        <v>999</v>
      </c>
      <c r="C529" t="s">
        <v>1021</v>
      </c>
      <c r="D529">
        <v>0</v>
      </c>
      <c r="E529">
        <v>100</v>
      </c>
      <c r="F529">
        <v>100</v>
      </c>
      <c r="G529">
        <v>100</v>
      </c>
      <c r="H529" t="s">
        <v>428</v>
      </c>
      <c r="I529" s="7" t="s">
        <v>1226</v>
      </c>
      <c r="J529">
        <v>4</v>
      </c>
      <c r="K529" t="s">
        <v>1394</v>
      </c>
      <c r="L529" t="s">
        <v>1502</v>
      </c>
      <c r="M529">
        <v>6.8599999999999994E-2</v>
      </c>
      <c r="O529">
        <v>0.998</v>
      </c>
      <c r="P529">
        <f>LN(2)/M529</f>
        <v>10.104186305538562</v>
      </c>
      <c r="Q529" t="s">
        <v>190</v>
      </c>
    </row>
    <row r="530" spans="1:17">
      <c r="A530" t="s">
        <v>1020</v>
      </c>
      <c r="B530" t="s">
        <v>999</v>
      </c>
      <c r="C530" t="s">
        <v>1021</v>
      </c>
      <c r="D530">
        <v>13</v>
      </c>
      <c r="E530">
        <v>39.799999999999997</v>
      </c>
      <c r="F530">
        <v>39.799999999999997</v>
      </c>
      <c r="G530">
        <v>100</v>
      </c>
      <c r="H530" t="s">
        <v>428</v>
      </c>
      <c r="I530" s="7" t="s">
        <v>1226</v>
      </c>
      <c r="J530">
        <v>4</v>
      </c>
    </row>
    <row r="531" spans="1:17">
      <c r="A531" t="s">
        <v>1020</v>
      </c>
      <c r="B531" t="s">
        <v>999</v>
      </c>
      <c r="C531" t="s">
        <v>1021</v>
      </c>
      <c r="D531">
        <v>30</v>
      </c>
      <c r="E531">
        <v>14.299999999999997</v>
      </c>
      <c r="F531">
        <v>14.299999999999997</v>
      </c>
      <c r="G531">
        <v>100</v>
      </c>
      <c r="H531" t="s">
        <v>428</v>
      </c>
      <c r="I531" s="7" t="s">
        <v>1226</v>
      </c>
      <c r="J531">
        <v>4</v>
      </c>
    </row>
    <row r="532" spans="1:17">
      <c r="A532" t="s">
        <v>1020</v>
      </c>
      <c r="B532" t="s">
        <v>999</v>
      </c>
      <c r="C532" t="s">
        <v>1016</v>
      </c>
      <c r="D532">
        <v>0</v>
      </c>
      <c r="E532">
        <v>100</v>
      </c>
      <c r="F532">
        <v>100</v>
      </c>
      <c r="G532">
        <v>100</v>
      </c>
      <c r="H532" t="s">
        <v>428</v>
      </c>
      <c r="I532" s="7" t="s">
        <v>1226</v>
      </c>
      <c r="J532">
        <v>2</v>
      </c>
      <c r="K532" t="s">
        <v>1396</v>
      </c>
      <c r="L532" t="s">
        <v>1503</v>
      </c>
      <c r="N532">
        <v>-2.4222000000000001</v>
      </c>
      <c r="O532">
        <v>0.99</v>
      </c>
      <c r="Q532" t="s">
        <v>190</v>
      </c>
    </row>
    <row r="533" spans="1:17">
      <c r="A533" t="s">
        <v>1020</v>
      </c>
      <c r="B533" t="s">
        <v>999</v>
      </c>
      <c r="C533" t="s">
        <v>1016</v>
      </c>
      <c r="D533">
        <v>13</v>
      </c>
      <c r="E533">
        <v>74</v>
      </c>
      <c r="F533">
        <v>74</v>
      </c>
      <c r="G533">
        <v>100</v>
      </c>
      <c r="H533" t="s">
        <v>428</v>
      </c>
      <c r="I533" s="7" t="s">
        <v>1226</v>
      </c>
      <c r="J533">
        <v>2</v>
      </c>
    </row>
    <row r="534" spans="1:17">
      <c r="A534" t="s">
        <v>1020</v>
      </c>
      <c r="B534" t="s">
        <v>999</v>
      </c>
      <c r="C534" t="s">
        <v>1016</v>
      </c>
      <c r="D534">
        <v>30</v>
      </c>
      <c r="E534">
        <v>27.799999999999997</v>
      </c>
      <c r="F534">
        <v>27.799999999999997</v>
      </c>
      <c r="G534">
        <v>100</v>
      </c>
      <c r="H534" t="s">
        <v>428</v>
      </c>
      <c r="I534" s="7" t="s">
        <v>1226</v>
      </c>
      <c r="J534">
        <v>2</v>
      </c>
    </row>
    <row r="535" spans="1:17">
      <c r="A535" t="s">
        <v>1020</v>
      </c>
      <c r="B535" t="s">
        <v>999</v>
      </c>
      <c r="C535" t="s">
        <v>1017</v>
      </c>
      <c r="D535">
        <v>0</v>
      </c>
      <c r="E535">
        <v>100</v>
      </c>
      <c r="F535">
        <v>100</v>
      </c>
      <c r="G535">
        <v>100</v>
      </c>
      <c r="H535" t="s">
        <v>428</v>
      </c>
      <c r="I535" s="7" t="s">
        <v>1226</v>
      </c>
      <c r="J535">
        <v>4</v>
      </c>
      <c r="K535" t="s">
        <v>1394</v>
      </c>
      <c r="L535" t="s">
        <v>1504</v>
      </c>
      <c r="M535">
        <v>3.8600000000000002E-2</v>
      </c>
      <c r="O535">
        <v>0.997</v>
      </c>
      <c r="P535">
        <f>LN(2)/M535</f>
        <v>17.957180843521897</v>
      </c>
      <c r="Q535" t="s">
        <v>190</v>
      </c>
    </row>
    <row r="536" spans="1:17">
      <c r="A536" t="s">
        <v>1020</v>
      </c>
      <c r="B536" t="s">
        <v>999</v>
      </c>
      <c r="C536" t="s">
        <v>1017</v>
      </c>
      <c r="D536">
        <v>13</v>
      </c>
      <c r="E536">
        <v>58.8</v>
      </c>
      <c r="F536">
        <v>58.8</v>
      </c>
      <c r="G536">
        <v>100</v>
      </c>
      <c r="H536" t="s">
        <v>428</v>
      </c>
      <c r="I536" s="7" t="s">
        <v>1226</v>
      </c>
      <c r="J536">
        <v>4</v>
      </c>
    </row>
    <row r="537" spans="1:17">
      <c r="A537" t="s">
        <v>1020</v>
      </c>
      <c r="B537" t="s">
        <v>999</v>
      </c>
      <c r="C537" t="s">
        <v>1017</v>
      </c>
      <c r="D537">
        <v>30</v>
      </c>
      <c r="E537">
        <v>32.5</v>
      </c>
      <c r="F537">
        <v>32.5</v>
      </c>
      <c r="G537">
        <v>100</v>
      </c>
      <c r="H537" t="s">
        <v>428</v>
      </c>
      <c r="I537" s="7" t="s">
        <v>1226</v>
      </c>
      <c r="J537">
        <v>4</v>
      </c>
    </row>
    <row r="538" spans="1:17">
      <c r="A538" t="s">
        <v>1020</v>
      </c>
      <c r="B538" t="s">
        <v>999</v>
      </c>
      <c r="C538" t="s">
        <v>1016</v>
      </c>
      <c r="D538">
        <v>0</v>
      </c>
      <c r="E538">
        <v>100</v>
      </c>
      <c r="F538">
        <v>100</v>
      </c>
      <c r="G538">
        <v>100</v>
      </c>
      <c r="H538" t="s">
        <v>428</v>
      </c>
      <c r="I538" s="11">
        <v>31503</v>
      </c>
      <c r="J538">
        <v>4</v>
      </c>
      <c r="K538" t="s">
        <v>1394</v>
      </c>
      <c r="L538" t="s">
        <v>1505</v>
      </c>
      <c r="M538">
        <v>2.7900000000000001E-2</v>
      </c>
      <c r="O538">
        <v>0.99</v>
      </c>
      <c r="P538">
        <f>LN(2)/M538</f>
        <v>24.84398496630628</v>
      </c>
      <c r="Q538" t="s">
        <v>190</v>
      </c>
    </row>
    <row r="539" spans="1:17">
      <c r="A539" t="s">
        <v>1020</v>
      </c>
      <c r="B539" t="s">
        <v>999</v>
      </c>
      <c r="C539" t="s">
        <v>1016</v>
      </c>
      <c r="D539">
        <v>16</v>
      </c>
      <c r="E539">
        <v>67.2</v>
      </c>
      <c r="F539">
        <v>67.2</v>
      </c>
      <c r="G539">
        <v>100</v>
      </c>
      <c r="H539" t="s">
        <v>428</v>
      </c>
      <c r="I539" s="11">
        <v>31503</v>
      </c>
      <c r="J539">
        <v>4</v>
      </c>
    </row>
    <row r="540" spans="1:17">
      <c r="A540" t="s">
        <v>1020</v>
      </c>
      <c r="B540" t="s">
        <v>999</v>
      </c>
      <c r="C540" t="s">
        <v>1016</v>
      </c>
      <c r="D540">
        <v>43</v>
      </c>
      <c r="E540">
        <v>28.5</v>
      </c>
      <c r="F540">
        <v>28.5</v>
      </c>
      <c r="G540">
        <v>100</v>
      </c>
      <c r="H540" t="s">
        <v>428</v>
      </c>
      <c r="I540" s="11">
        <v>31503</v>
      </c>
      <c r="J540">
        <v>4</v>
      </c>
    </row>
    <row r="541" spans="1:17">
      <c r="A541" t="s">
        <v>1020</v>
      </c>
      <c r="B541" t="s">
        <v>999</v>
      </c>
      <c r="C541" t="s">
        <v>1017</v>
      </c>
      <c r="D541">
        <v>0</v>
      </c>
      <c r="E541">
        <v>100</v>
      </c>
      <c r="F541">
        <v>100</v>
      </c>
      <c r="G541">
        <v>100</v>
      </c>
      <c r="H541" t="s">
        <v>428</v>
      </c>
      <c r="I541" s="11">
        <v>31503</v>
      </c>
      <c r="J541">
        <v>4</v>
      </c>
      <c r="K541" t="s">
        <v>1396</v>
      </c>
      <c r="L541" t="s">
        <v>1506</v>
      </c>
      <c r="N541">
        <v>-1.7806999999999999</v>
      </c>
      <c r="O541">
        <v>0.998</v>
      </c>
      <c r="Q541" t="s">
        <v>190</v>
      </c>
    </row>
    <row r="542" spans="1:17">
      <c r="A542" t="s">
        <v>1020</v>
      </c>
      <c r="B542" t="s">
        <v>999</v>
      </c>
      <c r="C542" t="s">
        <v>1017</v>
      </c>
      <c r="D542">
        <v>16</v>
      </c>
      <c r="E542">
        <v>69.400000000000006</v>
      </c>
      <c r="F542">
        <v>69.400000000000006</v>
      </c>
      <c r="G542">
        <v>100</v>
      </c>
      <c r="H542" t="s">
        <v>428</v>
      </c>
      <c r="I542" s="11">
        <v>31503</v>
      </c>
      <c r="J542">
        <v>4</v>
      </c>
    </row>
    <row r="543" spans="1:17">
      <c r="A543" t="s">
        <v>1020</v>
      </c>
      <c r="B543" t="s">
        <v>999</v>
      </c>
      <c r="C543" t="s">
        <v>1017</v>
      </c>
      <c r="D543">
        <v>43</v>
      </c>
      <c r="E543">
        <v>23.099999999999994</v>
      </c>
      <c r="F543">
        <v>23.099999999999994</v>
      </c>
      <c r="G543">
        <v>100</v>
      </c>
      <c r="H543" t="s">
        <v>428</v>
      </c>
      <c r="I543" s="11">
        <v>31503</v>
      </c>
      <c r="J543">
        <v>4</v>
      </c>
    </row>
    <row r="544" spans="1:17">
      <c r="A544" t="s">
        <v>1020</v>
      </c>
      <c r="B544" t="s">
        <v>999</v>
      </c>
      <c r="C544" t="s">
        <v>1223</v>
      </c>
      <c r="D544">
        <v>0</v>
      </c>
      <c r="E544">
        <v>100</v>
      </c>
      <c r="F544">
        <v>100</v>
      </c>
      <c r="G544">
        <v>100</v>
      </c>
      <c r="H544" t="s">
        <v>428</v>
      </c>
      <c r="I544" s="11">
        <v>31503</v>
      </c>
      <c r="J544">
        <v>4</v>
      </c>
      <c r="K544" t="s">
        <v>1394</v>
      </c>
      <c r="L544" t="s">
        <v>1507</v>
      </c>
      <c r="M544">
        <v>7.0400000000000004E-2</v>
      </c>
      <c r="O544">
        <v>0.999</v>
      </c>
      <c r="P544">
        <f>LN(2)/M544</f>
        <v>9.8458406329537684</v>
      </c>
      <c r="Q544" t="s">
        <v>190</v>
      </c>
    </row>
    <row r="545" spans="1:17">
      <c r="A545" t="s">
        <v>1020</v>
      </c>
      <c r="B545" t="s">
        <v>999</v>
      </c>
      <c r="C545" t="s">
        <v>1223</v>
      </c>
      <c r="D545">
        <v>16</v>
      </c>
      <c r="E545">
        <v>33</v>
      </c>
      <c r="F545">
        <v>33</v>
      </c>
      <c r="G545">
        <v>100</v>
      </c>
      <c r="H545" t="s">
        <v>428</v>
      </c>
      <c r="I545" s="11">
        <v>31503</v>
      </c>
      <c r="J545">
        <v>4</v>
      </c>
    </row>
    <row r="546" spans="1:17">
      <c r="A546" t="s">
        <v>1020</v>
      </c>
      <c r="B546" t="s">
        <v>999</v>
      </c>
      <c r="C546" t="s">
        <v>1224</v>
      </c>
      <c r="D546">
        <v>43</v>
      </c>
      <c r="E546">
        <v>3.5</v>
      </c>
      <c r="F546">
        <v>3.5</v>
      </c>
      <c r="G546">
        <v>100</v>
      </c>
      <c r="H546" t="s">
        <v>428</v>
      </c>
      <c r="I546" s="11">
        <v>31503</v>
      </c>
      <c r="J546">
        <v>4</v>
      </c>
    </row>
    <row r="547" spans="1:17">
      <c r="A547" t="s">
        <v>1020</v>
      </c>
      <c r="B547" t="s">
        <v>999</v>
      </c>
      <c r="C547" t="s">
        <v>540</v>
      </c>
      <c r="D547">
        <v>0</v>
      </c>
      <c r="E547">
        <v>100</v>
      </c>
      <c r="F547">
        <v>100</v>
      </c>
      <c r="G547">
        <v>100</v>
      </c>
      <c r="H547" t="s">
        <v>428</v>
      </c>
      <c r="I547" s="11">
        <v>31503</v>
      </c>
      <c r="J547">
        <v>4</v>
      </c>
      <c r="K547" t="s">
        <v>1394</v>
      </c>
      <c r="L547" t="s">
        <v>1508</v>
      </c>
      <c r="M547">
        <v>6.0000000000000001E-3</v>
      </c>
      <c r="O547">
        <v>0.96</v>
      </c>
      <c r="P547">
        <f>LN(2)/M547</f>
        <v>115.52453009332422</v>
      </c>
      <c r="Q547" t="s">
        <v>190</v>
      </c>
    </row>
    <row r="548" spans="1:17">
      <c r="A548" t="s">
        <v>1020</v>
      </c>
      <c r="B548" t="s">
        <v>999</v>
      </c>
      <c r="C548" t="s">
        <v>540</v>
      </c>
      <c r="D548">
        <v>16</v>
      </c>
      <c r="E548">
        <v>88.2</v>
      </c>
      <c r="F548">
        <v>88.2</v>
      </c>
      <c r="G548">
        <v>100</v>
      </c>
      <c r="H548" t="s">
        <v>428</v>
      </c>
      <c r="I548" s="11">
        <v>31503</v>
      </c>
      <c r="J548">
        <v>4</v>
      </c>
    </row>
    <row r="549" spans="1:17">
      <c r="A549" t="s">
        <v>1020</v>
      </c>
      <c r="B549" t="s">
        <v>999</v>
      </c>
      <c r="C549" t="s">
        <v>540</v>
      </c>
      <c r="D549">
        <v>43</v>
      </c>
      <c r="E549">
        <v>77.400000000000006</v>
      </c>
      <c r="F549">
        <v>77.400000000000006</v>
      </c>
      <c r="G549">
        <v>100</v>
      </c>
      <c r="H549" t="s">
        <v>428</v>
      </c>
      <c r="I549" s="11">
        <v>31503</v>
      </c>
      <c r="J549">
        <v>4</v>
      </c>
    </row>
    <row r="550" spans="1:17">
      <c r="A550" t="s">
        <v>1020</v>
      </c>
      <c r="B550" t="s">
        <v>999</v>
      </c>
      <c r="C550" t="s">
        <v>1021</v>
      </c>
      <c r="D550">
        <v>0</v>
      </c>
      <c r="E550">
        <v>100</v>
      </c>
      <c r="F550">
        <v>100</v>
      </c>
      <c r="G550">
        <v>100</v>
      </c>
      <c r="H550" t="s">
        <v>428</v>
      </c>
      <c r="I550" s="11">
        <v>31625</v>
      </c>
      <c r="J550">
        <v>4</v>
      </c>
      <c r="K550" t="s">
        <v>1394</v>
      </c>
      <c r="L550" t="s">
        <v>1509</v>
      </c>
      <c r="M550">
        <v>0.2021</v>
      </c>
      <c r="O550">
        <v>0.999</v>
      </c>
      <c r="P550">
        <f>LN(2)/M550</f>
        <v>3.4297238028695958</v>
      </c>
      <c r="Q550" t="s">
        <v>190</v>
      </c>
    </row>
    <row r="551" spans="1:17">
      <c r="A551" t="s">
        <v>1020</v>
      </c>
      <c r="B551" t="s">
        <v>999</v>
      </c>
      <c r="C551" t="s">
        <v>1021</v>
      </c>
      <c r="D551">
        <v>11</v>
      </c>
      <c r="E551">
        <v>10.5</v>
      </c>
      <c r="F551">
        <v>10.5</v>
      </c>
      <c r="G551">
        <v>100</v>
      </c>
      <c r="H551" t="s">
        <v>428</v>
      </c>
      <c r="I551" s="11">
        <v>31625</v>
      </c>
      <c r="J551">
        <v>4</v>
      </c>
    </row>
    <row r="552" spans="1:17">
      <c r="A552" t="s">
        <v>1020</v>
      </c>
      <c r="B552" t="s">
        <v>999</v>
      </c>
      <c r="C552" t="s">
        <v>1021</v>
      </c>
      <c r="D552">
        <v>21</v>
      </c>
      <c r="E552">
        <v>2.7000000000000028</v>
      </c>
      <c r="F552">
        <v>2.7000000000000028</v>
      </c>
      <c r="G552">
        <v>100</v>
      </c>
      <c r="H552" t="s">
        <v>428</v>
      </c>
      <c r="I552" s="11">
        <v>31625</v>
      </c>
      <c r="J552">
        <v>4</v>
      </c>
    </row>
    <row r="553" spans="1:17">
      <c r="A553" t="s">
        <v>1020</v>
      </c>
      <c r="B553" t="s">
        <v>999</v>
      </c>
      <c r="C553" t="s">
        <v>1016</v>
      </c>
      <c r="D553">
        <v>0</v>
      </c>
      <c r="E553">
        <v>100</v>
      </c>
      <c r="F553">
        <v>100</v>
      </c>
      <c r="G553">
        <v>100</v>
      </c>
      <c r="H553" t="s">
        <v>428</v>
      </c>
      <c r="I553" s="11">
        <v>31625</v>
      </c>
      <c r="J553">
        <v>4</v>
      </c>
      <c r="K553" t="s">
        <v>1394</v>
      </c>
      <c r="L553" t="s">
        <v>1510</v>
      </c>
      <c r="M553">
        <v>0.1426</v>
      </c>
      <c r="O553">
        <v>1</v>
      </c>
      <c r="P553">
        <f>LN(2)/M553</f>
        <v>4.8607796673207941</v>
      </c>
      <c r="Q553" t="s">
        <v>190</v>
      </c>
    </row>
    <row r="554" spans="1:17">
      <c r="A554" t="s">
        <v>1020</v>
      </c>
      <c r="B554" t="s">
        <v>999</v>
      </c>
      <c r="C554" t="s">
        <v>1016</v>
      </c>
      <c r="D554">
        <v>11</v>
      </c>
      <c r="E554">
        <v>20.599999999999994</v>
      </c>
      <c r="F554">
        <v>20.599999999999994</v>
      </c>
      <c r="G554">
        <v>100</v>
      </c>
      <c r="H554" t="s">
        <v>428</v>
      </c>
      <c r="I554" s="11">
        <v>31625</v>
      </c>
      <c r="J554">
        <v>4</v>
      </c>
    </row>
    <row r="555" spans="1:17">
      <c r="A555" t="s">
        <v>1020</v>
      </c>
      <c r="B555" t="s">
        <v>999</v>
      </c>
      <c r="C555" t="s">
        <v>1016</v>
      </c>
      <c r="D555">
        <v>21</v>
      </c>
      <c r="E555">
        <v>5.5</v>
      </c>
      <c r="F555">
        <v>5.5</v>
      </c>
      <c r="G555">
        <v>100</v>
      </c>
      <c r="H555" t="s">
        <v>428</v>
      </c>
      <c r="I555" s="11">
        <v>31625</v>
      </c>
      <c r="J555">
        <v>4</v>
      </c>
    </row>
    <row r="556" spans="1:17">
      <c r="A556" t="s">
        <v>1020</v>
      </c>
      <c r="B556" t="s">
        <v>999</v>
      </c>
      <c r="C556" t="s">
        <v>1017</v>
      </c>
      <c r="D556">
        <v>0</v>
      </c>
      <c r="E556">
        <v>100</v>
      </c>
      <c r="F556">
        <v>100</v>
      </c>
      <c r="G556">
        <v>100</v>
      </c>
      <c r="H556" t="s">
        <v>428</v>
      </c>
      <c r="I556" s="11">
        <v>31625</v>
      </c>
      <c r="J556">
        <v>4</v>
      </c>
      <c r="K556" t="s">
        <v>1394</v>
      </c>
      <c r="L556" t="s">
        <v>1511</v>
      </c>
      <c r="M556">
        <v>9.1800000000000007E-2</v>
      </c>
      <c r="O556">
        <v>0.998</v>
      </c>
      <c r="P556">
        <f>LN(2)/M556</f>
        <v>7.550622881916615</v>
      </c>
      <c r="Q556" t="s">
        <v>190</v>
      </c>
    </row>
    <row r="557" spans="1:17">
      <c r="A557" t="s">
        <v>1020</v>
      </c>
      <c r="B557" t="s">
        <v>999</v>
      </c>
      <c r="C557" t="s">
        <v>1017</v>
      </c>
      <c r="D557">
        <v>11</v>
      </c>
      <c r="E557">
        <v>37.6</v>
      </c>
      <c r="F557">
        <v>37.6</v>
      </c>
      <c r="G557">
        <v>100</v>
      </c>
      <c r="H557" t="s">
        <v>428</v>
      </c>
      <c r="I557" s="11">
        <v>31625</v>
      </c>
      <c r="J557">
        <v>4</v>
      </c>
    </row>
    <row r="558" spans="1:17">
      <c r="A558" t="s">
        <v>1020</v>
      </c>
      <c r="B558" t="s">
        <v>999</v>
      </c>
      <c r="C558" t="s">
        <v>1017</v>
      </c>
      <c r="D558">
        <v>21</v>
      </c>
      <c r="E558">
        <v>13.099999999999994</v>
      </c>
      <c r="F558">
        <v>13.099999999999994</v>
      </c>
      <c r="G558">
        <v>100</v>
      </c>
      <c r="H558" t="s">
        <v>428</v>
      </c>
      <c r="I558" s="11">
        <v>31625</v>
      </c>
      <c r="J558">
        <v>4</v>
      </c>
    </row>
    <row r="559" spans="1:17">
      <c r="A559" t="s">
        <v>1020</v>
      </c>
      <c r="B559" t="s">
        <v>999</v>
      </c>
      <c r="C559" t="s">
        <v>1224</v>
      </c>
      <c r="D559">
        <v>0</v>
      </c>
      <c r="E559">
        <v>100</v>
      </c>
      <c r="F559">
        <v>100</v>
      </c>
      <c r="G559">
        <v>100</v>
      </c>
      <c r="H559" t="s">
        <v>428</v>
      </c>
      <c r="I559" s="11">
        <v>31625</v>
      </c>
      <c r="J559">
        <v>4</v>
      </c>
      <c r="K559" t="s">
        <v>1394</v>
      </c>
      <c r="L559" t="s">
        <v>1512</v>
      </c>
      <c r="M559">
        <v>0.20280000000000001</v>
      </c>
      <c r="O559">
        <v>1</v>
      </c>
      <c r="P559">
        <f>LN(2)/M559</f>
        <v>3.4178855057196511</v>
      </c>
      <c r="Q559" t="s">
        <v>190</v>
      </c>
    </row>
    <row r="560" spans="1:17">
      <c r="A560" t="s">
        <v>1020</v>
      </c>
      <c r="B560" t="s">
        <v>999</v>
      </c>
      <c r="C560" t="s">
        <v>1224</v>
      </c>
      <c r="D560">
        <v>11</v>
      </c>
      <c r="E560">
        <v>10.5</v>
      </c>
      <c r="F560">
        <v>10.5</v>
      </c>
      <c r="G560">
        <v>100</v>
      </c>
      <c r="H560" t="s">
        <v>428</v>
      </c>
      <c r="I560" s="11">
        <v>31625</v>
      </c>
      <c r="J560">
        <v>4</v>
      </c>
    </row>
    <row r="561" spans="1:17">
      <c r="A561" t="s">
        <v>1020</v>
      </c>
      <c r="B561" t="s">
        <v>999</v>
      </c>
      <c r="C561" t="s">
        <v>1224</v>
      </c>
      <c r="D561">
        <v>21</v>
      </c>
      <c r="E561">
        <v>2.4000000000000057</v>
      </c>
      <c r="F561">
        <v>2.4000000000000057</v>
      </c>
      <c r="G561">
        <v>100</v>
      </c>
      <c r="H561" t="s">
        <v>428</v>
      </c>
      <c r="I561" s="11">
        <v>31625</v>
      </c>
      <c r="J561">
        <v>4</v>
      </c>
    </row>
    <row r="562" spans="1:17">
      <c r="A562" t="s">
        <v>1020</v>
      </c>
      <c r="B562" t="s">
        <v>999</v>
      </c>
      <c r="C562" t="s">
        <v>1225</v>
      </c>
      <c r="D562">
        <v>0</v>
      </c>
      <c r="E562">
        <v>100</v>
      </c>
      <c r="F562">
        <v>100</v>
      </c>
      <c r="G562">
        <v>100</v>
      </c>
      <c r="H562" t="s">
        <v>428</v>
      </c>
      <c r="I562" s="11">
        <v>31625</v>
      </c>
      <c r="J562">
        <v>4</v>
      </c>
      <c r="K562" t="s">
        <v>1392</v>
      </c>
      <c r="L562" t="s">
        <v>1513</v>
      </c>
      <c r="N562">
        <v>-1.8</v>
      </c>
      <c r="Q562" t="s">
        <v>190</v>
      </c>
    </row>
    <row r="563" spans="1:17">
      <c r="A563" t="s">
        <v>1020</v>
      </c>
      <c r="B563" t="s">
        <v>999</v>
      </c>
      <c r="C563" t="s">
        <v>540</v>
      </c>
      <c r="D563">
        <v>21</v>
      </c>
      <c r="E563">
        <v>62.2</v>
      </c>
      <c r="F563">
        <v>62.2</v>
      </c>
      <c r="G563">
        <v>100</v>
      </c>
      <c r="H563" t="s">
        <v>428</v>
      </c>
      <c r="I563" s="11">
        <v>31625</v>
      </c>
      <c r="J563">
        <v>4</v>
      </c>
    </row>
    <row r="564" spans="1:17">
      <c r="A564" t="s">
        <v>1020</v>
      </c>
      <c r="B564" t="s">
        <v>999</v>
      </c>
      <c r="C564" t="s">
        <v>445</v>
      </c>
      <c r="D564">
        <v>0</v>
      </c>
      <c r="E564">
        <v>100</v>
      </c>
      <c r="F564">
        <v>100</v>
      </c>
      <c r="G564">
        <v>100</v>
      </c>
      <c r="H564" t="s">
        <v>428</v>
      </c>
      <c r="I564" s="11">
        <v>31625</v>
      </c>
      <c r="J564">
        <v>4</v>
      </c>
      <c r="K564" t="s">
        <v>1392</v>
      </c>
      <c r="L564" t="s">
        <v>1514</v>
      </c>
      <c r="N564">
        <v>-3.081</v>
      </c>
      <c r="Q564" t="s">
        <v>190</v>
      </c>
    </row>
    <row r="565" spans="1:17">
      <c r="A565" t="s">
        <v>1020</v>
      </c>
      <c r="B565" t="s">
        <v>999</v>
      </c>
      <c r="C565" t="s">
        <v>445</v>
      </c>
      <c r="D565">
        <v>11</v>
      </c>
      <c r="E565">
        <v>35.299999999999997</v>
      </c>
      <c r="F565">
        <v>35.299999999999997</v>
      </c>
      <c r="G565">
        <v>100</v>
      </c>
      <c r="H565" t="s">
        <v>428</v>
      </c>
      <c r="I565" s="11">
        <v>31625</v>
      </c>
      <c r="J565">
        <v>4</v>
      </c>
    </row>
    <row r="566" spans="1:17">
      <c r="A566" t="s">
        <v>1020</v>
      </c>
      <c r="B566" t="s">
        <v>999</v>
      </c>
      <c r="C566" t="s">
        <v>258</v>
      </c>
      <c r="D566">
        <v>14</v>
      </c>
      <c r="E566">
        <v>40.9</v>
      </c>
      <c r="F566">
        <v>40.9</v>
      </c>
      <c r="G566">
        <v>100</v>
      </c>
      <c r="H566" t="s">
        <v>428</v>
      </c>
      <c r="I566" t="s">
        <v>726</v>
      </c>
      <c r="J566">
        <v>5</v>
      </c>
      <c r="K566" t="s">
        <v>1392</v>
      </c>
      <c r="N566">
        <f t="shared" ref="N566:N577" si="7">(G566-F566)/D566</f>
        <v>4.2214285714285715</v>
      </c>
      <c r="Q566" t="s">
        <v>190</v>
      </c>
    </row>
    <row r="567" spans="1:17">
      <c r="A567" t="s">
        <v>1020</v>
      </c>
      <c r="B567" t="s">
        <v>999</v>
      </c>
      <c r="C567" t="s">
        <v>258</v>
      </c>
      <c r="D567">
        <v>14</v>
      </c>
      <c r="E567">
        <v>43</v>
      </c>
      <c r="F567">
        <v>43</v>
      </c>
      <c r="G567">
        <v>100</v>
      </c>
      <c r="H567" t="s">
        <v>428</v>
      </c>
      <c r="I567" t="s">
        <v>727</v>
      </c>
      <c r="J567">
        <v>5</v>
      </c>
      <c r="K567" t="s">
        <v>1392</v>
      </c>
      <c r="N567">
        <f t="shared" si="7"/>
        <v>4.0714285714285712</v>
      </c>
      <c r="Q567" t="s">
        <v>190</v>
      </c>
    </row>
    <row r="568" spans="1:17">
      <c r="A568" t="s">
        <v>1020</v>
      </c>
      <c r="B568" t="s">
        <v>999</v>
      </c>
      <c r="C568" t="s">
        <v>258</v>
      </c>
      <c r="D568">
        <v>14</v>
      </c>
      <c r="E568">
        <v>33.799999999999997</v>
      </c>
      <c r="F568">
        <v>33.799999999999997</v>
      </c>
      <c r="G568">
        <v>100</v>
      </c>
      <c r="H568" t="s">
        <v>428</v>
      </c>
      <c r="I568" t="s">
        <v>728</v>
      </c>
      <c r="J568">
        <v>5</v>
      </c>
      <c r="K568" t="s">
        <v>1392</v>
      </c>
      <c r="N568">
        <f t="shared" si="7"/>
        <v>4.7285714285714286</v>
      </c>
      <c r="Q568" t="s">
        <v>190</v>
      </c>
    </row>
    <row r="569" spans="1:17">
      <c r="A569" t="s">
        <v>1020</v>
      </c>
      <c r="B569" t="s">
        <v>999</v>
      </c>
      <c r="C569" t="s">
        <v>258</v>
      </c>
      <c r="D569">
        <v>14</v>
      </c>
      <c r="E569">
        <v>26.9</v>
      </c>
      <c r="F569">
        <v>26.9</v>
      </c>
      <c r="G569">
        <v>100</v>
      </c>
      <c r="H569" t="s">
        <v>428</v>
      </c>
      <c r="I569" t="s">
        <v>729</v>
      </c>
      <c r="J569">
        <v>5</v>
      </c>
      <c r="K569" t="s">
        <v>1392</v>
      </c>
      <c r="N569">
        <f t="shared" si="7"/>
        <v>5.2214285714285706</v>
      </c>
      <c r="Q569" t="s">
        <v>190</v>
      </c>
    </row>
    <row r="570" spans="1:17">
      <c r="A570" t="s">
        <v>1020</v>
      </c>
      <c r="B570" t="s">
        <v>999</v>
      </c>
      <c r="C570" t="s">
        <v>258</v>
      </c>
      <c r="D570">
        <v>14</v>
      </c>
      <c r="E570">
        <v>24.6</v>
      </c>
      <c r="F570">
        <v>24.6</v>
      </c>
      <c r="G570">
        <v>100</v>
      </c>
      <c r="H570" t="s">
        <v>428</v>
      </c>
      <c r="I570" t="s">
        <v>730</v>
      </c>
      <c r="J570">
        <v>5</v>
      </c>
      <c r="K570" t="s">
        <v>1392</v>
      </c>
      <c r="N570">
        <f t="shared" si="7"/>
        <v>5.3857142857142861</v>
      </c>
      <c r="Q570" t="s">
        <v>190</v>
      </c>
    </row>
    <row r="571" spans="1:17">
      <c r="A571" t="s">
        <v>1020</v>
      </c>
      <c r="B571" t="s">
        <v>999</v>
      </c>
      <c r="C571" t="s">
        <v>258</v>
      </c>
      <c r="D571">
        <v>14</v>
      </c>
      <c r="E571">
        <v>21.3</v>
      </c>
      <c r="F571">
        <v>21.3</v>
      </c>
      <c r="G571">
        <v>100</v>
      </c>
      <c r="H571" t="s">
        <v>428</v>
      </c>
      <c r="I571" t="s">
        <v>731</v>
      </c>
      <c r="J571">
        <v>5</v>
      </c>
      <c r="K571" t="s">
        <v>1392</v>
      </c>
      <c r="N571">
        <f t="shared" si="7"/>
        <v>5.6214285714285719</v>
      </c>
      <c r="Q571" t="s">
        <v>190</v>
      </c>
    </row>
    <row r="572" spans="1:17">
      <c r="A572" t="s">
        <v>1020</v>
      </c>
      <c r="B572" t="s">
        <v>999</v>
      </c>
      <c r="C572" t="s">
        <v>258</v>
      </c>
      <c r="D572">
        <v>14</v>
      </c>
      <c r="E572">
        <v>27.7</v>
      </c>
      <c r="F572">
        <v>27.7</v>
      </c>
      <c r="G572">
        <v>100</v>
      </c>
      <c r="H572" t="s">
        <v>428</v>
      </c>
      <c r="I572" t="s">
        <v>732</v>
      </c>
      <c r="J572">
        <v>5</v>
      </c>
      <c r="K572" t="s">
        <v>1392</v>
      </c>
      <c r="N572">
        <f t="shared" si="7"/>
        <v>5.1642857142857137</v>
      </c>
      <c r="Q572" t="s">
        <v>190</v>
      </c>
    </row>
    <row r="573" spans="1:17">
      <c r="A573" t="s">
        <v>1020</v>
      </c>
      <c r="B573" t="s">
        <v>999</v>
      </c>
      <c r="C573" t="s">
        <v>258</v>
      </c>
      <c r="D573">
        <v>14</v>
      </c>
      <c r="E573">
        <v>38.9</v>
      </c>
      <c r="F573">
        <v>38.9</v>
      </c>
      <c r="G573">
        <v>100</v>
      </c>
      <c r="H573" t="s">
        <v>428</v>
      </c>
      <c r="I573" t="s">
        <v>733</v>
      </c>
      <c r="J573">
        <v>5</v>
      </c>
      <c r="K573" t="s">
        <v>1392</v>
      </c>
      <c r="N573">
        <f t="shared" si="7"/>
        <v>4.3642857142857148</v>
      </c>
      <c r="Q573" t="s">
        <v>190</v>
      </c>
    </row>
    <row r="574" spans="1:17">
      <c r="A574" t="s">
        <v>1020</v>
      </c>
      <c r="B574" t="s">
        <v>999</v>
      </c>
      <c r="C574" t="s">
        <v>258</v>
      </c>
      <c r="D574">
        <v>14</v>
      </c>
      <c r="E574">
        <v>45</v>
      </c>
      <c r="F574">
        <v>45</v>
      </c>
      <c r="G574">
        <v>100</v>
      </c>
      <c r="H574" t="s">
        <v>428</v>
      </c>
      <c r="I574" t="s">
        <v>734</v>
      </c>
      <c r="J574">
        <v>5</v>
      </c>
      <c r="K574" t="s">
        <v>1392</v>
      </c>
      <c r="N574">
        <f t="shared" si="7"/>
        <v>3.9285714285714284</v>
      </c>
      <c r="Q574" t="s">
        <v>190</v>
      </c>
    </row>
    <row r="575" spans="1:17">
      <c r="A575" t="s">
        <v>1020</v>
      </c>
      <c r="B575" t="s">
        <v>999</v>
      </c>
      <c r="C575" t="s">
        <v>258</v>
      </c>
      <c r="D575">
        <v>27</v>
      </c>
      <c r="E575">
        <v>21.6</v>
      </c>
      <c r="F575">
        <v>21.6</v>
      </c>
      <c r="G575">
        <v>100</v>
      </c>
      <c r="H575" t="s">
        <v>428</v>
      </c>
      <c r="I575" t="s">
        <v>735</v>
      </c>
      <c r="J575">
        <v>3</v>
      </c>
      <c r="K575" t="s">
        <v>1392</v>
      </c>
      <c r="N575">
        <f t="shared" si="7"/>
        <v>2.9037037037037039</v>
      </c>
      <c r="Q575" t="s">
        <v>190</v>
      </c>
    </row>
    <row r="576" spans="1:17">
      <c r="A576" t="s">
        <v>1020</v>
      </c>
      <c r="B576" t="s">
        <v>999</v>
      </c>
      <c r="C576" t="s">
        <v>258</v>
      </c>
      <c r="D576">
        <v>27</v>
      </c>
      <c r="E576">
        <v>19.8</v>
      </c>
      <c r="F576">
        <v>19.8</v>
      </c>
      <c r="G576">
        <v>100</v>
      </c>
      <c r="H576" t="s">
        <v>428</v>
      </c>
      <c r="I576" t="s">
        <v>736</v>
      </c>
      <c r="J576">
        <v>3</v>
      </c>
      <c r="K576" t="s">
        <v>1392</v>
      </c>
      <c r="N576">
        <f t="shared" si="7"/>
        <v>2.9703703703703703</v>
      </c>
      <c r="Q576" t="s">
        <v>190</v>
      </c>
    </row>
    <row r="577" spans="1:17">
      <c r="A577" t="s">
        <v>1020</v>
      </c>
      <c r="B577" t="s">
        <v>999</v>
      </c>
      <c r="C577" t="s">
        <v>258</v>
      </c>
      <c r="D577">
        <v>27</v>
      </c>
      <c r="E577">
        <v>18.5</v>
      </c>
      <c r="F577">
        <v>18.5</v>
      </c>
      <c r="G577">
        <v>100</v>
      </c>
      <c r="H577" t="s">
        <v>428</v>
      </c>
      <c r="I577" t="s">
        <v>737</v>
      </c>
      <c r="J577">
        <v>3</v>
      </c>
      <c r="K577" t="s">
        <v>1392</v>
      </c>
      <c r="N577">
        <f t="shared" si="7"/>
        <v>3.0185185185185186</v>
      </c>
      <c r="Q577" t="s">
        <v>190</v>
      </c>
    </row>
    <row r="578" spans="1:17">
      <c r="A578" t="s">
        <v>747</v>
      </c>
      <c r="B578" t="s">
        <v>999</v>
      </c>
      <c r="C578" t="s">
        <v>566</v>
      </c>
      <c r="D578">
        <v>1</v>
      </c>
      <c r="E578">
        <v>94</v>
      </c>
      <c r="F578">
        <v>94</v>
      </c>
      <c r="G578">
        <v>100</v>
      </c>
      <c r="H578" t="s">
        <v>428</v>
      </c>
      <c r="I578" t="s">
        <v>748</v>
      </c>
      <c r="J578">
        <v>2</v>
      </c>
      <c r="K578" s="9" t="s">
        <v>1396</v>
      </c>
      <c r="L578" s="9" t="s">
        <v>1515</v>
      </c>
      <c r="M578" s="9"/>
      <c r="N578" s="9">
        <v>-2.7553000000000001</v>
      </c>
      <c r="O578" s="9">
        <v>0.97</v>
      </c>
      <c r="Q578" t="s">
        <v>190</v>
      </c>
    </row>
    <row r="579" spans="1:17">
      <c r="A579" t="s">
        <v>747</v>
      </c>
      <c r="B579" t="s">
        <v>999</v>
      </c>
      <c r="C579" t="s">
        <v>566</v>
      </c>
      <c r="D579">
        <v>2</v>
      </c>
      <c r="E579">
        <v>91</v>
      </c>
      <c r="F579">
        <v>91</v>
      </c>
      <c r="G579">
        <v>100</v>
      </c>
      <c r="H579" t="s">
        <v>428</v>
      </c>
      <c r="I579" t="s">
        <v>748</v>
      </c>
      <c r="J579">
        <v>2</v>
      </c>
      <c r="K579" s="2" t="s">
        <v>1482</v>
      </c>
      <c r="L579" s="2"/>
      <c r="M579" s="2"/>
      <c r="N579" s="2"/>
      <c r="O579" s="2">
        <v>0.99</v>
      </c>
    </row>
    <row r="580" spans="1:17">
      <c r="A580" t="s">
        <v>747</v>
      </c>
      <c r="B580" t="s">
        <v>999</v>
      </c>
      <c r="C580" t="s">
        <v>566</v>
      </c>
      <c r="D580">
        <v>3</v>
      </c>
      <c r="E580">
        <v>90</v>
      </c>
      <c r="F580">
        <v>90</v>
      </c>
      <c r="G580">
        <v>100</v>
      </c>
      <c r="H580" t="s">
        <v>428</v>
      </c>
      <c r="I580" t="s">
        <v>748</v>
      </c>
      <c r="J580">
        <v>2</v>
      </c>
    </row>
    <row r="581" spans="1:17">
      <c r="A581" t="s">
        <v>747</v>
      </c>
      <c r="B581" t="s">
        <v>999</v>
      </c>
      <c r="C581" t="s">
        <v>566</v>
      </c>
      <c r="D581">
        <v>4</v>
      </c>
      <c r="E581">
        <v>88</v>
      </c>
      <c r="F581">
        <v>88</v>
      </c>
      <c r="G581">
        <v>100</v>
      </c>
      <c r="H581" t="s">
        <v>428</v>
      </c>
      <c r="I581" t="s">
        <v>748</v>
      </c>
      <c r="J581">
        <v>2</v>
      </c>
    </row>
    <row r="582" spans="1:17">
      <c r="A582" t="s">
        <v>747</v>
      </c>
      <c r="B582" t="s">
        <v>999</v>
      </c>
      <c r="C582" t="s">
        <v>566</v>
      </c>
      <c r="D582">
        <v>5</v>
      </c>
      <c r="E582">
        <v>89</v>
      </c>
      <c r="F582">
        <v>89</v>
      </c>
      <c r="G582">
        <v>100</v>
      </c>
      <c r="H582" t="s">
        <v>428</v>
      </c>
      <c r="I582" t="s">
        <v>748</v>
      </c>
      <c r="J582">
        <v>2</v>
      </c>
    </row>
    <row r="583" spans="1:17">
      <c r="A583" t="s">
        <v>747</v>
      </c>
      <c r="B583" t="s">
        <v>999</v>
      </c>
      <c r="C583" t="s">
        <v>566</v>
      </c>
      <c r="D583">
        <v>6</v>
      </c>
      <c r="E583">
        <v>88</v>
      </c>
      <c r="F583">
        <v>88</v>
      </c>
      <c r="G583">
        <v>100</v>
      </c>
      <c r="H583" t="s">
        <v>428</v>
      </c>
      <c r="I583" t="s">
        <v>748</v>
      </c>
      <c r="J583">
        <v>2</v>
      </c>
    </row>
    <row r="584" spans="1:17">
      <c r="A584" t="s">
        <v>747</v>
      </c>
      <c r="B584" t="s">
        <v>999</v>
      </c>
      <c r="C584" t="s">
        <v>566</v>
      </c>
      <c r="D584">
        <v>7</v>
      </c>
      <c r="E584">
        <v>85</v>
      </c>
      <c r="F584">
        <v>85</v>
      </c>
      <c r="G584">
        <v>100</v>
      </c>
      <c r="H584" t="s">
        <v>428</v>
      </c>
      <c r="I584" t="s">
        <v>748</v>
      </c>
      <c r="J584">
        <v>2</v>
      </c>
    </row>
    <row r="585" spans="1:17">
      <c r="A585" t="s">
        <v>747</v>
      </c>
      <c r="B585" t="s">
        <v>999</v>
      </c>
      <c r="C585" t="s">
        <v>566</v>
      </c>
      <c r="D585">
        <v>9</v>
      </c>
      <c r="E585">
        <v>82</v>
      </c>
      <c r="F585">
        <v>82</v>
      </c>
      <c r="G585">
        <v>100</v>
      </c>
      <c r="H585" t="s">
        <v>428</v>
      </c>
      <c r="I585" t="s">
        <v>748</v>
      </c>
      <c r="J585">
        <v>2</v>
      </c>
    </row>
    <row r="586" spans="1:17">
      <c r="A586" t="s">
        <v>747</v>
      </c>
      <c r="B586" t="s">
        <v>999</v>
      </c>
      <c r="C586" t="s">
        <v>566</v>
      </c>
      <c r="D586">
        <v>11</v>
      </c>
      <c r="E586">
        <v>80</v>
      </c>
      <c r="F586">
        <v>80</v>
      </c>
      <c r="G586">
        <v>100</v>
      </c>
      <c r="H586" t="s">
        <v>428</v>
      </c>
      <c r="I586" t="s">
        <v>748</v>
      </c>
      <c r="J586">
        <v>2</v>
      </c>
    </row>
    <row r="587" spans="1:17">
      <c r="A587" t="s">
        <v>747</v>
      </c>
      <c r="B587" t="s">
        <v>999</v>
      </c>
      <c r="C587" t="s">
        <v>566</v>
      </c>
      <c r="D587">
        <v>13</v>
      </c>
      <c r="E587">
        <v>73</v>
      </c>
      <c r="F587">
        <v>73</v>
      </c>
      <c r="G587">
        <v>100</v>
      </c>
      <c r="H587" t="s">
        <v>428</v>
      </c>
      <c r="I587" t="s">
        <v>748</v>
      </c>
      <c r="J587">
        <v>2</v>
      </c>
    </row>
    <row r="588" spans="1:17">
      <c r="A588" t="s">
        <v>747</v>
      </c>
      <c r="B588" t="s">
        <v>999</v>
      </c>
      <c r="C588" t="s">
        <v>566</v>
      </c>
      <c r="D588">
        <v>15</v>
      </c>
      <c r="E588">
        <v>65</v>
      </c>
      <c r="F588">
        <v>65</v>
      </c>
      <c r="G588">
        <v>100</v>
      </c>
      <c r="H588" t="s">
        <v>428</v>
      </c>
      <c r="I588" t="s">
        <v>748</v>
      </c>
      <c r="J588">
        <v>2</v>
      </c>
    </row>
    <row r="589" spans="1:17">
      <c r="A589" t="s">
        <v>747</v>
      </c>
      <c r="B589" t="s">
        <v>999</v>
      </c>
      <c r="C589" t="s">
        <v>566</v>
      </c>
      <c r="D589">
        <v>17</v>
      </c>
      <c r="E589">
        <v>63</v>
      </c>
      <c r="F589">
        <v>63</v>
      </c>
      <c r="G589">
        <v>100</v>
      </c>
      <c r="H589" t="s">
        <v>428</v>
      </c>
      <c r="I589" t="s">
        <v>748</v>
      </c>
      <c r="J589">
        <v>2</v>
      </c>
    </row>
    <row r="590" spans="1:17">
      <c r="A590" t="s">
        <v>747</v>
      </c>
      <c r="B590" t="s">
        <v>999</v>
      </c>
      <c r="C590" t="s">
        <v>566</v>
      </c>
      <c r="D590">
        <v>19</v>
      </c>
      <c r="E590">
        <v>51</v>
      </c>
      <c r="F590">
        <v>51</v>
      </c>
      <c r="G590">
        <v>100</v>
      </c>
      <c r="H590" t="s">
        <v>428</v>
      </c>
      <c r="I590" t="s">
        <v>748</v>
      </c>
      <c r="J590">
        <v>2</v>
      </c>
    </row>
    <row r="591" spans="1:17">
      <c r="A591" t="s">
        <v>747</v>
      </c>
      <c r="B591" t="s">
        <v>999</v>
      </c>
      <c r="C591" t="s">
        <v>566</v>
      </c>
      <c r="D591">
        <v>21</v>
      </c>
      <c r="E591">
        <v>44</v>
      </c>
      <c r="F591">
        <v>44</v>
      </c>
      <c r="G591">
        <v>100</v>
      </c>
      <c r="H591" t="s">
        <v>428</v>
      </c>
      <c r="I591" t="s">
        <v>748</v>
      </c>
      <c r="J591">
        <v>2</v>
      </c>
    </row>
    <row r="592" spans="1:17">
      <c r="A592" t="s">
        <v>747</v>
      </c>
      <c r="B592" t="s">
        <v>999</v>
      </c>
      <c r="C592" t="s">
        <v>566</v>
      </c>
      <c r="D592">
        <v>23</v>
      </c>
      <c r="E592">
        <v>41</v>
      </c>
      <c r="F592">
        <v>41</v>
      </c>
      <c r="G592">
        <v>100</v>
      </c>
      <c r="H592" t="s">
        <v>428</v>
      </c>
      <c r="I592" t="s">
        <v>748</v>
      </c>
      <c r="J592">
        <v>2</v>
      </c>
    </row>
    <row r="593" spans="1:17">
      <c r="A593" t="s">
        <v>747</v>
      </c>
      <c r="B593" t="s">
        <v>999</v>
      </c>
      <c r="C593" t="s">
        <v>566</v>
      </c>
      <c r="D593">
        <v>25</v>
      </c>
      <c r="E593">
        <v>31</v>
      </c>
      <c r="F593">
        <v>31</v>
      </c>
      <c r="G593">
        <v>100</v>
      </c>
      <c r="H593" t="s">
        <v>428</v>
      </c>
      <c r="I593" t="s">
        <v>748</v>
      </c>
      <c r="J593">
        <v>2</v>
      </c>
    </row>
    <row r="594" spans="1:17">
      <c r="A594" t="s">
        <v>747</v>
      </c>
      <c r="B594" t="s">
        <v>999</v>
      </c>
      <c r="C594" t="s">
        <v>566</v>
      </c>
      <c r="D594">
        <v>27</v>
      </c>
      <c r="E594">
        <v>26</v>
      </c>
      <c r="F594">
        <v>26</v>
      </c>
      <c r="G594">
        <v>100</v>
      </c>
      <c r="H594" t="s">
        <v>428</v>
      </c>
      <c r="I594" t="s">
        <v>748</v>
      </c>
      <c r="J594">
        <v>2</v>
      </c>
    </row>
    <row r="595" spans="1:17">
      <c r="A595" t="s">
        <v>747</v>
      </c>
      <c r="B595" t="s">
        <v>999</v>
      </c>
      <c r="C595" t="s">
        <v>566</v>
      </c>
      <c r="D595">
        <v>29</v>
      </c>
      <c r="E595">
        <v>23</v>
      </c>
      <c r="F595">
        <v>23</v>
      </c>
      <c r="G595">
        <v>100</v>
      </c>
      <c r="H595" t="s">
        <v>428</v>
      </c>
      <c r="I595" t="s">
        <v>748</v>
      </c>
      <c r="J595">
        <v>2</v>
      </c>
    </row>
    <row r="596" spans="1:17">
      <c r="A596" t="s">
        <v>747</v>
      </c>
      <c r="B596" t="s">
        <v>999</v>
      </c>
      <c r="C596" t="s">
        <v>566</v>
      </c>
      <c r="D596">
        <v>31</v>
      </c>
      <c r="E596">
        <v>9</v>
      </c>
      <c r="F596">
        <v>9</v>
      </c>
      <c r="G596">
        <v>100</v>
      </c>
      <c r="H596" t="s">
        <v>428</v>
      </c>
      <c r="I596" t="s">
        <v>748</v>
      </c>
      <c r="J596">
        <v>2</v>
      </c>
    </row>
    <row r="597" spans="1:17">
      <c r="A597" t="s">
        <v>747</v>
      </c>
      <c r="B597" t="s">
        <v>999</v>
      </c>
      <c r="C597" t="s">
        <v>566</v>
      </c>
      <c r="D597">
        <v>1</v>
      </c>
      <c r="E597">
        <v>84</v>
      </c>
      <c r="F597">
        <v>84</v>
      </c>
      <c r="G597">
        <v>100</v>
      </c>
      <c r="H597" t="s">
        <v>428</v>
      </c>
      <c r="I597" t="s">
        <v>749</v>
      </c>
      <c r="K597" s="1" t="s">
        <v>1401</v>
      </c>
      <c r="L597" s="1" t="s">
        <v>1516</v>
      </c>
      <c r="M597" s="1">
        <v>0.1547</v>
      </c>
      <c r="N597" s="1"/>
      <c r="O597" s="1">
        <v>0.98</v>
      </c>
      <c r="P597">
        <f>LN(2)/M597</f>
        <v>4.4805894024560136</v>
      </c>
      <c r="Q597" t="s">
        <v>190</v>
      </c>
    </row>
    <row r="598" spans="1:17">
      <c r="A598" t="s">
        <v>747</v>
      </c>
      <c r="B598" t="s">
        <v>999</v>
      </c>
      <c r="C598" t="s">
        <v>566</v>
      </c>
      <c r="D598">
        <v>2</v>
      </c>
      <c r="E598">
        <v>74</v>
      </c>
      <c r="F598">
        <v>74</v>
      </c>
      <c r="G598">
        <v>100</v>
      </c>
      <c r="H598" t="s">
        <v>428</v>
      </c>
      <c r="I598" t="s">
        <v>749</v>
      </c>
      <c r="K598" s="1" t="s">
        <v>1385</v>
      </c>
      <c r="L598" s="1" t="s">
        <v>1517</v>
      </c>
      <c r="M598" s="1">
        <v>9.9299999999999999E-2</v>
      </c>
      <c r="N598" s="1"/>
      <c r="O598" s="1">
        <v>0.99</v>
      </c>
    </row>
    <row r="599" spans="1:17">
      <c r="A599" t="s">
        <v>747</v>
      </c>
      <c r="B599" t="s">
        <v>999</v>
      </c>
      <c r="C599" t="s">
        <v>566</v>
      </c>
      <c r="D599">
        <v>3</v>
      </c>
      <c r="E599">
        <v>70</v>
      </c>
      <c r="F599">
        <v>70</v>
      </c>
      <c r="G599">
        <v>100</v>
      </c>
      <c r="H599" t="s">
        <v>428</v>
      </c>
      <c r="I599" t="s">
        <v>749</v>
      </c>
    </row>
    <row r="600" spans="1:17">
      <c r="A600" t="s">
        <v>747</v>
      </c>
      <c r="B600" t="s">
        <v>999</v>
      </c>
      <c r="C600" t="s">
        <v>566</v>
      </c>
      <c r="D600">
        <v>4</v>
      </c>
      <c r="E600">
        <v>57</v>
      </c>
      <c r="F600">
        <v>57</v>
      </c>
      <c r="G600">
        <v>100</v>
      </c>
      <c r="H600" t="s">
        <v>428</v>
      </c>
      <c r="I600" t="s">
        <v>749</v>
      </c>
    </row>
    <row r="601" spans="1:17">
      <c r="A601" t="s">
        <v>747</v>
      </c>
      <c r="B601" t="s">
        <v>999</v>
      </c>
      <c r="C601" t="s">
        <v>566</v>
      </c>
      <c r="D601">
        <v>5</v>
      </c>
      <c r="E601">
        <v>46</v>
      </c>
      <c r="F601">
        <v>46</v>
      </c>
      <c r="G601">
        <v>100</v>
      </c>
      <c r="H601" t="s">
        <v>428</v>
      </c>
      <c r="I601" t="s">
        <v>749</v>
      </c>
    </row>
    <row r="602" spans="1:17">
      <c r="A602" t="s">
        <v>747</v>
      </c>
      <c r="B602" t="s">
        <v>999</v>
      </c>
      <c r="C602" t="s">
        <v>566</v>
      </c>
      <c r="D602">
        <v>6</v>
      </c>
      <c r="E602">
        <v>44</v>
      </c>
      <c r="F602">
        <v>44</v>
      </c>
      <c r="G602">
        <v>100</v>
      </c>
      <c r="H602" t="s">
        <v>428</v>
      </c>
      <c r="I602" t="s">
        <v>749</v>
      </c>
    </row>
    <row r="603" spans="1:17">
      <c r="A603" t="s">
        <v>747</v>
      </c>
      <c r="B603" t="s">
        <v>999</v>
      </c>
      <c r="C603" t="s">
        <v>566</v>
      </c>
      <c r="D603">
        <v>7</v>
      </c>
      <c r="E603">
        <v>38</v>
      </c>
      <c r="F603">
        <v>38</v>
      </c>
      <c r="G603">
        <v>100</v>
      </c>
      <c r="H603" t="s">
        <v>428</v>
      </c>
      <c r="I603" t="s">
        <v>749</v>
      </c>
    </row>
    <row r="604" spans="1:17">
      <c r="A604" t="s">
        <v>747</v>
      </c>
      <c r="B604" t="s">
        <v>999</v>
      </c>
      <c r="C604" t="s">
        <v>566</v>
      </c>
      <c r="D604">
        <v>9</v>
      </c>
      <c r="E604">
        <v>27</v>
      </c>
      <c r="F604">
        <v>27</v>
      </c>
      <c r="G604">
        <v>100</v>
      </c>
      <c r="H604" t="s">
        <v>428</v>
      </c>
      <c r="I604" t="s">
        <v>749</v>
      </c>
    </row>
    <row r="605" spans="1:17">
      <c r="A605" t="s">
        <v>747</v>
      </c>
      <c r="B605" t="s">
        <v>999</v>
      </c>
      <c r="C605" t="s">
        <v>566</v>
      </c>
      <c r="D605">
        <v>11</v>
      </c>
      <c r="E605">
        <v>13</v>
      </c>
      <c r="F605">
        <v>13</v>
      </c>
      <c r="G605">
        <v>100</v>
      </c>
      <c r="H605" t="s">
        <v>428</v>
      </c>
      <c r="I605" t="s">
        <v>749</v>
      </c>
    </row>
    <row r="606" spans="1:17">
      <c r="A606" t="s">
        <v>747</v>
      </c>
      <c r="B606" t="s">
        <v>999</v>
      </c>
      <c r="C606" t="s">
        <v>566</v>
      </c>
      <c r="D606">
        <v>13</v>
      </c>
      <c r="E606">
        <v>11</v>
      </c>
      <c r="F606">
        <v>11</v>
      </c>
      <c r="G606">
        <v>100</v>
      </c>
      <c r="H606" t="s">
        <v>428</v>
      </c>
      <c r="I606" t="s">
        <v>749</v>
      </c>
    </row>
    <row r="607" spans="1:17">
      <c r="A607" t="s">
        <v>747</v>
      </c>
      <c r="B607" t="s">
        <v>999</v>
      </c>
      <c r="C607" t="s">
        <v>566</v>
      </c>
      <c r="D607">
        <v>15</v>
      </c>
      <c r="E607">
        <v>5</v>
      </c>
      <c r="F607">
        <v>5</v>
      </c>
      <c r="G607">
        <v>100</v>
      </c>
      <c r="H607" t="s">
        <v>428</v>
      </c>
      <c r="I607" t="s">
        <v>749</v>
      </c>
    </row>
    <row r="608" spans="1:17">
      <c r="A608" t="s">
        <v>747</v>
      </c>
      <c r="B608" t="s">
        <v>999</v>
      </c>
      <c r="C608" t="s">
        <v>566</v>
      </c>
      <c r="D608">
        <v>0</v>
      </c>
      <c r="E608">
        <v>100</v>
      </c>
      <c r="F608">
        <v>100</v>
      </c>
      <c r="G608">
        <v>100</v>
      </c>
      <c r="I608" t="s">
        <v>750</v>
      </c>
    </row>
    <row r="609" spans="1:17">
      <c r="A609" t="s">
        <v>2400</v>
      </c>
      <c r="B609" t="s">
        <v>999</v>
      </c>
      <c r="C609" t="s">
        <v>566</v>
      </c>
      <c r="D609">
        <v>1</v>
      </c>
      <c r="E609">
        <v>96</v>
      </c>
      <c r="F609">
        <v>96</v>
      </c>
      <c r="G609">
        <v>100</v>
      </c>
      <c r="H609" t="s">
        <v>428</v>
      </c>
      <c r="I609" t="s">
        <v>750</v>
      </c>
      <c r="K609" s="1" t="s">
        <v>1385</v>
      </c>
      <c r="L609" s="1" t="s">
        <v>1518</v>
      </c>
      <c r="M609" s="1">
        <v>0.1404</v>
      </c>
      <c r="N609" s="1"/>
      <c r="O609" s="1">
        <v>0.99</v>
      </c>
      <c r="P609">
        <v>5.6</v>
      </c>
      <c r="Q609" t="s">
        <v>190</v>
      </c>
    </row>
    <row r="610" spans="1:17">
      <c r="A610" t="s">
        <v>747</v>
      </c>
      <c r="B610" t="s">
        <v>999</v>
      </c>
      <c r="C610" t="s">
        <v>566</v>
      </c>
      <c r="D610">
        <v>2</v>
      </c>
      <c r="E610">
        <v>87</v>
      </c>
      <c r="F610">
        <v>87</v>
      </c>
      <c r="G610">
        <v>100</v>
      </c>
      <c r="H610" t="s">
        <v>428</v>
      </c>
      <c r="I610" t="s">
        <v>750</v>
      </c>
    </row>
    <row r="611" spans="1:17">
      <c r="A611" t="s">
        <v>747</v>
      </c>
      <c r="B611" t="s">
        <v>999</v>
      </c>
      <c r="C611" t="s">
        <v>566</v>
      </c>
      <c r="D611">
        <v>3</v>
      </c>
      <c r="E611">
        <v>80</v>
      </c>
      <c r="F611">
        <v>80</v>
      </c>
      <c r="G611">
        <v>100</v>
      </c>
      <c r="H611" t="s">
        <v>428</v>
      </c>
      <c r="I611" t="s">
        <v>750</v>
      </c>
    </row>
    <row r="612" spans="1:17">
      <c r="A612" t="s">
        <v>747</v>
      </c>
      <c r="B612" t="s">
        <v>999</v>
      </c>
      <c r="C612" t="s">
        <v>566</v>
      </c>
      <c r="D612">
        <v>4</v>
      </c>
      <c r="E612">
        <v>76</v>
      </c>
      <c r="F612">
        <v>76</v>
      </c>
      <c r="G612">
        <v>100</v>
      </c>
      <c r="H612" t="s">
        <v>428</v>
      </c>
      <c r="I612" t="s">
        <v>750</v>
      </c>
    </row>
    <row r="613" spans="1:17">
      <c r="A613" t="s">
        <v>747</v>
      </c>
      <c r="B613" t="s">
        <v>999</v>
      </c>
      <c r="C613" t="s">
        <v>566</v>
      </c>
      <c r="D613">
        <v>5</v>
      </c>
      <c r="E613">
        <v>64</v>
      </c>
      <c r="F613">
        <v>64</v>
      </c>
      <c r="G613">
        <v>100</v>
      </c>
      <c r="H613" t="s">
        <v>428</v>
      </c>
      <c r="I613" t="s">
        <v>750</v>
      </c>
    </row>
    <row r="614" spans="1:17">
      <c r="A614" t="s">
        <v>747</v>
      </c>
      <c r="B614" t="s">
        <v>999</v>
      </c>
      <c r="C614" t="s">
        <v>566</v>
      </c>
      <c r="D614">
        <v>7</v>
      </c>
      <c r="E614">
        <v>55</v>
      </c>
      <c r="F614">
        <v>55</v>
      </c>
      <c r="G614">
        <v>100</v>
      </c>
      <c r="H614" t="s">
        <v>428</v>
      </c>
      <c r="I614" t="s">
        <v>750</v>
      </c>
    </row>
    <row r="615" spans="1:17">
      <c r="A615" t="s">
        <v>747</v>
      </c>
      <c r="B615" t="s">
        <v>999</v>
      </c>
      <c r="C615" t="s">
        <v>566</v>
      </c>
      <c r="D615">
        <v>9</v>
      </c>
      <c r="E615">
        <v>47</v>
      </c>
      <c r="F615">
        <v>47</v>
      </c>
      <c r="G615">
        <v>100</v>
      </c>
      <c r="H615" t="s">
        <v>428</v>
      </c>
      <c r="I615" t="s">
        <v>750</v>
      </c>
    </row>
    <row r="616" spans="1:17">
      <c r="A616" t="s">
        <v>747</v>
      </c>
      <c r="B616" t="s">
        <v>999</v>
      </c>
      <c r="C616" t="s">
        <v>566</v>
      </c>
      <c r="D616">
        <v>11</v>
      </c>
      <c r="E616">
        <v>43</v>
      </c>
      <c r="F616">
        <v>43</v>
      </c>
      <c r="G616">
        <v>100</v>
      </c>
      <c r="H616" t="s">
        <v>428</v>
      </c>
      <c r="I616" t="s">
        <v>750</v>
      </c>
    </row>
    <row r="617" spans="1:17">
      <c r="A617" t="s">
        <v>747</v>
      </c>
      <c r="B617" t="s">
        <v>999</v>
      </c>
      <c r="C617" t="s">
        <v>566</v>
      </c>
      <c r="D617">
        <v>13</v>
      </c>
      <c r="E617">
        <v>40</v>
      </c>
      <c r="F617">
        <v>40</v>
      </c>
      <c r="G617">
        <v>100</v>
      </c>
      <c r="H617" t="s">
        <v>428</v>
      </c>
      <c r="I617" t="s">
        <v>750</v>
      </c>
    </row>
    <row r="618" spans="1:17">
      <c r="A618" t="s">
        <v>747</v>
      </c>
      <c r="B618" t="s">
        <v>999</v>
      </c>
      <c r="C618" t="s">
        <v>566</v>
      </c>
      <c r="D618">
        <v>15</v>
      </c>
      <c r="E618">
        <v>41</v>
      </c>
      <c r="F618">
        <v>41</v>
      </c>
      <c r="G618">
        <v>100</v>
      </c>
      <c r="H618" t="s">
        <v>428</v>
      </c>
      <c r="I618" t="s">
        <v>750</v>
      </c>
    </row>
    <row r="619" spans="1:17">
      <c r="A619" t="s">
        <v>747</v>
      </c>
      <c r="B619" t="s">
        <v>999</v>
      </c>
      <c r="C619" t="s">
        <v>566</v>
      </c>
      <c r="D619">
        <v>17</v>
      </c>
      <c r="E619">
        <v>37</v>
      </c>
      <c r="F619">
        <v>37</v>
      </c>
      <c r="G619">
        <v>100</v>
      </c>
      <c r="H619" t="s">
        <v>428</v>
      </c>
      <c r="I619" t="s">
        <v>750</v>
      </c>
    </row>
    <row r="620" spans="1:17">
      <c r="A620" t="s">
        <v>747</v>
      </c>
      <c r="B620" t="s">
        <v>999</v>
      </c>
      <c r="C620" t="s">
        <v>566</v>
      </c>
      <c r="D620">
        <v>19</v>
      </c>
      <c r="E620">
        <v>33</v>
      </c>
      <c r="F620">
        <v>33</v>
      </c>
      <c r="G620">
        <v>100</v>
      </c>
      <c r="H620" t="s">
        <v>428</v>
      </c>
      <c r="I620" t="s">
        <v>750</v>
      </c>
    </row>
    <row r="621" spans="1:17">
      <c r="A621" t="s">
        <v>747</v>
      </c>
      <c r="B621" t="s">
        <v>999</v>
      </c>
      <c r="C621" t="s">
        <v>566</v>
      </c>
      <c r="D621">
        <v>21</v>
      </c>
      <c r="E621">
        <v>33</v>
      </c>
      <c r="F621">
        <v>33</v>
      </c>
      <c r="G621">
        <v>100</v>
      </c>
      <c r="H621" t="s">
        <v>428</v>
      </c>
      <c r="I621" t="s">
        <v>750</v>
      </c>
    </row>
    <row r="622" spans="1:17">
      <c r="A622" t="s">
        <v>747</v>
      </c>
      <c r="B622" t="s">
        <v>999</v>
      </c>
      <c r="C622" t="s">
        <v>566</v>
      </c>
      <c r="D622">
        <v>23</v>
      </c>
      <c r="E622">
        <v>30</v>
      </c>
      <c r="F622">
        <v>30</v>
      </c>
      <c r="G622">
        <v>100</v>
      </c>
      <c r="H622" t="s">
        <v>428</v>
      </c>
      <c r="I622" t="s">
        <v>750</v>
      </c>
    </row>
    <row r="623" spans="1:17">
      <c r="A623" t="s">
        <v>747</v>
      </c>
      <c r="B623" t="s">
        <v>999</v>
      </c>
      <c r="C623" t="s">
        <v>566</v>
      </c>
      <c r="D623">
        <v>25</v>
      </c>
      <c r="E623">
        <v>29</v>
      </c>
      <c r="F623">
        <v>29</v>
      </c>
      <c r="G623">
        <v>100</v>
      </c>
      <c r="H623" t="s">
        <v>428</v>
      </c>
      <c r="I623" t="s">
        <v>750</v>
      </c>
    </row>
    <row r="624" spans="1:17">
      <c r="A624" t="s">
        <v>747</v>
      </c>
      <c r="B624" t="s">
        <v>999</v>
      </c>
      <c r="C624" t="s">
        <v>566</v>
      </c>
      <c r="D624">
        <v>27</v>
      </c>
      <c r="E624">
        <v>28</v>
      </c>
      <c r="F624">
        <v>28</v>
      </c>
      <c r="G624">
        <v>100</v>
      </c>
      <c r="H624" t="s">
        <v>428</v>
      </c>
      <c r="I624" t="s">
        <v>750</v>
      </c>
    </row>
    <row r="625" spans="1:17">
      <c r="A625" t="s">
        <v>747</v>
      </c>
      <c r="B625" t="s">
        <v>999</v>
      </c>
      <c r="C625" t="s">
        <v>566</v>
      </c>
      <c r="D625">
        <v>29</v>
      </c>
      <c r="E625">
        <v>27</v>
      </c>
      <c r="F625">
        <v>27</v>
      </c>
      <c r="G625">
        <v>100</v>
      </c>
      <c r="H625" t="s">
        <v>428</v>
      </c>
      <c r="I625" t="s">
        <v>750</v>
      </c>
    </row>
    <row r="626" spans="1:17">
      <c r="A626" t="s">
        <v>747</v>
      </c>
      <c r="B626" t="s">
        <v>999</v>
      </c>
      <c r="C626" t="s">
        <v>566</v>
      </c>
      <c r="D626">
        <v>31</v>
      </c>
      <c r="E626">
        <v>27</v>
      </c>
      <c r="F626">
        <v>27</v>
      </c>
      <c r="G626">
        <v>100</v>
      </c>
      <c r="H626" t="s">
        <v>428</v>
      </c>
      <c r="I626" t="s">
        <v>750</v>
      </c>
    </row>
    <row r="627" spans="1:17">
      <c r="A627" t="s">
        <v>761</v>
      </c>
      <c r="B627" t="s">
        <v>184</v>
      </c>
      <c r="C627" t="s">
        <v>762</v>
      </c>
      <c r="D627">
        <v>0</v>
      </c>
      <c r="E627">
        <f t="shared" ref="E627:E637" si="8">F627/G627*100</f>
        <v>100</v>
      </c>
      <c r="F627">
        <v>43</v>
      </c>
      <c r="G627">
        <v>43</v>
      </c>
      <c r="H627" t="s">
        <v>763</v>
      </c>
      <c r="K627" s="1" t="s">
        <v>1385</v>
      </c>
      <c r="L627" s="1" t="s">
        <v>1519</v>
      </c>
      <c r="M627" s="1">
        <v>6.6799999999999998E-2</v>
      </c>
      <c r="N627" s="1"/>
      <c r="O627" s="1">
        <v>0.996</v>
      </c>
      <c r="P627">
        <v>10.6</v>
      </c>
      <c r="Q627" t="s">
        <v>190</v>
      </c>
    </row>
    <row r="628" spans="1:17">
      <c r="A628" t="s">
        <v>761</v>
      </c>
      <c r="B628" t="s">
        <v>184</v>
      </c>
      <c r="C628" t="s">
        <v>762</v>
      </c>
      <c r="D628">
        <v>6</v>
      </c>
      <c r="E628">
        <f t="shared" si="8"/>
        <v>81.395348837209298</v>
      </c>
      <c r="F628">
        <v>35</v>
      </c>
      <c r="G628">
        <v>43</v>
      </c>
      <c r="H628" t="s">
        <v>763</v>
      </c>
    </row>
    <row r="629" spans="1:17">
      <c r="A629" t="s">
        <v>761</v>
      </c>
      <c r="B629" t="s">
        <v>184</v>
      </c>
      <c r="C629" t="s">
        <v>762</v>
      </c>
      <c r="D629">
        <v>13</v>
      </c>
      <c r="E629">
        <f t="shared" si="8"/>
        <v>65.116279069767444</v>
      </c>
      <c r="F629">
        <v>28</v>
      </c>
      <c r="G629">
        <v>43</v>
      </c>
      <c r="H629" t="s">
        <v>763</v>
      </c>
    </row>
    <row r="630" spans="1:17">
      <c r="A630" t="s">
        <v>761</v>
      </c>
      <c r="B630" t="s">
        <v>184</v>
      </c>
      <c r="C630" t="s">
        <v>762</v>
      </c>
      <c r="D630">
        <v>20</v>
      </c>
      <c r="E630">
        <f t="shared" si="8"/>
        <v>53.488372093023251</v>
      </c>
      <c r="F630">
        <v>23</v>
      </c>
      <c r="G630">
        <v>43</v>
      </c>
      <c r="H630" t="s">
        <v>763</v>
      </c>
    </row>
    <row r="631" spans="1:17">
      <c r="A631" t="s">
        <v>761</v>
      </c>
      <c r="B631" t="s">
        <v>184</v>
      </c>
      <c r="C631" t="s">
        <v>762</v>
      </c>
      <c r="D631">
        <v>27</v>
      </c>
      <c r="E631">
        <f t="shared" si="8"/>
        <v>46.511627906976742</v>
      </c>
      <c r="F631">
        <v>20</v>
      </c>
      <c r="G631">
        <v>43</v>
      </c>
      <c r="H631" t="s">
        <v>763</v>
      </c>
    </row>
    <row r="632" spans="1:17">
      <c r="A632" t="s">
        <v>761</v>
      </c>
      <c r="B632" t="s">
        <v>184</v>
      </c>
      <c r="C632" t="s">
        <v>762</v>
      </c>
      <c r="D632">
        <v>34</v>
      </c>
      <c r="E632">
        <f t="shared" si="8"/>
        <v>46.511627906976742</v>
      </c>
      <c r="F632">
        <v>20</v>
      </c>
      <c r="G632">
        <v>43</v>
      </c>
      <c r="H632" t="s">
        <v>763</v>
      </c>
    </row>
    <row r="633" spans="1:17">
      <c r="A633" t="s">
        <v>761</v>
      </c>
      <c r="B633" t="s">
        <v>184</v>
      </c>
      <c r="C633" t="s">
        <v>762</v>
      </c>
      <c r="D633">
        <v>41</v>
      </c>
      <c r="E633">
        <f t="shared" si="8"/>
        <v>41.860465116279073</v>
      </c>
      <c r="F633">
        <v>18</v>
      </c>
      <c r="G633">
        <v>43</v>
      </c>
      <c r="H633" t="s">
        <v>763</v>
      </c>
    </row>
    <row r="634" spans="1:17">
      <c r="A634" t="s">
        <v>761</v>
      </c>
      <c r="B634" t="s">
        <v>184</v>
      </c>
      <c r="C634" t="s">
        <v>762</v>
      </c>
      <c r="D634">
        <v>47</v>
      </c>
      <c r="E634">
        <f t="shared" si="8"/>
        <v>39.534883720930232</v>
      </c>
      <c r="F634">
        <v>17</v>
      </c>
      <c r="G634">
        <v>43</v>
      </c>
      <c r="H634" t="s">
        <v>763</v>
      </c>
    </row>
    <row r="635" spans="1:17">
      <c r="A635" t="s">
        <v>761</v>
      </c>
      <c r="B635" t="s">
        <v>184</v>
      </c>
      <c r="C635" t="s">
        <v>762</v>
      </c>
      <c r="D635">
        <v>55</v>
      </c>
      <c r="E635">
        <f t="shared" si="8"/>
        <v>39.534883720930232</v>
      </c>
      <c r="F635">
        <v>17</v>
      </c>
      <c r="G635">
        <v>43</v>
      </c>
      <c r="H635" t="s">
        <v>763</v>
      </c>
    </row>
    <row r="636" spans="1:17">
      <c r="A636" t="s">
        <v>761</v>
      </c>
      <c r="B636" t="s">
        <v>184</v>
      </c>
      <c r="C636" t="s">
        <v>762</v>
      </c>
      <c r="D636">
        <v>62</v>
      </c>
      <c r="E636">
        <f t="shared" si="8"/>
        <v>39.534883720930232</v>
      </c>
      <c r="F636">
        <v>17</v>
      </c>
      <c r="G636">
        <v>43</v>
      </c>
      <c r="H636" t="s">
        <v>763</v>
      </c>
    </row>
    <row r="637" spans="1:17">
      <c r="A637" t="s">
        <v>761</v>
      </c>
      <c r="B637" t="s">
        <v>184</v>
      </c>
      <c r="C637" t="s">
        <v>762</v>
      </c>
      <c r="D637">
        <v>69</v>
      </c>
      <c r="E637">
        <f t="shared" si="8"/>
        <v>39.534883720930232</v>
      </c>
      <c r="F637">
        <v>17</v>
      </c>
      <c r="G637">
        <v>43</v>
      </c>
      <c r="H637" t="s">
        <v>763</v>
      </c>
    </row>
    <row r="638" spans="1:17">
      <c r="A638" t="s">
        <v>774</v>
      </c>
      <c r="B638" t="s">
        <v>999</v>
      </c>
      <c r="C638" t="s">
        <v>775</v>
      </c>
      <c r="D638">
        <v>0</v>
      </c>
      <c r="E638">
        <v>100</v>
      </c>
      <c r="F638">
        <v>100</v>
      </c>
      <c r="G638">
        <v>100</v>
      </c>
      <c r="H638" t="s">
        <v>428</v>
      </c>
      <c r="I638" t="s">
        <v>773</v>
      </c>
      <c r="K638" s="12" t="s">
        <v>1385</v>
      </c>
      <c r="L638" s="1" t="s">
        <v>1520</v>
      </c>
      <c r="M638" s="1">
        <v>0.1462</v>
      </c>
      <c r="N638" s="1"/>
      <c r="O638" s="1">
        <v>0.97</v>
      </c>
      <c r="P638">
        <v>5.4</v>
      </c>
      <c r="Q638" t="s">
        <v>190</v>
      </c>
    </row>
    <row r="639" spans="1:17">
      <c r="A639" t="s">
        <v>774</v>
      </c>
      <c r="B639" t="s">
        <v>999</v>
      </c>
      <c r="C639" t="s">
        <v>775</v>
      </c>
      <c r="D639">
        <v>1</v>
      </c>
      <c r="E639">
        <v>97</v>
      </c>
      <c r="F639">
        <v>97</v>
      </c>
      <c r="G639">
        <v>100</v>
      </c>
      <c r="H639" t="s">
        <v>428</v>
      </c>
      <c r="I639" t="s">
        <v>773</v>
      </c>
      <c r="K639" t="s">
        <v>1398</v>
      </c>
      <c r="L639" t="s">
        <v>1521</v>
      </c>
      <c r="O639">
        <v>0.995</v>
      </c>
    </row>
    <row r="640" spans="1:17">
      <c r="A640" t="s">
        <v>774</v>
      </c>
      <c r="B640" t="s">
        <v>999</v>
      </c>
      <c r="C640" t="s">
        <v>775</v>
      </c>
      <c r="D640">
        <v>2</v>
      </c>
      <c r="E640">
        <v>92</v>
      </c>
      <c r="F640">
        <v>92</v>
      </c>
      <c r="G640">
        <v>100</v>
      </c>
      <c r="H640" t="s">
        <v>428</v>
      </c>
      <c r="I640" t="s">
        <v>773</v>
      </c>
    </row>
    <row r="641" spans="1:17">
      <c r="A641" t="s">
        <v>774</v>
      </c>
      <c r="B641" t="s">
        <v>999</v>
      </c>
      <c r="C641" t="s">
        <v>775</v>
      </c>
      <c r="D641">
        <v>3</v>
      </c>
      <c r="E641">
        <v>86</v>
      </c>
      <c r="F641">
        <v>86</v>
      </c>
      <c r="G641">
        <v>100</v>
      </c>
      <c r="H641" t="s">
        <v>428</v>
      </c>
      <c r="I641" t="s">
        <v>773</v>
      </c>
    </row>
    <row r="642" spans="1:17">
      <c r="A642" t="s">
        <v>774</v>
      </c>
      <c r="B642" t="s">
        <v>999</v>
      </c>
      <c r="C642" t="s">
        <v>775</v>
      </c>
      <c r="D642">
        <v>4</v>
      </c>
      <c r="E642">
        <v>77</v>
      </c>
      <c r="F642">
        <v>77</v>
      </c>
      <c r="G642">
        <v>100</v>
      </c>
      <c r="H642" t="s">
        <v>428</v>
      </c>
      <c r="I642" t="s">
        <v>773</v>
      </c>
    </row>
    <row r="643" spans="1:17">
      <c r="A643" t="s">
        <v>774</v>
      </c>
      <c r="B643" t="s">
        <v>999</v>
      </c>
      <c r="C643" t="s">
        <v>775</v>
      </c>
      <c r="D643">
        <v>5</v>
      </c>
      <c r="E643">
        <v>66</v>
      </c>
      <c r="F643">
        <v>66</v>
      </c>
      <c r="G643">
        <v>100</v>
      </c>
      <c r="H643" t="s">
        <v>428</v>
      </c>
      <c r="I643" t="s">
        <v>773</v>
      </c>
    </row>
    <row r="644" spans="1:17">
      <c r="A644" t="s">
        <v>774</v>
      </c>
      <c r="B644" t="s">
        <v>999</v>
      </c>
      <c r="C644" t="s">
        <v>775</v>
      </c>
      <c r="D644">
        <v>6</v>
      </c>
      <c r="E644">
        <v>58</v>
      </c>
      <c r="F644">
        <v>58</v>
      </c>
      <c r="G644">
        <v>100</v>
      </c>
      <c r="H644" t="s">
        <v>428</v>
      </c>
      <c r="I644" t="s">
        <v>773</v>
      </c>
    </row>
    <row r="645" spans="1:17">
      <c r="A645" t="s">
        <v>774</v>
      </c>
      <c r="B645" t="s">
        <v>999</v>
      </c>
      <c r="C645" t="s">
        <v>775</v>
      </c>
      <c r="D645">
        <v>8</v>
      </c>
      <c r="E645">
        <v>49</v>
      </c>
      <c r="F645">
        <v>49</v>
      </c>
      <c r="G645">
        <v>100</v>
      </c>
      <c r="H645" t="s">
        <v>428</v>
      </c>
      <c r="I645" t="s">
        <v>773</v>
      </c>
    </row>
    <row r="646" spans="1:17">
      <c r="A646" t="s">
        <v>774</v>
      </c>
      <c r="B646" t="s">
        <v>999</v>
      </c>
      <c r="C646" t="s">
        <v>775</v>
      </c>
      <c r="D646">
        <v>10</v>
      </c>
      <c r="E646">
        <v>44</v>
      </c>
      <c r="F646">
        <v>44</v>
      </c>
      <c r="G646">
        <v>100</v>
      </c>
      <c r="H646" t="s">
        <v>428</v>
      </c>
      <c r="I646" t="s">
        <v>773</v>
      </c>
    </row>
    <row r="647" spans="1:17">
      <c r="A647" t="s">
        <v>774</v>
      </c>
      <c r="B647" t="s">
        <v>999</v>
      </c>
      <c r="C647" t="s">
        <v>775</v>
      </c>
      <c r="D647">
        <v>12</v>
      </c>
      <c r="E647">
        <v>39</v>
      </c>
      <c r="F647">
        <v>39</v>
      </c>
      <c r="G647">
        <v>100</v>
      </c>
      <c r="H647" t="s">
        <v>428</v>
      </c>
      <c r="I647" t="s">
        <v>773</v>
      </c>
    </row>
    <row r="648" spans="1:17">
      <c r="A648" t="s">
        <v>774</v>
      </c>
      <c r="B648" t="s">
        <v>999</v>
      </c>
      <c r="C648" t="s">
        <v>775</v>
      </c>
      <c r="D648">
        <v>14</v>
      </c>
      <c r="E648">
        <v>34</v>
      </c>
      <c r="F648">
        <v>34</v>
      </c>
      <c r="G648">
        <v>100</v>
      </c>
      <c r="H648" t="s">
        <v>428</v>
      </c>
      <c r="I648" t="s">
        <v>773</v>
      </c>
    </row>
    <row r="649" spans="1:17">
      <c r="A649" t="s">
        <v>774</v>
      </c>
      <c r="B649" t="s">
        <v>999</v>
      </c>
      <c r="C649" t="s">
        <v>775</v>
      </c>
      <c r="D649">
        <v>16</v>
      </c>
      <c r="E649">
        <v>33</v>
      </c>
      <c r="F649">
        <v>33</v>
      </c>
      <c r="G649">
        <v>100</v>
      </c>
      <c r="H649" t="s">
        <v>428</v>
      </c>
      <c r="I649" t="s">
        <v>773</v>
      </c>
    </row>
    <row r="650" spans="1:17">
      <c r="A650" t="s">
        <v>774</v>
      </c>
      <c r="B650" t="s">
        <v>999</v>
      </c>
      <c r="C650" t="s">
        <v>775</v>
      </c>
      <c r="D650">
        <v>18</v>
      </c>
      <c r="E650">
        <v>33</v>
      </c>
      <c r="F650">
        <v>33</v>
      </c>
      <c r="G650">
        <v>100</v>
      </c>
      <c r="H650" t="s">
        <v>428</v>
      </c>
      <c r="I650" t="s">
        <v>773</v>
      </c>
    </row>
    <row r="651" spans="1:17">
      <c r="A651" t="s">
        <v>774</v>
      </c>
      <c r="B651" t="s">
        <v>999</v>
      </c>
      <c r="C651" t="s">
        <v>775</v>
      </c>
      <c r="D651">
        <v>22</v>
      </c>
      <c r="E651">
        <v>32</v>
      </c>
      <c r="F651">
        <v>32</v>
      </c>
      <c r="G651">
        <v>100</v>
      </c>
      <c r="H651" t="s">
        <v>428</v>
      </c>
      <c r="I651" t="s">
        <v>773</v>
      </c>
    </row>
    <row r="652" spans="1:17">
      <c r="A652" t="s">
        <v>774</v>
      </c>
      <c r="B652" t="s">
        <v>999</v>
      </c>
      <c r="C652" t="s">
        <v>775</v>
      </c>
      <c r="D652">
        <v>26</v>
      </c>
      <c r="E652">
        <v>32</v>
      </c>
      <c r="F652">
        <v>32</v>
      </c>
      <c r="G652">
        <v>100</v>
      </c>
      <c r="H652" t="s">
        <v>428</v>
      </c>
      <c r="I652" t="s">
        <v>773</v>
      </c>
    </row>
    <row r="653" spans="1:17">
      <c r="A653" t="s">
        <v>774</v>
      </c>
      <c r="B653" t="s">
        <v>999</v>
      </c>
      <c r="C653" t="s">
        <v>775</v>
      </c>
      <c r="D653">
        <v>30</v>
      </c>
      <c r="E653">
        <v>32</v>
      </c>
      <c r="F653">
        <v>32</v>
      </c>
      <c r="G653">
        <v>100</v>
      </c>
      <c r="H653" t="s">
        <v>428</v>
      </c>
      <c r="I653" t="s">
        <v>773</v>
      </c>
    </row>
    <row r="654" spans="1:17">
      <c r="A654" t="s">
        <v>774</v>
      </c>
      <c r="B654" t="s">
        <v>999</v>
      </c>
      <c r="C654" t="s">
        <v>775</v>
      </c>
      <c r="D654">
        <v>0</v>
      </c>
      <c r="E654">
        <v>100</v>
      </c>
      <c r="F654">
        <v>100</v>
      </c>
      <c r="G654">
        <v>100</v>
      </c>
      <c r="H654" t="s">
        <v>428</v>
      </c>
      <c r="I654" t="s">
        <v>776</v>
      </c>
      <c r="K654" s="1" t="s">
        <v>1412</v>
      </c>
      <c r="L654" t="s">
        <v>1522</v>
      </c>
      <c r="O654">
        <v>0.99</v>
      </c>
      <c r="Q654" t="s">
        <v>190</v>
      </c>
    </row>
    <row r="655" spans="1:17">
      <c r="A655" t="s">
        <v>774</v>
      </c>
      <c r="B655" t="s">
        <v>999</v>
      </c>
      <c r="C655" t="s">
        <v>775</v>
      </c>
      <c r="D655">
        <v>1</v>
      </c>
      <c r="E655">
        <v>76</v>
      </c>
      <c r="F655">
        <v>76</v>
      </c>
      <c r="G655">
        <v>100</v>
      </c>
      <c r="H655" t="s">
        <v>428</v>
      </c>
      <c r="I655" t="s">
        <v>776</v>
      </c>
      <c r="K655" s="12" t="s">
        <v>1385</v>
      </c>
      <c r="L655" s="1" t="s">
        <v>1523</v>
      </c>
      <c r="M655" s="1">
        <v>0.35139999999999999</v>
      </c>
      <c r="N655" s="1"/>
      <c r="O655" s="1">
        <v>0.98</v>
      </c>
      <c r="P655">
        <v>1.9</v>
      </c>
    </row>
    <row r="656" spans="1:17">
      <c r="A656" t="s">
        <v>774</v>
      </c>
      <c r="B656" t="s">
        <v>999</v>
      </c>
      <c r="C656" t="s">
        <v>775</v>
      </c>
      <c r="D656">
        <v>2</v>
      </c>
      <c r="E656">
        <v>50</v>
      </c>
      <c r="F656">
        <v>50</v>
      </c>
      <c r="G656">
        <v>100</v>
      </c>
      <c r="H656" t="s">
        <v>428</v>
      </c>
      <c r="I656" t="s">
        <v>776</v>
      </c>
    </row>
    <row r="657" spans="1:17">
      <c r="A657" t="s">
        <v>774</v>
      </c>
      <c r="B657" t="s">
        <v>999</v>
      </c>
      <c r="C657" t="s">
        <v>775</v>
      </c>
      <c r="D657">
        <v>3</v>
      </c>
      <c r="E657">
        <v>43</v>
      </c>
      <c r="F657">
        <v>43</v>
      </c>
      <c r="G657">
        <v>100</v>
      </c>
      <c r="H657" t="s">
        <v>428</v>
      </c>
      <c r="I657" t="s">
        <v>776</v>
      </c>
    </row>
    <row r="658" spans="1:17">
      <c r="A658" t="s">
        <v>774</v>
      </c>
      <c r="B658" t="s">
        <v>999</v>
      </c>
      <c r="C658" t="s">
        <v>775</v>
      </c>
      <c r="D658">
        <v>4</v>
      </c>
      <c r="E658">
        <v>37</v>
      </c>
      <c r="F658">
        <v>37</v>
      </c>
      <c r="G658">
        <v>100</v>
      </c>
      <c r="H658" t="s">
        <v>428</v>
      </c>
      <c r="I658" t="s">
        <v>776</v>
      </c>
    </row>
    <row r="659" spans="1:17">
      <c r="A659" t="s">
        <v>774</v>
      </c>
      <c r="B659" t="s">
        <v>999</v>
      </c>
      <c r="C659" t="s">
        <v>775</v>
      </c>
      <c r="D659">
        <v>5</v>
      </c>
      <c r="E659">
        <v>33</v>
      </c>
      <c r="F659">
        <v>33</v>
      </c>
      <c r="G659">
        <v>100</v>
      </c>
      <c r="H659" t="s">
        <v>428</v>
      </c>
      <c r="I659" t="s">
        <v>776</v>
      </c>
    </row>
    <row r="660" spans="1:17">
      <c r="A660" t="s">
        <v>774</v>
      </c>
      <c r="B660" t="s">
        <v>999</v>
      </c>
      <c r="C660" t="s">
        <v>775</v>
      </c>
      <c r="D660">
        <v>6</v>
      </c>
      <c r="E660">
        <v>30</v>
      </c>
      <c r="F660">
        <v>30</v>
      </c>
      <c r="G660">
        <v>100</v>
      </c>
      <c r="H660" t="s">
        <v>428</v>
      </c>
      <c r="I660" t="s">
        <v>776</v>
      </c>
    </row>
    <row r="661" spans="1:17">
      <c r="A661" t="s">
        <v>774</v>
      </c>
      <c r="B661" t="s">
        <v>999</v>
      </c>
      <c r="C661" t="s">
        <v>775</v>
      </c>
      <c r="D661">
        <v>8</v>
      </c>
      <c r="E661">
        <v>25</v>
      </c>
      <c r="F661">
        <v>25</v>
      </c>
      <c r="G661">
        <v>100</v>
      </c>
      <c r="H661" t="s">
        <v>428</v>
      </c>
      <c r="I661" t="s">
        <v>776</v>
      </c>
    </row>
    <row r="662" spans="1:17">
      <c r="A662" t="s">
        <v>774</v>
      </c>
      <c r="B662" t="s">
        <v>999</v>
      </c>
      <c r="C662" t="s">
        <v>775</v>
      </c>
      <c r="D662">
        <v>10</v>
      </c>
      <c r="E662">
        <v>22</v>
      </c>
      <c r="F662">
        <v>22</v>
      </c>
      <c r="G662">
        <v>100</v>
      </c>
      <c r="H662" t="s">
        <v>428</v>
      </c>
      <c r="I662" t="s">
        <v>776</v>
      </c>
    </row>
    <row r="663" spans="1:17">
      <c r="A663" t="s">
        <v>774</v>
      </c>
      <c r="B663" t="s">
        <v>999</v>
      </c>
      <c r="C663" t="s">
        <v>775</v>
      </c>
      <c r="D663">
        <v>12</v>
      </c>
      <c r="E663">
        <v>21</v>
      </c>
      <c r="F663">
        <v>21</v>
      </c>
      <c r="G663">
        <v>100</v>
      </c>
      <c r="H663" t="s">
        <v>428</v>
      </c>
      <c r="I663" t="s">
        <v>776</v>
      </c>
    </row>
    <row r="664" spans="1:17">
      <c r="A664" t="s">
        <v>774</v>
      </c>
      <c r="B664" t="s">
        <v>999</v>
      </c>
      <c r="C664" t="s">
        <v>775</v>
      </c>
      <c r="D664">
        <v>14</v>
      </c>
      <c r="E664">
        <v>18</v>
      </c>
      <c r="F664">
        <v>18</v>
      </c>
      <c r="G664">
        <v>100</v>
      </c>
      <c r="H664" t="s">
        <v>428</v>
      </c>
      <c r="I664" t="s">
        <v>776</v>
      </c>
    </row>
    <row r="665" spans="1:17">
      <c r="A665" t="s">
        <v>774</v>
      </c>
      <c r="B665" t="s">
        <v>999</v>
      </c>
      <c r="C665" t="s">
        <v>775</v>
      </c>
      <c r="D665">
        <v>16</v>
      </c>
      <c r="E665">
        <v>17</v>
      </c>
      <c r="F665">
        <v>17</v>
      </c>
      <c r="G665">
        <v>100</v>
      </c>
      <c r="H665" t="s">
        <v>428</v>
      </c>
      <c r="I665" t="s">
        <v>776</v>
      </c>
    </row>
    <row r="666" spans="1:17">
      <c r="A666" t="s">
        <v>774</v>
      </c>
      <c r="B666" t="s">
        <v>999</v>
      </c>
      <c r="C666" t="s">
        <v>775</v>
      </c>
      <c r="D666">
        <v>18</v>
      </c>
      <c r="E666">
        <v>16</v>
      </c>
      <c r="F666">
        <v>16</v>
      </c>
      <c r="G666">
        <v>100</v>
      </c>
      <c r="H666" t="s">
        <v>428</v>
      </c>
      <c r="I666" t="s">
        <v>776</v>
      </c>
    </row>
    <row r="667" spans="1:17">
      <c r="A667" t="s">
        <v>774</v>
      </c>
      <c r="B667" t="s">
        <v>999</v>
      </c>
      <c r="C667" t="s">
        <v>775</v>
      </c>
      <c r="D667">
        <v>22</v>
      </c>
      <c r="E667">
        <v>15</v>
      </c>
      <c r="F667">
        <v>15</v>
      </c>
      <c r="G667">
        <v>100</v>
      </c>
      <c r="H667" t="s">
        <v>428</v>
      </c>
      <c r="I667" t="s">
        <v>776</v>
      </c>
    </row>
    <row r="668" spans="1:17">
      <c r="A668" t="s">
        <v>774</v>
      </c>
      <c r="B668" t="s">
        <v>999</v>
      </c>
      <c r="C668" t="s">
        <v>775</v>
      </c>
      <c r="D668">
        <v>26</v>
      </c>
      <c r="E668">
        <v>13</v>
      </c>
      <c r="F668">
        <v>13</v>
      </c>
      <c r="G668">
        <v>100</v>
      </c>
      <c r="H668" t="s">
        <v>428</v>
      </c>
      <c r="I668" t="s">
        <v>776</v>
      </c>
    </row>
    <row r="669" spans="1:17">
      <c r="A669" t="s">
        <v>774</v>
      </c>
      <c r="B669" t="s">
        <v>999</v>
      </c>
      <c r="C669" t="s">
        <v>775</v>
      </c>
      <c r="D669">
        <v>30</v>
      </c>
      <c r="E669">
        <v>12</v>
      </c>
      <c r="F669">
        <v>12</v>
      </c>
      <c r="G669">
        <v>100</v>
      </c>
      <c r="H669" t="s">
        <v>428</v>
      </c>
      <c r="I669" t="s">
        <v>776</v>
      </c>
    </row>
    <row r="670" spans="1:17">
      <c r="A670" t="s">
        <v>783</v>
      </c>
      <c r="B670" t="s">
        <v>784</v>
      </c>
      <c r="C670" t="s">
        <v>347</v>
      </c>
      <c r="D670">
        <v>0</v>
      </c>
      <c r="E670">
        <v>8.9</v>
      </c>
      <c r="F670">
        <v>8.9</v>
      </c>
    </row>
    <row r="671" spans="1:17">
      <c r="A671" t="s">
        <v>783</v>
      </c>
      <c r="B671" t="s">
        <v>784</v>
      </c>
      <c r="C671" t="s">
        <v>347</v>
      </c>
      <c r="D671">
        <v>1</v>
      </c>
      <c r="E671">
        <f t="shared" ref="E671:E710" si="9">F671/G671*100</f>
        <v>100</v>
      </c>
      <c r="F671">
        <v>8.9</v>
      </c>
      <c r="G671">
        <v>8.9</v>
      </c>
      <c r="H671" t="s">
        <v>785</v>
      </c>
      <c r="I671" t="s">
        <v>786</v>
      </c>
      <c r="K671" t="s">
        <v>1525</v>
      </c>
      <c r="L671" t="s">
        <v>1526</v>
      </c>
      <c r="O671">
        <v>0.96</v>
      </c>
      <c r="Q671" t="s">
        <v>190</v>
      </c>
    </row>
    <row r="672" spans="1:17">
      <c r="A672" t="s">
        <v>783</v>
      </c>
      <c r="B672" t="s">
        <v>784</v>
      </c>
      <c r="C672" t="s">
        <v>347</v>
      </c>
      <c r="D672">
        <v>2</v>
      </c>
      <c r="E672">
        <f t="shared" si="9"/>
        <v>108.98876404494379</v>
      </c>
      <c r="F672">
        <v>9.6999999999999993</v>
      </c>
      <c r="G672">
        <v>8.9</v>
      </c>
      <c r="H672" t="s">
        <v>785</v>
      </c>
      <c r="I672" t="s">
        <v>786</v>
      </c>
      <c r="K672" s="2" t="s">
        <v>1527</v>
      </c>
      <c r="L672" s="2" t="s">
        <v>1528</v>
      </c>
      <c r="M672" s="2">
        <v>1.7087000000000001</v>
      </c>
      <c r="N672" s="2"/>
      <c r="O672" s="2">
        <v>0.94</v>
      </c>
      <c r="P672">
        <v>1.2</v>
      </c>
    </row>
    <row r="673" spans="1:17">
      <c r="A673" t="s">
        <v>783</v>
      </c>
      <c r="B673" t="s">
        <v>784</v>
      </c>
      <c r="C673" t="s">
        <v>347</v>
      </c>
      <c r="D673">
        <v>3</v>
      </c>
      <c r="E673">
        <f t="shared" si="9"/>
        <v>100</v>
      </c>
      <c r="F673">
        <v>8.9</v>
      </c>
      <c r="G673">
        <v>8.9</v>
      </c>
      <c r="H673" t="s">
        <v>785</v>
      </c>
      <c r="I673" t="s">
        <v>786</v>
      </c>
      <c r="K673" s="9" t="s">
        <v>2401</v>
      </c>
      <c r="L673" t="s">
        <v>2402</v>
      </c>
      <c r="O673">
        <v>0.82</v>
      </c>
    </row>
    <row r="674" spans="1:17">
      <c r="A674" t="s">
        <v>783</v>
      </c>
      <c r="B674" t="s">
        <v>784</v>
      </c>
      <c r="C674" t="s">
        <v>347</v>
      </c>
      <c r="D674">
        <v>4</v>
      </c>
      <c r="E674">
        <f t="shared" si="9"/>
        <v>51.685393258426956</v>
      </c>
      <c r="F674">
        <v>4.5999999999999996</v>
      </c>
      <c r="G674">
        <v>8.9</v>
      </c>
      <c r="H674" t="s">
        <v>785</v>
      </c>
      <c r="I674" t="s">
        <v>786</v>
      </c>
    </row>
    <row r="675" spans="1:17">
      <c r="A675" t="s">
        <v>783</v>
      </c>
      <c r="B675" t="s">
        <v>784</v>
      </c>
      <c r="C675" t="s">
        <v>347</v>
      </c>
      <c r="D675">
        <v>5</v>
      </c>
      <c r="E675">
        <f t="shared" si="9"/>
        <v>46.067415730337075</v>
      </c>
      <c r="F675">
        <v>4.0999999999999996</v>
      </c>
      <c r="G675">
        <v>8.9</v>
      </c>
      <c r="H675" t="s">
        <v>785</v>
      </c>
      <c r="I675" t="s">
        <v>786</v>
      </c>
    </row>
    <row r="676" spans="1:17">
      <c r="A676" t="s">
        <v>783</v>
      </c>
      <c r="B676" t="s">
        <v>784</v>
      </c>
      <c r="C676" t="s">
        <v>347</v>
      </c>
      <c r="D676">
        <v>6</v>
      </c>
      <c r="E676">
        <f t="shared" si="9"/>
        <v>44.943820224719097</v>
      </c>
      <c r="F676">
        <v>4</v>
      </c>
      <c r="G676">
        <v>8.9</v>
      </c>
      <c r="H676" t="s">
        <v>785</v>
      </c>
      <c r="I676" t="s">
        <v>786</v>
      </c>
    </row>
    <row r="677" spans="1:17">
      <c r="A677" t="s">
        <v>783</v>
      </c>
      <c r="B677" t="s">
        <v>784</v>
      </c>
      <c r="C677" t="s">
        <v>347</v>
      </c>
      <c r="D677">
        <v>7</v>
      </c>
      <c r="E677">
        <f t="shared" si="9"/>
        <v>47.191011235955052</v>
      </c>
      <c r="F677">
        <v>4.2</v>
      </c>
      <c r="G677">
        <v>8.9</v>
      </c>
      <c r="H677" t="s">
        <v>785</v>
      </c>
      <c r="I677" t="s">
        <v>786</v>
      </c>
    </row>
    <row r="678" spans="1:17">
      <c r="A678" t="s">
        <v>783</v>
      </c>
      <c r="B678" t="s">
        <v>784</v>
      </c>
      <c r="C678" t="s">
        <v>347</v>
      </c>
      <c r="D678">
        <v>8</v>
      </c>
      <c r="E678">
        <f t="shared" si="9"/>
        <v>42.696629213483142</v>
      </c>
      <c r="F678">
        <v>3.8</v>
      </c>
      <c r="G678">
        <v>8.9</v>
      </c>
      <c r="H678" t="s">
        <v>785</v>
      </c>
      <c r="I678" t="s">
        <v>786</v>
      </c>
    </row>
    <row r="679" spans="1:17">
      <c r="A679" t="s">
        <v>783</v>
      </c>
      <c r="B679" t="s">
        <v>784</v>
      </c>
      <c r="C679" t="s">
        <v>347</v>
      </c>
      <c r="D679">
        <v>9</v>
      </c>
      <c r="E679">
        <f t="shared" si="9"/>
        <v>33.707865168539328</v>
      </c>
      <c r="F679">
        <v>3</v>
      </c>
      <c r="G679">
        <v>8.9</v>
      </c>
      <c r="H679" t="s">
        <v>785</v>
      </c>
      <c r="I679" t="s">
        <v>786</v>
      </c>
    </row>
    <row r="680" spans="1:17">
      <c r="A680" t="s">
        <v>783</v>
      </c>
      <c r="B680" t="s">
        <v>784</v>
      </c>
      <c r="C680" t="s">
        <v>347</v>
      </c>
      <c r="D680">
        <v>0</v>
      </c>
      <c r="E680" t="e">
        <f t="shared" si="9"/>
        <v>#DIV/0!</v>
      </c>
      <c r="F680">
        <v>8.4</v>
      </c>
    </row>
    <row r="681" spans="1:17">
      <c r="A681" t="s">
        <v>783</v>
      </c>
      <c r="B681" t="s">
        <v>784</v>
      </c>
      <c r="C681" t="s">
        <v>347</v>
      </c>
      <c r="D681">
        <v>1</v>
      </c>
      <c r="E681">
        <f t="shared" si="9"/>
        <v>100</v>
      </c>
      <c r="F681">
        <v>8.4</v>
      </c>
      <c r="G681">
        <v>8.4</v>
      </c>
      <c r="H681" t="s">
        <v>785</v>
      </c>
      <c r="I681" t="s">
        <v>787</v>
      </c>
      <c r="K681" s="2" t="s">
        <v>1529</v>
      </c>
      <c r="L681" s="2" t="s">
        <v>1530</v>
      </c>
      <c r="M681" s="2">
        <v>0.33689999999999998</v>
      </c>
      <c r="N681" s="2"/>
      <c r="O681" s="2">
        <v>0.96</v>
      </c>
      <c r="P681">
        <v>4.3</v>
      </c>
      <c r="Q681" t="s">
        <v>190</v>
      </c>
    </row>
    <row r="682" spans="1:17">
      <c r="A682" t="s">
        <v>783</v>
      </c>
      <c r="B682" t="s">
        <v>784</v>
      </c>
      <c r="C682" t="s">
        <v>347</v>
      </c>
      <c r="D682">
        <v>2</v>
      </c>
      <c r="E682">
        <f t="shared" si="9"/>
        <v>120.23809523809523</v>
      </c>
      <c r="F682">
        <v>10.1</v>
      </c>
      <c r="G682">
        <v>8.4</v>
      </c>
      <c r="H682" t="s">
        <v>785</v>
      </c>
      <c r="I682" t="s">
        <v>787</v>
      </c>
      <c r="K682" s="9" t="s">
        <v>181</v>
      </c>
      <c r="L682" t="s">
        <v>2403</v>
      </c>
      <c r="O682">
        <v>0.72</v>
      </c>
    </row>
    <row r="683" spans="1:17">
      <c r="A683" t="s">
        <v>783</v>
      </c>
      <c r="B683" t="s">
        <v>784</v>
      </c>
      <c r="C683" t="s">
        <v>347</v>
      </c>
      <c r="D683">
        <v>3</v>
      </c>
      <c r="E683">
        <f t="shared" si="9"/>
        <v>108.33333333333333</v>
      </c>
      <c r="F683">
        <v>9.1</v>
      </c>
      <c r="G683">
        <v>8.4</v>
      </c>
      <c r="H683" t="s">
        <v>785</v>
      </c>
      <c r="I683" t="s">
        <v>787</v>
      </c>
    </row>
    <row r="684" spans="1:17">
      <c r="A684" t="s">
        <v>783</v>
      </c>
      <c r="B684" t="s">
        <v>784</v>
      </c>
      <c r="C684" t="s">
        <v>347</v>
      </c>
      <c r="D684">
        <v>4</v>
      </c>
      <c r="E684">
        <f t="shared" si="9"/>
        <v>101.19047619047619</v>
      </c>
      <c r="F684">
        <v>8.5</v>
      </c>
      <c r="G684">
        <v>8.4</v>
      </c>
      <c r="H684" t="s">
        <v>785</v>
      </c>
      <c r="I684" t="s">
        <v>787</v>
      </c>
    </row>
    <row r="685" spans="1:17">
      <c r="A685" t="s">
        <v>783</v>
      </c>
      <c r="B685" t="s">
        <v>784</v>
      </c>
      <c r="C685" t="s">
        <v>347</v>
      </c>
      <c r="D685">
        <v>5</v>
      </c>
      <c r="E685">
        <f t="shared" si="9"/>
        <v>94.047619047619051</v>
      </c>
      <c r="F685">
        <v>7.9</v>
      </c>
      <c r="G685">
        <v>8.4</v>
      </c>
      <c r="H685" t="s">
        <v>785</v>
      </c>
      <c r="I685" t="s">
        <v>787</v>
      </c>
    </row>
    <row r="686" spans="1:17">
      <c r="A686" t="s">
        <v>783</v>
      </c>
      <c r="B686" t="s">
        <v>784</v>
      </c>
      <c r="C686" t="s">
        <v>347</v>
      </c>
      <c r="D686">
        <v>6</v>
      </c>
      <c r="E686">
        <f t="shared" si="9"/>
        <v>89.285714285714278</v>
      </c>
      <c r="F686">
        <v>7.5</v>
      </c>
      <c r="G686">
        <v>8.4</v>
      </c>
      <c r="H686" t="s">
        <v>785</v>
      </c>
      <c r="I686" t="s">
        <v>787</v>
      </c>
    </row>
    <row r="687" spans="1:17">
      <c r="A687" t="s">
        <v>783</v>
      </c>
      <c r="B687" t="s">
        <v>784</v>
      </c>
      <c r="C687" t="s">
        <v>347</v>
      </c>
      <c r="D687">
        <v>7</v>
      </c>
      <c r="E687">
        <f t="shared" si="9"/>
        <v>92.857142857142847</v>
      </c>
      <c r="F687">
        <v>7.8</v>
      </c>
      <c r="G687">
        <v>8.4</v>
      </c>
      <c r="H687" t="s">
        <v>785</v>
      </c>
      <c r="I687" t="s">
        <v>787</v>
      </c>
    </row>
    <row r="688" spans="1:17">
      <c r="A688" t="s">
        <v>783</v>
      </c>
      <c r="B688" t="s">
        <v>784</v>
      </c>
      <c r="C688" t="s">
        <v>347</v>
      </c>
      <c r="D688">
        <v>8</v>
      </c>
      <c r="E688">
        <f t="shared" si="9"/>
        <v>83.333333333333329</v>
      </c>
      <c r="F688">
        <v>7</v>
      </c>
      <c r="G688">
        <v>8.4</v>
      </c>
      <c r="H688" t="s">
        <v>785</v>
      </c>
      <c r="I688" t="s">
        <v>787</v>
      </c>
    </row>
    <row r="689" spans="1:17">
      <c r="A689" t="s">
        <v>783</v>
      </c>
      <c r="B689" t="s">
        <v>784</v>
      </c>
      <c r="C689" t="s">
        <v>347</v>
      </c>
      <c r="D689">
        <v>9</v>
      </c>
      <c r="E689">
        <f t="shared" si="9"/>
        <v>82.142857142857139</v>
      </c>
      <c r="F689">
        <v>6.9</v>
      </c>
      <c r="G689">
        <v>8.4</v>
      </c>
      <c r="H689" t="s">
        <v>785</v>
      </c>
      <c r="I689" t="s">
        <v>787</v>
      </c>
    </row>
    <row r="690" spans="1:17">
      <c r="A690" t="s">
        <v>783</v>
      </c>
      <c r="B690" t="s">
        <v>784</v>
      </c>
      <c r="C690" t="s">
        <v>347</v>
      </c>
      <c r="D690">
        <v>10</v>
      </c>
      <c r="E690">
        <f t="shared" si="9"/>
        <v>84.523809523809518</v>
      </c>
      <c r="F690">
        <v>7.1</v>
      </c>
      <c r="G690">
        <v>8.4</v>
      </c>
      <c r="H690" t="s">
        <v>785</v>
      </c>
      <c r="I690" t="s">
        <v>787</v>
      </c>
    </row>
    <row r="691" spans="1:17">
      <c r="A691" t="s">
        <v>783</v>
      </c>
      <c r="B691" t="s">
        <v>784</v>
      </c>
      <c r="C691" t="s">
        <v>156</v>
      </c>
      <c r="D691">
        <v>0</v>
      </c>
      <c r="E691" t="e">
        <f t="shared" si="9"/>
        <v>#DIV/0!</v>
      </c>
      <c r="F691">
        <v>7.5</v>
      </c>
    </row>
    <row r="692" spans="1:17">
      <c r="A692" t="s">
        <v>783</v>
      </c>
      <c r="B692" t="s">
        <v>784</v>
      </c>
      <c r="C692" t="s">
        <v>156</v>
      </c>
      <c r="D692">
        <v>1</v>
      </c>
      <c r="E692">
        <f t="shared" si="9"/>
        <v>100</v>
      </c>
      <c r="F692">
        <v>7.5</v>
      </c>
      <c r="G692">
        <v>7.5</v>
      </c>
      <c r="H692" t="s">
        <v>785</v>
      </c>
      <c r="I692" t="s">
        <v>788</v>
      </c>
      <c r="K692" s="2" t="s">
        <v>1531</v>
      </c>
      <c r="L692" s="2" t="s">
        <v>1532</v>
      </c>
      <c r="M692" s="2">
        <v>0.15240000000000001</v>
      </c>
      <c r="N692" s="2"/>
      <c r="O692" s="2">
        <v>0.84</v>
      </c>
      <c r="P692">
        <v>5.7</v>
      </c>
      <c r="Q692" t="s">
        <v>190</v>
      </c>
    </row>
    <row r="693" spans="1:17">
      <c r="A693" t="s">
        <v>783</v>
      </c>
      <c r="B693" t="s">
        <v>784</v>
      </c>
      <c r="C693" t="s">
        <v>156</v>
      </c>
      <c r="D693">
        <v>2</v>
      </c>
      <c r="E693">
        <f t="shared" si="9"/>
        <v>112.00000000000001</v>
      </c>
      <c r="F693">
        <v>8.4</v>
      </c>
      <c r="G693">
        <v>7.5</v>
      </c>
      <c r="H693" t="s">
        <v>785</v>
      </c>
      <c r="I693" t="s">
        <v>788</v>
      </c>
    </row>
    <row r="694" spans="1:17">
      <c r="A694" t="s">
        <v>783</v>
      </c>
      <c r="B694" t="s">
        <v>784</v>
      </c>
      <c r="C694" t="s">
        <v>156</v>
      </c>
      <c r="D694">
        <v>3</v>
      </c>
      <c r="E694">
        <f t="shared" si="9"/>
        <v>81.333333333333329</v>
      </c>
      <c r="F694">
        <v>6.1</v>
      </c>
      <c r="G694">
        <v>7.5</v>
      </c>
      <c r="H694" t="s">
        <v>785</v>
      </c>
      <c r="I694" t="s">
        <v>788</v>
      </c>
    </row>
    <row r="695" spans="1:17">
      <c r="A695" t="s">
        <v>783</v>
      </c>
      <c r="B695" t="s">
        <v>784</v>
      </c>
      <c r="C695" t="s">
        <v>156</v>
      </c>
      <c r="D695">
        <v>4</v>
      </c>
      <c r="E695">
        <f t="shared" si="9"/>
        <v>88</v>
      </c>
      <c r="F695">
        <v>6.6</v>
      </c>
      <c r="G695">
        <v>7.5</v>
      </c>
      <c r="H695" t="s">
        <v>785</v>
      </c>
      <c r="I695" t="s">
        <v>788</v>
      </c>
    </row>
    <row r="696" spans="1:17" s="1" customFormat="1">
      <c r="A696" s="1" t="s">
        <v>783</v>
      </c>
      <c r="B696" s="1" t="s">
        <v>784</v>
      </c>
      <c r="C696" s="1" t="s">
        <v>156</v>
      </c>
      <c r="D696" s="1">
        <v>5</v>
      </c>
      <c r="E696">
        <f t="shared" si="9"/>
        <v>44</v>
      </c>
      <c r="F696" s="1">
        <v>3.3</v>
      </c>
      <c r="G696" s="1">
        <v>7.5</v>
      </c>
      <c r="H696" s="1" t="s">
        <v>785</v>
      </c>
      <c r="I696" s="1" t="s">
        <v>788</v>
      </c>
    </row>
    <row r="697" spans="1:17" s="1" customFormat="1">
      <c r="A697" s="1" t="s">
        <v>783</v>
      </c>
      <c r="B697" s="1" t="s">
        <v>784</v>
      </c>
      <c r="C697" s="1" t="s">
        <v>156</v>
      </c>
      <c r="D697" s="1">
        <v>6</v>
      </c>
      <c r="E697">
        <f t="shared" si="9"/>
        <v>40</v>
      </c>
      <c r="F697" s="1">
        <v>3</v>
      </c>
      <c r="G697" s="1">
        <v>7.5</v>
      </c>
      <c r="H697" s="1" t="s">
        <v>785</v>
      </c>
      <c r="I697" s="1" t="s">
        <v>788</v>
      </c>
    </row>
    <row r="698" spans="1:17" s="1" customFormat="1">
      <c r="A698" s="1" t="s">
        <v>783</v>
      </c>
      <c r="B698" s="1" t="s">
        <v>784</v>
      </c>
      <c r="C698" s="1" t="s">
        <v>156</v>
      </c>
      <c r="D698" s="1">
        <v>7</v>
      </c>
      <c r="E698">
        <f t="shared" si="9"/>
        <v>30.666666666666664</v>
      </c>
      <c r="F698" s="1">
        <v>2.2999999999999998</v>
      </c>
      <c r="G698" s="1">
        <v>7.5</v>
      </c>
      <c r="H698" s="1" t="s">
        <v>785</v>
      </c>
      <c r="I698" s="1" t="s">
        <v>788</v>
      </c>
    </row>
    <row r="699" spans="1:17" s="1" customFormat="1">
      <c r="A699" s="1" t="s">
        <v>783</v>
      </c>
      <c r="B699" s="1" t="s">
        <v>784</v>
      </c>
      <c r="C699" s="1" t="s">
        <v>156</v>
      </c>
      <c r="D699" s="1">
        <v>10</v>
      </c>
      <c r="E699">
        <f t="shared" si="9"/>
        <v>24.000000000000004</v>
      </c>
      <c r="F699" s="1">
        <v>1.8</v>
      </c>
      <c r="G699" s="1">
        <v>7.5</v>
      </c>
      <c r="H699" s="1" t="s">
        <v>785</v>
      </c>
      <c r="I699" s="1" t="s">
        <v>788</v>
      </c>
    </row>
    <row r="700" spans="1:17" s="1" customFormat="1">
      <c r="A700" s="1" t="s">
        <v>783</v>
      </c>
      <c r="B700" s="1" t="s">
        <v>784</v>
      </c>
      <c r="C700" s="1" t="s">
        <v>156</v>
      </c>
      <c r="D700" s="1">
        <v>11</v>
      </c>
      <c r="E700">
        <f t="shared" si="9"/>
        <v>22.666666666666664</v>
      </c>
      <c r="F700" s="1">
        <v>1.7</v>
      </c>
      <c r="G700" s="1">
        <v>7.5</v>
      </c>
      <c r="H700" s="1" t="s">
        <v>785</v>
      </c>
      <c r="I700" s="1" t="s">
        <v>788</v>
      </c>
    </row>
    <row r="701" spans="1:17" s="1" customFormat="1" ht="1.5" customHeight="1">
      <c r="A701" t="s">
        <v>783</v>
      </c>
      <c r="B701" t="s">
        <v>784</v>
      </c>
      <c r="C701" t="s">
        <v>156</v>
      </c>
      <c r="D701" s="1">
        <v>0</v>
      </c>
      <c r="E701" t="e">
        <f t="shared" si="9"/>
        <v>#DIV/0!</v>
      </c>
      <c r="F701" s="1">
        <v>7.7</v>
      </c>
    </row>
    <row r="702" spans="1:17" s="1" customFormat="1" ht="18" customHeight="1">
      <c r="A702" s="1" t="s">
        <v>783</v>
      </c>
      <c r="B702" s="1" t="s">
        <v>784</v>
      </c>
      <c r="C702" s="1" t="s">
        <v>156</v>
      </c>
      <c r="D702" s="1">
        <v>1</v>
      </c>
      <c r="E702">
        <f t="shared" si="9"/>
        <v>100</v>
      </c>
      <c r="F702" s="1">
        <v>7.7</v>
      </c>
      <c r="G702" s="1">
        <v>7.7</v>
      </c>
      <c r="H702" s="1" t="s">
        <v>785</v>
      </c>
      <c r="I702" s="1" t="s">
        <v>789</v>
      </c>
      <c r="K702" s="1" t="s">
        <v>1387</v>
      </c>
      <c r="Q702" s="1" t="s">
        <v>190</v>
      </c>
    </row>
    <row r="703" spans="1:17" s="1" customFormat="1">
      <c r="A703" s="1" t="s">
        <v>783</v>
      </c>
      <c r="B703" s="1" t="s">
        <v>784</v>
      </c>
      <c r="C703" s="1" t="s">
        <v>156</v>
      </c>
      <c r="D703" s="1">
        <v>2</v>
      </c>
      <c r="E703">
        <f t="shared" si="9"/>
        <v>118.18181818181816</v>
      </c>
      <c r="F703" s="1">
        <v>9.1</v>
      </c>
      <c r="G703" s="1">
        <v>7.7</v>
      </c>
      <c r="H703" s="1" t="s">
        <v>785</v>
      </c>
      <c r="I703" s="1" t="s">
        <v>789</v>
      </c>
      <c r="K703" s="2" t="s">
        <v>1533</v>
      </c>
      <c r="L703" s="2" t="s">
        <v>1534</v>
      </c>
      <c r="M703" s="2">
        <v>0.62739999999999996</v>
      </c>
      <c r="N703" s="2"/>
      <c r="O703" s="2">
        <v>0.95</v>
      </c>
      <c r="P703" s="2">
        <v>3.3</v>
      </c>
    </row>
    <row r="704" spans="1:17" s="1" customFormat="1" ht="17" customHeight="1">
      <c r="A704" s="1" t="s">
        <v>783</v>
      </c>
      <c r="B704" s="1" t="s">
        <v>784</v>
      </c>
      <c r="C704" s="1" t="s">
        <v>156</v>
      </c>
      <c r="D704" s="1">
        <v>3</v>
      </c>
      <c r="E704">
        <f t="shared" si="9"/>
        <v>115.58441558441559</v>
      </c>
      <c r="F704" s="1">
        <v>8.9</v>
      </c>
      <c r="G704" s="1">
        <v>7.7</v>
      </c>
      <c r="H704" s="1" t="s">
        <v>785</v>
      </c>
      <c r="I704" s="1" t="s">
        <v>789</v>
      </c>
      <c r="K704" s="12" t="s">
        <v>181</v>
      </c>
      <c r="L704" s="1" t="s">
        <v>2404</v>
      </c>
      <c r="O704" s="1">
        <v>0.61499999999999999</v>
      </c>
      <c r="P704" s="2"/>
    </row>
    <row r="705" spans="1:17" s="1" customFormat="1">
      <c r="A705" s="1" t="s">
        <v>783</v>
      </c>
      <c r="B705" s="1" t="s">
        <v>784</v>
      </c>
      <c r="C705" s="1" t="s">
        <v>156</v>
      </c>
      <c r="D705" s="1">
        <v>4</v>
      </c>
      <c r="E705">
        <f t="shared" si="9"/>
        <v>105.1948051948052</v>
      </c>
      <c r="F705" s="1">
        <v>8.1</v>
      </c>
      <c r="G705" s="1">
        <v>7.7</v>
      </c>
      <c r="H705" s="1" t="s">
        <v>785</v>
      </c>
      <c r="I705" s="1" t="s">
        <v>789</v>
      </c>
      <c r="P705" s="2"/>
    </row>
    <row r="706" spans="1:17" s="1" customFormat="1">
      <c r="A706" s="1" t="s">
        <v>783</v>
      </c>
      <c r="B706" s="1" t="s">
        <v>784</v>
      </c>
      <c r="C706" s="1" t="s">
        <v>156</v>
      </c>
      <c r="D706" s="1">
        <v>5</v>
      </c>
      <c r="E706">
        <f t="shared" si="9"/>
        <v>92.20779220779221</v>
      </c>
      <c r="F706" s="1">
        <v>7.1</v>
      </c>
      <c r="G706" s="1">
        <v>7.7</v>
      </c>
      <c r="H706" s="1" t="s">
        <v>785</v>
      </c>
      <c r="I706" s="1" t="s">
        <v>789</v>
      </c>
      <c r="P706" s="2"/>
    </row>
    <row r="707" spans="1:17" s="1" customFormat="1">
      <c r="A707" s="1" t="s">
        <v>783</v>
      </c>
      <c r="B707" s="1" t="s">
        <v>784</v>
      </c>
      <c r="C707" s="1" t="s">
        <v>156</v>
      </c>
      <c r="D707" s="1">
        <v>6</v>
      </c>
      <c r="E707">
        <f t="shared" si="9"/>
        <v>88.311688311688314</v>
      </c>
      <c r="F707" s="1">
        <v>6.8</v>
      </c>
      <c r="G707" s="1">
        <v>7.7</v>
      </c>
      <c r="H707" s="1" t="s">
        <v>785</v>
      </c>
      <c r="I707" s="1" t="s">
        <v>789</v>
      </c>
    </row>
    <row r="708" spans="1:17" s="1" customFormat="1">
      <c r="A708" s="1" t="s">
        <v>783</v>
      </c>
      <c r="B708" s="1" t="s">
        <v>784</v>
      </c>
      <c r="C708" s="1" t="s">
        <v>156</v>
      </c>
      <c r="D708" s="1">
        <v>7</v>
      </c>
      <c r="E708">
        <f t="shared" si="9"/>
        <v>85.714285714285708</v>
      </c>
      <c r="F708" s="1">
        <v>6.6</v>
      </c>
      <c r="G708" s="1">
        <v>7.7</v>
      </c>
      <c r="H708" s="1" t="s">
        <v>785</v>
      </c>
      <c r="I708" s="1" t="s">
        <v>789</v>
      </c>
    </row>
    <row r="709" spans="1:17" s="1" customFormat="1">
      <c r="A709" s="1" t="s">
        <v>783</v>
      </c>
      <c r="B709" s="1" t="s">
        <v>784</v>
      </c>
      <c r="C709" s="1" t="s">
        <v>156</v>
      </c>
      <c r="D709" s="1">
        <v>10</v>
      </c>
      <c r="E709">
        <f t="shared" si="9"/>
        <v>85.714285714285708</v>
      </c>
      <c r="F709" s="1">
        <v>6.6</v>
      </c>
      <c r="G709" s="1">
        <v>7.7</v>
      </c>
      <c r="H709" s="1" t="s">
        <v>785</v>
      </c>
      <c r="I709" s="1" t="s">
        <v>789</v>
      </c>
    </row>
    <row r="710" spans="1:17" s="1" customFormat="1">
      <c r="A710" s="1" t="s">
        <v>783</v>
      </c>
      <c r="B710" s="1" t="s">
        <v>784</v>
      </c>
      <c r="C710" s="1" t="s">
        <v>156</v>
      </c>
      <c r="D710" s="1">
        <v>11</v>
      </c>
      <c r="E710">
        <f t="shared" si="9"/>
        <v>88.311688311688314</v>
      </c>
      <c r="F710" s="1">
        <v>6.8</v>
      </c>
      <c r="G710" s="1">
        <v>7.7</v>
      </c>
      <c r="H710" s="1" t="s">
        <v>785</v>
      </c>
      <c r="I710" s="1" t="s">
        <v>789</v>
      </c>
    </row>
    <row r="711" spans="1:17" s="1" customFormat="1">
      <c r="A711" s="1" t="s">
        <v>1229</v>
      </c>
      <c r="B711" s="1" t="s">
        <v>999</v>
      </c>
      <c r="C711" s="1" t="s">
        <v>156</v>
      </c>
      <c r="D711" s="1">
        <v>12</v>
      </c>
      <c r="E711" s="1">
        <v>81.599999999999994</v>
      </c>
      <c r="F711" s="1">
        <v>81.599999999999994</v>
      </c>
      <c r="G711" s="1">
        <v>100</v>
      </c>
      <c r="H711" s="1" t="s">
        <v>428</v>
      </c>
      <c r="I711" s="1" t="s">
        <v>1230</v>
      </c>
      <c r="J711" s="1">
        <v>6</v>
      </c>
      <c r="K711" s="1" t="s">
        <v>1385</v>
      </c>
      <c r="L711" s="1" t="s">
        <v>1535</v>
      </c>
      <c r="M711" s="1">
        <v>3.3500000000000002E-2</v>
      </c>
      <c r="O711" s="1">
        <v>0.87</v>
      </c>
      <c r="P711" s="1">
        <v>26.4</v>
      </c>
      <c r="Q711" s="1" t="s">
        <v>1233</v>
      </c>
    </row>
    <row r="712" spans="1:17" s="1" customFormat="1">
      <c r="A712" s="1" t="s">
        <v>1229</v>
      </c>
      <c r="B712" s="1" t="s">
        <v>999</v>
      </c>
      <c r="C712" s="1" t="s">
        <v>156</v>
      </c>
      <c r="D712" s="1">
        <v>21</v>
      </c>
      <c r="E712" s="1">
        <v>54.9</v>
      </c>
      <c r="F712" s="1">
        <v>54.9</v>
      </c>
      <c r="G712" s="1">
        <v>100</v>
      </c>
      <c r="H712" s="1" t="s">
        <v>428</v>
      </c>
      <c r="I712" s="1" t="s">
        <v>1230</v>
      </c>
      <c r="J712" s="1">
        <v>6</v>
      </c>
    </row>
    <row r="713" spans="1:17" s="1" customFormat="1">
      <c r="A713" s="1" t="s">
        <v>1229</v>
      </c>
      <c r="B713" s="1" t="s">
        <v>999</v>
      </c>
      <c r="C713" s="1" t="s">
        <v>156</v>
      </c>
      <c r="D713" s="1">
        <v>26</v>
      </c>
      <c r="E713" s="1">
        <v>63.5</v>
      </c>
      <c r="F713" s="1">
        <v>63.5</v>
      </c>
      <c r="G713" s="1">
        <v>100</v>
      </c>
      <c r="H713" s="1" t="s">
        <v>428</v>
      </c>
      <c r="I713" s="1" t="s">
        <v>1230</v>
      </c>
      <c r="J713" s="1">
        <v>6</v>
      </c>
    </row>
    <row r="714" spans="1:17" s="1" customFormat="1">
      <c r="A714" s="1" t="s">
        <v>1229</v>
      </c>
      <c r="B714" s="1" t="s">
        <v>999</v>
      </c>
      <c r="C714" s="1" t="s">
        <v>156</v>
      </c>
      <c r="D714" s="1">
        <v>33</v>
      </c>
      <c r="E714" s="1">
        <v>32.099999999999994</v>
      </c>
      <c r="F714" s="1">
        <v>32.099999999999994</v>
      </c>
      <c r="G714" s="1">
        <v>100</v>
      </c>
      <c r="H714" s="1" t="s">
        <v>428</v>
      </c>
      <c r="I714" s="1" t="s">
        <v>1230</v>
      </c>
      <c r="J714" s="1">
        <v>6</v>
      </c>
    </row>
    <row r="715" spans="1:17" s="1" customFormat="1">
      <c r="A715" s="1" t="s">
        <v>1229</v>
      </c>
      <c r="B715" s="1" t="s">
        <v>999</v>
      </c>
      <c r="C715" s="1" t="s">
        <v>156</v>
      </c>
      <c r="D715" s="1">
        <v>46</v>
      </c>
      <c r="E715" s="1">
        <v>23.5</v>
      </c>
      <c r="F715" s="1">
        <v>23.5</v>
      </c>
      <c r="G715" s="1">
        <v>100</v>
      </c>
      <c r="H715" s="1" t="s">
        <v>428</v>
      </c>
      <c r="I715" s="1" t="s">
        <v>1230</v>
      </c>
      <c r="J715" s="1">
        <v>6</v>
      </c>
    </row>
    <row r="716" spans="1:17" s="1" customFormat="1">
      <c r="A716" s="1" t="s">
        <v>1229</v>
      </c>
      <c r="B716" s="1" t="s">
        <v>999</v>
      </c>
      <c r="C716" s="1" t="s">
        <v>156</v>
      </c>
      <c r="D716" s="1">
        <v>59</v>
      </c>
      <c r="E716" s="1">
        <v>17.299999999999997</v>
      </c>
      <c r="F716" s="1">
        <v>17.299999999999997</v>
      </c>
      <c r="G716" s="1">
        <v>100</v>
      </c>
      <c r="H716" s="1" t="s">
        <v>428</v>
      </c>
      <c r="I716" s="1" t="s">
        <v>1230</v>
      </c>
      <c r="J716" s="1">
        <v>6</v>
      </c>
    </row>
    <row r="717" spans="1:17" s="1" customFormat="1">
      <c r="A717" s="1" t="s">
        <v>1229</v>
      </c>
      <c r="B717" s="1" t="s">
        <v>999</v>
      </c>
      <c r="C717" s="1" t="s">
        <v>156</v>
      </c>
      <c r="D717" s="1">
        <v>12</v>
      </c>
      <c r="E717" s="1">
        <v>93.5</v>
      </c>
      <c r="F717" s="1">
        <v>93.5</v>
      </c>
      <c r="G717" s="1">
        <v>100</v>
      </c>
      <c r="H717" s="1" t="s">
        <v>428</v>
      </c>
      <c r="I717" s="1" t="s">
        <v>1231</v>
      </c>
      <c r="J717" s="1">
        <v>6</v>
      </c>
      <c r="K717" s="2" t="s">
        <v>1396</v>
      </c>
      <c r="L717" s="2" t="s">
        <v>1536</v>
      </c>
      <c r="M717" s="2"/>
      <c r="N717" s="2">
        <v>-0.58499999999999996</v>
      </c>
      <c r="O717" s="2">
        <v>0.65</v>
      </c>
      <c r="Q717" s="1" t="s">
        <v>1232</v>
      </c>
    </row>
    <row r="718" spans="1:17" s="1" customFormat="1">
      <c r="A718" s="1" t="s">
        <v>1229</v>
      </c>
      <c r="B718" s="1" t="s">
        <v>999</v>
      </c>
      <c r="C718" s="1" t="s">
        <v>156</v>
      </c>
      <c r="D718" s="1">
        <v>21</v>
      </c>
      <c r="E718" s="1">
        <v>76.5</v>
      </c>
      <c r="F718" s="1">
        <v>76.5</v>
      </c>
      <c r="G718" s="1">
        <v>100</v>
      </c>
      <c r="H718" s="1" t="s">
        <v>428</v>
      </c>
      <c r="I718" s="1" t="s">
        <v>1231</v>
      </c>
      <c r="J718" s="1">
        <v>6</v>
      </c>
    </row>
    <row r="719" spans="1:17" s="1" customFormat="1">
      <c r="A719" s="1" t="s">
        <v>1229</v>
      </c>
      <c r="B719" s="1" t="s">
        <v>999</v>
      </c>
      <c r="C719" s="1" t="s">
        <v>156</v>
      </c>
      <c r="D719" s="1">
        <v>26</v>
      </c>
      <c r="E719" s="1">
        <v>84.8</v>
      </c>
      <c r="F719" s="1">
        <v>84.8</v>
      </c>
      <c r="G719" s="1">
        <v>100</v>
      </c>
      <c r="H719" s="1" t="s">
        <v>428</v>
      </c>
      <c r="I719" s="1" t="s">
        <v>1231</v>
      </c>
      <c r="J719" s="1">
        <v>6</v>
      </c>
    </row>
    <row r="720" spans="1:17" s="1" customFormat="1">
      <c r="A720" s="1" t="s">
        <v>1229</v>
      </c>
      <c r="B720" s="1" t="s">
        <v>999</v>
      </c>
      <c r="C720" s="1" t="s">
        <v>156</v>
      </c>
      <c r="D720" s="1">
        <v>33</v>
      </c>
      <c r="E720" s="1">
        <v>81.599999999999994</v>
      </c>
      <c r="F720" s="1">
        <v>81.599999999999994</v>
      </c>
      <c r="G720" s="1">
        <v>100</v>
      </c>
      <c r="H720" s="1" t="s">
        <v>428</v>
      </c>
      <c r="I720" s="1" t="s">
        <v>1231</v>
      </c>
      <c r="J720" s="1">
        <v>6</v>
      </c>
    </row>
    <row r="721" spans="1:17" s="1" customFormat="1">
      <c r="A721" s="1" t="s">
        <v>1229</v>
      </c>
      <c r="B721" s="1" t="s">
        <v>999</v>
      </c>
      <c r="C721" s="1" t="s">
        <v>156</v>
      </c>
      <c r="D721" s="1">
        <v>46</v>
      </c>
      <c r="E721" s="1">
        <v>79.099999999999994</v>
      </c>
      <c r="F721" s="1">
        <v>79.099999999999994</v>
      </c>
      <c r="G721" s="1">
        <v>100</v>
      </c>
      <c r="H721" s="1" t="s">
        <v>428</v>
      </c>
      <c r="I721" s="1" t="s">
        <v>1231</v>
      </c>
      <c r="J721" s="1">
        <v>6</v>
      </c>
    </row>
    <row r="722" spans="1:17" s="1" customFormat="1">
      <c r="A722" s="1" t="s">
        <v>1229</v>
      </c>
      <c r="B722" s="1" t="s">
        <v>999</v>
      </c>
      <c r="C722" s="1" t="s">
        <v>156</v>
      </c>
      <c r="D722" s="1">
        <v>59</v>
      </c>
      <c r="E722" s="1">
        <v>57.8</v>
      </c>
      <c r="F722" s="1">
        <v>57.8</v>
      </c>
      <c r="G722" s="1">
        <v>100</v>
      </c>
      <c r="H722" s="1" t="s">
        <v>428</v>
      </c>
      <c r="I722" s="1" t="s">
        <v>1231</v>
      </c>
      <c r="J722" s="1">
        <v>6</v>
      </c>
    </row>
    <row r="723" spans="1:17" s="1" customFormat="1">
      <c r="A723" s="1" t="s">
        <v>1229</v>
      </c>
      <c r="B723" s="1" t="s">
        <v>999</v>
      </c>
      <c r="C723" s="1" t="s">
        <v>156</v>
      </c>
      <c r="D723" s="1">
        <v>8</v>
      </c>
      <c r="E723" s="1">
        <v>90.3</v>
      </c>
      <c r="F723" s="1">
        <v>90.3</v>
      </c>
      <c r="G723" s="1">
        <v>100</v>
      </c>
      <c r="H723" s="1" t="s">
        <v>428</v>
      </c>
      <c r="I723" s="1" t="s">
        <v>1234</v>
      </c>
      <c r="J723" s="1">
        <v>6</v>
      </c>
      <c r="K723" s="2" t="s">
        <v>1396</v>
      </c>
      <c r="L723" s="2" t="s">
        <v>1537</v>
      </c>
      <c r="M723" s="2"/>
      <c r="N723" s="2">
        <v>-0.73270000000000002</v>
      </c>
      <c r="O723" s="2">
        <v>0.79</v>
      </c>
      <c r="Q723" s="1" t="s">
        <v>1236</v>
      </c>
    </row>
    <row r="724" spans="1:17" s="1" customFormat="1">
      <c r="A724" s="1" t="s">
        <v>1229</v>
      </c>
      <c r="B724" s="1" t="s">
        <v>999</v>
      </c>
      <c r="C724" s="1" t="s">
        <v>156</v>
      </c>
      <c r="D724" s="1">
        <v>42</v>
      </c>
      <c r="E724" s="1">
        <v>80.900000000000006</v>
      </c>
      <c r="F724" s="1">
        <v>80.900000000000006</v>
      </c>
      <c r="G724" s="1">
        <v>100</v>
      </c>
      <c r="H724" s="1" t="s">
        <v>428</v>
      </c>
      <c r="I724" s="1" t="s">
        <v>1234</v>
      </c>
      <c r="J724" s="1">
        <v>6</v>
      </c>
    </row>
    <row r="725" spans="1:17" s="1" customFormat="1">
      <c r="A725" s="1" t="s">
        <v>1229</v>
      </c>
      <c r="B725" s="1" t="s">
        <v>999</v>
      </c>
      <c r="C725" s="1" t="s">
        <v>156</v>
      </c>
      <c r="D725" s="1">
        <v>43</v>
      </c>
      <c r="E725" s="1">
        <v>90.6</v>
      </c>
      <c r="F725" s="1">
        <v>90.6</v>
      </c>
      <c r="G725" s="1">
        <v>100</v>
      </c>
      <c r="H725" s="1" t="s">
        <v>428</v>
      </c>
      <c r="I725" s="1" t="s">
        <v>1234</v>
      </c>
      <c r="J725" s="1">
        <v>6</v>
      </c>
    </row>
    <row r="726" spans="1:17" s="1" customFormat="1">
      <c r="A726" s="1" t="s">
        <v>1229</v>
      </c>
      <c r="B726" s="1" t="s">
        <v>999</v>
      </c>
      <c r="C726" s="1" t="s">
        <v>156</v>
      </c>
      <c r="D726" s="1">
        <v>63</v>
      </c>
      <c r="E726" s="1">
        <v>48.7</v>
      </c>
      <c r="F726" s="1">
        <v>48.7</v>
      </c>
      <c r="G726" s="1">
        <v>100</v>
      </c>
      <c r="H726" s="1" t="s">
        <v>428</v>
      </c>
      <c r="I726" s="1" t="s">
        <v>1234</v>
      </c>
      <c r="J726" s="1">
        <v>6</v>
      </c>
    </row>
    <row r="727" spans="1:17" s="1" customFormat="1">
      <c r="A727" s="1" t="s">
        <v>1229</v>
      </c>
      <c r="B727" s="1" t="s">
        <v>999</v>
      </c>
      <c r="C727" s="1" t="s">
        <v>156</v>
      </c>
      <c r="D727" s="1">
        <v>76</v>
      </c>
      <c r="E727" s="1">
        <v>46.6</v>
      </c>
      <c r="F727" s="1">
        <v>46.6</v>
      </c>
      <c r="G727" s="1">
        <v>100</v>
      </c>
      <c r="H727" s="1" t="s">
        <v>428</v>
      </c>
      <c r="I727" s="1" t="s">
        <v>1234</v>
      </c>
      <c r="J727" s="1">
        <v>6</v>
      </c>
    </row>
    <row r="728" spans="1:17" s="1" customFormat="1">
      <c r="A728" s="1" t="s">
        <v>1229</v>
      </c>
      <c r="B728" s="1" t="s">
        <v>999</v>
      </c>
      <c r="C728" s="1" t="s">
        <v>156</v>
      </c>
      <c r="D728" s="1">
        <v>96</v>
      </c>
      <c r="E728" s="1">
        <v>35</v>
      </c>
      <c r="F728" s="1">
        <v>35</v>
      </c>
      <c r="G728" s="1">
        <v>100</v>
      </c>
      <c r="H728" s="1" t="s">
        <v>428</v>
      </c>
      <c r="I728" s="1" t="s">
        <v>1234</v>
      </c>
      <c r="J728" s="1">
        <v>6</v>
      </c>
    </row>
    <row r="729" spans="1:17" s="1" customFormat="1">
      <c r="A729" s="1" t="s">
        <v>1229</v>
      </c>
      <c r="B729" s="1" t="s">
        <v>999</v>
      </c>
      <c r="C729" s="1" t="s">
        <v>156</v>
      </c>
      <c r="D729" s="1">
        <v>0</v>
      </c>
      <c r="E729" s="1">
        <v>100</v>
      </c>
      <c r="F729" s="1">
        <v>100</v>
      </c>
      <c r="G729" s="1">
        <v>100</v>
      </c>
      <c r="H729" s="1" t="s">
        <v>428</v>
      </c>
      <c r="I729" s="1" t="s">
        <v>1235</v>
      </c>
    </row>
    <row r="730" spans="1:17" s="1" customFormat="1">
      <c r="A730" s="1" t="s">
        <v>1229</v>
      </c>
      <c r="B730" s="1" t="s">
        <v>999</v>
      </c>
      <c r="C730" s="1" t="s">
        <v>156</v>
      </c>
      <c r="D730" s="1">
        <v>8</v>
      </c>
      <c r="E730" s="1">
        <v>96</v>
      </c>
      <c r="F730" s="1">
        <v>96</v>
      </c>
      <c r="G730" s="1">
        <v>100</v>
      </c>
      <c r="H730" s="1" t="s">
        <v>428</v>
      </c>
      <c r="I730" s="1" t="s">
        <v>1235</v>
      </c>
      <c r="J730" s="1">
        <v>6</v>
      </c>
      <c r="K730" s="2" t="s">
        <v>2283</v>
      </c>
      <c r="L730" s="2" t="s">
        <v>2355</v>
      </c>
      <c r="M730" s="2"/>
      <c r="N730" s="2"/>
      <c r="O730" s="2">
        <v>0.83</v>
      </c>
      <c r="Q730" s="1" t="s">
        <v>1237</v>
      </c>
    </row>
    <row r="731" spans="1:17" s="1" customFormat="1">
      <c r="A731" s="1" t="s">
        <v>1229</v>
      </c>
      <c r="B731" s="1" t="s">
        <v>999</v>
      </c>
      <c r="C731" s="1" t="s">
        <v>156</v>
      </c>
      <c r="D731" s="1">
        <v>42</v>
      </c>
      <c r="E731" s="1">
        <v>94.6</v>
      </c>
      <c r="F731" s="1">
        <v>94.6</v>
      </c>
      <c r="G731" s="1">
        <v>100</v>
      </c>
      <c r="H731" s="1" t="s">
        <v>428</v>
      </c>
      <c r="I731" s="1" t="s">
        <v>1235</v>
      </c>
      <c r="J731" s="1">
        <v>6</v>
      </c>
      <c r="K731" s="2" t="s">
        <v>1396</v>
      </c>
      <c r="L731" s="2" t="s">
        <v>1538</v>
      </c>
      <c r="M731" s="2"/>
      <c r="N731" s="2">
        <v>-0.51419999999999999</v>
      </c>
      <c r="O731" s="2">
        <v>0.67</v>
      </c>
    </row>
    <row r="732" spans="1:17" s="1" customFormat="1">
      <c r="A732" s="1" t="s">
        <v>1229</v>
      </c>
      <c r="B732" s="1" t="s">
        <v>999</v>
      </c>
      <c r="C732" s="1" t="s">
        <v>156</v>
      </c>
      <c r="D732" s="1">
        <v>43</v>
      </c>
      <c r="E732" s="1">
        <v>87.7</v>
      </c>
      <c r="F732" s="1">
        <v>87.7</v>
      </c>
      <c r="G732" s="1">
        <v>100</v>
      </c>
      <c r="H732" s="1" t="s">
        <v>428</v>
      </c>
      <c r="I732" s="1" t="s">
        <v>1235</v>
      </c>
      <c r="J732" s="1">
        <v>6</v>
      </c>
    </row>
    <row r="733" spans="1:17" s="1" customFormat="1">
      <c r="A733" s="1" t="s">
        <v>1229</v>
      </c>
      <c r="B733" s="1" t="s">
        <v>999</v>
      </c>
      <c r="C733" s="1" t="s">
        <v>156</v>
      </c>
      <c r="D733" s="1">
        <v>63</v>
      </c>
      <c r="E733" s="1">
        <v>78</v>
      </c>
      <c r="F733" s="1">
        <v>78</v>
      </c>
      <c r="G733" s="1">
        <v>100</v>
      </c>
      <c r="H733" s="1" t="s">
        <v>428</v>
      </c>
      <c r="I733" s="1" t="s">
        <v>1235</v>
      </c>
      <c r="J733" s="1">
        <v>6</v>
      </c>
    </row>
    <row r="734" spans="1:17" s="1" customFormat="1">
      <c r="A734" s="1" t="s">
        <v>1229</v>
      </c>
      <c r="B734" s="1" t="s">
        <v>999</v>
      </c>
      <c r="C734" s="1" t="s">
        <v>156</v>
      </c>
      <c r="D734" s="1">
        <v>77</v>
      </c>
      <c r="E734" s="1">
        <v>81.599999999999994</v>
      </c>
      <c r="F734" s="1">
        <v>81.599999999999994</v>
      </c>
      <c r="G734" s="1">
        <v>100</v>
      </c>
      <c r="H734" s="1" t="s">
        <v>428</v>
      </c>
      <c r="I734" s="1" t="s">
        <v>1235</v>
      </c>
      <c r="J734" s="1">
        <v>6</v>
      </c>
    </row>
    <row r="735" spans="1:17" s="1" customFormat="1">
      <c r="A735" s="1" t="s">
        <v>1229</v>
      </c>
      <c r="B735" s="1" t="s">
        <v>999</v>
      </c>
      <c r="C735" s="1" t="s">
        <v>156</v>
      </c>
      <c r="D735" s="1">
        <v>98</v>
      </c>
      <c r="E735" s="1">
        <v>44.8</v>
      </c>
      <c r="F735" s="1">
        <v>44.8</v>
      </c>
      <c r="G735" s="1">
        <v>100</v>
      </c>
      <c r="H735" s="1" t="s">
        <v>428</v>
      </c>
      <c r="I735" s="1" t="s">
        <v>1235</v>
      </c>
      <c r="J735" s="1">
        <v>6</v>
      </c>
    </row>
    <row r="736" spans="1:17" s="1" customFormat="1">
      <c r="A736" s="1" t="s">
        <v>1229</v>
      </c>
      <c r="B736" s="1" t="s">
        <v>999</v>
      </c>
      <c r="C736" s="1" t="s">
        <v>156</v>
      </c>
      <c r="D736" s="1">
        <v>23</v>
      </c>
      <c r="E736" s="1">
        <v>67.2</v>
      </c>
      <c r="F736" s="1">
        <v>67.2</v>
      </c>
      <c r="G736" s="1">
        <v>100</v>
      </c>
      <c r="H736" s="1" t="s">
        <v>428</v>
      </c>
      <c r="I736" s="1" t="s">
        <v>1238</v>
      </c>
      <c r="J736" s="1">
        <v>6</v>
      </c>
      <c r="K736" s="1" t="s">
        <v>1396</v>
      </c>
      <c r="L736" s="1" t="s">
        <v>1539</v>
      </c>
      <c r="N736" s="1">
        <v>-0.91110000000000002</v>
      </c>
      <c r="O736" s="1">
        <v>0.91</v>
      </c>
      <c r="Q736" s="1" t="s">
        <v>1239</v>
      </c>
    </row>
    <row r="737" spans="1:17" s="1" customFormat="1">
      <c r="A737" s="1" t="s">
        <v>1229</v>
      </c>
      <c r="B737" s="1" t="s">
        <v>999</v>
      </c>
      <c r="C737" s="1" t="s">
        <v>156</v>
      </c>
      <c r="D737" s="1">
        <v>38</v>
      </c>
      <c r="E737" s="1">
        <v>56.4</v>
      </c>
      <c r="F737" s="1">
        <v>56.4</v>
      </c>
      <c r="G737" s="1">
        <v>100</v>
      </c>
      <c r="H737" s="1" t="s">
        <v>428</v>
      </c>
      <c r="I737" s="1" t="s">
        <v>1238</v>
      </c>
      <c r="J737" s="1">
        <v>6</v>
      </c>
    </row>
    <row r="738" spans="1:17" s="1" customFormat="1">
      <c r="A738" s="1" t="s">
        <v>1229</v>
      </c>
      <c r="B738" s="1" t="s">
        <v>999</v>
      </c>
      <c r="C738" s="1" t="s">
        <v>156</v>
      </c>
      <c r="D738" s="1">
        <v>49</v>
      </c>
      <c r="E738" s="1">
        <v>59.6</v>
      </c>
      <c r="F738" s="1">
        <v>59.6</v>
      </c>
      <c r="G738" s="1">
        <v>100</v>
      </c>
      <c r="H738" s="1" t="s">
        <v>428</v>
      </c>
      <c r="I738" s="1" t="s">
        <v>1238</v>
      </c>
      <c r="J738" s="1">
        <v>6</v>
      </c>
    </row>
    <row r="739" spans="1:17" s="1" customFormat="1">
      <c r="A739" s="1" t="s">
        <v>1229</v>
      </c>
      <c r="B739" s="1" t="s">
        <v>999</v>
      </c>
      <c r="C739" s="1" t="s">
        <v>156</v>
      </c>
      <c r="D739" s="1">
        <v>58</v>
      </c>
      <c r="E739" s="1">
        <v>35.200000000000003</v>
      </c>
      <c r="F739" s="1">
        <v>35.200000000000003</v>
      </c>
      <c r="G739" s="1">
        <v>100</v>
      </c>
      <c r="H739" s="1" t="s">
        <v>428</v>
      </c>
      <c r="I739" s="1" t="s">
        <v>1238</v>
      </c>
      <c r="J739" s="1">
        <v>6</v>
      </c>
    </row>
    <row r="740" spans="1:17" s="1" customFormat="1">
      <c r="A740" s="1" t="s">
        <v>1229</v>
      </c>
      <c r="B740" s="1" t="s">
        <v>999</v>
      </c>
      <c r="C740" s="1" t="s">
        <v>156</v>
      </c>
      <c r="D740" s="1">
        <v>77</v>
      </c>
      <c r="E740" s="1">
        <v>22.799999999999997</v>
      </c>
      <c r="F740" s="1">
        <v>22.799999999999997</v>
      </c>
      <c r="G740" s="1">
        <v>100</v>
      </c>
      <c r="H740" s="1" t="s">
        <v>428</v>
      </c>
      <c r="I740" s="1" t="s">
        <v>1238</v>
      </c>
      <c r="J740" s="1">
        <v>6</v>
      </c>
    </row>
    <row r="741" spans="1:17" s="1" customFormat="1">
      <c r="A741" s="1" t="s">
        <v>1229</v>
      </c>
      <c r="B741" s="1" t="s">
        <v>999</v>
      </c>
      <c r="C741" s="1" t="s">
        <v>156</v>
      </c>
      <c r="D741" s="1">
        <v>87</v>
      </c>
      <c r="E741" s="1">
        <v>10.400000000000006</v>
      </c>
      <c r="F741" s="1">
        <v>10.400000000000006</v>
      </c>
      <c r="G741" s="1">
        <v>100</v>
      </c>
      <c r="H741" s="1" t="s">
        <v>428</v>
      </c>
      <c r="I741" s="1" t="s">
        <v>1238</v>
      </c>
      <c r="J741" s="1">
        <v>6</v>
      </c>
    </row>
    <row r="742" spans="1:17">
      <c r="A742" t="s">
        <v>804</v>
      </c>
      <c r="B742" t="s">
        <v>999</v>
      </c>
      <c r="C742" t="s">
        <v>448</v>
      </c>
      <c r="D742">
        <v>0</v>
      </c>
      <c r="E742">
        <v>100</v>
      </c>
      <c r="F742">
        <v>100</v>
      </c>
      <c r="G742">
        <v>100</v>
      </c>
      <c r="H742" s="1" t="s">
        <v>428</v>
      </c>
      <c r="I742" t="s">
        <v>801</v>
      </c>
      <c r="J742">
        <v>5</v>
      </c>
      <c r="K742" s="1" t="s">
        <v>1385</v>
      </c>
      <c r="L742" s="1" t="s">
        <v>1540</v>
      </c>
      <c r="M742" s="1">
        <v>6.8999999999999999E-3</v>
      </c>
      <c r="N742" s="1"/>
      <c r="O742" s="1">
        <v>0.87</v>
      </c>
      <c r="P742">
        <v>97</v>
      </c>
      <c r="Q742" t="s">
        <v>190</v>
      </c>
    </row>
    <row r="743" spans="1:17">
      <c r="A743" t="s">
        <v>804</v>
      </c>
      <c r="B743" t="s">
        <v>999</v>
      </c>
      <c r="C743" t="s">
        <v>448</v>
      </c>
      <c r="D743">
        <v>6</v>
      </c>
      <c r="E743">
        <v>87.8</v>
      </c>
      <c r="F743">
        <v>87.8</v>
      </c>
      <c r="G743">
        <v>100</v>
      </c>
      <c r="H743" s="1" t="s">
        <v>428</v>
      </c>
      <c r="I743" t="s">
        <v>801</v>
      </c>
      <c r="J743">
        <v>5</v>
      </c>
    </row>
    <row r="744" spans="1:17">
      <c r="A744" t="s">
        <v>804</v>
      </c>
      <c r="B744" t="s">
        <v>999</v>
      </c>
      <c r="C744" t="s">
        <v>448</v>
      </c>
      <c r="D744">
        <v>12</v>
      </c>
      <c r="E744">
        <v>89.9</v>
      </c>
      <c r="F744">
        <v>89.9</v>
      </c>
      <c r="G744">
        <v>100</v>
      </c>
      <c r="H744" s="1" t="s">
        <v>428</v>
      </c>
      <c r="I744" t="s">
        <v>801</v>
      </c>
      <c r="J744">
        <v>5</v>
      </c>
    </row>
    <row r="745" spans="1:17">
      <c r="A745" t="s">
        <v>804</v>
      </c>
      <c r="B745" t="s">
        <v>999</v>
      </c>
      <c r="C745" t="s">
        <v>448</v>
      </c>
      <c r="D745">
        <v>27</v>
      </c>
      <c r="E745">
        <v>86.7</v>
      </c>
      <c r="F745">
        <v>86.7</v>
      </c>
      <c r="G745">
        <v>100</v>
      </c>
      <c r="H745" s="1" t="s">
        <v>428</v>
      </c>
      <c r="I745" t="s">
        <v>801</v>
      </c>
      <c r="J745">
        <v>5</v>
      </c>
    </row>
    <row r="746" spans="1:17">
      <c r="A746" t="s">
        <v>804</v>
      </c>
      <c r="B746" t="s">
        <v>999</v>
      </c>
      <c r="C746" t="s">
        <v>448</v>
      </c>
      <c r="D746">
        <v>55</v>
      </c>
      <c r="E746">
        <v>88.8</v>
      </c>
      <c r="F746">
        <v>88.8</v>
      </c>
      <c r="G746">
        <v>100</v>
      </c>
      <c r="H746" s="1" t="s">
        <v>428</v>
      </c>
      <c r="I746" t="s">
        <v>801</v>
      </c>
      <c r="J746">
        <v>5</v>
      </c>
    </row>
    <row r="747" spans="1:17">
      <c r="A747" t="s">
        <v>804</v>
      </c>
      <c r="B747" t="s">
        <v>999</v>
      </c>
      <c r="C747" t="s">
        <v>448</v>
      </c>
      <c r="D747">
        <v>89</v>
      </c>
      <c r="E747">
        <v>71.8</v>
      </c>
      <c r="F747">
        <v>71.8</v>
      </c>
      <c r="G747">
        <v>100</v>
      </c>
      <c r="H747" s="1" t="s">
        <v>428</v>
      </c>
      <c r="I747" t="s">
        <v>801</v>
      </c>
      <c r="J747">
        <v>5</v>
      </c>
    </row>
    <row r="748" spans="1:17">
      <c r="A748" t="s">
        <v>804</v>
      </c>
      <c r="B748" t="s">
        <v>999</v>
      </c>
      <c r="C748" t="s">
        <v>448</v>
      </c>
      <c r="D748">
        <v>117</v>
      </c>
      <c r="E748">
        <v>41</v>
      </c>
      <c r="F748">
        <v>41</v>
      </c>
      <c r="G748">
        <v>100</v>
      </c>
      <c r="H748" s="1" t="s">
        <v>428</v>
      </c>
      <c r="I748" t="s">
        <v>801</v>
      </c>
      <c r="J748">
        <v>5</v>
      </c>
    </row>
    <row r="749" spans="1:17">
      <c r="A749" t="s">
        <v>804</v>
      </c>
      <c r="B749" t="s">
        <v>999</v>
      </c>
      <c r="C749" t="s">
        <v>448</v>
      </c>
      <c r="D749">
        <v>146</v>
      </c>
      <c r="E749">
        <v>46.8</v>
      </c>
      <c r="F749">
        <v>46.8</v>
      </c>
      <c r="G749">
        <v>100</v>
      </c>
      <c r="H749" s="1" t="s">
        <v>428</v>
      </c>
      <c r="I749" t="s">
        <v>801</v>
      </c>
      <c r="J749">
        <v>5</v>
      </c>
    </row>
    <row r="750" spans="1:17">
      <c r="A750" t="s">
        <v>804</v>
      </c>
      <c r="B750" t="s">
        <v>999</v>
      </c>
      <c r="C750" t="s">
        <v>448</v>
      </c>
      <c r="D750">
        <v>182</v>
      </c>
      <c r="E750">
        <v>43.1</v>
      </c>
      <c r="F750">
        <v>43.1</v>
      </c>
      <c r="G750">
        <v>100</v>
      </c>
      <c r="H750" s="1" t="s">
        <v>428</v>
      </c>
      <c r="I750" t="s">
        <v>801</v>
      </c>
      <c r="J750">
        <v>5</v>
      </c>
    </row>
    <row r="751" spans="1:17">
      <c r="A751" t="s">
        <v>804</v>
      </c>
      <c r="B751" t="s">
        <v>999</v>
      </c>
      <c r="C751" t="s">
        <v>448</v>
      </c>
      <c r="D751">
        <v>364</v>
      </c>
      <c r="E751">
        <v>31.4</v>
      </c>
      <c r="F751">
        <v>31.4</v>
      </c>
      <c r="G751">
        <v>100</v>
      </c>
      <c r="H751" s="1" t="s">
        <v>428</v>
      </c>
      <c r="I751" t="s">
        <v>801</v>
      </c>
      <c r="J751">
        <v>5</v>
      </c>
    </row>
    <row r="752" spans="1:17">
      <c r="A752" t="s">
        <v>804</v>
      </c>
      <c r="B752" t="s">
        <v>999</v>
      </c>
      <c r="C752" t="s">
        <v>448</v>
      </c>
      <c r="D752">
        <v>0</v>
      </c>
      <c r="E752">
        <v>100</v>
      </c>
      <c r="F752">
        <v>100</v>
      </c>
      <c r="G752">
        <v>100</v>
      </c>
      <c r="H752" s="1" t="s">
        <v>428</v>
      </c>
      <c r="I752" t="s">
        <v>805</v>
      </c>
      <c r="J752">
        <v>5</v>
      </c>
      <c r="K752" t="s">
        <v>1412</v>
      </c>
      <c r="L752" t="s">
        <v>1541</v>
      </c>
      <c r="O752">
        <v>0.99</v>
      </c>
      <c r="Q752" t="s">
        <v>190</v>
      </c>
    </row>
    <row r="753" spans="1:17">
      <c r="A753" t="s">
        <v>804</v>
      </c>
      <c r="B753" t="s">
        <v>999</v>
      </c>
      <c r="C753" t="s">
        <v>448</v>
      </c>
      <c r="D753">
        <v>7</v>
      </c>
      <c r="E753">
        <v>86.1</v>
      </c>
      <c r="F753">
        <v>86.1</v>
      </c>
      <c r="G753">
        <v>100</v>
      </c>
      <c r="H753" s="1" t="s">
        <v>428</v>
      </c>
      <c r="I753" t="s">
        <v>805</v>
      </c>
      <c r="J753">
        <v>5</v>
      </c>
      <c r="K753" s="12" t="s">
        <v>1531</v>
      </c>
      <c r="L753" s="12" t="s">
        <v>1542</v>
      </c>
      <c r="M753" s="1">
        <v>1.01E-2</v>
      </c>
      <c r="N753" s="1"/>
      <c r="O753" s="1">
        <v>0.96</v>
      </c>
      <c r="P753">
        <v>60</v>
      </c>
    </row>
    <row r="754" spans="1:17">
      <c r="A754" t="s">
        <v>804</v>
      </c>
      <c r="B754" t="s">
        <v>999</v>
      </c>
      <c r="C754" t="s">
        <v>448</v>
      </c>
      <c r="D754">
        <v>12</v>
      </c>
      <c r="E754">
        <v>80.8</v>
      </c>
      <c r="F754">
        <v>80.8</v>
      </c>
      <c r="G754">
        <v>100</v>
      </c>
      <c r="H754" s="1" t="s">
        <v>428</v>
      </c>
      <c r="I754" t="s">
        <v>805</v>
      </c>
      <c r="J754">
        <v>5</v>
      </c>
    </row>
    <row r="755" spans="1:17">
      <c r="A755" t="s">
        <v>804</v>
      </c>
      <c r="B755" t="s">
        <v>999</v>
      </c>
      <c r="C755" t="s">
        <v>448</v>
      </c>
      <c r="D755">
        <v>27</v>
      </c>
      <c r="E755">
        <v>71.400000000000006</v>
      </c>
      <c r="F755">
        <v>71.400000000000006</v>
      </c>
      <c r="G755">
        <v>100</v>
      </c>
      <c r="H755" s="1" t="s">
        <v>428</v>
      </c>
      <c r="I755" t="s">
        <v>805</v>
      </c>
      <c r="J755">
        <v>5</v>
      </c>
    </row>
    <row r="756" spans="1:17">
      <c r="A756" t="s">
        <v>804</v>
      </c>
      <c r="B756" t="s">
        <v>999</v>
      </c>
      <c r="C756" t="s">
        <v>448</v>
      </c>
      <c r="D756">
        <v>55</v>
      </c>
      <c r="E756">
        <v>66.099999999999994</v>
      </c>
      <c r="F756">
        <v>66.099999999999994</v>
      </c>
      <c r="G756">
        <v>100</v>
      </c>
      <c r="H756" s="1" t="s">
        <v>428</v>
      </c>
      <c r="I756" t="s">
        <v>805</v>
      </c>
      <c r="J756">
        <v>5</v>
      </c>
    </row>
    <row r="757" spans="1:17">
      <c r="A757" t="s">
        <v>804</v>
      </c>
      <c r="B757" t="s">
        <v>999</v>
      </c>
      <c r="C757" t="s">
        <v>448</v>
      </c>
      <c r="D757">
        <v>90</v>
      </c>
      <c r="E757">
        <v>52.2</v>
      </c>
      <c r="F757">
        <v>52.2</v>
      </c>
      <c r="G757">
        <v>100</v>
      </c>
      <c r="H757" s="1" t="s">
        <v>428</v>
      </c>
      <c r="I757" t="s">
        <v>805</v>
      </c>
      <c r="J757">
        <v>5</v>
      </c>
    </row>
    <row r="758" spans="1:17">
      <c r="A758" t="s">
        <v>804</v>
      </c>
      <c r="B758" t="s">
        <v>999</v>
      </c>
      <c r="C758" t="s">
        <v>448</v>
      </c>
      <c r="D758">
        <v>120</v>
      </c>
      <c r="E758">
        <v>40</v>
      </c>
      <c r="F758">
        <v>40</v>
      </c>
      <c r="G758">
        <v>100</v>
      </c>
      <c r="H758" s="1" t="s">
        <v>428</v>
      </c>
      <c r="I758" t="s">
        <v>805</v>
      </c>
      <c r="J758">
        <v>5</v>
      </c>
    </row>
    <row r="759" spans="1:17">
      <c r="A759" t="s">
        <v>804</v>
      </c>
      <c r="B759" t="s">
        <v>999</v>
      </c>
      <c r="C759" t="s">
        <v>448</v>
      </c>
      <c r="D759">
        <v>150</v>
      </c>
      <c r="E759">
        <v>34.700000000000003</v>
      </c>
      <c r="F759">
        <v>34.700000000000003</v>
      </c>
      <c r="G759">
        <v>100</v>
      </c>
      <c r="H759" s="1" t="s">
        <v>428</v>
      </c>
      <c r="I759" t="s">
        <v>805</v>
      </c>
      <c r="J759">
        <v>5</v>
      </c>
    </row>
    <row r="760" spans="1:17">
      <c r="A760" t="s">
        <v>818</v>
      </c>
      <c r="B760" t="s">
        <v>999</v>
      </c>
      <c r="C760" t="s">
        <v>819</v>
      </c>
      <c r="D760">
        <v>0</v>
      </c>
      <c r="F760">
        <v>100</v>
      </c>
      <c r="G760">
        <v>100</v>
      </c>
      <c r="H760" s="1" t="s">
        <v>428</v>
      </c>
      <c r="I760" t="s">
        <v>445</v>
      </c>
      <c r="J760" s="8" t="s">
        <v>816</v>
      </c>
      <c r="K760" s="9" t="s">
        <v>1430</v>
      </c>
      <c r="L760" t="s">
        <v>1543</v>
      </c>
      <c r="O760">
        <v>0.97</v>
      </c>
      <c r="Q760" t="s">
        <v>1548</v>
      </c>
    </row>
    <row r="761" spans="1:17">
      <c r="A761" t="s">
        <v>818</v>
      </c>
      <c r="B761" t="s">
        <v>999</v>
      </c>
      <c r="C761" t="s">
        <v>819</v>
      </c>
      <c r="D761">
        <v>7</v>
      </c>
      <c r="F761">
        <v>91.3</v>
      </c>
      <c r="G761">
        <v>100</v>
      </c>
      <c r="H761" s="1" t="s">
        <v>428</v>
      </c>
      <c r="I761" t="s">
        <v>445</v>
      </c>
      <c r="J761" s="8" t="s">
        <v>816</v>
      </c>
      <c r="K761" s="2" t="s">
        <v>1544</v>
      </c>
      <c r="L761" s="2" t="s">
        <v>1545</v>
      </c>
      <c r="M761" s="2">
        <v>0.18540000000000001</v>
      </c>
      <c r="N761" s="2"/>
      <c r="O761" s="2">
        <v>0.99</v>
      </c>
      <c r="P761">
        <f>LN(2)/M761</f>
        <v>3.7386579318227899</v>
      </c>
    </row>
    <row r="762" spans="1:17">
      <c r="A762" t="s">
        <v>818</v>
      </c>
      <c r="B762" t="s">
        <v>999</v>
      </c>
      <c r="C762" t="s">
        <v>819</v>
      </c>
      <c r="D762">
        <v>14</v>
      </c>
      <c r="F762">
        <v>22</v>
      </c>
      <c r="G762">
        <v>100</v>
      </c>
      <c r="H762" s="1" t="s">
        <v>428</v>
      </c>
      <c r="I762" t="s">
        <v>445</v>
      </c>
      <c r="J762" s="8" t="s">
        <v>816</v>
      </c>
      <c r="K762" s="9" t="s">
        <v>181</v>
      </c>
      <c r="L762" t="s">
        <v>2405</v>
      </c>
    </row>
    <row r="763" spans="1:17">
      <c r="A763" t="s">
        <v>818</v>
      </c>
      <c r="B763" t="s">
        <v>999</v>
      </c>
      <c r="C763" t="s">
        <v>819</v>
      </c>
      <c r="D763">
        <v>22</v>
      </c>
      <c r="F763">
        <v>11.7</v>
      </c>
      <c r="G763">
        <v>100</v>
      </c>
      <c r="H763" s="1" t="s">
        <v>428</v>
      </c>
      <c r="I763" t="s">
        <v>445</v>
      </c>
      <c r="J763" s="8" t="s">
        <v>816</v>
      </c>
    </row>
    <row r="764" spans="1:17">
      <c r="A764" t="s">
        <v>818</v>
      </c>
      <c r="B764" t="s">
        <v>999</v>
      </c>
      <c r="C764" t="s">
        <v>819</v>
      </c>
      <c r="D764">
        <v>30</v>
      </c>
      <c r="F764">
        <v>0.6</v>
      </c>
      <c r="G764">
        <v>100</v>
      </c>
      <c r="H764" s="1" t="s">
        <v>428</v>
      </c>
      <c r="I764" t="s">
        <v>445</v>
      </c>
      <c r="J764" s="8" t="s">
        <v>816</v>
      </c>
    </row>
    <row r="765" spans="1:17">
      <c r="A765" t="s">
        <v>818</v>
      </c>
      <c r="B765" t="s">
        <v>999</v>
      </c>
      <c r="C765" t="s">
        <v>820</v>
      </c>
      <c r="D765">
        <v>0</v>
      </c>
      <c r="F765">
        <v>100</v>
      </c>
      <c r="G765">
        <v>100</v>
      </c>
      <c r="H765" s="1" t="s">
        <v>428</v>
      </c>
      <c r="I765" t="s">
        <v>702</v>
      </c>
      <c r="J765" s="8" t="s">
        <v>816</v>
      </c>
      <c r="K765" t="s">
        <v>1394</v>
      </c>
      <c r="L765" t="s">
        <v>1546</v>
      </c>
      <c r="M765">
        <v>0.24340000000000001</v>
      </c>
      <c r="O765">
        <v>0.99</v>
      </c>
      <c r="P765">
        <f>LN(2)/M765</f>
        <v>2.8477698461789043</v>
      </c>
      <c r="Q765" t="s">
        <v>1549</v>
      </c>
    </row>
    <row r="766" spans="1:17">
      <c r="A766" t="s">
        <v>818</v>
      </c>
      <c r="B766" t="s">
        <v>999</v>
      </c>
      <c r="C766" t="s">
        <v>820</v>
      </c>
      <c r="D766">
        <v>7</v>
      </c>
      <c r="F766">
        <v>16.8</v>
      </c>
      <c r="G766">
        <v>100</v>
      </c>
      <c r="H766" s="1" t="s">
        <v>428</v>
      </c>
      <c r="I766" t="s">
        <v>702</v>
      </c>
      <c r="J766" s="8" t="s">
        <v>816</v>
      </c>
    </row>
    <row r="767" spans="1:17">
      <c r="A767" t="s">
        <v>818</v>
      </c>
      <c r="B767" t="s">
        <v>999</v>
      </c>
      <c r="C767" t="s">
        <v>820</v>
      </c>
      <c r="D767">
        <v>14</v>
      </c>
      <c r="F767">
        <v>7.1</v>
      </c>
      <c r="G767">
        <v>100</v>
      </c>
      <c r="H767" s="1" t="s">
        <v>428</v>
      </c>
      <c r="I767" t="s">
        <v>702</v>
      </c>
      <c r="J767" s="8" t="s">
        <v>816</v>
      </c>
    </row>
    <row r="768" spans="1:17">
      <c r="A768" t="s">
        <v>818</v>
      </c>
      <c r="B768" t="s">
        <v>999</v>
      </c>
      <c r="C768" t="s">
        <v>821</v>
      </c>
      <c r="D768">
        <v>0</v>
      </c>
      <c r="F768">
        <v>100</v>
      </c>
      <c r="G768">
        <v>100</v>
      </c>
      <c r="H768" s="1" t="s">
        <v>428</v>
      </c>
      <c r="I768" t="s">
        <v>611</v>
      </c>
      <c r="J768" s="8" t="s">
        <v>816</v>
      </c>
      <c r="K768" s="1" t="s">
        <v>1531</v>
      </c>
      <c r="L768" s="1" t="s">
        <v>1547</v>
      </c>
      <c r="M768" s="1">
        <v>9.3100000000000002E-2</v>
      </c>
      <c r="N768" s="1"/>
      <c r="O768" s="1">
        <v>0.97</v>
      </c>
      <c r="P768">
        <v>7.6</v>
      </c>
      <c r="Q768" t="s">
        <v>1550</v>
      </c>
    </row>
    <row r="769" spans="1:18">
      <c r="A769" t="s">
        <v>818</v>
      </c>
      <c r="B769" t="s">
        <v>999</v>
      </c>
      <c r="C769" t="s">
        <v>821</v>
      </c>
      <c r="D769">
        <v>7</v>
      </c>
      <c r="F769">
        <v>64.099999999999994</v>
      </c>
      <c r="G769">
        <v>100</v>
      </c>
      <c r="H769" s="1" t="s">
        <v>428</v>
      </c>
      <c r="I769" t="s">
        <v>611</v>
      </c>
      <c r="J769" s="8" t="s">
        <v>816</v>
      </c>
    </row>
    <row r="770" spans="1:18">
      <c r="A770" t="s">
        <v>818</v>
      </c>
      <c r="B770" t="s">
        <v>999</v>
      </c>
      <c r="C770" t="s">
        <v>821</v>
      </c>
      <c r="D770">
        <v>14</v>
      </c>
      <c r="F770">
        <v>33.700000000000003</v>
      </c>
      <c r="G770">
        <v>100</v>
      </c>
      <c r="H770" s="1" t="s">
        <v>428</v>
      </c>
      <c r="I770" t="s">
        <v>611</v>
      </c>
      <c r="J770" s="8" t="s">
        <v>816</v>
      </c>
    </row>
    <row r="771" spans="1:18">
      <c r="A771" t="s">
        <v>818</v>
      </c>
      <c r="B771" t="s">
        <v>999</v>
      </c>
      <c r="C771" t="s">
        <v>821</v>
      </c>
      <c r="D771">
        <v>30</v>
      </c>
      <c r="F771">
        <v>25.9</v>
      </c>
      <c r="G771">
        <v>100</v>
      </c>
      <c r="H771" s="1" t="s">
        <v>428</v>
      </c>
      <c r="I771" t="s">
        <v>611</v>
      </c>
      <c r="J771" s="8" t="s">
        <v>816</v>
      </c>
    </row>
    <row r="772" spans="1:18">
      <c r="A772" t="s">
        <v>818</v>
      </c>
      <c r="B772" t="s">
        <v>999</v>
      </c>
      <c r="C772" t="s">
        <v>821</v>
      </c>
      <c r="D772">
        <v>60</v>
      </c>
      <c r="F772">
        <v>14.9</v>
      </c>
      <c r="G772">
        <v>100</v>
      </c>
      <c r="H772" s="1" t="s">
        <v>428</v>
      </c>
      <c r="I772" t="s">
        <v>611</v>
      </c>
      <c r="J772" s="8" t="s">
        <v>816</v>
      </c>
    </row>
    <row r="773" spans="1:18">
      <c r="A773" t="s">
        <v>828</v>
      </c>
      <c r="B773" t="s">
        <v>999</v>
      </c>
      <c r="C773" t="s">
        <v>445</v>
      </c>
      <c r="D773">
        <v>0</v>
      </c>
      <c r="E773">
        <v>100</v>
      </c>
      <c r="F773">
        <v>100</v>
      </c>
      <c r="G773">
        <v>100</v>
      </c>
      <c r="H773" s="1" t="s">
        <v>428</v>
      </c>
      <c r="I773" t="s">
        <v>830</v>
      </c>
      <c r="J773">
        <v>4</v>
      </c>
      <c r="K773" s="1" t="s">
        <v>1387</v>
      </c>
      <c r="L773" s="2"/>
      <c r="M773" s="2"/>
      <c r="N773" s="2"/>
      <c r="O773" s="2"/>
      <c r="Q773" t="s">
        <v>1455</v>
      </c>
      <c r="R773">
        <v>6.2E-2</v>
      </c>
    </row>
    <row r="774" spans="1:18">
      <c r="A774" t="s">
        <v>828</v>
      </c>
      <c r="B774" t="s">
        <v>999</v>
      </c>
      <c r="C774" t="s">
        <v>445</v>
      </c>
      <c r="D774">
        <v>1</v>
      </c>
      <c r="E774">
        <v>104.8</v>
      </c>
      <c r="F774">
        <v>104.8</v>
      </c>
      <c r="G774">
        <v>100</v>
      </c>
      <c r="H774" s="1" t="s">
        <v>428</v>
      </c>
      <c r="I774" t="s">
        <v>830</v>
      </c>
      <c r="J774">
        <v>4</v>
      </c>
      <c r="K774" s="10" t="s">
        <v>1394</v>
      </c>
      <c r="L774" s="10" t="s">
        <v>2413</v>
      </c>
      <c r="M774" s="2"/>
      <c r="N774" s="2"/>
      <c r="O774" s="2">
        <v>0.93</v>
      </c>
      <c r="P774" s="2" t="e">
        <f>LN(2)/M774</f>
        <v>#DIV/0!</v>
      </c>
    </row>
    <row r="775" spans="1:18">
      <c r="A775" t="s">
        <v>828</v>
      </c>
      <c r="B775" t="s">
        <v>999</v>
      </c>
      <c r="C775" t="s">
        <v>445</v>
      </c>
      <c r="D775">
        <v>3</v>
      </c>
      <c r="E775">
        <v>84.2</v>
      </c>
      <c r="F775">
        <v>84.2</v>
      </c>
      <c r="G775">
        <v>100</v>
      </c>
      <c r="H775" s="1" t="s">
        <v>428</v>
      </c>
      <c r="I775" t="s">
        <v>830</v>
      </c>
      <c r="J775">
        <v>4</v>
      </c>
    </row>
    <row r="776" spans="1:18">
      <c r="A776" t="s">
        <v>828</v>
      </c>
      <c r="B776" t="s">
        <v>999</v>
      </c>
      <c r="C776" t="s">
        <v>445</v>
      </c>
      <c r="D776">
        <v>9</v>
      </c>
      <c r="E776">
        <v>63.6</v>
      </c>
      <c r="F776">
        <v>63.6</v>
      </c>
      <c r="G776">
        <v>100</v>
      </c>
      <c r="H776" s="1" t="s">
        <v>428</v>
      </c>
      <c r="I776" t="s">
        <v>830</v>
      </c>
      <c r="J776">
        <v>4</v>
      </c>
    </row>
    <row r="777" spans="1:18">
      <c r="A777" t="s">
        <v>828</v>
      </c>
      <c r="B777" t="s">
        <v>999</v>
      </c>
      <c r="C777" t="s">
        <v>445</v>
      </c>
      <c r="D777">
        <v>0</v>
      </c>
      <c r="E777">
        <v>100</v>
      </c>
      <c r="F777">
        <v>100</v>
      </c>
      <c r="G777">
        <v>100</v>
      </c>
      <c r="H777" s="1" t="s">
        <v>428</v>
      </c>
      <c r="I777" t="s">
        <v>831</v>
      </c>
      <c r="J777">
        <v>4</v>
      </c>
      <c r="K777" s="1" t="s">
        <v>1531</v>
      </c>
      <c r="L777" s="1" t="s">
        <v>1551</v>
      </c>
      <c r="M777" s="1">
        <v>0.41539999999999999</v>
      </c>
      <c r="N777" s="1"/>
      <c r="O777" s="1">
        <v>0.99</v>
      </c>
      <c r="P777">
        <v>1.6</v>
      </c>
      <c r="Q777" t="s">
        <v>1455</v>
      </c>
      <c r="R777">
        <v>4.1000000000000002E-2</v>
      </c>
    </row>
    <row r="778" spans="1:18">
      <c r="A778" t="s">
        <v>828</v>
      </c>
      <c r="B778" t="s">
        <v>999</v>
      </c>
      <c r="C778" t="s">
        <v>445</v>
      </c>
      <c r="D778">
        <v>1</v>
      </c>
      <c r="E778">
        <v>84.5</v>
      </c>
      <c r="F778">
        <v>84.5</v>
      </c>
      <c r="G778">
        <v>100</v>
      </c>
      <c r="H778" s="1" t="s">
        <v>428</v>
      </c>
      <c r="I778" t="s">
        <v>831</v>
      </c>
      <c r="J778">
        <v>4</v>
      </c>
    </row>
    <row r="779" spans="1:18">
      <c r="A779" t="s">
        <v>828</v>
      </c>
      <c r="B779" t="s">
        <v>999</v>
      </c>
      <c r="C779" t="s">
        <v>445</v>
      </c>
      <c r="D779">
        <v>3</v>
      </c>
      <c r="E779">
        <v>72</v>
      </c>
      <c r="F779">
        <v>72</v>
      </c>
      <c r="G779">
        <v>100</v>
      </c>
      <c r="H779" s="1" t="s">
        <v>428</v>
      </c>
      <c r="I779" t="s">
        <v>831</v>
      </c>
      <c r="J779">
        <v>4</v>
      </c>
    </row>
    <row r="780" spans="1:18">
      <c r="A780" t="s">
        <v>828</v>
      </c>
      <c r="B780" t="s">
        <v>999</v>
      </c>
      <c r="C780" t="s">
        <v>445</v>
      </c>
      <c r="D780">
        <v>9</v>
      </c>
      <c r="E780">
        <v>60</v>
      </c>
      <c r="F780">
        <v>60</v>
      </c>
      <c r="G780">
        <v>100</v>
      </c>
      <c r="H780" s="1" t="s">
        <v>428</v>
      </c>
      <c r="I780" t="s">
        <v>831</v>
      </c>
      <c r="J780">
        <v>4</v>
      </c>
    </row>
    <row r="781" spans="1:18">
      <c r="A781" t="s">
        <v>828</v>
      </c>
      <c r="B781" t="s">
        <v>999</v>
      </c>
      <c r="C781" t="s">
        <v>445</v>
      </c>
      <c r="D781">
        <v>0</v>
      </c>
      <c r="E781">
        <v>100</v>
      </c>
      <c r="F781">
        <v>100</v>
      </c>
      <c r="G781">
        <v>100</v>
      </c>
      <c r="H781" s="1" t="s">
        <v>428</v>
      </c>
      <c r="I781" t="s">
        <v>832</v>
      </c>
      <c r="J781">
        <v>4</v>
      </c>
      <c r="K781" s="1" t="s">
        <v>1387</v>
      </c>
      <c r="L781" s="2"/>
      <c r="M781" s="2"/>
      <c r="N781" s="2"/>
      <c r="O781" s="2"/>
      <c r="Q781" t="s">
        <v>1455</v>
      </c>
      <c r="R781">
        <v>4.2000000000000003E-2</v>
      </c>
    </row>
    <row r="782" spans="1:18">
      <c r="A782" t="s">
        <v>828</v>
      </c>
      <c r="B782" t="s">
        <v>999</v>
      </c>
      <c r="C782" t="s">
        <v>445</v>
      </c>
      <c r="D782">
        <v>1</v>
      </c>
      <c r="E782">
        <v>106.5</v>
      </c>
      <c r="F782">
        <v>106.5</v>
      </c>
      <c r="G782">
        <v>100</v>
      </c>
      <c r="H782" s="1" t="s">
        <v>428</v>
      </c>
      <c r="I782" t="s">
        <v>832</v>
      </c>
      <c r="J782">
        <v>4</v>
      </c>
      <c r="K782" s="10" t="s">
        <v>1394</v>
      </c>
      <c r="L782" s="10" t="s">
        <v>2412</v>
      </c>
      <c r="M782" s="10"/>
      <c r="N782" s="10"/>
      <c r="O782" s="10">
        <v>0.92900000000000005</v>
      </c>
      <c r="P782" s="2" t="e">
        <f>LN(2)/M782</f>
        <v>#DIV/0!</v>
      </c>
    </row>
    <row r="783" spans="1:18">
      <c r="A783" t="s">
        <v>828</v>
      </c>
      <c r="B783" t="s">
        <v>999</v>
      </c>
      <c r="C783" t="s">
        <v>445</v>
      </c>
      <c r="D783">
        <v>3</v>
      </c>
      <c r="E783">
        <v>90.3</v>
      </c>
      <c r="F783">
        <v>90.3</v>
      </c>
      <c r="G783">
        <v>100</v>
      </c>
      <c r="H783" s="1" t="s">
        <v>428</v>
      </c>
      <c r="I783" t="s">
        <v>832</v>
      </c>
      <c r="J783">
        <v>4</v>
      </c>
    </row>
    <row r="784" spans="1:18">
      <c r="A784" t="s">
        <v>828</v>
      </c>
      <c r="B784" t="s">
        <v>999</v>
      </c>
      <c r="C784" t="s">
        <v>445</v>
      </c>
      <c r="D784">
        <v>9</v>
      </c>
      <c r="E784">
        <v>75</v>
      </c>
      <c r="F784">
        <v>75</v>
      </c>
      <c r="G784">
        <v>100</v>
      </c>
      <c r="H784" s="1" t="s">
        <v>428</v>
      </c>
      <c r="I784" t="s">
        <v>832</v>
      </c>
      <c r="J784">
        <v>4</v>
      </c>
    </row>
    <row r="785" spans="1:18">
      <c r="A785" t="s">
        <v>828</v>
      </c>
      <c r="B785" t="s">
        <v>999</v>
      </c>
      <c r="C785" t="s">
        <v>445</v>
      </c>
      <c r="D785">
        <v>0</v>
      </c>
      <c r="E785">
        <v>100</v>
      </c>
      <c r="F785">
        <v>100</v>
      </c>
      <c r="G785">
        <v>100</v>
      </c>
      <c r="H785" s="1" t="s">
        <v>428</v>
      </c>
      <c r="I785" t="s">
        <v>833</v>
      </c>
      <c r="J785">
        <v>5</v>
      </c>
      <c r="K785" s="10" t="s">
        <v>1531</v>
      </c>
      <c r="L785" s="10" t="s">
        <v>1552</v>
      </c>
      <c r="M785" s="2">
        <v>0.39739999999999998</v>
      </c>
      <c r="N785" s="2"/>
      <c r="O785" s="2">
        <v>0.83</v>
      </c>
      <c r="P785" s="2">
        <v>1.5</v>
      </c>
      <c r="Q785" t="s">
        <v>1455</v>
      </c>
      <c r="R785">
        <v>2.1999999999999999E-2</v>
      </c>
    </row>
    <row r="786" spans="1:18">
      <c r="A786" t="s">
        <v>828</v>
      </c>
      <c r="B786" t="s">
        <v>999</v>
      </c>
      <c r="C786" t="s">
        <v>445</v>
      </c>
      <c r="D786">
        <v>1</v>
      </c>
      <c r="E786">
        <v>74.7</v>
      </c>
      <c r="F786">
        <v>74.7</v>
      </c>
      <c r="G786">
        <v>100</v>
      </c>
      <c r="H786" s="1" t="s">
        <v>428</v>
      </c>
      <c r="I786" t="s">
        <v>833</v>
      </c>
      <c r="J786">
        <v>5</v>
      </c>
    </row>
    <row r="787" spans="1:18">
      <c r="A787" t="s">
        <v>828</v>
      </c>
      <c r="B787" t="s">
        <v>999</v>
      </c>
      <c r="C787" t="s">
        <v>445</v>
      </c>
      <c r="D787">
        <v>3</v>
      </c>
      <c r="E787">
        <v>73.7</v>
      </c>
      <c r="F787">
        <v>73.7</v>
      </c>
      <c r="G787">
        <v>100</v>
      </c>
      <c r="H787" s="1" t="s">
        <v>428</v>
      </c>
      <c r="I787" t="s">
        <v>833</v>
      </c>
      <c r="J787">
        <v>5</v>
      </c>
    </row>
    <row r="788" spans="1:18">
      <c r="A788" t="s">
        <v>828</v>
      </c>
      <c r="B788" t="s">
        <v>999</v>
      </c>
      <c r="C788" t="s">
        <v>445</v>
      </c>
      <c r="D788">
        <v>9</v>
      </c>
      <c r="E788">
        <v>55</v>
      </c>
      <c r="F788">
        <v>55</v>
      </c>
      <c r="G788">
        <v>100</v>
      </c>
      <c r="H788" s="1" t="s">
        <v>428</v>
      </c>
      <c r="I788" t="s">
        <v>833</v>
      </c>
      <c r="J788">
        <v>5</v>
      </c>
    </row>
    <row r="789" spans="1:18">
      <c r="A789" t="s">
        <v>828</v>
      </c>
      <c r="B789" t="s">
        <v>999</v>
      </c>
      <c r="C789" t="s">
        <v>445</v>
      </c>
      <c r="D789">
        <v>18</v>
      </c>
      <c r="E789">
        <v>54.1</v>
      </c>
      <c r="F789">
        <v>54.1</v>
      </c>
      <c r="G789">
        <v>100</v>
      </c>
      <c r="H789" s="1" t="s">
        <v>428</v>
      </c>
      <c r="I789" t="s">
        <v>833</v>
      </c>
      <c r="J789">
        <v>5</v>
      </c>
    </row>
    <row r="790" spans="1:18">
      <c r="A790" t="s">
        <v>828</v>
      </c>
      <c r="B790" t="s">
        <v>999</v>
      </c>
      <c r="C790" t="s">
        <v>445</v>
      </c>
      <c r="D790">
        <v>0</v>
      </c>
      <c r="E790">
        <v>100</v>
      </c>
      <c r="F790">
        <v>100</v>
      </c>
      <c r="G790">
        <v>100</v>
      </c>
      <c r="H790" s="1" t="s">
        <v>428</v>
      </c>
      <c r="I790" t="s">
        <v>834</v>
      </c>
      <c r="J790">
        <v>5</v>
      </c>
      <c r="K790" t="s">
        <v>1394</v>
      </c>
      <c r="L790" t="s">
        <v>1553</v>
      </c>
      <c r="M790">
        <v>3.7499999999999999E-2</v>
      </c>
      <c r="O790">
        <v>0.86</v>
      </c>
      <c r="P790" s="1">
        <f>LN(2)/M790</f>
        <v>18.483924814931875</v>
      </c>
      <c r="Q790" t="s">
        <v>1455</v>
      </c>
      <c r="R790">
        <v>3.1E-2</v>
      </c>
    </row>
    <row r="791" spans="1:18">
      <c r="A791" t="s">
        <v>828</v>
      </c>
      <c r="B791" t="s">
        <v>999</v>
      </c>
      <c r="C791" t="s">
        <v>445</v>
      </c>
      <c r="D791">
        <v>1</v>
      </c>
      <c r="E791">
        <v>78.8</v>
      </c>
      <c r="F791">
        <v>78.8</v>
      </c>
      <c r="G791">
        <v>100</v>
      </c>
      <c r="H791" s="1" t="s">
        <v>428</v>
      </c>
      <c r="I791" t="s">
        <v>834</v>
      </c>
      <c r="J791">
        <v>5</v>
      </c>
    </row>
    <row r="792" spans="1:18">
      <c r="A792" t="s">
        <v>828</v>
      </c>
      <c r="B792" t="s">
        <v>999</v>
      </c>
      <c r="C792" t="s">
        <v>445</v>
      </c>
      <c r="D792">
        <v>3</v>
      </c>
      <c r="E792">
        <v>82.2</v>
      </c>
      <c r="F792">
        <v>82.2</v>
      </c>
      <c r="G792">
        <v>100</v>
      </c>
      <c r="H792" s="1" t="s">
        <v>428</v>
      </c>
      <c r="I792" t="s">
        <v>834</v>
      </c>
      <c r="J792">
        <v>5</v>
      </c>
    </row>
    <row r="793" spans="1:18">
      <c r="A793" t="s">
        <v>828</v>
      </c>
      <c r="B793" t="s">
        <v>999</v>
      </c>
      <c r="C793" t="s">
        <v>445</v>
      </c>
      <c r="D793">
        <v>9</v>
      </c>
      <c r="E793">
        <v>66.599999999999994</v>
      </c>
      <c r="F793">
        <v>66.599999999999994</v>
      </c>
      <c r="G793">
        <v>100</v>
      </c>
      <c r="H793" s="1" t="s">
        <v>428</v>
      </c>
      <c r="I793" t="s">
        <v>834</v>
      </c>
      <c r="J793">
        <v>5</v>
      </c>
    </row>
    <row r="794" spans="1:18">
      <c r="A794" t="s">
        <v>828</v>
      </c>
      <c r="B794" t="s">
        <v>999</v>
      </c>
      <c r="C794" t="s">
        <v>445</v>
      </c>
      <c r="D794">
        <v>18</v>
      </c>
      <c r="E794">
        <v>46.9</v>
      </c>
      <c r="F794">
        <v>46.9</v>
      </c>
      <c r="G794">
        <v>100</v>
      </c>
      <c r="H794" s="1" t="s">
        <v>428</v>
      </c>
      <c r="I794" t="s">
        <v>834</v>
      </c>
      <c r="J794">
        <v>5</v>
      </c>
    </row>
    <row r="795" spans="1:18">
      <c r="A795" t="s">
        <v>828</v>
      </c>
      <c r="B795" t="s">
        <v>999</v>
      </c>
      <c r="C795" t="s">
        <v>445</v>
      </c>
      <c r="D795">
        <v>0</v>
      </c>
      <c r="E795">
        <v>100</v>
      </c>
      <c r="F795">
        <v>100</v>
      </c>
      <c r="G795">
        <v>100</v>
      </c>
      <c r="H795" s="1" t="s">
        <v>428</v>
      </c>
      <c r="I795" t="s">
        <v>835</v>
      </c>
      <c r="J795">
        <v>5</v>
      </c>
      <c r="K795" s="1" t="s">
        <v>1531</v>
      </c>
      <c r="L795" s="1" t="s">
        <v>1554</v>
      </c>
      <c r="M795" s="1">
        <v>0.33650000000000002</v>
      </c>
      <c r="N795" s="1"/>
      <c r="O795" s="1">
        <v>0.85</v>
      </c>
      <c r="P795">
        <v>1.9</v>
      </c>
      <c r="Q795" t="s">
        <v>1455</v>
      </c>
      <c r="R795">
        <v>0.02</v>
      </c>
    </row>
    <row r="796" spans="1:18">
      <c r="A796" t="s">
        <v>828</v>
      </c>
      <c r="B796" t="s">
        <v>999</v>
      </c>
      <c r="C796" t="s">
        <v>445</v>
      </c>
      <c r="D796">
        <v>1</v>
      </c>
      <c r="E796">
        <v>79.7</v>
      </c>
      <c r="F796">
        <v>79.7</v>
      </c>
      <c r="G796">
        <v>100</v>
      </c>
      <c r="H796" s="1" t="s">
        <v>428</v>
      </c>
      <c r="I796" t="s">
        <v>835</v>
      </c>
      <c r="J796">
        <v>5</v>
      </c>
    </row>
    <row r="797" spans="1:18">
      <c r="A797" t="s">
        <v>828</v>
      </c>
      <c r="B797" t="s">
        <v>999</v>
      </c>
      <c r="C797" t="s">
        <v>445</v>
      </c>
      <c r="D797">
        <v>3</v>
      </c>
      <c r="E797">
        <v>77.8</v>
      </c>
      <c r="F797">
        <v>77.8</v>
      </c>
      <c r="G797">
        <v>100</v>
      </c>
      <c r="H797" s="1" t="s">
        <v>428</v>
      </c>
      <c r="I797" t="s">
        <v>835</v>
      </c>
      <c r="J797">
        <v>5</v>
      </c>
    </row>
    <row r="798" spans="1:18">
      <c r="A798" t="s">
        <v>828</v>
      </c>
      <c r="B798" t="s">
        <v>999</v>
      </c>
      <c r="C798" t="s">
        <v>445</v>
      </c>
      <c r="D798">
        <v>9</v>
      </c>
      <c r="E798">
        <v>56.9</v>
      </c>
      <c r="F798">
        <v>56.9</v>
      </c>
      <c r="G798">
        <v>100</v>
      </c>
      <c r="H798" s="1" t="s">
        <v>428</v>
      </c>
      <c r="I798" t="s">
        <v>835</v>
      </c>
      <c r="J798">
        <v>5</v>
      </c>
    </row>
    <row r="799" spans="1:18">
      <c r="A799" t="s">
        <v>828</v>
      </c>
      <c r="B799" t="s">
        <v>999</v>
      </c>
      <c r="C799" t="s">
        <v>445</v>
      </c>
      <c r="D799">
        <v>18</v>
      </c>
      <c r="E799">
        <v>59.7</v>
      </c>
      <c r="F799">
        <v>59.7</v>
      </c>
      <c r="G799">
        <v>100</v>
      </c>
      <c r="H799" s="1" t="s">
        <v>428</v>
      </c>
      <c r="I799" t="s">
        <v>835</v>
      </c>
      <c r="J799">
        <v>5</v>
      </c>
    </row>
    <row r="800" spans="1:18">
      <c r="A800" t="s">
        <v>1559</v>
      </c>
      <c r="B800" t="s">
        <v>999</v>
      </c>
      <c r="C800" t="s">
        <v>448</v>
      </c>
      <c r="D800">
        <v>0</v>
      </c>
      <c r="E800">
        <v>100</v>
      </c>
      <c r="F800">
        <v>100</v>
      </c>
      <c r="G800">
        <v>100</v>
      </c>
      <c r="H800" t="s">
        <v>428</v>
      </c>
      <c r="I800" t="s">
        <v>884</v>
      </c>
      <c r="J800">
        <v>5</v>
      </c>
      <c r="K800" s="1" t="s">
        <v>1531</v>
      </c>
      <c r="L800" s="1" t="s">
        <v>1555</v>
      </c>
      <c r="M800" s="1">
        <v>1.18E-2</v>
      </c>
      <c r="N800" s="1"/>
      <c r="O800" s="1">
        <v>0.98</v>
      </c>
      <c r="P800">
        <v>60</v>
      </c>
      <c r="Q800" t="s">
        <v>1560</v>
      </c>
      <c r="R800" t="s">
        <v>1243</v>
      </c>
    </row>
    <row r="801" spans="1:17">
      <c r="A801" t="s">
        <v>1559</v>
      </c>
      <c r="B801" t="s">
        <v>999</v>
      </c>
      <c r="C801" t="s">
        <v>448</v>
      </c>
      <c r="D801">
        <v>3</v>
      </c>
      <c r="E801">
        <v>95.3</v>
      </c>
      <c r="F801">
        <v>95.3</v>
      </c>
      <c r="G801">
        <v>100</v>
      </c>
      <c r="H801" t="s">
        <v>428</v>
      </c>
      <c r="I801" t="s">
        <v>884</v>
      </c>
      <c r="J801">
        <v>5</v>
      </c>
    </row>
    <row r="802" spans="1:17">
      <c r="A802" t="s">
        <v>1559</v>
      </c>
      <c r="B802" t="s">
        <v>999</v>
      </c>
      <c r="C802" t="s">
        <v>448</v>
      </c>
      <c r="D802">
        <v>7</v>
      </c>
      <c r="E802">
        <v>93.9</v>
      </c>
      <c r="F802">
        <v>93.9</v>
      </c>
      <c r="G802">
        <v>100</v>
      </c>
      <c r="H802" t="s">
        <v>428</v>
      </c>
      <c r="I802" t="s">
        <v>884</v>
      </c>
      <c r="J802">
        <v>5</v>
      </c>
    </row>
    <row r="803" spans="1:17">
      <c r="A803" t="s">
        <v>1559</v>
      </c>
      <c r="B803" t="s">
        <v>999</v>
      </c>
      <c r="C803" t="s">
        <v>448</v>
      </c>
      <c r="D803">
        <v>21</v>
      </c>
      <c r="E803">
        <v>86.5</v>
      </c>
      <c r="F803">
        <v>86.5</v>
      </c>
      <c r="G803">
        <v>100</v>
      </c>
      <c r="H803" t="s">
        <v>428</v>
      </c>
      <c r="I803" t="s">
        <v>884</v>
      </c>
      <c r="J803">
        <v>5</v>
      </c>
    </row>
    <row r="804" spans="1:17">
      <c r="A804" t="s">
        <v>1559</v>
      </c>
      <c r="B804" t="s">
        <v>999</v>
      </c>
      <c r="C804" t="s">
        <v>448</v>
      </c>
      <c r="D804">
        <v>36</v>
      </c>
      <c r="E804">
        <v>77.400000000000006</v>
      </c>
      <c r="F804">
        <v>77.400000000000006</v>
      </c>
      <c r="G804">
        <v>100</v>
      </c>
      <c r="H804" t="s">
        <v>428</v>
      </c>
      <c r="I804" t="s">
        <v>884</v>
      </c>
      <c r="J804">
        <v>5</v>
      </c>
    </row>
    <row r="805" spans="1:17">
      <c r="A805" t="s">
        <v>1559</v>
      </c>
      <c r="B805" t="s">
        <v>999</v>
      </c>
      <c r="C805" t="s">
        <v>448</v>
      </c>
      <c r="D805">
        <v>49</v>
      </c>
      <c r="E805">
        <v>68.900000000000006</v>
      </c>
      <c r="F805">
        <v>68.900000000000006</v>
      </c>
      <c r="G805">
        <v>100</v>
      </c>
      <c r="H805" t="s">
        <v>428</v>
      </c>
      <c r="I805" t="s">
        <v>884</v>
      </c>
      <c r="J805">
        <v>5</v>
      </c>
    </row>
    <row r="806" spans="1:17">
      <c r="A806" t="s">
        <v>1559</v>
      </c>
      <c r="B806" t="s">
        <v>999</v>
      </c>
      <c r="C806" t="s">
        <v>448</v>
      </c>
      <c r="D806">
        <v>63</v>
      </c>
      <c r="E806">
        <v>63.9</v>
      </c>
      <c r="F806">
        <v>63.9</v>
      </c>
      <c r="G806">
        <v>100</v>
      </c>
      <c r="H806" t="s">
        <v>428</v>
      </c>
      <c r="I806" t="s">
        <v>884</v>
      </c>
      <c r="J806">
        <v>5</v>
      </c>
    </row>
    <row r="807" spans="1:17">
      <c r="A807" t="s">
        <v>1559</v>
      </c>
      <c r="B807" t="s">
        <v>999</v>
      </c>
      <c r="C807" t="s">
        <v>448</v>
      </c>
      <c r="D807">
        <v>84</v>
      </c>
      <c r="E807">
        <v>47.9</v>
      </c>
      <c r="F807">
        <v>47.9</v>
      </c>
      <c r="G807">
        <v>100</v>
      </c>
      <c r="H807" t="s">
        <v>428</v>
      </c>
      <c r="I807" t="s">
        <v>884</v>
      </c>
      <c r="J807">
        <v>5</v>
      </c>
    </row>
    <row r="808" spans="1:17">
      <c r="A808" t="s">
        <v>1559</v>
      </c>
      <c r="B808" t="s">
        <v>999</v>
      </c>
      <c r="C808" t="s">
        <v>448</v>
      </c>
      <c r="D808">
        <v>98</v>
      </c>
      <c r="E808">
        <v>41.9</v>
      </c>
      <c r="F808">
        <v>41.9</v>
      </c>
      <c r="G808">
        <v>100</v>
      </c>
      <c r="H808" t="s">
        <v>428</v>
      </c>
      <c r="I808" t="s">
        <v>884</v>
      </c>
      <c r="J808">
        <v>5</v>
      </c>
    </row>
    <row r="809" spans="1:17">
      <c r="A809" t="s">
        <v>1559</v>
      </c>
      <c r="B809" t="s">
        <v>999</v>
      </c>
      <c r="C809" t="s">
        <v>448</v>
      </c>
      <c r="D809">
        <v>114</v>
      </c>
      <c r="E809">
        <v>33.299999999999997</v>
      </c>
      <c r="F809">
        <v>33.299999999999997</v>
      </c>
      <c r="G809">
        <v>100</v>
      </c>
      <c r="H809" t="s">
        <v>428</v>
      </c>
      <c r="I809" t="s">
        <v>884</v>
      </c>
      <c r="J809">
        <v>5</v>
      </c>
    </row>
    <row r="810" spans="1:17">
      <c r="A810" t="s">
        <v>1559</v>
      </c>
      <c r="B810" t="s">
        <v>999</v>
      </c>
      <c r="C810" t="s">
        <v>448</v>
      </c>
      <c r="D810">
        <v>126</v>
      </c>
      <c r="E810">
        <v>34.200000000000003</v>
      </c>
      <c r="F810">
        <v>34.200000000000003</v>
      </c>
      <c r="G810">
        <v>100</v>
      </c>
      <c r="H810" t="s">
        <v>428</v>
      </c>
      <c r="I810" t="s">
        <v>884</v>
      </c>
      <c r="J810">
        <v>5</v>
      </c>
    </row>
    <row r="811" spans="1:17">
      <c r="A811" t="s">
        <v>1559</v>
      </c>
      <c r="B811" t="s">
        <v>999</v>
      </c>
      <c r="C811" t="s">
        <v>448</v>
      </c>
      <c r="D811">
        <v>142</v>
      </c>
      <c r="E811">
        <v>32.799999999999997</v>
      </c>
      <c r="F811">
        <v>32.799999999999997</v>
      </c>
      <c r="G811">
        <v>100</v>
      </c>
      <c r="H811" t="s">
        <v>428</v>
      </c>
      <c r="I811" t="s">
        <v>884</v>
      </c>
      <c r="J811">
        <v>5</v>
      </c>
    </row>
    <row r="812" spans="1:17">
      <c r="A812" t="s">
        <v>1559</v>
      </c>
      <c r="B812" t="s">
        <v>999</v>
      </c>
      <c r="C812" t="s">
        <v>448</v>
      </c>
      <c r="D812">
        <v>177</v>
      </c>
      <c r="E812">
        <v>30.9</v>
      </c>
      <c r="F812">
        <v>30.9</v>
      </c>
      <c r="G812">
        <v>100</v>
      </c>
      <c r="H812" t="s">
        <v>428</v>
      </c>
      <c r="I812" t="s">
        <v>884</v>
      </c>
      <c r="J812">
        <v>5</v>
      </c>
    </row>
    <row r="813" spans="1:17">
      <c r="A813" t="s">
        <v>1559</v>
      </c>
      <c r="B813" t="s">
        <v>999</v>
      </c>
      <c r="C813" t="s">
        <v>448</v>
      </c>
      <c r="D813">
        <v>293</v>
      </c>
      <c r="E813">
        <v>22.9</v>
      </c>
      <c r="F813">
        <v>22.9</v>
      </c>
      <c r="G813">
        <v>100</v>
      </c>
      <c r="H813" t="s">
        <v>428</v>
      </c>
      <c r="I813" t="s">
        <v>884</v>
      </c>
      <c r="J813">
        <v>5</v>
      </c>
    </row>
    <row r="814" spans="1:17">
      <c r="A814" t="s">
        <v>1559</v>
      </c>
      <c r="B814" t="s">
        <v>999</v>
      </c>
      <c r="C814" t="s">
        <v>448</v>
      </c>
      <c r="D814">
        <v>357</v>
      </c>
      <c r="E814">
        <v>21.8</v>
      </c>
      <c r="F814">
        <v>21.8</v>
      </c>
      <c r="G814">
        <v>100</v>
      </c>
      <c r="H814" t="s">
        <v>428</v>
      </c>
      <c r="I814" t="s">
        <v>884</v>
      </c>
      <c r="J814">
        <v>5</v>
      </c>
    </row>
    <row r="815" spans="1:17" s="1" customFormat="1">
      <c r="A815" s="1" t="s">
        <v>1559</v>
      </c>
      <c r="B815" s="1" t="s">
        <v>999</v>
      </c>
      <c r="C815" s="1" t="s">
        <v>448</v>
      </c>
      <c r="D815" s="1">
        <v>0</v>
      </c>
      <c r="E815" s="1">
        <v>100</v>
      </c>
      <c r="F815" s="1">
        <v>100</v>
      </c>
      <c r="G815" s="1">
        <v>100</v>
      </c>
      <c r="H815" t="s">
        <v>428</v>
      </c>
      <c r="I815" s="1" t="s">
        <v>1244</v>
      </c>
      <c r="J815" s="1">
        <v>5</v>
      </c>
      <c r="K815" s="1" t="s">
        <v>1396</v>
      </c>
      <c r="L815" s="1" t="s">
        <v>1556</v>
      </c>
      <c r="N815" s="1">
        <v>-0.57330000000000003</v>
      </c>
      <c r="O815" s="1">
        <v>0.97</v>
      </c>
      <c r="Q815" s="1" t="s">
        <v>1247</v>
      </c>
    </row>
    <row r="816" spans="1:17" s="1" customFormat="1">
      <c r="A816" s="1" t="s">
        <v>1559</v>
      </c>
      <c r="B816" s="1" t="s">
        <v>999</v>
      </c>
      <c r="C816" s="1" t="s">
        <v>448</v>
      </c>
      <c r="D816" s="1">
        <v>21</v>
      </c>
      <c r="E816" s="1">
        <v>88.1</v>
      </c>
      <c r="F816" s="1">
        <v>88.1</v>
      </c>
      <c r="G816" s="1">
        <v>100</v>
      </c>
      <c r="H816" t="s">
        <v>428</v>
      </c>
      <c r="I816" s="1" t="s">
        <v>1244</v>
      </c>
      <c r="J816" s="1">
        <v>5</v>
      </c>
    </row>
    <row r="817" spans="1:17" s="1" customFormat="1">
      <c r="A817" s="1" t="s">
        <v>1559</v>
      </c>
      <c r="B817" s="1" t="s">
        <v>999</v>
      </c>
      <c r="C817" s="1" t="s">
        <v>448</v>
      </c>
      <c r="D817" s="1">
        <v>35</v>
      </c>
      <c r="E817" s="1">
        <v>76.099999999999994</v>
      </c>
      <c r="F817" s="1">
        <v>76.099999999999994</v>
      </c>
      <c r="G817" s="1">
        <v>100</v>
      </c>
      <c r="H817" t="s">
        <v>428</v>
      </c>
      <c r="I817" s="1" t="s">
        <v>1244</v>
      </c>
      <c r="J817" s="1">
        <v>5</v>
      </c>
    </row>
    <row r="818" spans="1:17" s="1" customFormat="1">
      <c r="A818" s="1" t="s">
        <v>1559</v>
      </c>
      <c r="B818" s="1" t="s">
        <v>999</v>
      </c>
      <c r="C818" s="1" t="s">
        <v>448</v>
      </c>
      <c r="D818" s="1">
        <v>44</v>
      </c>
      <c r="E818" s="1">
        <v>70.599999999999994</v>
      </c>
      <c r="F818" s="1">
        <v>70.599999999999994</v>
      </c>
      <c r="G818" s="1">
        <v>100</v>
      </c>
      <c r="H818" t="s">
        <v>428</v>
      </c>
      <c r="I818" s="1" t="s">
        <v>1244</v>
      </c>
      <c r="J818" s="1">
        <v>5</v>
      </c>
    </row>
    <row r="819" spans="1:17" s="1" customFormat="1">
      <c r="A819" s="1" t="s">
        <v>1559</v>
      </c>
      <c r="B819" s="1" t="s">
        <v>999</v>
      </c>
      <c r="C819" s="1" t="s">
        <v>448</v>
      </c>
      <c r="D819" s="1">
        <v>78</v>
      </c>
      <c r="E819" s="1">
        <v>56.1</v>
      </c>
      <c r="F819" s="1">
        <v>56.1</v>
      </c>
      <c r="G819" s="1">
        <v>100</v>
      </c>
      <c r="H819" t="s">
        <v>428</v>
      </c>
      <c r="I819" s="1" t="s">
        <v>1244</v>
      </c>
      <c r="J819" s="1">
        <v>5</v>
      </c>
    </row>
    <row r="820" spans="1:17" s="1" customFormat="1">
      <c r="A820" s="1" t="s">
        <v>1559</v>
      </c>
      <c r="B820" s="1" t="s">
        <v>999</v>
      </c>
      <c r="C820" s="1" t="s">
        <v>448</v>
      </c>
      <c r="D820" s="1">
        <v>0</v>
      </c>
      <c r="E820" s="1">
        <v>100.2</v>
      </c>
      <c r="F820" s="1">
        <v>100.2</v>
      </c>
      <c r="G820" s="1">
        <v>100</v>
      </c>
      <c r="H820" t="s">
        <v>428</v>
      </c>
      <c r="I820" s="1" t="s">
        <v>1245</v>
      </c>
      <c r="J820" s="1">
        <v>5</v>
      </c>
      <c r="K820" s="1" t="s">
        <v>1396</v>
      </c>
      <c r="L820" s="1" t="s">
        <v>1557</v>
      </c>
      <c r="N820" s="1">
        <v>-0.3644</v>
      </c>
      <c r="O820" s="1">
        <v>0.95</v>
      </c>
      <c r="Q820" s="1" t="s">
        <v>1248</v>
      </c>
    </row>
    <row r="821" spans="1:17" s="1" customFormat="1">
      <c r="A821" s="1" t="s">
        <v>1559</v>
      </c>
      <c r="B821" s="1" t="s">
        <v>999</v>
      </c>
      <c r="C821" s="1" t="s">
        <v>448</v>
      </c>
      <c r="D821" s="1">
        <v>14</v>
      </c>
      <c r="E821" s="1">
        <v>97.3</v>
      </c>
      <c r="F821" s="1">
        <v>97.3</v>
      </c>
      <c r="G821" s="1">
        <v>100</v>
      </c>
      <c r="H821" t="s">
        <v>428</v>
      </c>
      <c r="I821" s="1" t="s">
        <v>1245</v>
      </c>
      <c r="J821" s="1">
        <v>5</v>
      </c>
    </row>
    <row r="822" spans="1:17" s="1" customFormat="1">
      <c r="A822" s="1" t="s">
        <v>1559</v>
      </c>
      <c r="B822" s="1" t="s">
        <v>999</v>
      </c>
      <c r="C822" s="1" t="s">
        <v>448</v>
      </c>
      <c r="D822" s="1">
        <v>29</v>
      </c>
      <c r="E822" s="1">
        <v>87.9</v>
      </c>
      <c r="F822" s="1">
        <v>87.9</v>
      </c>
      <c r="G822" s="1">
        <v>100</v>
      </c>
      <c r="H822" t="s">
        <v>428</v>
      </c>
      <c r="I822" s="1" t="s">
        <v>1245</v>
      </c>
      <c r="J822" s="1">
        <v>5</v>
      </c>
    </row>
    <row r="823" spans="1:17" s="1" customFormat="1">
      <c r="A823" s="1" t="s">
        <v>1559</v>
      </c>
      <c r="B823" s="1" t="s">
        <v>999</v>
      </c>
      <c r="C823" s="1" t="s">
        <v>448</v>
      </c>
      <c r="D823" s="1">
        <v>57</v>
      </c>
      <c r="E823" s="1">
        <v>80.400000000000006</v>
      </c>
      <c r="F823" s="1">
        <v>80.400000000000006</v>
      </c>
      <c r="G823" s="1">
        <v>100</v>
      </c>
      <c r="H823" t="s">
        <v>428</v>
      </c>
      <c r="I823" s="1" t="s">
        <v>1245</v>
      </c>
      <c r="J823" s="1">
        <v>5</v>
      </c>
    </row>
    <row r="824" spans="1:17" s="1" customFormat="1">
      <c r="A824" s="1" t="s">
        <v>1559</v>
      </c>
      <c r="B824" s="1" t="s">
        <v>999</v>
      </c>
      <c r="C824" s="1" t="s">
        <v>448</v>
      </c>
      <c r="D824" s="1">
        <v>0</v>
      </c>
      <c r="E824" s="1">
        <v>100</v>
      </c>
      <c r="F824" s="1">
        <v>100</v>
      </c>
      <c r="G824" s="1">
        <v>100</v>
      </c>
      <c r="H824" t="s">
        <v>428</v>
      </c>
      <c r="I824" s="1" t="s">
        <v>1246</v>
      </c>
      <c r="J824" s="1">
        <v>5</v>
      </c>
      <c r="K824" s="1" t="s">
        <v>1392</v>
      </c>
      <c r="L824" s="1" t="s">
        <v>1558</v>
      </c>
      <c r="N824" s="1">
        <v>-0.3296</v>
      </c>
      <c r="Q824" s="1" t="s">
        <v>1249</v>
      </c>
    </row>
    <row r="825" spans="1:17" s="1" customFormat="1">
      <c r="A825" s="1" t="s">
        <v>1559</v>
      </c>
      <c r="B825" s="1" t="s">
        <v>999</v>
      </c>
      <c r="C825" s="1" t="s">
        <v>448</v>
      </c>
      <c r="D825" s="1">
        <v>27</v>
      </c>
      <c r="E825" s="1">
        <v>91.1</v>
      </c>
      <c r="F825" s="1">
        <v>91.1</v>
      </c>
      <c r="G825" s="1">
        <v>100</v>
      </c>
      <c r="H825" t="s">
        <v>428</v>
      </c>
      <c r="I825" s="1" t="s">
        <v>1246</v>
      </c>
      <c r="J825" s="1">
        <v>5</v>
      </c>
    </row>
    <row r="826" spans="1:17">
      <c r="A826" t="s">
        <v>903</v>
      </c>
      <c r="B826" s="1" t="s">
        <v>999</v>
      </c>
      <c r="C826" t="s">
        <v>702</v>
      </c>
      <c r="D826">
        <v>0</v>
      </c>
      <c r="E826">
        <f t="shared" ref="E826:E860" si="10">F826/G826*100</f>
        <v>100</v>
      </c>
      <c r="F826">
        <v>15</v>
      </c>
      <c r="G826">
        <v>15</v>
      </c>
      <c r="H826" t="s">
        <v>904</v>
      </c>
      <c r="I826" t="s">
        <v>352</v>
      </c>
      <c r="J826">
        <v>3</v>
      </c>
      <c r="K826" t="s">
        <v>1399</v>
      </c>
      <c r="L826" t="s">
        <v>1561</v>
      </c>
      <c r="O826">
        <v>0.99</v>
      </c>
      <c r="Q826" t="s">
        <v>190</v>
      </c>
    </row>
    <row r="827" spans="1:17">
      <c r="A827" t="s">
        <v>903</v>
      </c>
      <c r="B827" s="1" t="s">
        <v>999</v>
      </c>
      <c r="C827" t="s">
        <v>702</v>
      </c>
      <c r="D827">
        <v>7</v>
      </c>
      <c r="E827">
        <f t="shared" si="10"/>
        <v>90.666666666666657</v>
      </c>
      <c r="F827">
        <v>13.6</v>
      </c>
      <c r="G827">
        <v>15</v>
      </c>
      <c r="H827" t="s">
        <v>904</v>
      </c>
      <c r="I827" t="s">
        <v>352</v>
      </c>
      <c r="J827">
        <v>3</v>
      </c>
      <c r="K827" s="10" t="s">
        <v>1394</v>
      </c>
      <c r="L827" s="10" t="s">
        <v>2415</v>
      </c>
      <c r="M827" s="2"/>
      <c r="N827" s="2"/>
      <c r="O827" s="2">
        <v>0.93700000000000006</v>
      </c>
    </row>
    <row r="828" spans="1:17">
      <c r="A828" t="s">
        <v>903</v>
      </c>
      <c r="B828" s="1" t="s">
        <v>999</v>
      </c>
      <c r="C828" t="s">
        <v>702</v>
      </c>
      <c r="D828">
        <v>14</v>
      </c>
      <c r="E828">
        <f t="shared" si="10"/>
        <v>77.333333333333329</v>
      </c>
      <c r="F828">
        <v>11.6</v>
      </c>
      <c r="G828">
        <v>15</v>
      </c>
      <c r="H828" t="s">
        <v>904</v>
      </c>
      <c r="I828" t="s">
        <v>352</v>
      </c>
      <c r="J828">
        <v>3</v>
      </c>
      <c r="K828" s="12" t="s">
        <v>2389</v>
      </c>
      <c r="L828" s="12" t="s">
        <v>2414</v>
      </c>
      <c r="O828">
        <v>0.99</v>
      </c>
    </row>
    <row r="829" spans="1:17">
      <c r="A829" t="s">
        <v>903</v>
      </c>
      <c r="B829" s="1" t="s">
        <v>999</v>
      </c>
      <c r="C829" t="s">
        <v>702</v>
      </c>
      <c r="D829">
        <v>21</v>
      </c>
      <c r="E829">
        <f t="shared" si="10"/>
        <v>44</v>
      </c>
      <c r="F829">
        <v>6.6</v>
      </c>
      <c r="G829">
        <v>15</v>
      </c>
      <c r="H829" t="s">
        <v>904</v>
      </c>
      <c r="I829" t="s">
        <v>352</v>
      </c>
      <c r="J829">
        <v>3</v>
      </c>
    </row>
    <row r="830" spans="1:17">
      <c r="A830" t="s">
        <v>903</v>
      </c>
      <c r="B830" s="1" t="s">
        <v>999</v>
      </c>
      <c r="C830" t="s">
        <v>702</v>
      </c>
      <c r="D830">
        <v>28</v>
      </c>
      <c r="E830">
        <f t="shared" si="10"/>
        <v>27.333333333333332</v>
      </c>
      <c r="F830">
        <v>4.0999999999999996</v>
      </c>
      <c r="G830">
        <v>15</v>
      </c>
      <c r="H830" t="s">
        <v>904</v>
      </c>
      <c r="I830" t="s">
        <v>352</v>
      </c>
      <c r="J830">
        <v>3</v>
      </c>
    </row>
    <row r="831" spans="1:17">
      <c r="A831" t="s">
        <v>903</v>
      </c>
      <c r="B831" s="1" t="s">
        <v>999</v>
      </c>
      <c r="C831" t="s">
        <v>702</v>
      </c>
      <c r="D831">
        <v>35</v>
      </c>
      <c r="E831">
        <f t="shared" si="10"/>
        <v>14.666666666666666</v>
      </c>
      <c r="F831">
        <v>2.2000000000000002</v>
      </c>
      <c r="G831">
        <v>15</v>
      </c>
      <c r="H831" t="s">
        <v>904</v>
      </c>
      <c r="I831" t="s">
        <v>352</v>
      </c>
      <c r="J831">
        <v>3</v>
      </c>
    </row>
    <row r="832" spans="1:17">
      <c r="A832" t="s">
        <v>903</v>
      </c>
      <c r="B832" s="1" t="s">
        <v>999</v>
      </c>
      <c r="C832" t="s">
        <v>702</v>
      </c>
      <c r="D832">
        <v>42</v>
      </c>
      <c r="E832">
        <f t="shared" si="10"/>
        <v>10</v>
      </c>
      <c r="F832">
        <v>1.5</v>
      </c>
      <c r="G832">
        <v>15</v>
      </c>
      <c r="H832" t="s">
        <v>904</v>
      </c>
      <c r="I832" t="s">
        <v>352</v>
      </c>
      <c r="J832">
        <v>3</v>
      </c>
    </row>
    <row r="833" spans="1:17">
      <c r="A833" t="s">
        <v>903</v>
      </c>
      <c r="B833" s="1" t="s">
        <v>999</v>
      </c>
      <c r="C833" t="s">
        <v>702</v>
      </c>
      <c r="D833">
        <v>39</v>
      </c>
      <c r="E833">
        <f t="shared" si="10"/>
        <v>8.6666666666666679</v>
      </c>
      <c r="F833">
        <v>1.3</v>
      </c>
      <c r="G833">
        <v>15</v>
      </c>
      <c r="H833" t="s">
        <v>904</v>
      </c>
      <c r="I833" t="s">
        <v>352</v>
      </c>
      <c r="J833">
        <v>3</v>
      </c>
    </row>
    <row r="834" spans="1:17">
      <c r="A834" t="s">
        <v>903</v>
      </c>
      <c r="B834" s="1" t="s">
        <v>999</v>
      </c>
      <c r="C834" t="s">
        <v>702</v>
      </c>
      <c r="D834">
        <v>56</v>
      </c>
      <c r="E834">
        <f t="shared" si="10"/>
        <v>8</v>
      </c>
      <c r="F834">
        <v>1.2</v>
      </c>
      <c r="G834">
        <v>15</v>
      </c>
      <c r="H834" t="s">
        <v>904</v>
      </c>
      <c r="I834" t="s">
        <v>352</v>
      </c>
      <c r="J834">
        <v>3</v>
      </c>
    </row>
    <row r="835" spans="1:17">
      <c r="A835" t="s">
        <v>903</v>
      </c>
      <c r="B835" s="1" t="s">
        <v>999</v>
      </c>
      <c r="C835" t="s">
        <v>702</v>
      </c>
      <c r="D835">
        <v>63</v>
      </c>
      <c r="E835">
        <f t="shared" si="10"/>
        <v>2.8666666666666667</v>
      </c>
      <c r="F835">
        <v>0.43</v>
      </c>
      <c r="G835">
        <v>15</v>
      </c>
      <c r="H835" t="s">
        <v>904</v>
      </c>
      <c r="I835" t="s">
        <v>352</v>
      </c>
      <c r="J835">
        <v>3</v>
      </c>
    </row>
    <row r="836" spans="1:17">
      <c r="A836" t="s">
        <v>903</v>
      </c>
      <c r="B836" s="1" t="s">
        <v>999</v>
      </c>
      <c r="C836" t="s">
        <v>445</v>
      </c>
      <c r="D836">
        <v>0</v>
      </c>
      <c r="E836">
        <f t="shared" si="10"/>
        <v>100</v>
      </c>
      <c r="F836">
        <v>15</v>
      </c>
      <c r="G836">
        <v>15</v>
      </c>
      <c r="H836" t="s">
        <v>904</v>
      </c>
      <c r="I836" t="s">
        <v>352</v>
      </c>
      <c r="J836">
        <v>3</v>
      </c>
      <c r="K836" t="s">
        <v>1430</v>
      </c>
      <c r="L836" t="s">
        <v>1562</v>
      </c>
      <c r="O836">
        <v>0.98</v>
      </c>
      <c r="Q836" t="s">
        <v>190</v>
      </c>
    </row>
    <row r="837" spans="1:17">
      <c r="A837" t="s">
        <v>903</v>
      </c>
      <c r="B837" s="1" t="s">
        <v>999</v>
      </c>
      <c r="C837" t="s">
        <v>445</v>
      </c>
      <c r="D837">
        <v>7</v>
      </c>
      <c r="E837">
        <f t="shared" si="10"/>
        <v>94.666666666666671</v>
      </c>
      <c r="F837">
        <v>14.2</v>
      </c>
      <c r="G837">
        <v>15</v>
      </c>
      <c r="H837" t="s">
        <v>904</v>
      </c>
      <c r="I837" t="s">
        <v>352</v>
      </c>
      <c r="J837">
        <v>3</v>
      </c>
      <c r="K837" t="s">
        <v>181</v>
      </c>
      <c r="L837" t="s">
        <v>2416</v>
      </c>
      <c r="O837">
        <v>0.94</v>
      </c>
    </row>
    <row r="838" spans="1:17">
      <c r="A838" t="s">
        <v>903</v>
      </c>
      <c r="B838" s="1" t="s">
        <v>999</v>
      </c>
      <c r="C838" t="s">
        <v>445</v>
      </c>
      <c r="D838">
        <v>14</v>
      </c>
      <c r="E838">
        <f t="shared" si="10"/>
        <v>86.666666666666671</v>
      </c>
      <c r="F838">
        <v>13</v>
      </c>
      <c r="G838">
        <v>15</v>
      </c>
      <c r="H838" t="s">
        <v>904</v>
      </c>
      <c r="I838" t="s">
        <v>352</v>
      </c>
      <c r="J838">
        <v>3</v>
      </c>
    </row>
    <row r="839" spans="1:17">
      <c r="A839" t="s">
        <v>903</v>
      </c>
      <c r="B839" s="1" t="s">
        <v>999</v>
      </c>
      <c r="C839" t="s">
        <v>445</v>
      </c>
      <c r="D839">
        <v>21</v>
      </c>
      <c r="E839">
        <f t="shared" si="10"/>
        <v>79.333333333333329</v>
      </c>
      <c r="F839">
        <v>11.9</v>
      </c>
      <c r="G839">
        <v>15</v>
      </c>
      <c r="H839" t="s">
        <v>904</v>
      </c>
      <c r="I839" t="s">
        <v>352</v>
      </c>
      <c r="J839">
        <v>3</v>
      </c>
    </row>
    <row r="840" spans="1:17">
      <c r="A840" t="s">
        <v>903</v>
      </c>
      <c r="B840" s="1" t="s">
        <v>999</v>
      </c>
      <c r="C840" t="s">
        <v>445</v>
      </c>
      <c r="D840">
        <v>28</v>
      </c>
      <c r="E840">
        <f t="shared" si="10"/>
        <v>67.333333333333329</v>
      </c>
      <c r="F840">
        <v>10.1</v>
      </c>
      <c r="G840">
        <v>15</v>
      </c>
      <c r="H840" t="s">
        <v>904</v>
      </c>
      <c r="I840" t="s">
        <v>352</v>
      </c>
      <c r="J840">
        <v>3</v>
      </c>
    </row>
    <row r="841" spans="1:17">
      <c r="A841" t="s">
        <v>903</v>
      </c>
      <c r="B841" s="1" t="s">
        <v>999</v>
      </c>
      <c r="C841" t="s">
        <v>445</v>
      </c>
      <c r="D841">
        <v>35</v>
      </c>
      <c r="E841">
        <f t="shared" si="10"/>
        <v>43.333333333333336</v>
      </c>
      <c r="F841">
        <v>6.5</v>
      </c>
      <c r="G841">
        <v>15</v>
      </c>
      <c r="H841" t="s">
        <v>904</v>
      </c>
      <c r="I841" t="s">
        <v>352</v>
      </c>
      <c r="J841">
        <v>3</v>
      </c>
    </row>
    <row r="842" spans="1:17">
      <c r="A842" t="s">
        <v>903</v>
      </c>
      <c r="B842" s="1" t="s">
        <v>999</v>
      </c>
      <c r="C842" t="s">
        <v>445</v>
      </c>
      <c r="D842">
        <v>42</v>
      </c>
      <c r="E842">
        <f t="shared" si="10"/>
        <v>26</v>
      </c>
      <c r="F842">
        <v>3.9</v>
      </c>
      <c r="G842">
        <v>15</v>
      </c>
      <c r="H842" t="s">
        <v>904</v>
      </c>
      <c r="I842" t="s">
        <v>352</v>
      </c>
      <c r="J842">
        <v>3</v>
      </c>
    </row>
    <row r="843" spans="1:17">
      <c r="A843" t="s">
        <v>903</v>
      </c>
      <c r="B843" s="1" t="s">
        <v>999</v>
      </c>
      <c r="C843" t="s">
        <v>445</v>
      </c>
      <c r="D843">
        <v>39</v>
      </c>
      <c r="E843">
        <f t="shared" si="10"/>
        <v>18.000000000000004</v>
      </c>
      <c r="F843">
        <v>2.7</v>
      </c>
      <c r="G843">
        <v>15</v>
      </c>
      <c r="H843" t="s">
        <v>904</v>
      </c>
      <c r="I843" t="s">
        <v>352</v>
      </c>
      <c r="J843">
        <v>3</v>
      </c>
    </row>
    <row r="844" spans="1:17">
      <c r="A844" t="s">
        <v>903</v>
      </c>
      <c r="B844" s="1" t="s">
        <v>999</v>
      </c>
      <c r="C844" t="s">
        <v>445</v>
      </c>
      <c r="D844">
        <v>56</v>
      </c>
      <c r="E844">
        <f t="shared" si="10"/>
        <v>10.666666666666668</v>
      </c>
      <c r="F844">
        <v>1.6</v>
      </c>
      <c r="G844">
        <v>15</v>
      </c>
      <c r="H844" t="s">
        <v>904</v>
      </c>
      <c r="I844" t="s">
        <v>352</v>
      </c>
      <c r="J844">
        <v>3</v>
      </c>
    </row>
    <row r="845" spans="1:17">
      <c r="A845" t="s">
        <v>903</v>
      </c>
      <c r="B845" s="1" t="s">
        <v>999</v>
      </c>
      <c r="C845" t="s">
        <v>445</v>
      </c>
      <c r="D845">
        <v>63</v>
      </c>
      <c r="E845">
        <f t="shared" si="10"/>
        <v>0</v>
      </c>
      <c r="F845">
        <v>0</v>
      </c>
      <c r="G845">
        <v>15</v>
      </c>
      <c r="H845" t="s">
        <v>904</v>
      </c>
      <c r="I845" t="s">
        <v>352</v>
      </c>
      <c r="J845">
        <v>3</v>
      </c>
    </row>
    <row r="846" spans="1:17">
      <c r="A846" t="s">
        <v>903</v>
      </c>
      <c r="B846" s="1" t="s">
        <v>999</v>
      </c>
      <c r="C846" t="s">
        <v>702</v>
      </c>
      <c r="D846">
        <v>0</v>
      </c>
      <c r="E846">
        <f t="shared" si="10"/>
        <v>100</v>
      </c>
      <c r="F846">
        <v>2.12</v>
      </c>
      <c r="G846">
        <v>2.12</v>
      </c>
      <c r="H846" t="s">
        <v>904</v>
      </c>
      <c r="I846">
        <v>16</v>
      </c>
      <c r="K846" t="s">
        <v>1387</v>
      </c>
      <c r="Q846" t="s">
        <v>190</v>
      </c>
    </row>
    <row r="847" spans="1:17">
      <c r="A847" t="s">
        <v>903</v>
      </c>
      <c r="B847" s="1" t="s">
        <v>999</v>
      </c>
      <c r="C847" t="s">
        <v>702</v>
      </c>
      <c r="D847">
        <v>7</v>
      </c>
      <c r="E847">
        <f t="shared" si="10"/>
        <v>102.8301886792453</v>
      </c>
      <c r="F847">
        <v>2.1800000000000002</v>
      </c>
      <c r="G847">
        <v>2.12</v>
      </c>
      <c r="H847" t="s">
        <v>904</v>
      </c>
      <c r="I847">
        <v>16</v>
      </c>
    </row>
    <row r="848" spans="1:17">
      <c r="A848" t="s">
        <v>903</v>
      </c>
      <c r="B848" s="1" t="s">
        <v>999</v>
      </c>
      <c r="C848" t="s">
        <v>702</v>
      </c>
      <c r="D848">
        <v>14</v>
      </c>
      <c r="E848">
        <f t="shared" si="10"/>
        <v>105.66037735849056</v>
      </c>
      <c r="F848">
        <v>2.2400000000000002</v>
      </c>
      <c r="G848">
        <v>2.12</v>
      </c>
      <c r="H848" t="s">
        <v>904</v>
      </c>
      <c r="I848">
        <v>16</v>
      </c>
    </row>
    <row r="849" spans="1:17">
      <c r="A849" t="s">
        <v>903</v>
      </c>
      <c r="B849" s="1" t="s">
        <v>999</v>
      </c>
      <c r="C849" t="s">
        <v>702</v>
      </c>
      <c r="D849">
        <v>21</v>
      </c>
      <c r="E849">
        <f t="shared" si="10"/>
        <v>101.88679245283019</v>
      </c>
      <c r="F849">
        <v>2.16</v>
      </c>
      <c r="G849">
        <v>2.12</v>
      </c>
      <c r="H849" t="s">
        <v>904</v>
      </c>
      <c r="I849">
        <v>16</v>
      </c>
    </row>
    <row r="850" spans="1:17">
      <c r="A850" t="s">
        <v>903</v>
      </c>
      <c r="B850" s="1" t="s">
        <v>999</v>
      </c>
      <c r="C850" t="s">
        <v>702</v>
      </c>
      <c r="D850">
        <v>28</v>
      </c>
      <c r="E850">
        <f t="shared" si="10"/>
        <v>100.47169811320754</v>
      </c>
      <c r="F850">
        <v>2.13</v>
      </c>
      <c r="G850">
        <v>2.12</v>
      </c>
      <c r="H850" t="s">
        <v>904</v>
      </c>
      <c r="I850">
        <v>16</v>
      </c>
    </row>
    <row r="851" spans="1:17">
      <c r="A851" t="s">
        <v>903</v>
      </c>
      <c r="B851" s="1" t="s">
        <v>999</v>
      </c>
      <c r="C851" t="s">
        <v>702</v>
      </c>
      <c r="D851">
        <v>0</v>
      </c>
      <c r="E851">
        <f t="shared" si="10"/>
        <v>100</v>
      </c>
      <c r="F851">
        <v>2.12</v>
      </c>
      <c r="G851">
        <v>2.12</v>
      </c>
      <c r="H851" t="s">
        <v>904</v>
      </c>
      <c r="I851">
        <v>25</v>
      </c>
      <c r="K851" t="s">
        <v>1396</v>
      </c>
      <c r="L851" t="s">
        <v>3091</v>
      </c>
      <c r="N851">
        <v>-2.1600000000000001E-2</v>
      </c>
      <c r="O851">
        <v>0.98</v>
      </c>
      <c r="Q851" t="s">
        <v>190</v>
      </c>
    </row>
    <row r="852" spans="1:17">
      <c r="A852" t="s">
        <v>903</v>
      </c>
      <c r="B852" s="1" t="s">
        <v>999</v>
      </c>
      <c r="C852" t="s">
        <v>702</v>
      </c>
      <c r="D852">
        <v>7</v>
      </c>
      <c r="E852">
        <f t="shared" si="10"/>
        <v>89.150943396226396</v>
      </c>
      <c r="F852">
        <v>1.89</v>
      </c>
      <c r="G852">
        <v>2.12</v>
      </c>
      <c r="H852" t="s">
        <v>904</v>
      </c>
      <c r="I852">
        <v>25</v>
      </c>
    </row>
    <row r="853" spans="1:17">
      <c r="A853" t="s">
        <v>903</v>
      </c>
      <c r="B853" s="1" t="s">
        <v>999</v>
      </c>
      <c r="C853" t="s">
        <v>702</v>
      </c>
      <c r="D853">
        <v>14</v>
      </c>
      <c r="E853">
        <f t="shared" si="10"/>
        <v>84.433962264150935</v>
      </c>
      <c r="F853">
        <v>1.79</v>
      </c>
      <c r="G853">
        <v>2.12</v>
      </c>
      <c r="H853" t="s">
        <v>904</v>
      </c>
      <c r="I853">
        <v>25</v>
      </c>
    </row>
    <row r="854" spans="1:17">
      <c r="A854" t="s">
        <v>903</v>
      </c>
      <c r="B854" s="1" t="s">
        <v>999</v>
      </c>
      <c r="C854" t="s">
        <v>702</v>
      </c>
      <c r="D854">
        <v>21</v>
      </c>
      <c r="E854">
        <f t="shared" si="10"/>
        <v>76.415094339622641</v>
      </c>
      <c r="F854">
        <v>1.62</v>
      </c>
      <c r="G854">
        <v>2.12</v>
      </c>
      <c r="H854" t="s">
        <v>904</v>
      </c>
      <c r="I854">
        <v>25</v>
      </c>
    </row>
    <row r="855" spans="1:17">
      <c r="A855" t="s">
        <v>903</v>
      </c>
      <c r="B855" s="1" t="s">
        <v>999</v>
      </c>
      <c r="C855" t="s">
        <v>702</v>
      </c>
      <c r="D855">
        <v>28</v>
      </c>
      <c r="E855">
        <f t="shared" si="10"/>
        <v>70.754716981132077</v>
      </c>
      <c r="F855">
        <v>1.5</v>
      </c>
      <c r="G855">
        <v>2.12</v>
      </c>
      <c r="H855" t="s">
        <v>904</v>
      </c>
      <c r="I855">
        <v>25</v>
      </c>
    </row>
    <row r="856" spans="1:17">
      <c r="A856" t="s">
        <v>903</v>
      </c>
      <c r="B856" s="1" t="s">
        <v>999</v>
      </c>
      <c r="C856" t="s">
        <v>702</v>
      </c>
      <c r="D856">
        <v>0</v>
      </c>
      <c r="E856">
        <f t="shared" si="10"/>
        <v>100</v>
      </c>
      <c r="F856">
        <v>2.12</v>
      </c>
      <c r="G856">
        <v>2.12</v>
      </c>
      <c r="H856" t="s">
        <v>904</v>
      </c>
      <c r="I856">
        <v>30</v>
      </c>
      <c r="K856" t="s">
        <v>1385</v>
      </c>
      <c r="L856" t="s">
        <v>1566</v>
      </c>
      <c r="M856">
        <v>2.5499999999999998E-2</v>
      </c>
      <c r="O856">
        <v>0.99</v>
      </c>
      <c r="Q856" t="s">
        <v>190</v>
      </c>
    </row>
    <row r="857" spans="1:17">
      <c r="A857" t="s">
        <v>903</v>
      </c>
      <c r="B857" s="1" t="s">
        <v>999</v>
      </c>
      <c r="C857" t="s">
        <v>702</v>
      </c>
      <c r="D857">
        <v>7</v>
      </c>
      <c r="E857">
        <f t="shared" si="10"/>
        <v>79.245283018867923</v>
      </c>
      <c r="F857">
        <v>1.68</v>
      </c>
      <c r="G857">
        <v>2.12</v>
      </c>
      <c r="H857" t="s">
        <v>904</v>
      </c>
      <c r="I857">
        <v>30</v>
      </c>
      <c r="K857" s="9" t="s">
        <v>1564</v>
      </c>
      <c r="L857" s="9" t="s">
        <v>1565</v>
      </c>
      <c r="M857" s="9">
        <v>4.5100000000000001E-2</v>
      </c>
      <c r="N857" s="9"/>
      <c r="O857" s="9">
        <v>0.99</v>
      </c>
    </row>
    <row r="858" spans="1:17">
      <c r="A858" t="s">
        <v>903</v>
      </c>
      <c r="B858" s="1" t="s">
        <v>999</v>
      </c>
      <c r="C858" t="s">
        <v>702</v>
      </c>
      <c r="D858">
        <v>14</v>
      </c>
      <c r="E858">
        <f t="shared" si="10"/>
        <v>54.245283018867916</v>
      </c>
      <c r="F858">
        <v>1.1499999999999999</v>
      </c>
      <c r="G858">
        <v>2.12</v>
      </c>
      <c r="H858" t="s">
        <v>904</v>
      </c>
      <c r="I858">
        <v>30</v>
      </c>
      <c r="K858" t="s">
        <v>1396</v>
      </c>
      <c r="L858" t="s">
        <v>1563</v>
      </c>
      <c r="N858">
        <v>-5.67E-2</v>
      </c>
      <c r="O858">
        <v>0.98</v>
      </c>
    </row>
    <row r="859" spans="1:17">
      <c r="A859" t="s">
        <v>903</v>
      </c>
      <c r="B859" s="1" t="s">
        <v>999</v>
      </c>
      <c r="C859" t="s">
        <v>702</v>
      </c>
      <c r="D859">
        <v>21</v>
      </c>
      <c r="E859">
        <f t="shared" si="10"/>
        <v>40.094339622641506</v>
      </c>
      <c r="F859">
        <v>0.85</v>
      </c>
      <c r="G859">
        <v>2.12</v>
      </c>
      <c r="H859" t="s">
        <v>904</v>
      </c>
      <c r="I859">
        <v>30</v>
      </c>
    </row>
    <row r="860" spans="1:17">
      <c r="A860" t="s">
        <v>903</v>
      </c>
      <c r="B860" s="1" t="s">
        <v>999</v>
      </c>
      <c r="C860" t="s">
        <v>702</v>
      </c>
      <c r="D860">
        <v>28</v>
      </c>
      <c r="E860">
        <f t="shared" si="10"/>
        <v>25.943396226415093</v>
      </c>
      <c r="F860">
        <v>0.55000000000000004</v>
      </c>
      <c r="G860">
        <v>2.12</v>
      </c>
      <c r="H860" t="s">
        <v>904</v>
      </c>
      <c r="I860">
        <v>30</v>
      </c>
    </row>
    <row r="861" spans="1:17">
      <c r="A861" t="s">
        <v>945</v>
      </c>
      <c r="B861" s="1" t="s">
        <v>999</v>
      </c>
      <c r="C861" t="s">
        <v>821</v>
      </c>
      <c r="D861">
        <v>0</v>
      </c>
      <c r="E861">
        <v>100</v>
      </c>
      <c r="F861">
        <v>100</v>
      </c>
      <c r="G861">
        <v>100</v>
      </c>
      <c r="H861" t="s">
        <v>2496</v>
      </c>
      <c r="I861" t="s">
        <v>947</v>
      </c>
      <c r="K861" t="s">
        <v>2208</v>
      </c>
      <c r="L861" t="s">
        <v>2500</v>
      </c>
      <c r="O861">
        <v>0.94</v>
      </c>
    </row>
    <row r="862" spans="1:17">
      <c r="A862" t="s">
        <v>945</v>
      </c>
      <c r="B862" s="1" t="s">
        <v>999</v>
      </c>
      <c r="C862" t="s">
        <v>821</v>
      </c>
      <c r="D862">
        <v>4</v>
      </c>
      <c r="E862">
        <v>58.62</v>
      </c>
      <c r="F862">
        <v>58.62</v>
      </c>
      <c r="H862" t="s">
        <v>2496</v>
      </c>
      <c r="I862" t="s">
        <v>947</v>
      </c>
    </row>
    <row r="863" spans="1:17">
      <c r="A863" t="s">
        <v>945</v>
      </c>
      <c r="B863" s="1" t="s">
        <v>999</v>
      </c>
      <c r="C863" t="s">
        <v>821</v>
      </c>
      <c r="D863">
        <v>10</v>
      </c>
      <c r="E863">
        <v>56.28</v>
      </c>
      <c r="F863">
        <v>56.28</v>
      </c>
      <c r="H863" t="s">
        <v>2496</v>
      </c>
      <c r="I863" t="s">
        <v>947</v>
      </c>
    </row>
    <row r="864" spans="1:17">
      <c r="A864" t="s">
        <v>945</v>
      </c>
      <c r="B864" s="1" t="s">
        <v>999</v>
      </c>
      <c r="C864" t="s">
        <v>821</v>
      </c>
      <c r="D864">
        <v>17</v>
      </c>
      <c r="E864">
        <v>52.18</v>
      </c>
      <c r="F864">
        <v>52.18</v>
      </c>
      <c r="H864" t="s">
        <v>2496</v>
      </c>
      <c r="I864" t="s">
        <v>947</v>
      </c>
    </row>
    <row r="865" spans="1:15">
      <c r="A865" t="s">
        <v>945</v>
      </c>
      <c r="B865" s="1" t="s">
        <v>999</v>
      </c>
      <c r="C865" t="s">
        <v>821</v>
      </c>
      <c r="D865">
        <v>24</v>
      </c>
      <c r="E865">
        <v>47.13</v>
      </c>
      <c r="F865">
        <v>47.13</v>
      </c>
      <c r="H865" t="s">
        <v>2496</v>
      </c>
      <c r="I865" t="s">
        <v>947</v>
      </c>
    </row>
    <row r="866" spans="1:15">
      <c r="A866" t="s">
        <v>945</v>
      </c>
      <c r="B866" s="1" t="s">
        <v>999</v>
      </c>
      <c r="C866" t="s">
        <v>821</v>
      </c>
      <c r="D866">
        <v>31</v>
      </c>
      <c r="E866">
        <v>39.71</v>
      </c>
      <c r="F866">
        <v>39.71</v>
      </c>
      <c r="H866" t="s">
        <v>2496</v>
      </c>
      <c r="I866" t="s">
        <v>947</v>
      </c>
    </row>
    <row r="867" spans="1:15">
      <c r="A867" t="s">
        <v>945</v>
      </c>
      <c r="B867" s="1" t="s">
        <v>999</v>
      </c>
      <c r="C867" t="s">
        <v>821</v>
      </c>
      <c r="D867">
        <v>38</v>
      </c>
      <c r="E867">
        <v>42.64</v>
      </c>
      <c r="F867">
        <v>42.64</v>
      </c>
      <c r="H867" t="s">
        <v>2496</v>
      </c>
      <c r="I867" t="s">
        <v>947</v>
      </c>
    </row>
    <row r="868" spans="1:15">
      <c r="A868" t="s">
        <v>945</v>
      </c>
      <c r="B868" s="1" t="s">
        <v>999</v>
      </c>
      <c r="C868" t="s">
        <v>821</v>
      </c>
      <c r="D868">
        <v>44</v>
      </c>
      <c r="E868">
        <v>43.08</v>
      </c>
      <c r="F868">
        <v>43.08</v>
      </c>
      <c r="H868" t="s">
        <v>2496</v>
      </c>
      <c r="I868" t="s">
        <v>947</v>
      </c>
    </row>
    <row r="869" spans="1:15">
      <c r="A869" t="s">
        <v>945</v>
      </c>
      <c r="B869" s="1" t="s">
        <v>999</v>
      </c>
      <c r="C869" t="s">
        <v>821</v>
      </c>
      <c r="D869">
        <v>55</v>
      </c>
      <c r="E869">
        <v>38.479999999999997</v>
      </c>
      <c r="F869">
        <v>38.479999999999997</v>
      </c>
      <c r="H869" t="s">
        <v>2496</v>
      </c>
      <c r="I869" t="s">
        <v>947</v>
      </c>
    </row>
    <row r="870" spans="1:15">
      <c r="A870" t="s">
        <v>945</v>
      </c>
      <c r="B870" s="1" t="s">
        <v>999</v>
      </c>
      <c r="C870" t="s">
        <v>821</v>
      </c>
      <c r="D870">
        <v>63</v>
      </c>
      <c r="E870">
        <v>32.96</v>
      </c>
      <c r="F870">
        <v>32.96</v>
      </c>
      <c r="H870" t="s">
        <v>2496</v>
      </c>
      <c r="I870" t="s">
        <v>947</v>
      </c>
    </row>
    <row r="871" spans="1:15">
      <c r="A871" t="s">
        <v>945</v>
      </c>
      <c r="B871" s="1" t="s">
        <v>999</v>
      </c>
      <c r="C871" t="s">
        <v>821</v>
      </c>
      <c r="D871">
        <v>0</v>
      </c>
      <c r="E871">
        <v>100</v>
      </c>
      <c r="F871">
        <v>100</v>
      </c>
      <c r="H871" t="s">
        <v>2496</v>
      </c>
      <c r="I871" t="s">
        <v>948</v>
      </c>
      <c r="K871" t="s">
        <v>1385</v>
      </c>
      <c r="L871" t="s">
        <v>2499</v>
      </c>
      <c r="O871">
        <v>0.90300000000000002</v>
      </c>
    </row>
    <row r="872" spans="1:15">
      <c r="A872" t="s">
        <v>945</v>
      </c>
      <c r="B872" s="1" t="s">
        <v>999</v>
      </c>
      <c r="C872" t="s">
        <v>821</v>
      </c>
      <c r="D872">
        <v>4</v>
      </c>
      <c r="E872">
        <v>68.400000000000006</v>
      </c>
      <c r="F872">
        <v>68.400000000000006</v>
      </c>
      <c r="H872" t="s">
        <v>2496</v>
      </c>
      <c r="I872" t="s">
        <v>948</v>
      </c>
    </row>
    <row r="873" spans="1:15">
      <c r="A873" t="s">
        <v>945</v>
      </c>
      <c r="B873" s="1" t="s">
        <v>999</v>
      </c>
      <c r="C873" t="s">
        <v>821</v>
      </c>
      <c r="D873">
        <v>10</v>
      </c>
      <c r="E873">
        <v>48.89</v>
      </c>
      <c r="F873">
        <v>48.89</v>
      </c>
      <c r="H873" t="s">
        <v>2496</v>
      </c>
      <c r="I873" t="s">
        <v>948</v>
      </c>
    </row>
    <row r="874" spans="1:15">
      <c r="A874" t="s">
        <v>945</v>
      </c>
      <c r="B874" s="1" t="s">
        <v>999</v>
      </c>
      <c r="C874" t="s">
        <v>821</v>
      </c>
      <c r="D874">
        <v>17</v>
      </c>
      <c r="E874">
        <v>54.13</v>
      </c>
      <c r="F874">
        <v>54.13</v>
      </c>
      <c r="H874" t="s">
        <v>2496</v>
      </c>
      <c r="I874" t="s">
        <v>948</v>
      </c>
    </row>
    <row r="875" spans="1:15">
      <c r="A875" t="s">
        <v>945</v>
      </c>
      <c r="B875" s="1" t="s">
        <v>999</v>
      </c>
      <c r="C875" t="s">
        <v>821</v>
      </c>
      <c r="D875">
        <v>24</v>
      </c>
      <c r="E875">
        <v>43.88</v>
      </c>
      <c r="F875">
        <v>43.88</v>
      </c>
      <c r="H875" t="s">
        <v>2496</v>
      </c>
      <c r="I875" t="s">
        <v>948</v>
      </c>
    </row>
    <row r="876" spans="1:15">
      <c r="A876" t="s">
        <v>945</v>
      </c>
      <c r="B876" s="1" t="s">
        <v>999</v>
      </c>
      <c r="C876" t="s">
        <v>821</v>
      </c>
      <c r="D876">
        <v>31</v>
      </c>
      <c r="E876">
        <v>31.69</v>
      </c>
      <c r="F876">
        <v>31.69</v>
      </c>
      <c r="H876" t="s">
        <v>2496</v>
      </c>
      <c r="I876" t="s">
        <v>948</v>
      </c>
    </row>
    <row r="877" spans="1:15">
      <c r="A877" t="s">
        <v>945</v>
      </c>
      <c r="B877" s="1" t="s">
        <v>999</v>
      </c>
      <c r="C877" t="s">
        <v>821</v>
      </c>
      <c r="D877">
        <v>38</v>
      </c>
      <c r="E877">
        <v>16.89</v>
      </c>
      <c r="F877">
        <v>16.89</v>
      </c>
      <c r="H877" t="s">
        <v>2496</v>
      </c>
      <c r="I877" t="s">
        <v>948</v>
      </c>
    </row>
    <row r="878" spans="1:15">
      <c r="A878" t="s">
        <v>945</v>
      </c>
      <c r="B878" s="1" t="s">
        <v>999</v>
      </c>
      <c r="C878" t="s">
        <v>821</v>
      </c>
      <c r="D878">
        <v>44</v>
      </c>
      <c r="E878">
        <v>18.22</v>
      </c>
      <c r="F878">
        <v>18.22</v>
      </c>
      <c r="H878" t="s">
        <v>2496</v>
      </c>
      <c r="I878" t="s">
        <v>948</v>
      </c>
    </row>
    <row r="879" spans="1:15">
      <c r="A879" t="s">
        <v>945</v>
      </c>
      <c r="B879" s="1" t="s">
        <v>999</v>
      </c>
      <c r="C879" t="s">
        <v>821</v>
      </c>
      <c r="D879">
        <v>55</v>
      </c>
      <c r="E879">
        <v>6.4</v>
      </c>
      <c r="F879">
        <v>6.4</v>
      </c>
      <c r="H879" t="s">
        <v>2496</v>
      </c>
      <c r="I879" t="s">
        <v>948</v>
      </c>
    </row>
    <row r="880" spans="1:15">
      <c r="A880" t="s">
        <v>945</v>
      </c>
      <c r="B880" s="1" t="s">
        <v>999</v>
      </c>
      <c r="C880" t="s">
        <v>821</v>
      </c>
      <c r="D880">
        <v>63</v>
      </c>
      <c r="E880">
        <v>2.46</v>
      </c>
      <c r="F880">
        <v>2.46</v>
      </c>
      <c r="H880" t="s">
        <v>2496</v>
      </c>
      <c r="I880" t="s">
        <v>948</v>
      </c>
    </row>
    <row r="881" spans="1:17">
      <c r="A881" t="s">
        <v>945</v>
      </c>
      <c r="B881" s="1" t="s">
        <v>999</v>
      </c>
      <c r="C881" t="s">
        <v>821</v>
      </c>
      <c r="D881">
        <v>0</v>
      </c>
      <c r="E881">
        <v>100</v>
      </c>
      <c r="F881">
        <v>100</v>
      </c>
      <c r="G881">
        <v>100</v>
      </c>
      <c r="H881" t="s">
        <v>946</v>
      </c>
      <c r="I881" t="s">
        <v>947</v>
      </c>
      <c r="K881" t="s">
        <v>1394</v>
      </c>
      <c r="L881" t="s">
        <v>1567</v>
      </c>
      <c r="M881">
        <v>6.6000000000000003E-2</v>
      </c>
      <c r="O881">
        <v>0.97</v>
      </c>
      <c r="Q881" t="s">
        <v>190</v>
      </c>
    </row>
    <row r="882" spans="1:17">
      <c r="A882" t="s">
        <v>945</v>
      </c>
      <c r="B882" s="1" t="s">
        <v>999</v>
      </c>
      <c r="C882" t="s">
        <v>821</v>
      </c>
      <c r="D882">
        <v>4</v>
      </c>
      <c r="E882">
        <v>68.7</v>
      </c>
      <c r="F882">
        <v>68.7</v>
      </c>
      <c r="G882">
        <v>100</v>
      </c>
      <c r="H882" t="s">
        <v>946</v>
      </c>
      <c r="I882" t="s">
        <v>947</v>
      </c>
    </row>
    <row r="883" spans="1:17">
      <c r="A883" t="s">
        <v>945</v>
      </c>
      <c r="B883" s="1" t="s">
        <v>999</v>
      </c>
      <c r="C883" t="s">
        <v>821</v>
      </c>
      <c r="D883">
        <v>10</v>
      </c>
      <c r="E883">
        <v>41.2</v>
      </c>
      <c r="F883">
        <v>41.2</v>
      </c>
      <c r="G883">
        <v>100</v>
      </c>
      <c r="H883" t="s">
        <v>946</v>
      </c>
      <c r="I883" t="s">
        <v>947</v>
      </c>
    </row>
    <row r="884" spans="1:17">
      <c r="A884" t="s">
        <v>945</v>
      </c>
      <c r="B884" s="1" t="s">
        <v>999</v>
      </c>
      <c r="C884" t="s">
        <v>821</v>
      </c>
      <c r="D884">
        <v>17</v>
      </c>
      <c r="E884">
        <v>25.8</v>
      </c>
      <c r="F884">
        <v>25.8</v>
      </c>
      <c r="G884">
        <v>100</v>
      </c>
      <c r="H884" t="s">
        <v>946</v>
      </c>
      <c r="I884" t="s">
        <v>947</v>
      </c>
    </row>
    <row r="885" spans="1:17">
      <c r="A885" t="s">
        <v>945</v>
      </c>
      <c r="B885" s="1" t="s">
        <v>999</v>
      </c>
      <c r="C885" t="s">
        <v>821</v>
      </c>
      <c r="D885">
        <v>24</v>
      </c>
      <c r="E885">
        <v>23.2</v>
      </c>
      <c r="F885">
        <v>23.2</v>
      </c>
      <c r="G885">
        <v>100</v>
      </c>
      <c r="H885" t="s">
        <v>946</v>
      </c>
      <c r="I885" t="s">
        <v>947</v>
      </c>
    </row>
    <row r="886" spans="1:17">
      <c r="A886" t="s">
        <v>945</v>
      </c>
      <c r="B886" s="1" t="s">
        <v>999</v>
      </c>
      <c r="C886" t="s">
        <v>821</v>
      </c>
      <c r="D886">
        <v>31</v>
      </c>
      <c r="E886">
        <v>21.3</v>
      </c>
      <c r="F886">
        <v>21.3</v>
      </c>
      <c r="G886">
        <v>100</v>
      </c>
      <c r="H886" t="s">
        <v>946</v>
      </c>
      <c r="I886" t="s">
        <v>947</v>
      </c>
    </row>
    <row r="887" spans="1:17">
      <c r="A887" t="s">
        <v>945</v>
      </c>
      <c r="B887" s="1" t="s">
        <v>999</v>
      </c>
      <c r="C887" t="s">
        <v>821</v>
      </c>
      <c r="D887">
        <v>38</v>
      </c>
      <c r="E887">
        <v>9.4</v>
      </c>
      <c r="F887">
        <v>9.4</v>
      </c>
      <c r="G887">
        <v>100</v>
      </c>
      <c r="H887" t="s">
        <v>946</v>
      </c>
      <c r="I887" t="s">
        <v>947</v>
      </c>
    </row>
    <row r="888" spans="1:17">
      <c r="A888" t="s">
        <v>945</v>
      </c>
      <c r="B888" s="1" t="s">
        <v>999</v>
      </c>
      <c r="C888" t="s">
        <v>821</v>
      </c>
      <c r="D888">
        <v>44</v>
      </c>
      <c r="E888">
        <v>11.5</v>
      </c>
      <c r="F888">
        <v>11.5</v>
      </c>
      <c r="G888">
        <v>100</v>
      </c>
      <c r="H888" t="s">
        <v>946</v>
      </c>
      <c r="I888" t="s">
        <v>947</v>
      </c>
    </row>
    <row r="889" spans="1:17">
      <c r="A889" t="s">
        <v>945</v>
      </c>
      <c r="B889" s="1" t="s">
        <v>999</v>
      </c>
      <c r="C889" t="s">
        <v>821</v>
      </c>
      <c r="D889">
        <v>55</v>
      </c>
      <c r="E889">
        <v>3.2</v>
      </c>
      <c r="F889">
        <v>3.2</v>
      </c>
      <c r="G889">
        <v>100</v>
      </c>
      <c r="H889" t="s">
        <v>946</v>
      </c>
      <c r="I889" t="s">
        <v>947</v>
      </c>
    </row>
    <row r="890" spans="1:17">
      <c r="A890" t="s">
        <v>945</v>
      </c>
      <c r="B890" s="1" t="s">
        <v>999</v>
      </c>
      <c r="C890" t="s">
        <v>821</v>
      </c>
      <c r="D890">
        <v>63</v>
      </c>
      <c r="E890">
        <v>1.2</v>
      </c>
      <c r="F890">
        <v>1.2</v>
      </c>
      <c r="G890">
        <v>100</v>
      </c>
      <c r="H890" t="s">
        <v>946</v>
      </c>
      <c r="I890" t="s">
        <v>947</v>
      </c>
    </row>
    <row r="891" spans="1:17">
      <c r="A891" t="s">
        <v>945</v>
      </c>
      <c r="B891" s="1" t="s">
        <v>999</v>
      </c>
      <c r="C891" t="s">
        <v>821</v>
      </c>
      <c r="D891">
        <v>0</v>
      </c>
      <c r="E891">
        <v>100</v>
      </c>
      <c r="F891">
        <v>100</v>
      </c>
      <c r="G891">
        <v>100</v>
      </c>
      <c r="H891" t="s">
        <v>946</v>
      </c>
      <c r="I891" t="s">
        <v>948</v>
      </c>
      <c r="K891" t="s">
        <v>1412</v>
      </c>
      <c r="L891" t="s">
        <v>1569</v>
      </c>
      <c r="M891">
        <v>0.43149999999999999</v>
      </c>
      <c r="O891">
        <v>0.97</v>
      </c>
      <c r="Q891" t="s">
        <v>190</v>
      </c>
    </row>
    <row r="892" spans="1:17">
      <c r="A892" t="s">
        <v>945</v>
      </c>
      <c r="B892" s="1" t="s">
        <v>999</v>
      </c>
      <c r="C892" t="s">
        <v>821</v>
      </c>
      <c r="D892">
        <v>4</v>
      </c>
      <c r="E892">
        <v>53.9</v>
      </c>
      <c r="F892">
        <v>53.9</v>
      </c>
      <c r="G892">
        <v>100</v>
      </c>
      <c r="H892" t="s">
        <v>946</v>
      </c>
      <c r="I892" t="s">
        <v>948</v>
      </c>
      <c r="K892" s="9" t="s">
        <v>1385</v>
      </c>
      <c r="L892" s="9" t="s">
        <v>1568</v>
      </c>
      <c r="M892" s="9">
        <v>0.309</v>
      </c>
      <c r="N892" s="9"/>
      <c r="O892" s="9">
        <v>0.95</v>
      </c>
      <c r="P892">
        <v>2.2999999999999998</v>
      </c>
    </row>
    <row r="893" spans="1:17">
      <c r="A893" t="s">
        <v>945</v>
      </c>
      <c r="B893" s="1" t="s">
        <v>999</v>
      </c>
      <c r="C893" t="s">
        <v>821</v>
      </c>
      <c r="D893">
        <v>10</v>
      </c>
      <c r="E893">
        <v>45</v>
      </c>
      <c r="F893">
        <v>45</v>
      </c>
      <c r="G893">
        <v>100</v>
      </c>
      <c r="H893" t="s">
        <v>946</v>
      </c>
      <c r="I893" t="s">
        <v>948</v>
      </c>
    </row>
    <row r="894" spans="1:17">
      <c r="A894" t="s">
        <v>945</v>
      </c>
      <c r="B894" s="1" t="s">
        <v>999</v>
      </c>
      <c r="C894" t="s">
        <v>821</v>
      </c>
      <c r="D894">
        <v>17</v>
      </c>
      <c r="E894">
        <v>39.9</v>
      </c>
      <c r="F894">
        <v>39.9</v>
      </c>
      <c r="G894">
        <v>100</v>
      </c>
      <c r="H894" t="s">
        <v>946</v>
      </c>
      <c r="I894" t="s">
        <v>948</v>
      </c>
    </row>
    <row r="895" spans="1:17">
      <c r="A895" t="s">
        <v>945</v>
      </c>
      <c r="B895" s="1" t="s">
        <v>999</v>
      </c>
      <c r="C895" t="s">
        <v>821</v>
      </c>
      <c r="D895">
        <v>24</v>
      </c>
      <c r="E895">
        <v>35.6</v>
      </c>
      <c r="F895">
        <v>35.6</v>
      </c>
      <c r="G895">
        <v>100</v>
      </c>
      <c r="H895" t="s">
        <v>946</v>
      </c>
      <c r="I895" t="s">
        <v>948</v>
      </c>
    </row>
    <row r="896" spans="1:17">
      <c r="A896" t="s">
        <v>945</v>
      </c>
      <c r="B896" s="1" t="s">
        <v>999</v>
      </c>
      <c r="C896" t="s">
        <v>821</v>
      </c>
      <c r="D896">
        <v>31</v>
      </c>
      <c r="E896">
        <v>42.4</v>
      </c>
      <c r="F896">
        <v>42.4</v>
      </c>
      <c r="G896">
        <v>100</v>
      </c>
      <c r="H896" t="s">
        <v>946</v>
      </c>
      <c r="I896" t="s">
        <v>948</v>
      </c>
    </row>
    <row r="897" spans="1:17">
      <c r="A897" t="s">
        <v>945</v>
      </c>
      <c r="B897" s="1" t="s">
        <v>999</v>
      </c>
      <c r="C897" t="s">
        <v>821</v>
      </c>
      <c r="D897">
        <v>38</v>
      </c>
      <c r="E897">
        <v>38.5</v>
      </c>
      <c r="F897">
        <v>38.5</v>
      </c>
      <c r="G897">
        <v>100</v>
      </c>
      <c r="H897" t="s">
        <v>946</v>
      </c>
      <c r="I897" t="s">
        <v>948</v>
      </c>
    </row>
    <row r="898" spans="1:17">
      <c r="A898" t="s">
        <v>945</v>
      </c>
      <c r="B898" s="1" t="s">
        <v>999</v>
      </c>
      <c r="C898" t="s">
        <v>821</v>
      </c>
      <c r="D898">
        <v>44</v>
      </c>
      <c r="E898">
        <v>41.4</v>
      </c>
      <c r="F898">
        <v>41.4</v>
      </c>
      <c r="G898">
        <v>100</v>
      </c>
      <c r="H898" t="s">
        <v>946</v>
      </c>
      <c r="I898" t="s">
        <v>948</v>
      </c>
    </row>
    <row r="899" spans="1:17">
      <c r="A899" t="s">
        <v>945</v>
      </c>
      <c r="B899" s="1" t="s">
        <v>999</v>
      </c>
      <c r="C899" t="s">
        <v>821</v>
      </c>
      <c r="D899">
        <v>55</v>
      </c>
      <c r="E899">
        <v>33.9</v>
      </c>
      <c r="F899">
        <v>33.9</v>
      </c>
      <c r="G899">
        <v>100</v>
      </c>
      <c r="H899" t="s">
        <v>946</v>
      </c>
      <c r="I899" t="s">
        <v>948</v>
      </c>
    </row>
    <row r="900" spans="1:17">
      <c r="A900" t="s">
        <v>945</v>
      </c>
      <c r="B900" s="1" t="s">
        <v>999</v>
      </c>
      <c r="C900" t="s">
        <v>821</v>
      </c>
      <c r="D900">
        <v>63</v>
      </c>
      <c r="E900">
        <v>30.1</v>
      </c>
      <c r="F900">
        <v>30.1</v>
      </c>
      <c r="G900">
        <v>100</v>
      </c>
      <c r="H900" t="s">
        <v>946</v>
      </c>
      <c r="I900" t="s">
        <v>948</v>
      </c>
    </row>
    <row r="901" spans="1:17">
      <c r="A901" t="s">
        <v>954</v>
      </c>
      <c r="B901" s="1" t="s">
        <v>999</v>
      </c>
      <c r="C901" t="s">
        <v>663</v>
      </c>
      <c r="D901">
        <v>0</v>
      </c>
      <c r="E901">
        <v>100</v>
      </c>
      <c r="F901">
        <v>100</v>
      </c>
      <c r="G901">
        <v>100</v>
      </c>
      <c r="H901" t="s">
        <v>955</v>
      </c>
      <c r="I901" t="s">
        <v>956</v>
      </c>
      <c r="K901" t="s">
        <v>1394</v>
      </c>
      <c r="L901" t="s">
        <v>1570</v>
      </c>
      <c r="M901">
        <v>5.4800000000000001E-2</v>
      </c>
      <c r="O901">
        <v>0.99</v>
      </c>
      <c r="Q901" t="s">
        <v>190</v>
      </c>
    </row>
    <row r="902" spans="1:17">
      <c r="A902" t="s">
        <v>954</v>
      </c>
      <c r="B902" s="1" t="s">
        <v>999</v>
      </c>
      <c r="C902" t="s">
        <v>663</v>
      </c>
      <c r="D902">
        <v>1</v>
      </c>
      <c r="E902">
        <v>92.3</v>
      </c>
      <c r="F902">
        <v>92.3</v>
      </c>
      <c r="G902">
        <v>100</v>
      </c>
      <c r="H902" t="s">
        <v>955</v>
      </c>
      <c r="I902" t="s">
        <v>956</v>
      </c>
    </row>
    <row r="903" spans="1:17">
      <c r="A903" t="s">
        <v>954</v>
      </c>
      <c r="B903" s="1" t="s">
        <v>999</v>
      </c>
      <c r="C903" t="s">
        <v>663</v>
      </c>
      <c r="D903">
        <v>3</v>
      </c>
      <c r="E903">
        <v>79.5</v>
      </c>
      <c r="F903">
        <v>79.5</v>
      </c>
      <c r="G903">
        <v>100</v>
      </c>
      <c r="H903" t="s">
        <v>955</v>
      </c>
      <c r="I903" t="s">
        <v>956</v>
      </c>
    </row>
    <row r="904" spans="1:17">
      <c r="A904" t="s">
        <v>954</v>
      </c>
      <c r="B904" s="1" t="s">
        <v>999</v>
      </c>
      <c r="C904" t="s">
        <v>663</v>
      </c>
      <c r="D904">
        <v>9</v>
      </c>
      <c r="E904">
        <v>63</v>
      </c>
      <c r="F904">
        <v>63</v>
      </c>
      <c r="G904">
        <v>100</v>
      </c>
      <c r="H904" t="s">
        <v>955</v>
      </c>
      <c r="I904" t="s">
        <v>956</v>
      </c>
    </row>
    <row r="905" spans="1:17">
      <c r="A905" t="s">
        <v>954</v>
      </c>
      <c r="B905" s="1" t="s">
        <v>999</v>
      </c>
      <c r="C905" t="s">
        <v>663</v>
      </c>
      <c r="D905">
        <v>18</v>
      </c>
      <c r="E905">
        <v>35.4</v>
      </c>
      <c r="F905">
        <v>35.4</v>
      </c>
      <c r="G905">
        <v>100</v>
      </c>
      <c r="H905" t="s">
        <v>955</v>
      </c>
      <c r="I905" t="s">
        <v>956</v>
      </c>
    </row>
    <row r="906" spans="1:17">
      <c r="A906" t="s">
        <v>954</v>
      </c>
      <c r="B906" s="1" t="s">
        <v>999</v>
      </c>
      <c r="C906" t="s">
        <v>663</v>
      </c>
      <c r="D906">
        <v>0</v>
      </c>
      <c r="E906">
        <v>100</v>
      </c>
      <c r="F906">
        <v>100</v>
      </c>
      <c r="G906">
        <v>100</v>
      </c>
      <c r="H906" t="s">
        <v>955</v>
      </c>
      <c r="I906" t="s">
        <v>957</v>
      </c>
      <c r="K906" s="10" t="s">
        <v>1394</v>
      </c>
      <c r="L906" s="10" t="s">
        <v>1572</v>
      </c>
      <c r="M906" s="10">
        <v>2.6200000000000001E-2</v>
      </c>
      <c r="N906" s="10"/>
      <c r="O906" s="10">
        <v>0.8</v>
      </c>
      <c r="Q906" t="s">
        <v>190</v>
      </c>
    </row>
    <row r="907" spans="1:17">
      <c r="A907" t="s">
        <v>954</v>
      </c>
      <c r="B907" s="1" t="s">
        <v>999</v>
      </c>
      <c r="C907" t="s">
        <v>663</v>
      </c>
      <c r="D907">
        <v>1</v>
      </c>
      <c r="E907">
        <v>87.6</v>
      </c>
      <c r="F907">
        <v>87.6</v>
      </c>
      <c r="G907">
        <v>100</v>
      </c>
      <c r="H907" t="s">
        <v>955</v>
      </c>
      <c r="I907" t="s">
        <v>957</v>
      </c>
      <c r="K907" s="2" t="s">
        <v>1412</v>
      </c>
      <c r="L907" s="2" t="s">
        <v>1571</v>
      </c>
      <c r="M907" s="2">
        <v>0.20300000000000001</v>
      </c>
      <c r="N907" s="2"/>
      <c r="O907" s="2">
        <v>0.75</v>
      </c>
    </row>
    <row r="908" spans="1:17">
      <c r="A908" t="s">
        <v>954</v>
      </c>
      <c r="B908" s="1" t="s">
        <v>999</v>
      </c>
      <c r="C908" t="s">
        <v>663</v>
      </c>
      <c r="D908">
        <v>3</v>
      </c>
      <c r="E908">
        <v>78</v>
      </c>
      <c r="F908">
        <v>78</v>
      </c>
      <c r="G908">
        <v>100</v>
      </c>
      <c r="H908" t="s">
        <v>955</v>
      </c>
      <c r="I908" t="s">
        <v>957</v>
      </c>
    </row>
    <row r="909" spans="1:17">
      <c r="A909" t="s">
        <v>954</v>
      </c>
      <c r="B909" s="1" t="s">
        <v>999</v>
      </c>
      <c r="C909" t="s">
        <v>663</v>
      </c>
      <c r="D909">
        <v>9</v>
      </c>
      <c r="E909">
        <v>78.400000000000006</v>
      </c>
      <c r="F909">
        <v>78.400000000000006</v>
      </c>
      <c r="G909">
        <v>100</v>
      </c>
      <c r="H909" t="s">
        <v>955</v>
      </c>
      <c r="I909" t="s">
        <v>957</v>
      </c>
    </row>
    <row r="910" spans="1:17">
      <c r="A910" t="s">
        <v>954</v>
      </c>
      <c r="B910" s="1" t="s">
        <v>999</v>
      </c>
      <c r="C910" t="s">
        <v>663</v>
      </c>
      <c r="D910">
        <v>18</v>
      </c>
      <c r="E910">
        <v>57.2</v>
      </c>
      <c r="F910">
        <v>57.2</v>
      </c>
      <c r="G910">
        <v>100</v>
      </c>
      <c r="H910" t="s">
        <v>955</v>
      </c>
      <c r="I910" t="s">
        <v>957</v>
      </c>
    </row>
    <row r="911" spans="1:17">
      <c r="A911" t="s">
        <v>954</v>
      </c>
      <c r="B911" s="1" t="s">
        <v>999</v>
      </c>
      <c r="C911" t="s">
        <v>663</v>
      </c>
      <c r="D911">
        <v>0</v>
      </c>
      <c r="E911">
        <v>100</v>
      </c>
      <c r="F911">
        <v>100</v>
      </c>
      <c r="G911">
        <v>100</v>
      </c>
      <c r="H911" t="s">
        <v>955</v>
      </c>
      <c r="I911" t="s">
        <v>958</v>
      </c>
      <c r="K911" t="s">
        <v>1396</v>
      </c>
      <c r="L911" t="s">
        <v>1574</v>
      </c>
      <c r="N911">
        <v>-2.6785000000000001</v>
      </c>
      <c r="O911">
        <v>0.91</v>
      </c>
      <c r="Q911" t="s">
        <v>190</v>
      </c>
    </row>
    <row r="912" spans="1:17">
      <c r="A912" t="s">
        <v>954</v>
      </c>
      <c r="B912" s="1" t="s">
        <v>999</v>
      </c>
      <c r="C912" t="s">
        <v>663</v>
      </c>
      <c r="D912">
        <v>1</v>
      </c>
      <c r="E912">
        <v>82.5</v>
      </c>
      <c r="F912">
        <v>82.5</v>
      </c>
      <c r="G912">
        <v>100</v>
      </c>
      <c r="H912" t="s">
        <v>955</v>
      </c>
      <c r="I912" t="s">
        <v>958</v>
      </c>
      <c r="K912" s="9" t="s">
        <v>1394</v>
      </c>
      <c r="L912" s="9" t="s">
        <v>1573</v>
      </c>
      <c r="M912" s="9">
        <v>3.9800000000000002E-2</v>
      </c>
      <c r="N912" s="9"/>
      <c r="O912" s="9">
        <v>0.92</v>
      </c>
    </row>
    <row r="913" spans="1:18">
      <c r="A913" t="s">
        <v>954</v>
      </c>
      <c r="B913" s="1" t="s">
        <v>999</v>
      </c>
      <c r="C913" t="s">
        <v>663</v>
      </c>
      <c r="D913">
        <v>3</v>
      </c>
      <c r="E913">
        <v>84.2</v>
      </c>
      <c r="F913">
        <v>84.2</v>
      </c>
      <c r="G913">
        <v>100</v>
      </c>
      <c r="H913" t="s">
        <v>955</v>
      </c>
      <c r="I913" t="s">
        <v>958</v>
      </c>
    </row>
    <row r="914" spans="1:18">
      <c r="A914" t="s">
        <v>954</v>
      </c>
      <c r="B914" s="1" t="s">
        <v>999</v>
      </c>
      <c r="C914" t="s">
        <v>663</v>
      </c>
      <c r="D914">
        <v>9</v>
      </c>
      <c r="E914">
        <v>68.099999999999994</v>
      </c>
      <c r="F914">
        <v>68.099999999999994</v>
      </c>
      <c r="G914">
        <v>100</v>
      </c>
      <c r="H914" t="s">
        <v>955</v>
      </c>
      <c r="I914" t="s">
        <v>958</v>
      </c>
    </row>
    <row r="915" spans="1:18">
      <c r="A915" t="s">
        <v>954</v>
      </c>
      <c r="B915" s="1" t="s">
        <v>999</v>
      </c>
      <c r="C915" t="s">
        <v>663</v>
      </c>
      <c r="D915">
        <v>18</v>
      </c>
      <c r="E915">
        <v>45</v>
      </c>
      <c r="F915">
        <v>45</v>
      </c>
      <c r="G915">
        <v>100</v>
      </c>
      <c r="H915" t="s">
        <v>955</v>
      </c>
      <c r="I915" t="s">
        <v>958</v>
      </c>
    </row>
    <row r="916" spans="1:18">
      <c r="A916" t="s">
        <v>954</v>
      </c>
      <c r="B916" s="1" t="s">
        <v>999</v>
      </c>
      <c r="C916" t="s">
        <v>663</v>
      </c>
      <c r="D916">
        <v>0</v>
      </c>
      <c r="E916">
        <v>100</v>
      </c>
      <c r="F916">
        <v>100</v>
      </c>
      <c r="G916">
        <v>100</v>
      </c>
      <c r="H916" t="s">
        <v>955</v>
      </c>
      <c r="I916" t="s">
        <v>959</v>
      </c>
      <c r="K916" t="s">
        <v>1394</v>
      </c>
      <c r="L916" t="s">
        <v>1575</v>
      </c>
      <c r="M916">
        <v>3.8399999999999997E-2</v>
      </c>
      <c r="O916">
        <v>0.94</v>
      </c>
      <c r="Q916" t="s">
        <v>190</v>
      </c>
    </row>
    <row r="917" spans="1:18">
      <c r="A917" t="s">
        <v>954</v>
      </c>
      <c r="B917" s="1" t="s">
        <v>999</v>
      </c>
      <c r="C917" t="s">
        <v>663</v>
      </c>
      <c r="D917">
        <v>1</v>
      </c>
      <c r="E917">
        <v>84.4</v>
      </c>
      <c r="F917">
        <v>84.4</v>
      </c>
      <c r="G917">
        <v>100</v>
      </c>
      <c r="H917" t="s">
        <v>955</v>
      </c>
      <c r="I917" t="s">
        <v>959</v>
      </c>
    </row>
    <row r="918" spans="1:18">
      <c r="A918" t="s">
        <v>954</v>
      </c>
      <c r="B918" s="1" t="s">
        <v>999</v>
      </c>
      <c r="C918" t="s">
        <v>663</v>
      </c>
      <c r="D918">
        <v>3</v>
      </c>
      <c r="E918">
        <v>82.5</v>
      </c>
      <c r="F918">
        <v>82.5</v>
      </c>
      <c r="G918">
        <v>100</v>
      </c>
      <c r="H918" t="s">
        <v>955</v>
      </c>
      <c r="I918" t="s">
        <v>959</v>
      </c>
    </row>
    <row r="919" spans="1:18">
      <c r="A919" t="s">
        <v>954</v>
      </c>
      <c r="B919" s="1" t="s">
        <v>999</v>
      </c>
      <c r="C919" t="s">
        <v>663</v>
      </c>
      <c r="D919">
        <v>9</v>
      </c>
      <c r="E919">
        <v>66</v>
      </c>
      <c r="F919">
        <v>66</v>
      </c>
      <c r="G919">
        <v>100</v>
      </c>
      <c r="H919" t="s">
        <v>955</v>
      </c>
      <c r="I919" t="s">
        <v>959</v>
      </c>
    </row>
    <row r="920" spans="1:18">
      <c r="A920" t="s">
        <v>954</v>
      </c>
      <c r="B920" s="1" t="s">
        <v>999</v>
      </c>
      <c r="C920" t="s">
        <v>663</v>
      </c>
      <c r="D920">
        <v>18</v>
      </c>
      <c r="E920">
        <v>48.2</v>
      </c>
      <c r="F920">
        <v>48.2</v>
      </c>
      <c r="G920">
        <v>100</v>
      </c>
      <c r="H920" t="s">
        <v>955</v>
      </c>
      <c r="I920" t="s">
        <v>959</v>
      </c>
    </row>
    <row r="921" spans="1:18">
      <c r="A921" t="s">
        <v>981</v>
      </c>
      <c r="B921" t="s">
        <v>184</v>
      </c>
      <c r="C921" t="s">
        <v>979</v>
      </c>
      <c r="D921">
        <v>0</v>
      </c>
      <c r="E921">
        <f t="shared" ref="E921:E939" si="11">F921/G921*100</f>
        <v>100</v>
      </c>
      <c r="F921">
        <v>1.23</v>
      </c>
      <c r="G921">
        <v>1.23</v>
      </c>
      <c r="H921" t="s">
        <v>980</v>
      </c>
      <c r="I921" t="s">
        <v>194</v>
      </c>
      <c r="J921">
        <v>2</v>
      </c>
      <c r="K921" t="s">
        <v>1385</v>
      </c>
      <c r="L921" t="s">
        <v>1576</v>
      </c>
      <c r="M921">
        <v>0.15559999999999999</v>
      </c>
      <c r="O921">
        <v>0.97</v>
      </c>
      <c r="P921">
        <v>3.4</v>
      </c>
      <c r="Q921" t="s">
        <v>1394</v>
      </c>
      <c r="R921" s="17" t="s">
        <v>1578</v>
      </c>
    </row>
    <row r="922" spans="1:18">
      <c r="A922" t="s">
        <v>981</v>
      </c>
      <c r="B922" t="s">
        <v>184</v>
      </c>
      <c r="C922" t="s">
        <v>979</v>
      </c>
      <c r="D922">
        <v>1</v>
      </c>
      <c r="E922">
        <f t="shared" si="11"/>
        <v>83.739837398373979</v>
      </c>
      <c r="F922">
        <v>1.03</v>
      </c>
      <c r="G922">
        <v>1.23</v>
      </c>
      <c r="H922" t="s">
        <v>980</v>
      </c>
      <c r="I922" t="s">
        <v>194</v>
      </c>
      <c r="J922">
        <v>2</v>
      </c>
      <c r="R922" s="17"/>
    </row>
    <row r="923" spans="1:18">
      <c r="A923" t="s">
        <v>981</v>
      </c>
      <c r="B923" t="s">
        <v>184</v>
      </c>
      <c r="C923" t="s">
        <v>979</v>
      </c>
      <c r="D923">
        <v>3</v>
      </c>
      <c r="E923">
        <f t="shared" si="11"/>
        <v>71.544715447154474</v>
      </c>
      <c r="F923">
        <v>0.88</v>
      </c>
      <c r="G923">
        <v>1.23</v>
      </c>
      <c r="H923" t="s">
        <v>980</v>
      </c>
      <c r="I923" t="s">
        <v>194</v>
      </c>
      <c r="J923">
        <v>2</v>
      </c>
      <c r="R923" s="17"/>
    </row>
    <row r="924" spans="1:18">
      <c r="A924" t="s">
        <v>981</v>
      </c>
      <c r="B924" t="s">
        <v>184</v>
      </c>
      <c r="C924" t="s">
        <v>979</v>
      </c>
      <c r="D924">
        <v>7</v>
      </c>
      <c r="E924">
        <f t="shared" si="11"/>
        <v>63.414634146341463</v>
      </c>
      <c r="F924">
        <v>0.78</v>
      </c>
      <c r="G924">
        <v>1.23</v>
      </c>
      <c r="H924" t="s">
        <v>980</v>
      </c>
      <c r="I924" t="s">
        <v>194</v>
      </c>
      <c r="J924">
        <v>2</v>
      </c>
      <c r="R924" s="17"/>
    </row>
    <row r="925" spans="1:18">
      <c r="A925" t="s">
        <v>981</v>
      </c>
      <c r="B925" t="s">
        <v>184</v>
      </c>
      <c r="C925" t="s">
        <v>979</v>
      </c>
      <c r="D925">
        <v>15</v>
      </c>
      <c r="E925">
        <f t="shared" si="11"/>
        <v>49.59349593495935</v>
      </c>
      <c r="F925">
        <v>0.61</v>
      </c>
      <c r="G925">
        <v>1.23</v>
      </c>
      <c r="H925" t="s">
        <v>980</v>
      </c>
      <c r="I925" t="s">
        <v>194</v>
      </c>
      <c r="J925">
        <v>2</v>
      </c>
      <c r="R925" s="17"/>
    </row>
    <row r="926" spans="1:18">
      <c r="A926" t="s">
        <v>981</v>
      </c>
      <c r="B926" t="s">
        <v>184</v>
      </c>
      <c r="C926" t="s">
        <v>979</v>
      </c>
      <c r="D926">
        <v>21</v>
      </c>
      <c r="E926">
        <f t="shared" si="11"/>
        <v>43.089430894308947</v>
      </c>
      <c r="F926">
        <v>0.53</v>
      </c>
      <c r="G926">
        <v>1.23</v>
      </c>
      <c r="H926" t="s">
        <v>980</v>
      </c>
      <c r="I926" t="s">
        <v>194</v>
      </c>
      <c r="J926">
        <v>2</v>
      </c>
      <c r="R926" s="17"/>
    </row>
    <row r="927" spans="1:18">
      <c r="A927" t="s">
        <v>981</v>
      </c>
      <c r="B927" t="s">
        <v>184</v>
      </c>
      <c r="C927" t="s">
        <v>979</v>
      </c>
      <c r="D927">
        <v>30</v>
      </c>
      <c r="E927">
        <f t="shared" si="11"/>
        <v>41.463414634146346</v>
      </c>
      <c r="F927">
        <v>0.51</v>
      </c>
      <c r="G927">
        <v>1.23</v>
      </c>
      <c r="H927" t="s">
        <v>980</v>
      </c>
      <c r="I927" t="s">
        <v>194</v>
      </c>
      <c r="J927">
        <v>2</v>
      </c>
      <c r="R927" s="17"/>
    </row>
    <row r="928" spans="1:18">
      <c r="A928" t="s">
        <v>981</v>
      </c>
      <c r="B928" t="s">
        <v>184</v>
      </c>
      <c r="C928" t="s">
        <v>979</v>
      </c>
      <c r="D928">
        <v>44</v>
      </c>
      <c r="E928">
        <f t="shared" si="11"/>
        <v>43.902439024390247</v>
      </c>
      <c r="F928">
        <v>0.54</v>
      </c>
      <c r="G928">
        <v>1.23</v>
      </c>
      <c r="H928" t="s">
        <v>980</v>
      </c>
      <c r="I928" t="s">
        <v>194</v>
      </c>
      <c r="J928">
        <v>2</v>
      </c>
      <c r="R928" s="17"/>
    </row>
    <row r="929" spans="1:18">
      <c r="A929" t="s">
        <v>981</v>
      </c>
      <c r="B929" t="s">
        <v>184</v>
      </c>
      <c r="C929" t="s">
        <v>979</v>
      </c>
      <c r="D929">
        <v>59</v>
      </c>
      <c r="E929">
        <f t="shared" si="11"/>
        <v>42.276422764227647</v>
      </c>
      <c r="F929">
        <v>0.52</v>
      </c>
      <c r="G929">
        <v>1.23</v>
      </c>
      <c r="H929" t="s">
        <v>980</v>
      </c>
      <c r="I929" t="s">
        <v>194</v>
      </c>
      <c r="J929">
        <v>2</v>
      </c>
      <c r="R929" s="17"/>
    </row>
    <row r="930" spans="1:18">
      <c r="A930" t="s">
        <v>981</v>
      </c>
      <c r="B930" t="s">
        <v>184</v>
      </c>
      <c r="C930" t="s">
        <v>979</v>
      </c>
      <c r="D930">
        <v>70</v>
      </c>
      <c r="E930">
        <f t="shared" si="11"/>
        <v>39.024390243902438</v>
      </c>
      <c r="F930">
        <v>0.48</v>
      </c>
      <c r="G930">
        <v>1.23</v>
      </c>
      <c r="H930" t="s">
        <v>980</v>
      </c>
      <c r="I930" t="s">
        <v>194</v>
      </c>
      <c r="J930">
        <v>2</v>
      </c>
      <c r="R930" s="17"/>
    </row>
    <row r="931" spans="1:18">
      <c r="A931" t="s">
        <v>981</v>
      </c>
      <c r="B931" t="s">
        <v>186</v>
      </c>
      <c r="C931" t="s">
        <v>979</v>
      </c>
      <c r="D931">
        <v>1</v>
      </c>
      <c r="E931">
        <f t="shared" si="11"/>
        <v>100</v>
      </c>
      <c r="F931">
        <v>112.6</v>
      </c>
      <c r="G931">
        <v>112.6</v>
      </c>
      <c r="H931" t="s">
        <v>982</v>
      </c>
      <c r="I931" t="s">
        <v>194</v>
      </c>
      <c r="J931">
        <v>2</v>
      </c>
      <c r="K931" t="s">
        <v>1385</v>
      </c>
      <c r="L931" t="s">
        <v>1577</v>
      </c>
      <c r="M931">
        <v>0.1162</v>
      </c>
      <c r="O931">
        <v>0.97</v>
      </c>
      <c r="P931">
        <v>7</v>
      </c>
      <c r="Q931" t="s">
        <v>1394</v>
      </c>
      <c r="R931" s="17" t="s">
        <v>1578</v>
      </c>
    </row>
    <row r="932" spans="1:18">
      <c r="A932" t="s">
        <v>981</v>
      </c>
      <c r="B932" t="s">
        <v>186</v>
      </c>
      <c r="C932" t="s">
        <v>979</v>
      </c>
      <c r="D932">
        <v>3</v>
      </c>
      <c r="E932">
        <f t="shared" si="11"/>
        <v>88.80994671403198</v>
      </c>
      <c r="F932">
        <v>100</v>
      </c>
      <c r="G932">
        <v>112.6</v>
      </c>
      <c r="H932" t="s">
        <v>982</v>
      </c>
      <c r="I932" t="s">
        <v>194</v>
      </c>
      <c r="J932">
        <v>2</v>
      </c>
    </row>
    <row r="933" spans="1:18">
      <c r="A933" t="s">
        <v>981</v>
      </c>
      <c r="B933" t="s">
        <v>186</v>
      </c>
      <c r="C933" t="s">
        <v>979</v>
      </c>
      <c r="D933">
        <v>7</v>
      </c>
      <c r="E933">
        <f t="shared" si="11"/>
        <v>45.293072824156305</v>
      </c>
      <c r="F933">
        <v>51</v>
      </c>
      <c r="G933">
        <v>112.6</v>
      </c>
      <c r="H933" t="s">
        <v>982</v>
      </c>
      <c r="I933" t="s">
        <v>194</v>
      </c>
      <c r="J933">
        <v>2</v>
      </c>
    </row>
    <row r="934" spans="1:18">
      <c r="A934" t="s">
        <v>981</v>
      </c>
      <c r="B934" t="s">
        <v>186</v>
      </c>
      <c r="C934" t="s">
        <v>979</v>
      </c>
      <c r="D934">
        <v>15</v>
      </c>
      <c r="E934">
        <f t="shared" si="11"/>
        <v>36.412078152753111</v>
      </c>
      <c r="F934">
        <v>41</v>
      </c>
      <c r="G934">
        <v>112.6</v>
      </c>
      <c r="H934" t="s">
        <v>982</v>
      </c>
      <c r="I934" t="s">
        <v>194</v>
      </c>
      <c r="J934">
        <v>2</v>
      </c>
    </row>
    <row r="935" spans="1:18">
      <c r="A935" t="s">
        <v>981</v>
      </c>
      <c r="B935" t="s">
        <v>186</v>
      </c>
      <c r="C935" t="s">
        <v>979</v>
      </c>
      <c r="D935">
        <v>21</v>
      </c>
      <c r="E935">
        <f t="shared" si="11"/>
        <v>24.866785079928952</v>
      </c>
      <c r="F935">
        <v>28</v>
      </c>
      <c r="G935">
        <v>112.6</v>
      </c>
      <c r="H935" t="s">
        <v>982</v>
      </c>
      <c r="I935" t="s">
        <v>194</v>
      </c>
      <c r="J935">
        <v>2</v>
      </c>
    </row>
    <row r="936" spans="1:18">
      <c r="A936" t="s">
        <v>981</v>
      </c>
      <c r="B936" t="s">
        <v>186</v>
      </c>
      <c r="C936" t="s">
        <v>979</v>
      </c>
      <c r="D936">
        <v>30</v>
      </c>
      <c r="E936">
        <f t="shared" si="11"/>
        <v>10.657193605683837</v>
      </c>
      <c r="F936">
        <v>12</v>
      </c>
      <c r="G936">
        <v>112.6</v>
      </c>
      <c r="H936" t="s">
        <v>982</v>
      </c>
      <c r="I936" t="s">
        <v>194</v>
      </c>
      <c r="J936">
        <v>2</v>
      </c>
    </row>
    <row r="937" spans="1:18">
      <c r="A937" t="s">
        <v>981</v>
      </c>
      <c r="B937" t="s">
        <v>186</v>
      </c>
      <c r="C937" t="s">
        <v>979</v>
      </c>
      <c r="D937">
        <v>44</v>
      </c>
      <c r="E937">
        <f t="shared" si="11"/>
        <v>12.433392539964476</v>
      </c>
      <c r="F937">
        <v>14</v>
      </c>
      <c r="G937">
        <v>112.6</v>
      </c>
      <c r="H937" t="s">
        <v>982</v>
      </c>
      <c r="I937" t="s">
        <v>194</v>
      </c>
      <c r="J937">
        <v>2</v>
      </c>
    </row>
    <row r="938" spans="1:18">
      <c r="A938" t="s">
        <v>981</v>
      </c>
      <c r="B938" t="s">
        <v>186</v>
      </c>
      <c r="C938" t="s">
        <v>979</v>
      </c>
      <c r="D938">
        <v>59</v>
      </c>
      <c r="E938">
        <f t="shared" si="11"/>
        <v>11.545293072824157</v>
      </c>
      <c r="F938">
        <v>13</v>
      </c>
      <c r="G938">
        <v>112.6</v>
      </c>
      <c r="H938" t="s">
        <v>982</v>
      </c>
      <c r="I938" t="s">
        <v>194</v>
      </c>
      <c r="J938">
        <v>2</v>
      </c>
    </row>
    <row r="939" spans="1:18">
      <c r="A939" t="s">
        <v>981</v>
      </c>
      <c r="B939" t="s">
        <v>186</v>
      </c>
      <c r="C939" t="s">
        <v>979</v>
      </c>
      <c r="D939">
        <v>70</v>
      </c>
      <c r="E939">
        <f t="shared" si="11"/>
        <v>11.545293072824157</v>
      </c>
      <c r="F939">
        <v>13</v>
      </c>
      <c r="G939">
        <v>112.6</v>
      </c>
      <c r="H939" t="s">
        <v>982</v>
      </c>
      <c r="I939" t="s">
        <v>194</v>
      </c>
      <c r="J939">
        <v>2</v>
      </c>
    </row>
    <row r="940" spans="1:18">
      <c r="A940" t="s">
        <v>1014</v>
      </c>
      <c r="B940" t="s">
        <v>184</v>
      </c>
      <c r="C940" t="s">
        <v>702</v>
      </c>
      <c r="D940">
        <v>0</v>
      </c>
      <c r="E940">
        <v>100</v>
      </c>
      <c r="F940">
        <v>100</v>
      </c>
      <c r="G940">
        <v>100</v>
      </c>
      <c r="H940" t="s">
        <v>1012</v>
      </c>
      <c r="I940" t="s">
        <v>194</v>
      </c>
      <c r="J940">
        <v>2</v>
      </c>
      <c r="K940" t="s">
        <v>1385</v>
      </c>
      <c r="L940" t="s">
        <v>1579</v>
      </c>
      <c r="M940">
        <v>4.7399999999999998E-2</v>
      </c>
      <c r="O940">
        <v>0.96</v>
      </c>
      <c r="P940">
        <v>14.6</v>
      </c>
      <c r="Q940" t="s">
        <v>190</v>
      </c>
    </row>
    <row r="941" spans="1:18">
      <c r="A941" t="s">
        <v>1014</v>
      </c>
      <c r="B941" t="s">
        <v>184</v>
      </c>
      <c r="C941" t="s">
        <v>702</v>
      </c>
      <c r="D941">
        <v>5</v>
      </c>
      <c r="E941">
        <v>86</v>
      </c>
      <c r="F941">
        <v>86</v>
      </c>
      <c r="G941">
        <v>100</v>
      </c>
      <c r="H941" t="s">
        <v>1012</v>
      </c>
      <c r="I941" t="s">
        <v>194</v>
      </c>
      <c r="J941">
        <v>2</v>
      </c>
    </row>
    <row r="942" spans="1:18">
      <c r="A942" t="s">
        <v>1014</v>
      </c>
      <c r="B942" t="s">
        <v>184</v>
      </c>
      <c r="C942" t="s">
        <v>702</v>
      </c>
      <c r="D942">
        <v>10</v>
      </c>
      <c r="E942">
        <v>86.6</v>
      </c>
      <c r="F942">
        <v>86.6</v>
      </c>
      <c r="G942">
        <v>100</v>
      </c>
      <c r="H942" t="s">
        <v>1012</v>
      </c>
      <c r="I942" t="s">
        <v>194</v>
      </c>
      <c r="J942">
        <v>2</v>
      </c>
    </row>
    <row r="943" spans="1:18">
      <c r="A943" t="s">
        <v>1014</v>
      </c>
      <c r="B943" t="s">
        <v>184</v>
      </c>
      <c r="C943" t="s">
        <v>702</v>
      </c>
      <c r="D943">
        <v>25</v>
      </c>
      <c r="E943">
        <v>62</v>
      </c>
      <c r="F943">
        <v>62</v>
      </c>
      <c r="G943">
        <v>100</v>
      </c>
      <c r="H943" t="s">
        <v>1012</v>
      </c>
      <c r="I943" t="s">
        <v>194</v>
      </c>
      <c r="J943">
        <v>2</v>
      </c>
    </row>
    <row r="944" spans="1:18">
      <c r="A944" t="s">
        <v>1014</v>
      </c>
      <c r="B944" t="s">
        <v>184</v>
      </c>
      <c r="C944" t="s">
        <v>702</v>
      </c>
      <c r="D944">
        <v>50</v>
      </c>
      <c r="E944">
        <v>53.8</v>
      </c>
      <c r="F944">
        <v>53.8</v>
      </c>
      <c r="G944">
        <v>100</v>
      </c>
      <c r="H944" t="s">
        <v>1012</v>
      </c>
      <c r="I944" t="s">
        <v>194</v>
      </c>
      <c r="J944">
        <v>2</v>
      </c>
    </row>
    <row r="945" spans="1:17">
      <c r="A945" t="s">
        <v>1014</v>
      </c>
      <c r="B945" t="s">
        <v>184</v>
      </c>
      <c r="C945" t="s">
        <v>702</v>
      </c>
      <c r="D945">
        <v>100</v>
      </c>
      <c r="E945">
        <v>52.4</v>
      </c>
      <c r="F945">
        <v>52.4</v>
      </c>
      <c r="G945">
        <v>100</v>
      </c>
      <c r="H945" t="s">
        <v>1012</v>
      </c>
      <c r="I945" t="s">
        <v>194</v>
      </c>
      <c r="J945">
        <v>2</v>
      </c>
    </row>
    <row r="946" spans="1:17">
      <c r="A946" t="s">
        <v>1014</v>
      </c>
      <c r="B946" t="s">
        <v>184</v>
      </c>
      <c r="C946" t="s">
        <v>702</v>
      </c>
      <c r="D946">
        <v>150</v>
      </c>
      <c r="E946">
        <v>48</v>
      </c>
      <c r="F946">
        <v>48</v>
      </c>
      <c r="G946">
        <v>100</v>
      </c>
      <c r="H946" t="s">
        <v>1012</v>
      </c>
      <c r="I946" t="s">
        <v>194</v>
      </c>
      <c r="J946">
        <v>2</v>
      </c>
    </row>
    <row r="947" spans="1:17">
      <c r="A947" t="s">
        <v>1014</v>
      </c>
      <c r="B947" t="s">
        <v>184</v>
      </c>
      <c r="C947" t="s">
        <v>1013</v>
      </c>
      <c r="D947">
        <v>0</v>
      </c>
      <c r="E947">
        <v>100</v>
      </c>
      <c r="F947">
        <v>100</v>
      </c>
      <c r="G947">
        <v>100</v>
      </c>
      <c r="H947" t="s">
        <v>1012</v>
      </c>
      <c r="I947" t="s">
        <v>194</v>
      </c>
      <c r="J947">
        <v>2</v>
      </c>
      <c r="K947" t="s">
        <v>1385</v>
      </c>
      <c r="L947" t="s">
        <v>1580</v>
      </c>
      <c r="M947">
        <v>4.1700000000000001E-2</v>
      </c>
      <c r="O947">
        <v>0.99</v>
      </c>
      <c r="P947">
        <v>16.3</v>
      </c>
      <c r="Q947" t="s">
        <v>190</v>
      </c>
    </row>
    <row r="948" spans="1:17">
      <c r="A948" t="s">
        <v>1014</v>
      </c>
      <c r="B948" t="s">
        <v>184</v>
      </c>
      <c r="C948" t="s">
        <v>1013</v>
      </c>
      <c r="D948">
        <v>5</v>
      </c>
      <c r="E948">
        <v>91</v>
      </c>
      <c r="F948">
        <v>91</v>
      </c>
      <c r="G948">
        <v>100</v>
      </c>
      <c r="H948" t="s">
        <v>1012</v>
      </c>
      <c r="I948" t="s">
        <v>194</v>
      </c>
      <c r="J948">
        <v>2</v>
      </c>
    </row>
    <row r="949" spans="1:17">
      <c r="A949" t="s">
        <v>1014</v>
      </c>
      <c r="B949" t="s">
        <v>184</v>
      </c>
      <c r="C949" t="s">
        <v>1013</v>
      </c>
      <c r="D949">
        <v>10</v>
      </c>
      <c r="E949">
        <v>76.2</v>
      </c>
      <c r="F949">
        <v>76.2</v>
      </c>
      <c r="G949">
        <v>100</v>
      </c>
      <c r="H949" t="s">
        <v>1012</v>
      </c>
      <c r="I949" t="s">
        <v>194</v>
      </c>
      <c r="J949">
        <v>2</v>
      </c>
    </row>
    <row r="950" spans="1:17">
      <c r="A950" t="s">
        <v>1014</v>
      </c>
      <c r="B950" t="s">
        <v>184</v>
      </c>
      <c r="C950" t="s">
        <v>1013</v>
      </c>
      <c r="D950">
        <v>25</v>
      </c>
      <c r="E950">
        <v>57.8</v>
      </c>
      <c r="F950">
        <v>57.8</v>
      </c>
      <c r="G950">
        <v>100</v>
      </c>
      <c r="H950" t="s">
        <v>1012</v>
      </c>
      <c r="I950" t="s">
        <v>194</v>
      </c>
      <c r="J950">
        <v>2</v>
      </c>
    </row>
    <row r="951" spans="1:17">
      <c r="A951" t="s">
        <v>1014</v>
      </c>
      <c r="B951" t="s">
        <v>184</v>
      </c>
      <c r="C951" t="s">
        <v>1013</v>
      </c>
      <c r="D951">
        <v>50</v>
      </c>
      <c r="E951">
        <v>46.9</v>
      </c>
      <c r="F951">
        <v>46.9</v>
      </c>
      <c r="G951">
        <v>100</v>
      </c>
      <c r="H951" t="s">
        <v>1012</v>
      </c>
      <c r="I951" t="s">
        <v>194</v>
      </c>
      <c r="J951">
        <v>2</v>
      </c>
    </row>
    <row r="952" spans="1:17">
      <c r="A952" t="s">
        <v>1014</v>
      </c>
      <c r="B952" t="s">
        <v>184</v>
      </c>
      <c r="C952" t="s">
        <v>1013</v>
      </c>
      <c r="D952">
        <v>100</v>
      </c>
      <c r="E952">
        <v>35.1</v>
      </c>
      <c r="F952">
        <v>35.1</v>
      </c>
      <c r="G952">
        <v>100</v>
      </c>
      <c r="H952" t="s">
        <v>1012</v>
      </c>
      <c r="I952" t="s">
        <v>194</v>
      </c>
      <c r="J952">
        <v>2</v>
      </c>
    </row>
    <row r="953" spans="1:17">
      <c r="A953" t="s">
        <v>1014</v>
      </c>
      <c r="B953" t="s">
        <v>184</v>
      </c>
      <c r="C953" t="s">
        <v>1013</v>
      </c>
      <c r="D953">
        <v>150</v>
      </c>
      <c r="E953">
        <v>36.799999999999997</v>
      </c>
      <c r="F953">
        <v>36.799999999999997</v>
      </c>
      <c r="G953">
        <v>100</v>
      </c>
      <c r="H953" t="s">
        <v>1012</v>
      </c>
      <c r="I953" t="s">
        <v>194</v>
      </c>
      <c r="J953">
        <v>2</v>
      </c>
    </row>
    <row r="954" spans="1:17">
      <c r="A954" t="s">
        <v>1014</v>
      </c>
      <c r="B954" t="s">
        <v>184</v>
      </c>
      <c r="C954" t="s">
        <v>1004</v>
      </c>
      <c r="D954">
        <v>0</v>
      </c>
      <c r="E954">
        <v>100</v>
      </c>
      <c r="F954">
        <v>100</v>
      </c>
      <c r="G954">
        <v>100</v>
      </c>
      <c r="H954" t="s">
        <v>1012</v>
      </c>
      <c r="I954" t="s">
        <v>194</v>
      </c>
      <c r="J954">
        <v>2</v>
      </c>
      <c r="K954" t="s">
        <v>1385</v>
      </c>
      <c r="L954" t="s">
        <v>1581</v>
      </c>
      <c r="M954">
        <v>3.7199999999999997E-2</v>
      </c>
      <c r="O954">
        <v>0.88</v>
      </c>
      <c r="P954">
        <v>15.2</v>
      </c>
      <c r="Q954" t="s">
        <v>190</v>
      </c>
    </row>
    <row r="955" spans="1:17">
      <c r="A955" t="s">
        <v>1014</v>
      </c>
      <c r="B955" t="s">
        <v>184</v>
      </c>
      <c r="C955" t="s">
        <v>1004</v>
      </c>
      <c r="D955">
        <v>5</v>
      </c>
      <c r="E955">
        <v>79.3</v>
      </c>
      <c r="F955">
        <v>79.3</v>
      </c>
      <c r="G955">
        <v>100</v>
      </c>
      <c r="H955" t="s">
        <v>1012</v>
      </c>
      <c r="I955" t="s">
        <v>194</v>
      </c>
      <c r="J955">
        <v>2</v>
      </c>
    </row>
    <row r="956" spans="1:17">
      <c r="A956" t="s">
        <v>1014</v>
      </c>
      <c r="B956" t="s">
        <v>184</v>
      </c>
      <c r="C956" t="s">
        <v>1004</v>
      </c>
      <c r="D956">
        <v>10</v>
      </c>
      <c r="E956">
        <v>84.3</v>
      </c>
      <c r="F956">
        <v>84.3</v>
      </c>
      <c r="G956">
        <v>100</v>
      </c>
      <c r="H956" t="s">
        <v>1012</v>
      </c>
      <c r="I956" t="s">
        <v>194</v>
      </c>
      <c r="J956">
        <v>2</v>
      </c>
    </row>
    <row r="957" spans="1:17">
      <c r="A957" t="s">
        <v>1014</v>
      </c>
      <c r="B957" t="s">
        <v>184</v>
      </c>
      <c r="C957" t="s">
        <v>1004</v>
      </c>
      <c r="D957">
        <v>25</v>
      </c>
      <c r="E957">
        <v>68.7</v>
      </c>
      <c r="F957">
        <v>68.7</v>
      </c>
      <c r="G957">
        <v>100</v>
      </c>
      <c r="H957" t="s">
        <v>1012</v>
      </c>
      <c r="I957" t="s">
        <v>194</v>
      </c>
      <c r="J957">
        <v>2</v>
      </c>
    </row>
    <row r="958" spans="1:17">
      <c r="A958" t="s">
        <v>1014</v>
      </c>
      <c r="B958" t="s">
        <v>184</v>
      </c>
      <c r="C958" t="s">
        <v>1004</v>
      </c>
      <c r="D958">
        <v>50</v>
      </c>
      <c r="E958">
        <v>65</v>
      </c>
      <c r="F958">
        <v>65</v>
      </c>
      <c r="G958">
        <v>100</v>
      </c>
      <c r="H958" t="s">
        <v>1012</v>
      </c>
      <c r="I958" t="s">
        <v>194</v>
      </c>
      <c r="J958">
        <v>2</v>
      </c>
    </row>
    <row r="959" spans="1:17">
      <c r="A959" t="s">
        <v>1014</v>
      </c>
      <c r="B959" t="s">
        <v>184</v>
      </c>
      <c r="C959" t="s">
        <v>1004</v>
      </c>
      <c r="D959">
        <v>100</v>
      </c>
      <c r="E959">
        <v>56.6</v>
      </c>
      <c r="F959">
        <v>56.6</v>
      </c>
      <c r="G959">
        <v>100</v>
      </c>
      <c r="H959" t="s">
        <v>1012</v>
      </c>
      <c r="I959" t="s">
        <v>194</v>
      </c>
      <c r="J959">
        <v>2</v>
      </c>
    </row>
    <row r="960" spans="1:17">
      <c r="A960" t="s">
        <v>1014</v>
      </c>
      <c r="B960" t="s">
        <v>184</v>
      </c>
      <c r="C960" t="s">
        <v>1004</v>
      </c>
      <c r="D960">
        <v>150</v>
      </c>
      <c r="E960">
        <v>51.3</v>
      </c>
      <c r="F960">
        <v>51.3</v>
      </c>
      <c r="G960">
        <v>100</v>
      </c>
      <c r="H960" t="s">
        <v>1012</v>
      </c>
      <c r="I960" t="s">
        <v>194</v>
      </c>
      <c r="J960">
        <v>2</v>
      </c>
    </row>
    <row r="961" spans="1:17">
      <c r="A961" t="s">
        <v>1014</v>
      </c>
      <c r="B961" t="s">
        <v>184</v>
      </c>
      <c r="C961" t="s">
        <v>273</v>
      </c>
      <c r="D961">
        <v>0</v>
      </c>
      <c r="E961">
        <v>100</v>
      </c>
      <c r="F961">
        <v>100</v>
      </c>
      <c r="G961">
        <v>100</v>
      </c>
      <c r="H961" t="s">
        <v>1012</v>
      </c>
      <c r="I961" t="s">
        <v>194</v>
      </c>
      <c r="J961">
        <v>2</v>
      </c>
      <c r="K961" t="s">
        <v>1385</v>
      </c>
      <c r="L961" t="s">
        <v>1582</v>
      </c>
      <c r="M961">
        <v>3.09E-2</v>
      </c>
      <c r="O961">
        <v>0.86</v>
      </c>
      <c r="P961">
        <v>18.8</v>
      </c>
      <c r="Q961" t="s">
        <v>190</v>
      </c>
    </row>
    <row r="962" spans="1:17">
      <c r="A962" t="s">
        <v>1014</v>
      </c>
      <c r="B962" t="s">
        <v>184</v>
      </c>
      <c r="C962" t="s">
        <v>273</v>
      </c>
      <c r="D962">
        <v>5</v>
      </c>
      <c r="E962">
        <v>93</v>
      </c>
      <c r="F962">
        <v>93</v>
      </c>
      <c r="G962">
        <v>100</v>
      </c>
      <c r="H962" t="s">
        <v>1012</v>
      </c>
      <c r="I962" t="s">
        <v>194</v>
      </c>
      <c r="J962">
        <v>2</v>
      </c>
    </row>
    <row r="963" spans="1:17">
      <c r="A963" t="s">
        <v>1014</v>
      </c>
      <c r="B963" t="s">
        <v>184</v>
      </c>
      <c r="C963" t="s">
        <v>273</v>
      </c>
      <c r="D963">
        <v>10</v>
      </c>
      <c r="E963">
        <v>90.2</v>
      </c>
      <c r="F963">
        <v>90.2</v>
      </c>
      <c r="G963">
        <v>100</v>
      </c>
      <c r="H963" t="s">
        <v>1012</v>
      </c>
      <c r="I963" t="s">
        <v>194</v>
      </c>
      <c r="J963">
        <v>2</v>
      </c>
    </row>
    <row r="964" spans="1:17">
      <c r="A964" t="s">
        <v>1014</v>
      </c>
      <c r="B964" t="s">
        <v>184</v>
      </c>
      <c r="C964" t="s">
        <v>273</v>
      </c>
      <c r="D964">
        <v>25</v>
      </c>
      <c r="E964">
        <v>85.7</v>
      </c>
      <c r="F964">
        <v>85.7</v>
      </c>
      <c r="G964">
        <v>100</v>
      </c>
      <c r="H964" t="s">
        <v>1012</v>
      </c>
      <c r="I964" t="s">
        <v>194</v>
      </c>
      <c r="J964">
        <v>2</v>
      </c>
    </row>
    <row r="965" spans="1:17">
      <c r="A965" t="s">
        <v>1014</v>
      </c>
      <c r="B965" t="s">
        <v>184</v>
      </c>
      <c r="C965" t="s">
        <v>273</v>
      </c>
      <c r="D965">
        <v>50</v>
      </c>
      <c r="E965">
        <v>83.2</v>
      </c>
      <c r="F965">
        <v>83.2</v>
      </c>
      <c r="G965">
        <v>100</v>
      </c>
      <c r="H965" t="s">
        <v>1012</v>
      </c>
      <c r="I965" t="s">
        <v>194</v>
      </c>
      <c r="J965">
        <v>2</v>
      </c>
    </row>
    <row r="966" spans="1:17">
      <c r="A966" t="s">
        <v>1014</v>
      </c>
      <c r="B966" t="s">
        <v>184</v>
      </c>
      <c r="C966" t="s">
        <v>273</v>
      </c>
      <c r="D966">
        <v>100</v>
      </c>
      <c r="E966">
        <v>81.5</v>
      </c>
      <c r="F966">
        <v>81.5</v>
      </c>
      <c r="G966">
        <v>100</v>
      </c>
      <c r="H966" t="s">
        <v>1012</v>
      </c>
      <c r="I966" t="s">
        <v>194</v>
      </c>
      <c r="J966">
        <v>2</v>
      </c>
    </row>
    <row r="967" spans="1:17">
      <c r="A967" t="s">
        <v>1014</v>
      </c>
      <c r="B967" t="s">
        <v>184</v>
      </c>
      <c r="C967" t="s">
        <v>273</v>
      </c>
      <c r="D967">
        <v>150</v>
      </c>
      <c r="E967">
        <v>73.7</v>
      </c>
      <c r="F967">
        <v>73.7</v>
      </c>
      <c r="G967">
        <v>100</v>
      </c>
      <c r="H967" t="s">
        <v>1012</v>
      </c>
      <c r="I967" t="s">
        <v>194</v>
      </c>
      <c r="J967">
        <v>2</v>
      </c>
    </row>
    <row r="968" spans="1:17">
      <c r="A968" t="s">
        <v>1046</v>
      </c>
      <c r="B968" t="s">
        <v>999</v>
      </c>
      <c r="C968" t="s">
        <v>1035</v>
      </c>
      <c r="D968">
        <v>0</v>
      </c>
      <c r="E968">
        <v>100</v>
      </c>
      <c r="F968">
        <v>100</v>
      </c>
      <c r="G968">
        <v>100</v>
      </c>
      <c r="H968" t="s">
        <v>1022</v>
      </c>
      <c r="I968" s="11"/>
      <c r="K968" t="s">
        <v>1387</v>
      </c>
      <c r="Q968" t="s">
        <v>1051</v>
      </c>
    </row>
    <row r="969" spans="1:17">
      <c r="A969" t="s">
        <v>1046</v>
      </c>
      <c r="B969" t="s">
        <v>999</v>
      </c>
      <c r="C969" t="s">
        <v>1035</v>
      </c>
      <c r="D969">
        <v>10</v>
      </c>
      <c r="E969">
        <v>109</v>
      </c>
      <c r="F969">
        <v>109</v>
      </c>
      <c r="G969">
        <v>100</v>
      </c>
      <c r="H969" t="s">
        <v>1022</v>
      </c>
    </row>
    <row r="970" spans="1:17">
      <c r="A970" t="s">
        <v>1046</v>
      </c>
      <c r="B970" t="s">
        <v>999</v>
      </c>
      <c r="C970" t="s">
        <v>1035</v>
      </c>
      <c r="D970">
        <v>20</v>
      </c>
      <c r="E970">
        <v>101</v>
      </c>
      <c r="F970">
        <v>101</v>
      </c>
      <c r="G970">
        <v>100</v>
      </c>
      <c r="H970" t="s">
        <v>1022</v>
      </c>
    </row>
    <row r="971" spans="1:17">
      <c r="A971" t="s">
        <v>1046</v>
      </c>
      <c r="B971" t="s">
        <v>999</v>
      </c>
      <c r="C971" t="s">
        <v>1035</v>
      </c>
      <c r="D971">
        <v>30</v>
      </c>
      <c r="E971">
        <v>100</v>
      </c>
      <c r="F971">
        <v>100</v>
      </c>
      <c r="G971">
        <v>100</v>
      </c>
      <c r="H971" t="s">
        <v>1022</v>
      </c>
    </row>
    <row r="972" spans="1:17">
      <c r="A972" t="s">
        <v>1046</v>
      </c>
      <c r="B972" t="s">
        <v>999</v>
      </c>
      <c r="C972" t="s">
        <v>1036</v>
      </c>
      <c r="D972">
        <v>0</v>
      </c>
      <c r="E972">
        <v>100</v>
      </c>
      <c r="F972">
        <v>100</v>
      </c>
      <c r="G972">
        <v>100</v>
      </c>
      <c r="H972" t="s">
        <v>1022</v>
      </c>
      <c r="K972" s="9" t="s">
        <v>1387</v>
      </c>
      <c r="Q972" t="s">
        <v>1052</v>
      </c>
    </row>
    <row r="973" spans="1:17">
      <c r="A973" t="s">
        <v>1046</v>
      </c>
      <c r="B973" t="s">
        <v>999</v>
      </c>
      <c r="C973" t="s">
        <v>1036</v>
      </c>
      <c r="D973">
        <v>10</v>
      </c>
      <c r="E973">
        <v>110</v>
      </c>
      <c r="F973">
        <v>110</v>
      </c>
      <c r="G973">
        <v>100</v>
      </c>
      <c r="H973" t="s">
        <v>1022</v>
      </c>
      <c r="K973" s="2" t="s">
        <v>1583</v>
      </c>
      <c r="L973" s="2" t="s">
        <v>1584</v>
      </c>
      <c r="M973" s="2"/>
      <c r="N973" s="2">
        <v>-0.5</v>
      </c>
      <c r="O973" s="2">
        <v>0.78</v>
      </c>
    </row>
    <row r="974" spans="1:17">
      <c r="A974" t="s">
        <v>1046</v>
      </c>
      <c r="B974" t="s">
        <v>999</v>
      </c>
      <c r="C974" t="s">
        <v>1036</v>
      </c>
      <c r="D974">
        <v>20</v>
      </c>
      <c r="E974">
        <v>102</v>
      </c>
      <c r="F974">
        <v>102</v>
      </c>
      <c r="G974">
        <v>100</v>
      </c>
      <c r="H974" t="s">
        <v>1022</v>
      </c>
    </row>
    <row r="975" spans="1:17">
      <c r="A975" t="s">
        <v>1046</v>
      </c>
      <c r="B975" t="s">
        <v>999</v>
      </c>
      <c r="C975" t="s">
        <v>1036</v>
      </c>
      <c r="D975">
        <v>30</v>
      </c>
      <c r="E975">
        <v>100</v>
      </c>
      <c r="F975">
        <v>100</v>
      </c>
      <c r="G975">
        <v>100</v>
      </c>
      <c r="H975" t="s">
        <v>1022</v>
      </c>
    </row>
    <row r="976" spans="1:17">
      <c r="A976" t="s">
        <v>1046</v>
      </c>
      <c r="B976" t="s">
        <v>999</v>
      </c>
      <c r="C976" t="s">
        <v>1037</v>
      </c>
      <c r="D976">
        <v>0</v>
      </c>
      <c r="E976">
        <v>100</v>
      </c>
      <c r="F976">
        <v>100</v>
      </c>
      <c r="G976">
        <v>100</v>
      </c>
      <c r="H976" t="s">
        <v>1022</v>
      </c>
      <c r="K976" t="s">
        <v>1387</v>
      </c>
      <c r="Q976" t="s">
        <v>1053</v>
      </c>
    </row>
    <row r="977" spans="1:17">
      <c r="A977" t="s">
        <v>1046</v>
      </c>
      <c r="B977" t="s">
        <v>999</v>
      </c>
      <c r="C977" t="s">
        <v>1037</v>
      </c>
      <c r="D977">
        <v>10</v>
      </c>
      <c r="E977">
        <v>102</v>
      </c>
      <c r="F977">
        <v>102</v>
      </c>
      <c r="G977">
        <v>100</v>
      </c>
      <c r="H977" t="s">
        <v>1022</v>
      </c>
    </row>
    <row r="978" spans="1:17">
      <c r="A978" t="s">
        <v>1046</v>
      </c>
      <c r="B978" t="s">
        <v>999</v>
      </c>
      <c r="C978" t="s">
        <v>1037</v>
      </c>
      <c r="D978">
        <v>20</v>
      </c>
      <c r="E978">
        <v>106</v>
      </c>
      <c r="F978">
        <v>106</v>
      </c>
      <c r="G978">
        <v>100</v>
      </c>
      <c r="H978" t="s">
        <v>1022</v>
      </c>
    </row>
    <row r="979" spans="1:17">
      <c r="A979" t="s">
        <v>1046</v>
      </c>
      <c r="B979" t="s">
        <v>999</v>
      </c>
      <c r="C979" t="s">
        <v>1037</v>
      </c>
      <c r="D979">
        <v>30</v>
      </c>
      <c r="E979">
        <v>98</v>
      </c>
      <c r="F979">
        <v>98</v>
      </c>
      <c r="G979">
        <v>100</v>
      </c>
      <c r="H979" t="s">
        <v>1022</v>
      </c>
    </row>
    <row r="980" spans="1:17">
      <c r="A980" t="s">
        <v>1046</v>
      </c>
      <c r="B980" t="s">
        <v>999</v>
      </c>
      <c r="C980" t="s">
        <v>1038</v>
      </c>
      <c r="D980">
        <v>0</v>
      </c>
      <c r="E980">
        <v>100</v>
      </c>
      <c r="F980">
        <v>100</v>
      </c>
      <c r="G980">
        <v>100</v>
      </c>
      <c r="H980" t="s">
        <v>1022</v>
      </c>
      <c r="K980" s="9" t="s">
        <v>1387</v>
      </c>
      <c r="Q980" t="s">
        <v>1054</v>
      </c>
    </row>
    <row r="981" spans="1:17">
      <c r="A981" t="s">
        <v>1046</v>
      </c>
      <c r="B981" t="s">
        <v>999</v>
      </c>
      <c r="C981" t="s">
        <v>1038</v>
      </c>
      <c r="D981">
        <v>10</v>
      </c>
      <c r="E981">
        <v>107</v>
      </c>
      <c r="F981">
        <v>107</v>
      </c>
      <c r="G981">
        <v>100</v>
      </c>
      <c r="H981" t="s">
        <v>1022</v>
      </c>
      <c r="K981" s="2" t="s">
        <v>1583</v>
      </c>
      <c r="L981" s="2" t="s">
        <v>1585</v>
      </c>
      <c r="M981" s="2"/>
      <c r="N981" s="2">
        <v>-0.8</v>
      </c>
      <c r="O981" s="2">
        <v>1</v>
      </c>
    </row>
    <row r="982" spans="1:17">
      <c r="A982" t="s">
        <v>1046</v>
      </c>
      <c r="B982" t="s">
        <v>999</v>
      </c>
      <c r="C982" t="s">
        <v>1038</v>
      </c>
      <c r="D982">
        <v>20</v>
      </c>
      <c r="E982">
        <v>99</v>
      </c>
      <c r="F982">
        <v>99</v>
      </c>
      <c r="G982">
        <v>100</v>
      </c>
      <c r="H982" t="s">
        <v>1022</v>
      </c>
      <c r="K982" t="s">
        <v>181</v>
      </c>
      <c r="L982" t="s">
        <v>2417</v>
      </c>
      <c r="O982">
        <v>0.47</v>
      </c>
    </row>
    <row r="983" spans="1:17">
      <c r="A983" t="s">
        <v>1046</v>
      </c>
      <c r="B983" t="s">
        <v>999</v>
      </c>
      <c r="C983" t="s">
        <v>1038</v>
      </c>
      <c r="D983">
        <v>30</v>
      </c>
      <c r="E983">
        <v>91</v>
      </c>
      <c r="F983">
        <v>91</v>
      </c>
      <c r="G983">
        <v>100</v>
      </c>
      <c r="H983" t="s">
        <v>1022</v>
      </c>
    </row>
    <row r="984" spans="1:17">
      <c r="A984" t="s">
        <v>1046</v>
      </c>
      <c r="B984" t="s">
        <v>999</v>
      </c>
      <c r="C984" t="s">
        <v>1039</v>
      </c>
      <c r="D984">
        <v>0</v>
      </c>
      <c r="E984">
        <v>100</v>
      </c>
      <c r="F984">
        <v>100</v>
      </c>
      <c r="G984">
        <v>100</v>
      </c>
      <c r="H984" t="s">
        <v>1022</v>
      </c>
      <c r="K984" t="s">
        <v>1387</v>
      </c>
      <c r="Q984" t="s">
        <v>1055</v>
      </c>
    </row>
    <row r="985" spans="1:17">
      <c r="A985" t="s">
        <v>1046</v>
      </c>
      <c r="B985" t="s">
        <v>999</v>
      </c>
      <c r="C985" t="s">
        <v>1039</v>
      </c>
      <c r="D985">
        <v>10</v>
      </c>
      <c r="E985">
        <v>96</v>
      </c>
      <c r="F985">
        <v>96</v>
      </c>
      <c r="G985">
        <v>100</v>
      </c>
      <c r="H985" t="s">
        <v>1022</v>
      </c>
      <c r="K985" s="10" t="s">
        <v>1586</v>
      </c>
      <c r="L985" s="10" t="s">
        <v>1587</v>
      </c>
      <c r="M985" s="2"/>
      <c r="N985" s="2">
        <v>-0.43</v>
      </c>
      <c r="O985" s="2">
        <v>0.53</v>
      </c>
    </row>
    <row r="986" spans="1:17">
      <c r="A986" t="s">
        <v>1046</v>
      </c>
      <c r="B986" t="s">
        <v>999</v>
      </c>
      <c r="C986" t="s">
        <v>1039</v>
      </c>
      <c r="D986">
        <v>20</v>
      </c>
      <c r="E986">
        <v>98</v>
      </c>
      <c r="F986">
        <v>98</v>
      </c>
      <c r="G986">
        <v>100</v>
      </c>
      <c r="H986" t="s">
        <v>1022</v>
      </c>
    </row>
    <row r="987" spans="1:17">
      <c r="A987" t="s">
        <v>1046</v>
      </c>
      <c r="B987" t="s">
        <v>999</v>
      </c>
      <c r="C987" t="s">
        <v>1039</v>
      </c>
      <c r="D987">
        <v>30</v>
      </c>
      <c r="E987">
        <v>85</v>
      </c>
      <c r="F987">
        <v>85</v>
      </c>
      <c r="G987">
        <v>100</v>
      </c>
      <c r="H987" t="s">
        <v>1022</v>
      </c>
    </row>
    <row r="988" spans="1:17">
      <c r="A988" t="s">
        <v>1046</v>
      </c>
      <c r="B988" t="s">
        <v>999</v>
      </c>
      <c r="C988" t="s">
        <v>1040</v>
      </c>
      <c r="D988">
        <v>0</v>
      </c>
      <c r="E988">
        <v>100</v>
      </c>
      <c r="F988">
        <v>100</v>
      </c>
      <c r="G988">
        <v>100</v>
      </c>
      <c r="H988" t="s">
        <v>1022</v>
      </c>
      <c r="K988" t="s">
        <v>1385</v>
      </c>
      <c r="L988" t="s">
        <v>1588</v>
      </c>
      <c r="M988">
        <v>0.1411</v>
      </c>
      <c r="O988">
        <v>0.87</v>
      </c>
      <c r="P988">
        <v>4.9000000000000004</v>
      </c>
      <c r="Q988" t="s">
        <v>1056</v>
      </c>
    </row>
    <row r="989" spans="1:17">
      <c r="A989" t="s">
        <v>1046</v>
      </c>
      <c r="B989" t="s">
        <v>999</v>
      </c>
      <c r="C989" t="s">
        <v>1040</v>
      </c>
      <c r="D989">
        <v>10</v>
      </c>
      <c r="E989">
        <v>82</v>
      </c>
      <c r="F989">
        <v>82</v>
      </c>
      <c r="G989">
        <v>100</v>
      </c>
      <c r="H989" t="s">
        <v>1022</v>
      </c>
    </row>
    <row r="990" spans="1:17">
      <c r="A990" t="s">
        <v>1046</v>
      </c>
      <c r="B990" t="s">
        <v>999</v>
      </c>
      <c r="C990" t="s">
        <v>1040</v>
      </c>
      <c r="D990">
        <v>20</v>
      </c>
      <c r="E990">
        <v>82</v>
      </c>
      <c r="F990">
        <v>82</v>
      </c>
      <c r="G990">
        <v>100</v>
      </c>
      <c r="H990" t="s">
        <v>1022</v>
      </c>
    </row>
    <row r="991" spans="1:17">
      <c r="A991" t="s">
        <v>1046</v>
      </c>
      <c r="B991" t="s">
        <v>999</v>
      </c>
      <c r="C991" t="s">
        <v>1040</v>
      </c>
      <c r="D991">
        <v>30</v>
      </c>
      <c r="E991">
        <v>76</v>
      </c>
      <c r="F991">
        <v>76</v>
      </c>
      <c r="G991">
        <v>100</v>
      </c>
      <c r="H991" t="s">
        <v>1022</v>
      </c>
    </row>
    <row r="992" spans="1:17">
      <c r="A992" t="s">
        <v>1046</v>
      </c>
      <c r="B992" t="s">
        <v>999</v>
      </c>
      <c r="C992" t="s">
        <v>1041</v>
      </c>
      <c r="D992">
        <v>0</v>
      </c>
      <c r="E992">
        <v>100</v>
      </c>
      <c r="F992">
        <v>100</v>
      </c>
      <c r="G992">
        <v>100</v>
      </c>
      <c r="H992" t="s">
        <v>1022</v>
      </c>
      <c r="K992" t="s">
        <v>1385</v>
      </c>
      <c r="L992" t="s">
        <v>1589</v>
      </c>
      <c r="M992">
        <v>8.2400000000000001E-2</v>
      </c>
      <c r="O992">
        <v>0.99</v>
      </c>
      <c r="P992">
        <v>8.4</v>
      </c>
      <c r="Q992" t="s">
        <v>1057</v>
      </c>
    </row>
    <row r="993" spans="1:17">
      <c r="A993" t="s">
        <v>1046</v>
      </c>
      <c r="B993" t="s">
        <v>999</v>
      </c>
      <c r="C993" t="s">
        <v>1041</v>
      </c>
      <c r="D993">
        <v>10</v>
      </c>
      <c r="E993">
        <v>77</v>
      </c>
      <c r="F993">
        <v>77</v>
      </c>
      <c r="G993">
        <v>100</v>
      </c>
      <c r="H993" t="s">
        <v>1022</v>
      </c>
    </row>
    <row r="994" spans="1:17">
      <c r="A994" t="s">
        <v>1046</v>
      </c>
      <c r="B994" t="s">
        <v>999</v>
      </c>
      <c r="C994" t="s">
        <v>1041</v>
      </c>
      <c r="D994">
        <v>20</v>
      </c>
      <c r="E994">
        <v>69</v>
      </c>
      <c r="F994">
        <v>69</v>
      </c>
      <c r="G994">
        <v>100</v>
      </c>
      <c r="H994" t="s">
        <v>1022</v>
      </c>
    </row>
    <row r="995" spans="1:17">
      <c r="A995" t="s">
        <v>1046</v>
      </c>
      <c r="B995" t="s">
        <v>999</v>
      </c>
      <c r="C995" t="s">
        <v>1041</v>
      </c>
      <c r="D995">
        <v>30</v>
      </c>
      <c r="E995">
        <v>63</v>
      </c>
      <c r="F995">
        <v>63</v>
      </c>
      <c r="G995">
        <v>100</v>
      </c>
      <c r="H995" t="s">
        <v>1022</v>
      </c>
    </row>
    <row r="996" spans="1:17">
      <c r="A996" t="s">
        <v>1046</v>
      </c>
      <c r="B996" t="s">
        <v>999</v>
      </c>
      <c r="C996" t="s">
        <v>1042</v>
      </c>
      <c r="D996">
        <v>0</v>
      </c>
      <c r="E996">
        <v>100</v>
      </c>
      <c r="F996">
        <v>100</v>
      </c>
      <c r="G996">
        <v>100</v>
      </c>
      <c r="H996" t="s">
        <v>1022</v>
      </c>
      <c r="K996" t="s">
        <v>1385</v>
      </c>
      <c r="L996" t="s">
        <v>1590</v>
      </c>
      <c r="M996">
        <v>2.2311000000000001</v>
      </c>
      <c r="O996">
        <v>1</v>
      </c>
      <c r="P996">
        <v>0.3</v>
      </c>
      <c r="Q996" t="s">
        <v>1057</v>
      </c>
    </row>
    <row r="997" spans="1:17">
      <c r="A997" t="s">
        <v>1046</v>
      </c>
      <c r="B997" t="s">
        <v>999</v>
      </c>
      <c r="C997" t="s">
        <v>1042</v>
      </c>
      <c r="D997">
        <v>10</v>
      </c>
      <c r="E997">
        <v>63</v>
      </c>
      <c r="F997">
        <v>63</v>
      </c>
      <c r="G997">
        <v>100</v>
      </c>
      <c r="H997" t="s">
        <v>1022</v>
      </c>
    </row>
    <row r="998" spans="1:17">
      <c r="A998" t="s">
        <v>1046</v>
      </c>
      <c r="B998" t="s">
        <v>999</v>
      </c>
      <c r="C998" t="s">
        <v>1042</v>
      </c>
      <c r="D998">
        <v>20</v>
      </c>
      <c r="E998">
        <v>63</v>
      </c>
      <c r="F998">
        <v>63</v>
      </c>
      <c r="G998">
        <v>100</v>
      </c>
      <c r="H998" t="s">
        <v>1022</v>
      </c>
    </row>
    <row r="999" spans="1:17">
      <c r="A999" t="s">
        <v>1046</v>
      </c>
      <c r="B999" t="s">
        <v>999</v>
      </c>
      <c r="C999" t="s">
        <v>1042</v>
      </c>
      <c r="D999">
        <v>30</v>
      </c>
      <c r="E999">
        <v>63</v>
      </c>
      <c r="F999">
        <v>63</v>
      </c>
      <c r="G999">
        <v>100</v>
      </c>
      <c r="H999" t="s">
        <v>1022</v>
      </c>
    </row>
    <row r="1000" spans="1:17">
      <c r="A1000" t="s">
        <v>1046</v>
      </c>
      <c r="B1000" t="s">
        <v>999</v>
      </c>
      <c r="C1000" t="s">
        <v>1043</v>
      </c>
      <c r="D1000">
        <v>0</v>
      </c>
      <c r="E1000">
        <v>100</v>
      </c>
      <c r="F1000">
        <v>100</v>
      </c>
      <c r="G1000">
        <v>100</v>
      </c>
      <c r="H1000" t="s">
        <v>1022</v>
      </c>
      <c r="K1000" t="s">
        <v>1385</v>
      </c>
      <c r="L1000" t="s">
        <v>1591</v>
      </c>
      <c r="M1000">
        <v>7.3899999999999993E-2</v>
      </c>
      <c r="O1000">
        <v>0.99</v>
      </c>
      <c r="P1000">
        <v>9.4</v>
      </c>
      <c r="Q1000" t="s">
        <v>1058</v>
      </c>
    </row>
    <row r="1001" spans="1:17">
      <c r="A1001" t="s">
        <v>1046</v>
      </c>
      <c r="B1001" t="s">
        <v>999</v>
      </c>
      <c r="C1001" t="s">
        <v>1043</v>
      </c>
      <c r="D1001">
        <v>10</v>
      </c>
      <c r="E1001">
        <v>70</v>
      </c>
      <c r="F1001">
        <v>70</v>
      </c>
      <c r="G1001">
        <v>100</v>
      </c>
      <c r="H1001" t="s">
        <v>1022</v>
      </c>
    </row>
    <row r="1002" spans="1:17">
      <c r="A1002" t="s">
        <v>1046</v>
      </c>
      <c r="B1002" t="s">
        <v>999</v>
      </c>
      <c r="C1002" t="s">
        <v>1043</v>
      </c>
      <c r="D1002">
        <v>20</v>
      </c>
      <c r="E1002">
        <v>53</v>
      </c>
      <c r="F1002">
        <v>53</v>
      </c>
      <c r="G1002">
        <v>100</v>
      </c>
      <c r="H1002" t="s">
        <v>1022</v>
      </c>
    </row>
    <row r="1003" spans="1:17">
      <c r="A1003" t="s">
        <v>1046</v>
      </c>
      <c r="B1003" t="s">
        <v>999</v>
      </c>
      <c r="C1003" t="s">
        <v>1043</v>
      </c>
      <c r="D1003">
        <v>30</v>
      </c>
      <c r="E1003">
        <v>48</v>
      </c>
      <c r="F1003">
        <v>48</v>
      </c>
      <c r="G1003">
        <v>100</v>
      </c>
      <c r="H1003" t="s">
        <v>1022</v>
      </c>
    </row>
    <row r="1004" spans="1:17">
      <c r="A1004" t="s">
        <v>1046</v>
      </c>
      <c r="B1004" t="s">
        <v>999</v>
      </c>
      <c r="C1004" t="s">
        <v>1044</v>
      </c>
      <c r="D1004">
        <v>0</v>
      </c>
      <c r="E1004">
        <v>100</v>
      </c>
      <c r="F1004">
        <v>100</v>
      </c>
      <c r="G1004">
        <v>100</v>
      </c>
      <c r="H1004" t="s">
        <v>1022</v>
      </c>
      <c r="K1004" t="s">
        <v>1385</v>
      </c>
      <c r="L1004" t="s">
        <v>1592</v>
      </c>
      <c r="M1004">
        <v>9.2700000000000005E-2</v>
      </c>
      <c r="O1004">
        <v>0.997</v>
      </c>
      <c r="P1004">
        <v>7.4</v>
      </c>
      <c r="Q1004" t="s">
        <v>1059</v>
      </c>
    </row>
    <row r="1005" spans="1:17">
      <c r="A1005" t="s">
        <v>1046</v>
      </c>
      <c r="B1005" t="s">
        <v>999</v>
      </c>
      <c r="C1005" t="s">
        <v>1044</v>
      </c>
      <c r="D1005">
        <v>10</v>
      </c>
      <c r="E1005">
        <v>65</v>
      </c>
      <c r="F1005">
        <v>65</v>
      </c>
      <c r="G1005">
        <v>100</v>
      </c>
      <c r="H1005" t="s">
        <v>1022</v>
      </c>
    </row>
    <row r="1006" spans="1:17">
      <c r="A1006" t="s">
        <v>1046</v>
      </c>
      <c r="B1006" t="s">
        <v>999</v>
      </c>
      <c r="C1006" t="s">
        <v>1044</v>
      </c>
      <c r="D1006">
        <v>20</v>
      </c>
      <c r="E1006">
        <v>53</v>
      </c>
      <c r="F1006">
        <v>53</v>
      </c>
      <c r="G1006">
        <v>100</v>
      </c>
      <c r="H1006" t="s">
        <v>1022</v>
      </c>
    </row>
    <row r="1007" spans="1:17">
      <c r="A1007" t="s">
        <v>1046</v>
      </c>
      <c r="B1007" t="s">
        <v>999</v>
      </c>
      <c r="C1007" t="s">
        <v>1044</v>
      </c>
      <c r="D1007">
        <v>30</v>
      </c>
      <c r="E1007">
        <v>46</v>
      </c>
      <c r="F1007">
        <v>46</v>
      </c>
      <c r="G1007">
        <v>100</v>
      </c>
      <c r="H1007" t="s">
        <v>1022</v>
      </c>
    </row>
    <row r="1008" spans="1:17">
      <c r="A1008" t="s">
        <v>1046</v>
      </c>
      <c r="B1008" t="s">
        <v>999</v>
      </c>
      <c r="C1008" t="s">
        <v>1045</v>
      </c>
      <c r="D1008">
        <v>0</v>
      </c>
      <c r="E1008">
        <v>100</v>
      </c>
      <c r="F1008">
        <v>100</v>
      </c>
      <c r="G1008">
        <v>100</v>
      </c>
      <c r="H1008" t="s">
        <v>1022</v>
      </c>
      <c r="K1008" t="s">
        <v>1385</v>
      </c>
      <c r="L1008" t="s">
        <v>1593</v>
      </c>
      <c r="M1008">
        <v>0.1376</v>
      </c>
      <c r="O1008">
        <v>0.97</v>
      </c>
      <c r="P1008">
        <v>5.0999999999999996</v>
      </c>
      <c r="Q1008" t="s">
        <v>1060</v>
      </c>
    </row>
    <row r="1009" spans="1:18">
      <c r="A1009" t="s">
        <v>1046</v>
      </c>
      <c r="B1009" t="s">
        <v>999</v>
      </c>
      <c r="C1009" t="s">
        <v>1045</v>
      </c>
      <c r="D1009">
        <v>10</v>
      </c>
      <c r="E1009">
        <v>44</v>
      </c>
      <c r="F1009">
        <v>44</v>
      </c>
      <c r="G1009">
        <v>100</v>
      </c>
      <c r="H1009" t="s">
        <v>1022</v>
      </c>
    </row>
    <row r="1010" spans="1:18">
      <c r="A1010" t="s">
        <v>1046</v>
      </c>
      <c r="B1010" t="s">
        <v>999</v>
      </c>
      <c r="C1010" t="s">
        <v>1045</v>
      </c>
      <c r="D1010">
        <v>20</v>
      </c>
      <c r="E1010">
        <v>23</v>
      </c>
      <c r="F1010">
        <v>23</v>
      </c>
      <c r="G1010">
        <v>100</v>
      </c>
      <c r="H1010" t="s">
        <v>1022</v>
      </c>
    </row>
    <row r="1011" spans="1:18">
      <c r="A1011" t="s">
        <v>1046</v>
      </c>
      <c r="B1011" t="s">
        <v>999</v>
      </c>
      <c r="C1011" t="s">
        <v>1045</v>
      </c>
      <c r="D1011">
        <v>30</v>
      </c>
      <c r="E1011">
        <v>27</v>
      </c>
      <c r="F1011">
        <v>27</v>
      </c>
      <c r="G1011">
        <v>100</v>
      </c>
      <c r="H1011" t="s">
        <v>1022</v>
      </c>
    </row>
    <row r="1012" spans="1:18">
      <c r="A1012" t="s">
        <v>1068</v>
      </c>
      <c r="B1012" t="s">
        <v>999</v>
      </c>
      <c r="C1012" t="s">
        <v>445</v>
      </c>
      <c r="D1012">
        <v>0</v>
      </c>
      <c r="F1012">
        <v>100</v>
      </c>
      <c r="G1012">
        <v>100</v>
      </c>
      <c r="H1012" t="s">
        <v>1069</v>
      </c>
      <c r="J1012">
        <v>2</v>
      </c>
      <c r="K1012" t="s">
        <v>1524</v>
      </c>
      <c r="L1012" t="s">
        <v>1594</v>
      </c>
      <c r="O1012">
        <v>1</v>
      </c>
      <c r="Q1012" t="s">
        <v>190</v>
      </c>
    </row>
    <row r="1013" spans="1:18">
      <c r="A1013" t="s">
        <v>1068</v>
      </c>
      <c r="B1013" t="s">
        <v>999</v>
      </c>
      <c r="C1013" t="s">
        <v>445</v>
      </c>
      <c r="D1013">
        <v>16</v>
      </c>
      <c r="F1013">
        <v>85.6</v>
      </c>
      <c r="G1013">
        <v>100</v>
      </c>
      <c r="H1013" t="s">
        <v>1069</v>
      </c>
      <c r="J1013">
        <v>2</v>
      </c>
      <c r="K1013" s="2" t="s">
        <v>1394</v>
      </c>
      <c r="L1013" s="2" t="s">
        <v>2419</v>
      </c>
      <c r="M1013" s="2"/>
      <c r="N1013" s="2"/>
      <c r="O1013" s="2">
        <v>0.89800000000000002</v>
      </c>
      <c r="P1013" t="e">
        <f>LN(2)/M1013</f>
        <v>#DIV/0!</v>
      </c>
    </row>
    <row r="1014" spans="1:18">
      <c r="A1014" t="s">
        <v>1068</v>
      </c>
      <c r="B1014" t="s">
        <v>999</v>
      </c>
      <c r="C1014" t="s">
        <v>445</v>
      </c>
      <c r="D1014">
        <v>44</v>
      </c>
      <c r="F1014">
        <v>10</v>
      </c>
      <c r="G1014">
        <v>100</v>
      </c>
      <c r="H1014" t="s">
        <v>1069</v>
      </c>
      <c r="J1014">
        <v>2</v>
      </c>
    </row>
    <row r="1015" spans="1:18">
      <c r="A1015" t="s">
        <v>1068</v>
      </c>
      <c r="B1015" t="s">
        <v>999</v>
      </c>
      <c r="C1015" t="s">
        <v>445</v>
      </c>
      <c r="D1015">
        <v>93</v>
      </c>
      <c r="F1015">
        <v>1.9</v>
      </c>
      <c r="G1015">
        <v>100</v>
      </c>
      <c r="H1015" t="s">
        <v>1069</v>
      </c>
      <c r="J1015">
        <v>2</v>
      </c>
    </row>
    <row r="1016" spans="1:18">
      <c r="A1016" t="s">
        <v>1078</v>
      </c>
      <c r="B1016" t="s">
        <v>186</v>
      </c>
      <c r="C1016" t="s">
        <v>1079</v>
      </c>
      <c r="D1016">
        <v>0</v>
      </c>
      <c r="E1016">
        <v>100</v>
      </c>
      <c r="F1016">
        <v>100</v>
      </c>
      <c r="G1016">
        <v>100</v>
      </c>
      <c r="H1016" t="s">
        <v>1069</v>
      </c>
      <c r="I1016" s="11">
        <v>37895</v>
      </c>
      <c r="J1016">
        <v>2</v>
      </c>
      <c r="K1016" t="s">
        <v>1385</v>
      </c>
      <c r="L1016" t="s">
        <v>1595</v>
      </c>
      <c r="M1016">
        <v>5.5500000000000001E-2</v>
      </c>
      <c r="O1016">
        <v>0.97</v>
      </c>
      <c r="P1016">
        <v>13.8</v>
      </c>
      <c r="Q1016" t="s">
        <v>1394</v>
      </c>
      <c r="R1016">
        <v>1.8200000000000001E-2</v>
      </c>
    </row>
    <row r="1017" spans="1:18">
      <c r="A1017" t="s">
        <v>1078</v>
      </c>
      <c r="B1017" t="s">
        <v>186</v>
      </c>
      <c r="C1017" t="s">
        <v>1079</v>
      </c>
      <c r="D1017">
        <v>2</v>
      </c>
      <c r="E1017">
        <v>100</v>
      </c>
      <c r="F1017">
        <v>100</v>
      </c>
      <c r="G1017">
        <v>100</v>
      </c>
      <c r="H1017" t="s">
        <v>1069</v>
      </c>
      <c r="I1017" s="11">
        <v>37895</v>
      </c>
      <c r="J1017">
        <v>2</v>
      </c>
    </row>
    <row r="1018" spans="1:18">
      <c r="A1018" t="s">
        <v>1078</v>
      </c>
      <c r="B1018" t="s">
        <v>186</v>
      </c>
      <c r="C1018" t="s">
        <v>1079</v>
      </c>
      <c r="D1018">
        <v>5</v>
      </c>
      <c r="E1018">
        <v>93</v>
      </c>
      <c r="F1018">
        <v>93</v>
      </c>
      <c r="G1018">
        <v>100</v>
      </c>
      <c r="H1018" t="s">
        <v>1069</v>
      </c>
      <c r="I1018" s="11">
        <v>37895</v>
      </c>
      <c r="J1018">
        <v>2</v>
      </c>
    </row>
    <row r="1019" spans="1:18">
      <c r="A1019" t="s">
        <v>1078</v>
      </c>
      <c r="B1019" t="s">
        <v>186</v>
      </c>
      <c r="C1019" t="s">
        <v>1079</v>
      </c>
      <c r="D1019">
        <v>7</v>
      </c>
      <c r="E1019">
        <v>91</v>
      </c>
      <c r="F1019">
        <v>91</v>
      </c>
      <c r="G1019">
        <v>100</v>
      </c>
      <c r="H1019" t="s">
        <v>1069</v>
      </c>
      <c r="I1019" s="11">
        <v>37895</v>
      </c>
      <c r="J1019">
        <v>2</v>
      </c>
    </row>
    <row r="1020" spans="1:18">
      <c r="A1020" t="s">
        <v>1078</v>
      </c>
      <c r="B1020" t="s">
        <v>186</v>
      </c>
      <c r="C1020" t="s">
        <v>1079</v>
      </c>
      <c r="D1020">
        <v>15</v>
      </c>
      <c r="E1020">
        <v>74</v>
      </c>
      <c r="F1020">
        <v>74</v>
      </c>
      <c r="G1020">
        <v>100</v>
      </c>
      <c r="H1020" t="s">
        <v>1069</v>
      </c>
      <c r="I1020" s="11">
        <v>37895</v>
      </c>
      <c r="J1020">
        <v>2</v>
      </c>
    </row>
    <row r="1021" spans="1:18">
      <c r="A1021" t="s">
        <v>1078</v>
      </c>
      <c r="B1021" t="s">
        <v>186</v>
      </c>
      <c r="C1021" t="s">
        <v>1079</v>
      </c>
      <c r="D1021">
        <v>30</v>
      </c>
      <c r="E1021">
        <v>61</v>
      </c>
      <c r="F1021">
        <v>61</v>
      </c>
      <c r="G1021">
        <v>100</v>
      </c>
      <c r="H1021" t="s">
        <v>1069</v>
      </c>
      <c r="I1021" s="11">
        <v>37895</v>
      </c>
      <c r="J1021">
        <v>2</v>
      </c>
    </row>
    <row r="1022" spans="1:18">
      <c r="A1022" t="s">
        <v>1078</v>
      </c>
      <c r="B1022" t="s">
        <v>186</v>
      </c>
      <c r="C1022" t="s">
        <v>1079</v>
      </c>
      <c r="D1022">
        <v>60</v>
      </c>
      <c r="E1022">
        <v>58</v>
      </c>
      <c r="F1022">
        <v>58</v>
      </c>
      <c r="G1022">
        <v>100</v>
      </c>
      <c r="H1022" t="s">
        <v>1069</v>
      </c>
      <c r="I1022" s="11">
        <v>37895</v>
      </c>
      <c r="J1022">
        <v>2</v>
      </c>
    </row>
    <row r="1023" spans="1:18">
      <c r="A1023" t="s">
        <v>1078</v>
      </c>
      <c r="B1023" t="s">
        <v>186</v>
      </c>
      <c r="C1023" t="s">
        <v>1079</v>
      </c>
      <c r="D1023">
        <v>0</v>
      </c>
      <c r="E1023">
        <v>100</v>
      </c>
      <c r="F1023">
        <v>100</v>
      </c>
      <c r="G1023">
        <v>100</v>
      </c>
      <c r="H1023" t="s">
        <v>1069</v>
      </c>
      <c r="I1023" s="11">
        <v>38078</v>
      </c>
      <c r="J1023">
        <v>2</v>
      </c>
      <c r="K1023" s="9" t="s">
        <v>181</v>
      </c>
      <c r="L1023" s="9" t="s">
        <v>2349</v>
      </c>
      <c r="O1023">
        <v>0.83679999999999999</v>
      </c>
      <c r="Q1023" t="s">
        <v>1394</v>
      </c>
      <c r="R1023">
        <v>5.7999999999999996E-3</v>
      </c>
    </row>
    <row r="1024" spans="1:18">
      <c r="A1024" t="s">
        <v>1078</v>
      </c>
      <c r="B1024" t="s">
        <v>186</v>
      </c>
      <c r="C1024" t="s">
        <v>1079</v>
      </c>
      <c r="D1024">
        <v>2</v>
      </c>
      <c r="E1024">
        <v>99</v>
      </c>
      <c r="F1024">
        <v>99</v>
      </c>
      <c r="G1024">
        <v>100</v>
      </c>
      <c r="H1024" t="s">
        <v>1069</v>
      </c>
      <c r="I1024" s="11">
        <v>38078</v>
      </c>
      <c r="J1024">
        <v>2</v>
      </c>
      <c r="K1024" s="2" t="s">
        <v>1596</v>
      </c>
      <c r="L1024" s="2" t="s">
        <v>1597</v>
      </c>
      <c r="M1024" s="10">
        <v>3.5200000000000002E-2</v>
      </c>
      <c r="N1024" s="10"/>
      <c r="O1024" s="10">
        <v>0.99</v>
      </c>
      <c r="P1024" s="10">
        <v>26.3</v>
      </c>
    </row>
    <row r="1025" spans="1:18">
      <c r="A1025" t="s">
        <v>1078</v>
      </c>
      <c r="B1025" t="s">
        <v>186</v>
      </c>
      <c r="C1025" t="s">
        <v>1079</v>
      </c>
      <c r="D1025">
        <v>5</v>
      </c>
      <c r="E1025">
        <v>108</v>
      </c>
      <c r="F1025">
        <v>108</v>
      </c>
      <c r="G1025">
        <v>100</v>
      </c>
      <c r="H1025" t="s">
        <v>1069</v>
      </c>
      <c r="I1025" s="11">
        <v>38078</v>
      </c>
      <c r="J1025">
        <v>2</v>
      </c>
    </row>
    <row r="1026" spans="1:18">
      <c r="A1026" t="s">
        <v>1078</v>
      </c>
      <c r="B1026" t="s">
        <v>186</v>
      </c>
      <c r="C1026" t="s">
        <v>1079</v>
      </c>
      <c r="D1026">
        <v>7</v>
      </c>
      <c r="E1026">
        <v>107</v>
      </c>
      <c r="F1026">
        <v>107</v>
      </c>
      <c r="G1026">
        <v>100</v>
      </c>
      <c r="H1026" t="s">
        <v>1069</v>
      </c>
      <c r="I1026" s="11">
        <v>38078</v>
      </c>
      <c r="J1026">
        <v>2</v>
      </c>
    </row>
    <row r="1027" spans="1:18">
      <c r="A1027" t="s">
        <v>1078</v>
      </c>
      <c r="B1027" t="s">
        <v>186</v>
      </c>
      <c r="C1027" t="s">
        <v>1079</v>
      </c>
      <c r="D1027">
        <v>15</v>
      </c>
      <c r="E1027">
        <v>96</v>
      </c>
      <c r="F1027">
        <v>96</v>
      </c>
      <c r="G1027">
        <v>100</v>
      </c>
      <c r="H1027" t="s">
        <v>1069</v>
      </c>
      <c r="I1027" s="11">
        <v>38078</v>
      </c>
      <c r="J1027">
        <v>2</v>
      </c>
    </row>
    <row r="1028" spans="1:18">
      <c r="A1028" t="s">
        <v>1078</v>
      </c>
      <c r="B1028" t="s">
        <v>186</v>
      </c>
      <c r="C1028" t="s">
        <v>1079</v>
      </c>
      <c r="D1028">
        <v>30</v>
      </c>
      <c r="E1028">
        <v>86</v>
      </c>
      <c r="F1028">
        <v>86</v>
      </c>
      <c r="G1028">
        <v>100</v>
      </c>
      <c r="H1028" t="s">
        <v>1069</v>
      </c>
      <c r="I1028" s="11">
        <v>38078</v>
      </c>
      <c r="J1028">
        <v>2</v>
      </c>
    </row>
    <row r="1029" spans="1:18">
      <c r="A1029" t="s">
        <v>1078</v>
      </c>
      <c r="B1029" t="s">
        <v>186</v>
      </c>
      <c r="C1029" t="s">
        <v>1079</v>
      </c>
      <c r="D1029">
        <v>50</v>
      </c>
      <c r="E1029">
        <v>77</v>
      </c>
      <c r="F1029">
        <v>77</v>
      </c>
      <c r="G1029">
        <v>100</v>
      </c>
      <c r="H1029" t="s">
        <v>1069</v>
      </c>
      <c r="I1029" s="11">
        <v>38078</v>
      </c>
      <c r="J1029">
        <v>2</v>
      </c>
    </row>
    <row r="1030" spans="1:18">
      <c r="A1030" t="s">
        <v>1078</v>
      </c>
      <c r="B1030" t="s">
        <v>186</v>
      </c>
      <c r="C1030" t="s">
        <v>1079</v>
      </c>
      <c r="D1030">
        <v>0</v>
      </c>
      <c r="E1030">
        <v>100</v>
      </c>
      <c r="F1030">
        <v>100</v>
      </c>
      <c r="G1030">
        <v>100</v>
      </c>
      <c r="H1030" t="s">
        <v>1069</v>
      </c>
      <c r="I1030" s="11">
        <v>38139</v>
      </c>
      <c r="J1030">
        <v>2</v>
      </c>
      <c r="K1030" t="s">
        <v>1385</v>
      </c>
      <c r="L1030" t="s">
        <v>1598</v>
      </c>
      <c r="M1030">
        <v>8.1900000000000001E-2</v>
      </c>
      <c r="O1030">
        <v>0.98</v>
      </c>
      <c r="P1030">
        <v>9</v>
      </c>
      <c r="Q1030" t="s">
        <v>1394</v>
      </c>
      <c r="R1030">
        <v>4.07E-2</v>
      </c>
    </row>
    <row r="1031" spans="1:18">
      <c r="A1031" t="s">
        <v>1078</v>
      </c>
      <c r="B1031" t="s">
        <v>186</v>
      </c>
      <c r="C1031" t="s">
        <v>1079</v>
      </c>
      <c r="D1031">
        <v>1</v>
      </c>
      <c r="E1031">
        <v>99</v>
      </c>
      <c r="F1031">
        <v>99</v>
      </c>
      <c r="G1031">
        <v>100</v>
      </c>
      <c r="H1031" t="s">
        <v>1069</v>
      </c>
      <c r="I1031" s="11">
        <v>38139</v>
      </c>
      <c r="J1031">
        <v>2</v>
      </c>
    </row>
    <row r="1032" spans="1:18">
      <c r="A1032" t="s">
        <v>1078</v>
      </c>
      <c r="B1032" t="s">
        <v>186</v>
      </c>
      <c r="C1032" t="s">
        <v>1079</v>
      </c>
      <c r="D1032">
        <v>3</v>
      </c>
      <c r="E1032">
        <v>92</v>
      </c>
      <c r="F1032">
        <v>92</v>
      </c>
      <c r="G1032">
        <v>100</v>
      </c>
      <c r="H1032" t="s">
        <v>1069</v>
      </c>
      <c r="I1032" s="11">
        <v>38139</v>
      </c>
      <c r="J1032">
        <v>2</v>
      </c>
    </row>
    <row r="1033" spans="1:18">
      <c r="A1033" t="s">
        <v>1078</v>
      </c>
      <c r="B1033" t="s">
        <v>186</v>
      </c>
      <c r="C1033" t="s">
        <v>1079</v>
      </c>
      <c r="D1033">
        <v>5</v>
      </c>
      <c r="E1033">
        <v>79</v>
      </c>
      <c r="F1033">
        <v>79</v>
      </c>
      <c r="G1033">
        <v>100</v>
      </c>
      <c r="H1033" t="s">
        <v>1069</v>
      </c>
      <c r="I1033" s="11">
        <v>38139</v>
      </c>
      <c r="J1033">
        <v>2</v>
      </c>
    </row>
    <row r="1034" spans="1:18">
      <c r="A1034" t="s">
        <v>1078</v>
      </c>
      <c r="B1034" t="s">
        <v>186</v>
      </c>
      <c r="C1034" t="s">
        <v>1079</v>
      </c>
      <c r="D1034">
        <v>7</v>
      </c>
      <c r="E1034">
        <v>67</v>
      </c>
      <c r="F1034">
        <v>67</v>
      </c>
      <c r="G1034">
        <v>100</v>
      </c>
      <c r="H1034" t="s">
        <v>1069</v>
      </c>
      <c r="I1034" s="11">
        <v>38139</v>
      </c>
      <c r="J1034">
        <v>2</v>
      </c>
    </row>
    <row r="1035" spans="1:18">
      <c r="A1035" t="s">
        <v>1078</v>
      </c>
      <c r="B1035" t="s">
        <v>186</v>
      </c>
      <c r="C1035" t="s">
        <v>1079</v>
      </c>
      <c r="D1035">
        <v>15</v>
      </c>
      <c r="E1035">
        <v>52</v>
      </c>
      <c r="F1035">
        <v>52</v>
      </c>
      <c r="G1035">
        <v>100</v>
      </c>
      <c r="H1035" t="s">
        <v>1069</v>
      </c>
      <c r="I1035" s="11">
        <v>38139</v>
      </c>
      <c r="J1035">
        <v>2</v>
      </c>
    </row>
    <row r="1036" spans="1:18">
      <c r="A1036" t="s">
        <v>1078</v>
      </c>
      <c r="B1036" t="s">
        <v>186</v>
      </c>
      <c r="C1036" t="s">
        <v>1079</v>
      </c>
      <c r="D1036">
        <v>30</v>
      </c>
      <c r="E1036">
        <v>30</v>
      </c>
      <c r="F1036">
        <v>30</v>
      </c>
      <c r="G1036">
        <v>100</v>
      </c>
      <c r="H1036" t="s">
        <v>1069</v>
      </c>
      <c r="I1036" s="11">
        <v>38139</v>
      </c>
      <c r="J1036">
        <v>2</v>
      </c>
    </row>
    <row r="1037" spans="1:18">
      <c r="A1037" t="s">
        <v>1078</v>
      </c>
      <c r="B1037" t="s">
        <v>186</v>
      </c>
      <c r="C1037" t="s">
        <v>1079</v>
      </c>
      <c r="D1037">
        <v>60</v>
      </c>
      <c r="E1037">
        <v>31</v>
      </c>
      <c r="F1037">
        <v>31</v>
      </c>
      <c r="G1037">
        <v>100</v>
      </c>
      <c r="H1037" t="s">
        <v>1069</v>
      </c>
      <c r="I1037" s="11">
        <v>38139</v>
      </c>
      <c r="J1037">
        <v>2</v>
      </c>
    </row>
    <row r="1038" spans="1:18">
      <c r="A1038" t="s">
        <v>1078</v>
      </c>
      <c r="B1038" t="s">
        <v>186</v>
      </c>
      <c r="C1038" t="s">
        <v>1079</v>
      </c>
      <c r="D1038">
        <v>0</v>
      </c>
      <c r="E1038">
        <v>100</v>
      </c>
      <c r="F1038">
        <v>100</v>
      </c>
      <c r="G1038">
        <v>100</v>
      </c>
      <c r="H1038" t="s">
        <v>1069</v>
      </c>
      <c r="I1038" s="11">
        <v>38322</v>
      </c>
      <c r="J1038">
        <v>2</v>
      </c>
      <c r="K1038" t="s">
        <v>1394</v>
      </c>
      <c r="L1038" t="s">
        <v>1599</v>
      </c>
      <c r="M1038">
        <v>3.3599999999999998E-2</v>
      </c>
      <c r="O1038">
        <v>0.92</v>
      </c>
      <c r="Q1038" t="s">
        <v>1394</v>
      </c>
      <c r="R1038">
        <v>3.4200000000000001E-2</v>
      </c>
    </row>
    <row r="1039" spans="1:18">
      <c r="A1039" t="s">
        <v>1078</v>
      </c>
      <c r="B1039" t="s">
        <v>186</v>
      </c>
      <c r="C1039" t="s">
        <v>1079</v>
      </c>
      <c r="D1039">
        <v>1</v>
      </c>
      <c r="E1039">
        <v>102</v>
      </c>
      <c r="F1039">
        <v>102</v>
      </c>
      <c r="G1039">
        <v>100</v>
      </c>
      <c r="H1039" t="s">
        <v>1069</v>
      </c>
      <c r="I1039" s="11">
        <v>38322</v>
      </c>
      <c r="J1039">
        <v>2</v>
      </c>
    </row>
    <row r="1040" spans="1:18">
      <c r="A1040" t="s">
        <v>1078</v>
      </c>
      <c r="B1040" t="s">
        <v>186</v>
      </c>
      <c r="C1040" t="s">
        <v>1079</v>
      </c>
      <c r="D1040">
        <v>3</v>
      </c>
      <c r="E1040">
        <v>93</v>
      </c>
      <c r="F1040">
        <v>93</v>
      </c>
      <c r="G1040">
        <v>100</v>
      </c>
      <c r="H1040" t="s">
        <v>1069</v>
      </c>
      <c r="I1040" s="11">
        <v>38322</v>
      </c>
      <c r="J1040">
        <v>2</v>
      </c>
    </row>
    <row r="1041" spans="1:18">
      <c r="A1041" t="s">
        <v>1078</v>
      </c>
      <c r="B1041" t="s">
        <v>186</v>
      </c>
      <c r="C1041" t="s">
        <v>1079</v>
      </c>
      <c r="D1041">
        <v>5</v>
      </c>
      <c r="E1041">
        <v>95</v>
      </c>
      <c r="F1041">
        <v>95</v>
      </c>
      <c r="G1041">
        <v>100</v>
      </c>
      <c r="H1041" t="s">
        <v>1069</v>
      </c>
      <c r="I1041" s="11">
        <v>38322</v>
      </c>
      <c r="J1041">
        <v>2</v>
      </c>
    </row>
    <row r="1042" spans="1:18">
      <c r="A1042" t="s">
        <v>1078</v>
      </c>
      <c r="B1042" t="s">
        <v>186</v>
      </c>
      <c r="C1042" t="s">
        <v>1079</v>
      </c>
      <c r="D1042">
        <v>7</v>
      </c>
      <c r="E1042">
        <v>92</v>
      </c>
      <c r="F1042">
        <v>92</v>
      </c>
      <c r="G1042">
        <v>100</v>
      </c>
      <c r="H1042" t="s">
        <v>1069</v>
      </c>
      <c r="I1042" s="11">
        <v>38322</v>
      </c>
      <c r="J1042">
        <v>2</v>
      </c>
    </row>
    <row r="1043" spans="1:18">
      <c r="A1043" t="s">
        <v>1078</v>
      </c>
      <c r="B1043" t="s">
        <v>186</v>
      </c>
      <c r="C1043" t="s">
        <v>1079</v>
      </c>
      <c r="D1043">
        <v>15</v>
      </c>
      <c r="E1043">
        <v>54</v>
      </c>
      <c r="F1043">
        <v>54</v>
      </c>
      <c r="G1043">
        <v>100</v>
      </c>
      <c r="H1043" t="s">
        <v>1069</v>
      </c>
      <c r="I1043" s="11">
        <v>38322</v>
      </c>
      <c r="J1043">
        <v>2</v>
      </c>
    </row>
    <row r="1044" spans="1:18">
      <c r="A1044" t="s">
        <v>1078</v>
      </c>
      <c r="B1044" t="s">
        <v>186</v>
      </c>
      <c r="C1044" t="s">
        <v>1079</v>
      </c>
      <c r="D1044">
        <v>30</v>
      </c>
      <c r="E1044">
        <v>40</v>
      </c>
      <c r="F1044">
        <v>40</v>
      </c>
      <c r="G1044">
        <v>100</v>
      </c>
      <c r="H1044" t="s">
        <v>1069</v>
      </c>
      <c r="I1044" s="11">
        <v>38322</v>
      </c>
      <c r="J1044">
        <v>2</v>
      </c>
    </row>
    <row r="1045" spans="1:18">
      <c r="A1045" t="s">
        <v>1078</v>
      </c>
      <c r="B1045" t="s">
        <v>186</v>
      </c>
      <c r="C1045" t="s">
        <v>1079</v>
      </c>
      <c r="D1045">
        <v>0</v>
      </c>
      <c r="E1045">
        <v>100</v>
      </c>
      <c r="F1045">
        <v>100</v>
      </c>
      <c r="G1045">
        <v>100</v>
      </c>
      <c r="H1045" t="s">
        <v>1069</v>
      </c>
      <c r="I1045" s="11">
        <v>38473</v>
      </c>
      <c r="J1045">
        <v>2</v>
      </c>
      <c r="K1045" s="9" t="s">
        <v>1394</v>
      </c>
      <c r="L1045" s="9" t="s">
        <v>1600</v>
      </c>
      <c r="M1045" s="9">
        <v>2.1600000000000001E-2</v>
      </c>
      <c r="N1045" s="9"/>
      <c r="O1045" s="9">
        <v>0.96</v>
      </c>
      <c r="Q1045" t="s">
        <v>1394</v>
      </c>
      <c r="R1045">
        <v>2.1600000000000001E-2</v>
      </c>
    </row>
    <row r="1046" spans="1:18">
      <c r="A1046" t="s">
        <v>1078</v>
      </c>
      <c r="B1046" t="s">
        <v>186</v>
      </c>
      <c r="C1046" t="s">
        <v>1079</v>
      </c>
      <c r="D1046">
        <v>1</v>
      </c>
      <c r="E1046">
        <v>107</v>
      </c>
      <c r="F1046">
        <v>107</v>
      </c>
      <c r="G1046">
        <v>100</v>
      </c>
      <c r="H1046" t="s">
        <v>1069</v>
      </c>
      <c r="I1046" s="11">
        <v>38473</v>
      </c>
      <c r="J1046">
        <v>2</v>
      </c>
      <c r="K1046" t="s">
        <v>1396</v>
      </c>
      <c r="L1046" t="s">
        <v>1601</v>
      </c>
      <c r="N1046">
        <v>-1.6600999999999999</v>
      </c>
      <c r="O1046">
        <v>0.94</v>
      </c>
    </row>
    <row r="1047" spans="1:18">
      <c r="A1047" t="s">
        <v>1078</v>
      </c>
      <c r="B1047" t="s">
        <v>186</v>
      </c>
      <c r="C1047" t="s">
        <v>1079</v>
      </c>
      <c r="D1047">
        <v>3</v>
      </c>
      <c r="E1047">
        <v>97</v>
      </c>
      <c r="F1047">
        <v>97</v>
      </c>
      <c r="G1047">
        <v>100</v>
      </c>
      <c r="H1047" t="s">
        <v>1069</v>
      </c>
      <c r="I1047" s="11">
        <v>38473</v>
      </c>
      <c r="J1047">
        <v>2</v>
      </c>
    </row>
    <row r="1048" spans="1:18">
      <c r="A1048" t="s">
        <v>1078</v>
      </c>
      <c r="B1048" t="s">
        <v>186</v>
      </c>
      <c r="C1048" t="s">
        <v>1079</v>
      </c>
      <c r="D1048">
        <v>5</v>
      </c>
      <c r="E1048">
        <v>97</v>
      </c>
      <c r="F1048">
        <v>97</v>
      </c>
      <c r="G1048">
        <v>100</v>
      </c>
      <c r="H1048" t="s">
        <v>1069</v>
      </c>
      <c r="I1048" s="11">
        <v>38473</v>
      </c>
      <c r="J1048">
        <v>2</v>
      </c>
    </row>
    <row r="1049" spans="1:18">
      <c r="A1049" t="s">
        <v>1078</v>
      </c>
      <c r="B1049" t="s">
        <v>186</v>
      </c>
      <c r="C1049" t="s">
        <v>1079</v>
      </c>
      <c r="D1049">
        <v>7</v>
      </c>
      <c r="E1049">
        <v>92</v>
      </c>
      <c r="F1049">
        <v>92</v>
      </c>
      <c r="G1049">
        <v>100</v>
      </c>
      <c r="H1049" t="s">
        <v>1069</v>
      </c>
      <c r="I1049" s="11">
        <v>38473</v>
      </c>
      <c r="J1049">
        <v>2</v>
      </c>
    </row>
    <row r="1050" spans="1:18">
      <c r="A1050" t="s">
        <v>1078</v>
      </c>
      <c r="B1050" t="s">
        <v>186</v>
      </c>
      <c r="C1050" t="s">
        <v>1079</v>
      </c>
      <c r="D1050">
        <v>15</v>
      </c>
      <c r="E1050">
        <v>72</v>
      </c>
      <c r="F1050">
        <v>72</v>
      </c>
      <c r="G1050">
        <v>100</v>
      </c>
      <c r="H1050" t="s">
        <v>1069</v>
      </c>
      <c r="I1050" s="11">
        <v>38473</v>
      </c>
      <c r="J1050">
        <v>2</v>
      </c>
    </row>
    <row r="1051" spans="1:18">
      <c r="A1051" t="s">
        <v>1078</v>
      </c>
      <c r="B1051" t="s">
        <v>186</v>
      </c>
      <c r="C1051" t="s">
        <v>1079</v>
      </c>
      <c r="D1051">
        <v>30</v>
      </c>
      <c r="E1051">
        <v>56</v>
      </c>
      <c r="F1051">
        <v>56</v>
      </c>
      <c r="G1051">
        <v>100</v>
      </c>
      <c r="H1051" t="s">
        <v>1069</v>
      </c>
      <c r="I1051" s="11">
        <v>38473</v>
      </c>
      <c r="J1051">
        <v>2</v>
      </c>
    </row>
    <row r="1052" spans="1:18">
      <c r="A1052" t="s">
        <v>1088</v>
      </c>
      <c r="B1052" t="s">
        <v>186</v>
      </c>
      <c r="C1052" t="s">
        <v>1079</v>
      </c>
      <c r="D1052">
        <v>0</v>
      </c>
      <c r="E1052">
        <f t="shared" ref="E1052:E1073" si="12">F1052/G1052*100</f>
        <v>100</v>
      </c>
      <c r="F1052">
        <v>20</v>
      </c>
      <c r="G1052">
        <v>20</v>
      </c>
      <c r="H1052" t="s">
        <v>1089</v>
      </c>
      <c r="I1052" t="s">
        <v>1090</v>
      </c>
      <c r="K1052" s="2" t="s">
        <v>1602</v>
      </c>
      <c r="Q1052" t="s">
        <v>190</v>
      </c>
    </row>
    <row r="1053" spans="1:18">
      <c r="A1053" t="s">
        <v>1088</v>
      </c>
      <c r="B1053" t="s">
        <v>186</v>
      </c>
      <c r="C1053" t="s">
        <v>1079</v>
      </c>
      <c r="D1053">
        <v>1</v>
      </c>
      <c r="E1053">
        <f t="shared" si="12"/>
        <v>100</v>
      </c>
      <c r="F1053">
        <v>20</v>
      </c>
      <c r="G1053">
        <v>20</v>
      </c>
      <c r="H1053" t="s">
        <v>1089</v>
      </c>
      <c r="I1053" t="s">
        <v>1090</v>
      </c>
    </row>
    <row r="1054" spans="1:18">
      <c r="A1054" t="s">
        <v>1088</v>
      </c>
      <c r="B1054" t="s">
        <v>186</v>
      </c>
      <c r="C1054" t="s">
        <v>1079</v>
      </c>
      <c r="D1054">
        <v>0</v>
      </c>
      <c r="E1054">
        <f t="shared" si="12"/>
        <v>100</v>
      </c>
      <c r="F1054">
        <v>20</v>
      </c>
      <c r="G1054">
        <v>20</v>
      </c>
      <c r="H1054" t="s">
        <v>1089</v>
      </c>
      <c r="I1054" t="s">
        <v>1091</v>
      </c>
      <c r="K1054" s="1" t="s">
        <v>1396</v>
      </c>
      <c r="L1054" t="s">
        <v>1603</v>
      </c>
      <c r="N1054">
        <v>-5.0453999999999999</v>
      </c>
      <c r="O1054">
        <v>0.99</v>
      </c>
      <c r="Q1054" t="s">
        <v>190</v>
      </c>
    </row>
    <row r="1055" spans="1:18">
      <c r="A1055" t="s">
        <v>1088</v>
      </c>
      <c r="B1055" t="s">
        <v>186</v>
      </c>
      <c r="C1055" t="s">
        <v>1079</v>
      </c>
      <c r="D1055">
        <v>8.3000000000000004E-2</v>
      </c>
      <c r="E1055">
        <f t="shared" si="12"/>
        <v>97.5</v>
      </c>
      <c r="F1055">
        <v>19.5</v>
      </c>
      <c r="G1055">
        <v>20</v>
      </c>
      <c r="H1055" t="s">
        <v>1089</v>
      </c>
      <c r="I1055" t="s">
        <v>1091</v>
      </c>
    </row>
    <row r="1056" spans="1:18">
      <c r="A1056" t="s">
        <v>1088</v>
      </c>
      <c r="B1056" t="s">
        <v>186</v>
      </c>
      <c r="C1056" t="s">
        <v>1079</v>
      </c>
      <c r="D1056">
        <v>0.16700000000000001</v>
      </c>
      <c r="E1056">
        <f t="shared" si="12"/>
        <v>97.5</v>
      </c>
      <c r="F1056">
        <v>19.5</v>
      </c>
      <c r="G1056">
        <v>20</v>
      </c>
      <c r="H1056" t="s">
        <v>1089</v>
      </c>
      <c r="I1056" t="s">
        <v>1091</v>
      </c>
    </row>
    <row r="1057" spans="1:17">
      <c r="A1057" t="s">
        <v>1088</v>
      </c>
      <c r="B1057" t="s">
        <v>186</v>
      </c>
      <c r="C1057" t="s">
        <v>1079</v>
      </c>
      <c r="D1057">
        <v>1</v>
      </c>
      <c r="E1057">
        <f t="shared" si="12"/>
        <v>75</v>
      </c>
      <c r="F1057">
        <v>15</v>
      </c>
      <c r="G1057">
        <v>20</v>
      </c>
      <c r="H1057" t="s">
        <v>1089</v>
      </c>
      <c r="I1057" t="s">
        <v>1091</v>
      </c>
    </row>
    <row r="1058" spans="1:17">
      <c r="A1058" t="s">
        <v>1088</v>
      </c>
      <c r="B1058" t="s">
        <v>186</v>
      </c>
      <c r="C1058" t="s">
        <v>1079</v>
      </c>
      <c r="D1058">
        <v>0</v>
      </c>
      <c r="E1058">
        <f t="shared" si="12"/>
        <v>100</v>
      </c>
      <c r="F1058">
        <v>20</v>
      </c>
      <c r="G1058">
        <v>20</v>
      </c>
      <c r="H1058" t="s">
        <v>1089</v>
      </c>
      <c r="I1058" t="s">
        <v>1092</v>
      </c>
      <c r="K1058" t="s">
        <v>1385</v>
      </c>
      <c r="L1058" t="s">
        <v>1604</v>
      </c>
      <c r="M1058">
        <v>9.0408000000000008</v>
      </c>
      <c r="O1058">
        <v>0.89</v>
      </c>
      <c r="P1058">
        <v>0.1</v>
      </c>
      <c r="Q1058" t="s">
        <v>190</v>
      </c>
    </row>
    <row r="1059" spans="1:17">
      <c r="A1059" t="s">
        <v>1088</v>
      </c>
      <c r="B1059" t="s">
        <v>186</v>
      </c>
      <c r="C1059" t="s">
        <v>1079</v>
      </c>
      <c r="D1059">
        <v>8.3000000000000004E-2</v>
      </c>
      <c r="E1059">
        <f t="shared" si="12"/>
        <v>82.5</v>
      </c>
      <c r="F1059">
        <v>16.5</v>
      </c>
      <c r="G1059">
        <v>20</v>
      </c>
      <c r="H1059" t="s">
        <v>1089</v>
      </c>
      <c r="I1059" t="s">
        <v>1092</v>
      </c>
    </row>
    <row r="1060" spans="1:17">
      <c r="A1060" t="s">
        <v>1088</v>
      </c>
      <c r="B1060" t="s">
        <v>186</v>
      </c>
      <c r="C1060" t="s">
        <v>1079</v>
      </c>
      <c r="D1060">
        <v>0.16700000000000001</v>
      </c>
      <c r="E1060">
        <f t="shared" si="12"/>
        <v>81</v>
      </c>
      <c r="F1060">
        <v>16.2</v>
      </c>
      <c r="G1060">
        <v>20</v>
      </c>
      <c r="H1060" t="s">
        <v>1089</v>
      </c>
      <c r="I1060" t="s">
        <v>1092</v>
      </c>
    </row>
    <row r="1061" spans="1:17">
      <c r="A1061" t="s">
        <v>1088</v>
      </c>
      <c r="B1061" t="s">
        <v>186</v>
      </c>
      <c r="C1061" t="s">
        <v>1079</v>
      </c>
      <c r="D1061">
        <v>1</v>
      </c>
      <c r="E1061">
        <f t="shared" si="12"/>
        <v>71.500000000000014</v>
      </c>
      <c r="F1061">
        <v>14.3</v>
      </c>
      <c r="G1061">
        <v>20</v>
      </c>
      <c r="H1061" t="s">
        <v>1089</v>
      </c>
      <c r="I1061" t="s">
        <v>1092</v>
      </c>
    </row>
    <row r="1062" spans="1:17">
      <c r="A1062" t="s">
        <v>1088</v>
      </c>
      <c r="B1062" t="s">
        <v>186</v>
      </c>
      <c r="C1062" t="s">
        <v>1079</v>
      </c>
      <c r="D1062">
        <v>0</v>
      </c>
      <c r="E1062">
        <f t="shared" si="12"/>
        <v>100</v>
      </c>
      <c r="F1062">
        <v>15.7</v>
      </c>
      <c r="G1062">
        <v>15.7</v>
      </c>
      <c r="H1062" t="s">
        <v>1089</v>
      </c>
      <c r="I1062" t="s">
        <v>1093</v>
      </c>
      <c r="K1062" t="s">
        <v>1387</v>
      </c>
      <c r="Q1062" t="s">
        <v>190</v>
      </c>
    </row>
    <row r="1063" spans="1:17">
      <c r="A1063" t="s">
        <v>1088</v>
      </c>
      <c r="B1063" t="s">
        <v>186</v>
      </c>
      <c r="C1063" t="s">
        <v>1079</v>
      </c>
      <c r="D1063">
        <v>0.08</v>
      </c>
      <c r="E1063">
        <f t="shared" si="12"/>
        <v>93.630573248407643</v>
      </c>
      <c r="F1063">
        <v>14.7</v>
      </c>
      <c r="G1063">
        <v>15.7</v>
      </c>
      <c r="H1063" t="s">
        <v>1089</v>
      </c>
      <c r="I1063" t="s">
        <v>1093</v>
      </c>
    </row>
    <row r="1064" spans="1:17">
      <c r="A1064" t="s">
        <v>1088</v>
      </c>
      <c r="B1064" t="s">
        <v>186</v>
      </c>
      <c r="C1064" t="s">
        <v>1079</v>
      </c>
      <c r="D1064">
        <v>0.17</v>
      </c>
      <c r="E1064">
        <f t="shared" si="12"/>
        <v>92.356687898089177</v>
      </c>
      <c r="F1064">
        <v>14.5</v>
      </c>
      <c r="G1064">
        <v>15.7</v>
      </c>
      <c r="H1064" t="s">
        <v>1089</v>
      </c>
      <c r="I1064" t="s">
        <v>1093</v>
      </c>
    </row>
    <row r="1065" spans="1:17">
      <c r="A1065" t="s">
        <v>1088</v>
      </c>
      <c r="B1065" t="s">
        <v>186</v>
      </c>
      <c r="C1065" t="s">
        <v>1079</v>
      </c>
      <c r="D1065">
        <v>0.28999999999999998</v>
      </c>
      <c r="E1065">
        <f t="shared" si="12"/>
        <v>89.171974522292999</v>
      </c>
      <c r="F1065">
        <v>14</v>
      </c>
      <c r="G1065">
        <v>15.7</v>
      </c>
      <c r="H1065" t="s">
        <v>1089</v>
      </c>
      <c r="I1065" t="s">
        <v>1093</v>
      </c>
    </row>
    <row r="1066" spans="1:17">
      <c r="A1066" t="s">
        <v>1088</v>
      </c>
      <c r="B1066" t="s">
        <v>186</v>
      </c>
      <c r="C1066" t="s">
        <v>1079</v>
      </c>
      <c r="D1066">
        <v>0.5</v>
      </c>
      <c r="E1066">
        <f t="shared" si="12"/>
        <v>91.719745222929944</v>
      </c>
      <c r="F1066">
        <v>14.4</v>
      </c>
      <c r="G1066">
        <v>15.7</v>
      </c>
      <c r="H1066" t="s">
        <v>1089</v>
      </c>
      <c r="I1066" t="s">
        <v>1093</v>
      </c>
    </row>
    <row r="1067" spans="1:17">
      <c r="A1067" t="s">
        <v>1088</v>
      </c>
      <c r="B1067" t="s">
        <v>186</v>
      </c>
      <c r="C1067" t="s">
        <v>1079</v>
      </c>
      <c r="D1067">
        <v>1</v>
      </c>
      <c r="E1067">
        <f t="shared" si="12"/>
        <v>94.26751592356689</v>
      </c>
      <c r="F1067">
        <v>14.8</v>
      </c>
      <c r="G1067">
        <v>15.7</v>
      </c>
      <c r="H1067" t="s">
        <v>1089</v>
      </c>
      <c r="I1067" t="s">
        <v>1093</v>
      </c>
    </row>
    <row r="1068" spans="1:17">
      <c r="A1068" t="s">
        <v>1088</v>
      </c>
      <c r="B1068" t="s">
        <v>186</v>
      </c>
      <c r="C1068" t="s">
        <v>1079</v>
      </c>
      <c r="D1068">
        <v>0</v>
      </c>
      <c r="E1068">
        <f t="shared" si="12"/>
        <v>100</v>
      </c>
      <c r="F1068">
        <v>15.1</v>
      </c>
      <c r="G1068">
        <v>15.1</v>
      </c>
      <c r="H1068" t="s">
        <v>1089</v>
      </c>
      <c r="I1068" t="s">
        <v>1094</v>
      </c>
      <c r="K1068" s="2" t="s">
        <v>1385</v>
      </c>
      <c r="L1068" s="2" t="s">
        <v>1605</v>
      </c>
      <c r="M1068" s="2">
        <v>3.4405000000000001</v>
      </c>
      <c r="N1068" s="2"/>
      <c r="O1068" s="2">
        <v>0.69</v>
      </c>
      <c r="P1068">
        <v>0.2</v>
      </c>
      <c r="Q1068" t="s">
        <v>190</v>
      </c>
    </row>
    <row r="1069" spans="1:17">
      <c r="A1069" t="s">
        <v>1088</v>
      </c>
      <c r="B1069" t="s">
        <v>186</v>
      </c>
      <c r="C1069" t="s">
        <v>1079</v>
      </c>
      <c r="D1069">
        <v>0.08</v>
      </c>
      <c r="E1069">
        <f t="shared" si="12"/>
        <v>91.390728476821209</v>
      </c>
      <c r="F1069">
        <v>13.8</v>
      </c>
      <c r="G1069">
        <v>15.1</v>
      </c>
      <c r="H1069" t="s">
        <v>1089</v>
      </c>
      <c r="I1069" t="s">
        <v>1094</v>
      </c>
    </row>
    <row r="1070" spans="1:17">
      <c r="A1070" t="s">
        <v>1088</v>
      </c>
      <c r="B1070" t="s">
        <v>186</v>
      </c>
      <c r="C1070" t="s">
        <v>1079</v>
      </c>
      <c r="D1070">
        <v>0.17</v>
      </c>
      <c r="E1070">
        <f t="shared" si="12"/>
        <v>83.443708609271525</v>
      </c>
      <c r="F1070">
        <v>12.6</v>
      </c>
      <c r="G1070">
        <v>15.1</v>
      </c>
      <c r="H1070" t="s">
        <v>1089</v>
      </c>
      <c r="I1070" t="s">
        <v>1094</v>
      </c>
    </row>
    <row r="1071" spans="1:17">
      <c r="A1071" t="s">
        <v>1088</v>
      </c>
      <c r="B1071" t="s">
        <v>186</v>
      </c>
      <c r="C1071" t="s">
        <v>1079</v>
      </c>
      <c r="D1071">
        <v>0.28999999999999998</v>
      </c>
      <c r="E1071">
        <f t="shared" si="12"/>
        <v>90.728476821192046</v>
      </c>
      <c r="F1071">
        <v>13.7</v>
      </c>
      <c r="G1071">
        <v>15.1</v>
      </c>
      <c r="H1071" t="s">
        <v>1089</v>
      </c>
      <c r="I1071" t="s">
        <v>1094</v>
      </c>
    </row>
    <row r="1072" spans="1:17">
      <c r="A1072" t="s">
        <v>1088</v>
      </c>
      <c r="B1072" t="s">
        <v>186</v>
      </c>
      <c r="C1072" t="s">
        <v>1079</v>
      </c>
      <c r="D1072">
        <v>0.5</v>
      </c>
      <c r="E1072">
        <f t="shared" si="12"/>
        <v>78.145695364238421</v>
      </c>
      <c r="F1072">
        <v>11.8</v>
      </c>
      <c r="G1072">
        <v>15.1</v>
      </c>
      <c r="H1072" t="s">
        <v>1089</v>
      </c>
      <c r="I1072" t="s">
        <v>1094</v>
      </c>
    </row>
    <row r="1073" spans="1:17">
      <c r="A1073" t="s">
        <v>1088</v>
      </c>
      <c r="B1073" t="s">
        <v>186</v>
      </c>
      <c r="C1073" t="s">
        <v>1079</v>
      </c>
      <c r="D1073">
        <v>1</v>
      </c>
      <c r="E1073">
        <f t="shared" si="12"/>
        <v>76.158940397350989</v>
      </c>
      <c r="F1073">
        <v>11.5</v>
      </c>
      <c r="G1073">
        <v>15.1</v>
      </c>
      <c r="H1073" t="s">
        <v>1089</v>
      </c>
      <c r="I1073" t="s">
        <v>1094</v>
      </c>
    </row>
    <row r="1074" spans="1:17">
      <c r="A1074" t="s">
        <v>1100</v>
      </c>
      <c r="B1074" t="s">
        <v>999</v>
      </c>
      <c r="C1074" t="s">
        <v>1095</v>
      </c>
      <c r="D1074">
        <v>0</v>
      </c>
      <c r="E1074">
        <v>100</v>
      </c>
      <c r="F1074">
        <v>100</v>
      </c>
      <c r="G1074">
        <v>100</v>
      </c>
      <c r="H1074" t="s">
        <v>1069</v>
      </c>
      <c r="I1074" t="s">
        <v>1101</v>
      </c>
      <c r="J1074">
        <v>5</v>
      </c>
      <c r="K1074" t="s">
        <v>1394</v>
      </c>
      <c r="L1074" t="s">
        <v>1606</v>
      </c>
      <c r="M1074">
        <v>8.7099999999999997E-2</v>
      </c>
      <c r="O1074">
        <v>0.997</v>
      </c>
      <c r="Q1074" t="s">
        <v>190</v>
      </c>
    </row>
    <row r="1075" spans="1:17">
      <c r="A1075" t="s">
        <v>1100</v>
      </c>
      <c r="B1075" t="s">
        <v>999</v>
      </c>
      <c r="C1075" t="s">
        <v>1095</v>
      </c>
      <c r="D1075">
        <v>5</v>
      </c>
      <c r="E1075">
        <v>67</v>
      </c>
      <c r="F1075">
        <v>67</v>
      </c>
      <c r="G1075">
        <v>100</v>
      </c>
      <c r="H1075" t="s">
        <v>1069</v>
      </c>
      <c r="I1075" t="s">
        <v>1101</v>
      </c>
      <c r="J1075">
        <v>5</v>
      </c>
    </row>
    <row r="1076" spans="1:17">
      <c r="A1076" t="s">
        <v>1100</v>
      </c>
      <c r="B1076" t="s">
        <v>999</v>
      </c>
      <c r="C1076" t="s">
        <v>1095</v>
      </c>
      <c r="D1076">
        <v>10</v>
      </c>
      <c r="E1076">
        <v>42.5</v>
      </c>
      <c r="F1076">
        <v>42.5</v>
      </c>
      <c r="G1076">
        <v>100</v>
      </c>
      <c r="H1076" t="s">
        <v>1069</v>
      </c>
      <c r="I1076" t="s">
        <v>1101</v>
      </c>
      <c r="J1076">
        <v>5</v>
      </c>
    </row>
    <row r="1077" spans="1:17">
      <c r="A1077" t="s">
        <v>1100</v>
      </c>
      <c r="B1077" t="s">
        <v>999</v>
      </c>
      <c r="C1077" t="s">
        <v>1095</v>
      </c>
      <c r="D1077">
        <v>15</v>
      </c>
      <c r="E1077">
        <v>25.6</v>
      </c>
      <c r="F1077">
        <v>25.6</v>
      </c>
      <c r="G1077">
        <v>100</v>
      </c>
      <c r="H1077" t="s">
        <v>1069</v>
      </c>
      <c r="I1077" t="s">
        <v>1101</v>
      </c>
      <c r="J1077">
        <v>5</v>
      </c>
    </row>
    <row r="1078" spans="1:17">
      <c r="A1078" t="s">
        <v>1100</v>
      </c>
      <c r="B1078" t="s">
        <v>999</v>
      </c>
      <c r="C1078" t="s">
        <v>1095</v>
      </c>
      <c r="D1078">
        <v>0</v>
      </c>
      <c r="E1078">
        <v>100</v>
      </c>
      <c r="F1078">
        <v>100</v>
      </c>
      <c r="G1078">
        <v>100</v>
      </c>
      <c r="H1078" t="s">
        <v>1069</v>
      </c>
      <c r="I1078" t="s">
        <v>1102</v>
      </c>
      <c r="J1078">
        <v>2</v>
      </c>
      <c r="K1078" t="s">
        <v>1385</v>
      </c>
      <c r="L1078" t="s">
        <v>1607</v>
      </c>
      <c r="M1078">
        <v>0.2016</v>
      </c>
      <c r="O1078">
        <v>0.997</v>
      </c>
      <c r="P1078">
        <v>3.4</v>
      </c>
      <c r="Q1078" t="s">
        <v>190</v>
      </c>
    </row>
    <row r="1079" spans="1:17">
      <c r="A1079" t="s">
        <v>1100</v>
      </c>
      <c r="B1079" t="s">
        <v>999</v>
      </c>
      <c r="C1079" t="s">
        <v>1095</v>
      </c>
      <c r="D1079">
        <v>5</v>
      </c>
      <c r="E1079">
        <v>50</v>
      </c>
      <c r="F1079">
        <v>50</v>
      </c>
      <c r="G1079">
        <v>100</v>
      </c>
      <c r="H1079" t="s">
        <v>1069</v>
      </c>
      <c r="I1079" t="s">
        <v>1102</v>
      </c>
      <c r="J1079">
        <v>2</v>
      </c>
    </row>
    <row r="1080" spans="1:17">
      <c r="A1080" t="s">
        <v>1100</v>
      </c>
      <c r="B1080" t="s">
        <v>999</v>
      </c>
      <c r="C1080" t="s">
        <v>1095</v>
      </c>
      <c r="D1080">
        <v>10</v>
      </c>
      <c r="E1080">
        <v>35</v>
      </c>
      <c r="F1080">
        <v>35</v>
      </c>
      <c r="G1080">
        <v>100</v>
      </c>
      <c r="H1080" t="s">
        <v>1069</v>
      </c>
      <c r="I1080" t="s">
        <v>1102</v>
      </c>
      <c r="J1080">
        <v>2</v>
      </c>
    </row>
    <row r="1081" spans="1:17">
      <c r="A1081" t="s">
        <v>1100</v>
      </c>
      <c r="B1081" t="s">
        <v>999</v>
      </c>
      <c r="C1081" t="s">
        <v>1095</v>
      </c>
      <c r="D1081">
        <v>15</v>
      </c>
      <c r="E1081">
        <v>28</v>
      </c>
      <c r="F1081">
        <v>28</v>
      </c>
      <c r="G1081">
        <v>100</v>
      </c>
      <c r="H1081" t="s">
        <v>1069</v>
      </c>
      <c r="I1081" t="s">
        <v>1102</v>
      </c>
      <c r="J1081">
        <v>2</v>
      </c>
    </row>
    <row r="1082" spans="1:17">
      <c r="A1082" t="s">
        <v>1100</v>
      </c>
      <c r="B1082" t="s">
        <v>999</v>
      </c>
      <c r="C1082" t="s">
        <v>1095</v>
      </c>
      <c r="D1082">
        <v>21</v>
      </c>
      <c r="E1082">
        <v>23</v>
      </c>
      <c r="F1082">
        <v>23</v>
      </c>
      <c r="G1082">
        <v>100</v>
      </c>
      <c r="H1082" t="s">
        <v>1069</v>
      </c>
      <c r="I1082" t="s">
        <v>1102</v>
      </c>
      <c r="J1082">
        <v>2</v>
      </c>
    </row>
    <row r="1083" spans="1:17">
      <c r="A1083" t="s">
        <v>1100</v>
      </c>
      <c r="B1083" t="s">
        <v>999</v>
      </c>
      <c r="C1083" t="s">
        <v>1095</v>
      </c>
      <c r="D1083">
        <v>0</v>
      </c>
      <c r="E1083">
        <v>100</v>
      </c>
      <c r="F1083">
        <v>100</v>
      </c>
      <c r="G1083">
        <v>100</v>
      </c>
      <c r="H1083" t="s">
        <v>1069</v>
      </c>
      <c r="I1083" t="s">
        <v>1103</v>
      </c>
      <c r="J1083">
        <v>3</v>
      </c>
      <c r="K1083" t="s">
        <v>1385</v>
      </c>
      <c r="L1083" t="s">
        <v>1608</v>
      </c>
      <c r="M1083">
        <v>0.16489999999999999</v>
      </c>
      <c r="O1083">
        <v>0.97</v>
      </c>
      <c r="P1083">
        <v>4.2</v>
      </c>
      <c r="Q1083" t="s">
        <v>190</v>
      </c>
    </row>
    <row r="1084" spans="1:17">
      <c r="A1084" t="s">
        <v>1100</v>
      </c>
      <c r="B1084" t="s">
        <v>999</v>
      </c>
      <c r="C1084" t="s">
        <v>1095</v>
      </c>
      <c r="D1084">
        <v>5</v>
      </c>
      <c r="E1084">
        <v>55</v>
      </c>
      <c r="F1084">
        <v>55</v>
      </c>
      <c r="G1084">
        <v>100</v>
      </c>
      <c r="H1084" t="s">
        <v>1069</v>
      </c>
      <c r="I1084" t="s">
        <v>1103</v>
      </c>
      <c r="J1084">
        <v>3</v>
      </c>
    </row>
    <row r="1085" spans="1:17">
      <c r="A1085" t="s">
        <v>1100</v>
      </c>
      <c r="B1085" t="s">
        <v>999</v>
      </c>
      <c r="C1085" t="s">
        <v>1095</v>
      </c>
      <c r="D1085">
        <v>10</v>
      </c>
      <c r="E1085">
        <v>20</v>
      </c>
      <c r="F1085">
        <v>20</v>
      </c>
      <c r="G1085">
        <v>100</v>
      </c>
      <c r="H1085" t="s">
        <v>1069</v>
      </c>
      <c r="I1085" t="s">
        <v>1103</v>
      </c>
      <c r="J1085">
        <v>3</v>
      </c>
    </row>
    <row r="1086" spans="1:17">
      <c r="A1086" t="s">
        <v>1100</v>
      </c>
      <c r="B1086" t="s">
        <v>999</v>
      </c>
      <c r="C1086" t="s">
        <v>1095</v>
      </c>
      <c r="D1086">
        <v>15</v>
      </c>
      <c r="E1086">
        <v>17</v>
      </c>
      <c r="F1086">
        <v>17</v>
      </c>
      <c r="G1086">
        <v>100</v>
      </c>
      <c r="H1086" t="s">
        <v>1069</v>
      </c>
      <c r="I1086" t="s">
        <v>1103</v>
      </c>
      <c r="J1086">
        <v>3</v>
      </c>
    </row>
    <row r="1087" spans="1:17">
      <c r="A1087" t="s">
        <v>1100</v>
      </c>
      <c r="B1087" t="s">
        <v>999</v>
      </c>
      <c r="C1087" t="s">
        <v>1095</v>
      </c>
      <c r="D1087">
        <v>20</v>
      </c>
      <c r="E1087">
        <v>16</v>
      </c>
      <c r="F1087">
        <v>16</v>
      </c>
      <c r="G1087">
        <v>100</v>
      </c>
      <c r="H1087" t="s">
        <v>1069</v>
      </c>
      <c r="I1087" t="s">
        <v>1103</v>
      </c>
      <c r="J1087">
        <v>3</v>
      </c>
    </row>
    <row r="1088" spans="1:17">
      <c r="A1088" t="s">
        <v>1100</v>
      </c>
      <c r="B1088" t="s">
        <v>999</v>
      </c>
      <c r="C1088" t="s">
        <v>1095</v>
      </c>
      <c r="D1088">
        <v>0</v>
      </c>
      <c r="E1088">
        <v>100</v>
      </c>
      <c r="F1088">
        <v>100</v>
      </c>
      <c r="G1088">
        <v>100</v>
      </c>
      <c r="H1088" t="s">
        <v>1069</v>
      </c>
      <c r="I1088" t="s">
        <v>1104</v>
      </c>
      <c r="J1088">
        <v>2</v>
      </c>
      <c r="K1088" t="s">
        <v>1385</v>
      </c>
      <c r="L1088" t="s">
        <v>1609</v>
      </c>
      <c r="M1088">
        <v>0.1847</v>
      </c>
      <c r="O1088">
        <v>1</v>
      </c>
      <c r="P1088">
        <v>3.7</v>
      </c>
      <c r="Q1088" t="s">
        <v>190</v>
      </c>
    </row>
    <row r="1089" spans="1:17">
      <c r="A1089" t="s">
        <v>1100</v>
      </c>
      <c r="B1089" t="s">
        <v>999</v>
      </c>
      <c r="C1089" t="s">
        <v>1095</v>
      </c>
      <c r="D1089">
        <v>5</v>
      </c>
      <c r="E1089">
        <v>47</v>
      </c>
      <c r="F1089">
        <v>47</v>
      </c>
      <c r="G1089">
        <v>100</v>
      </c>
      <c r="H1089" t="s">
        <v>1069</v>
      </c>
      <c r="I1089" t="s">
        <v>1104</v>
      </c>
      <c r="J1089">
        <v>2</v>
      </c>
    </row>
    <row r="1090" spans="1:17">
      <c r="A1090" t="s">
        <v>1100</v>
      </c>
      <c r="B1090" t="s">
        <v>999</v>
      </c>
      <c r="C1090" t="s">
        <v>1095</v>
      </c>
      <c r="D1090">
        <v>10</v>
      </c>
      <c r="E1090">
        <v>26</v>
      </c>
      <c r="F1090">
        <v>26</v>
      </c>
      <c r="G1090">
        <v>100</v>
      </c>
      <c r="H1090" t="s">
        <v>1069</v>
      </c>
      <c r="I1090" t="s">
        <v>1104</v>
      </c>
      <c r="J1090">
        <v>2</v>
      </c>
    </row>
    <row r="1091" spans="1:17">
      <c r="A1091" t="s">
        <v>1100</v>
      </c>
      <c r="B1091" t="s">
        <v>999</v>
      </c>
      <c r="C1091" t="s">
        <v>1095</v>
      </c>
      <c r="D1091">
        <v>15</v>
      </c>
      <c r="E1091">
        <v>18</v>
      </c>
      <c r="F1091">
        <v>18</v>
      </c>
      <c r="G1091">
        <v>100</v>
      </c>
      <c r="H1091" t="s">
        <v>1069</v>
      </c>
      <c r="I1091" t="s">
        <v>1104</v>
      </c>
      <c r="J1091">
        <v>2</v>
      </c>
    </row>
    <row r="1092" spans="1:17">
      <c r="A1092" t="s">
        <v>1100</v>
      </c>
      <c r="B1092" t="s">
        <v>999</v>
      </c>
      <c r="C1092" t="s">
        <v>1095</v>
      </c>
      <c r="D1092">
        <v>20</v>
      </c>
      <c r="E1092">
        <v>14</v>
      </c>
      <c r="F1092">
        <v>14</v>
      </c>
      <c r="G1092">
        <v>100</v>
      </c>
      <c r="H1092" t="s">
        <v>1069</v>
      </c>
      <c r="I1092" t="s">
        <v>1104</v>
      </c>
      <c r="J1092">
        <v>2</v>
      </c>
    </row>
    <row r="1093" spans="1:17">
      <c r="A1093" t="s">
        <v>1100</v>
      </c>
      <c r="B1093" t="s">
        <v>999</v>
      </c>
      <c r="C1093" t="s">
        <v>1095</v>
      </c>
      <c r="D1093">
        <v>26</v>
      </c>
      <c r="E1093">
        <v>13</v>
      </c>
      <c r="F1093">
        <v>13</v>
      </c>
      <c r="G1093">
        <v>100</v>
      </c>
      <c r="H1093" t="s">
        <v>1069</v>
      </c>
      <c r="I1093" t="s">
        <v>1104</v>
      </c>
      <c r="J1093">
        <v>2</v>
      </c>
    </row>
    <row r="1094" spans="1:17">
      <c r="A1094" t="s">
        <v>1110</v>
      </c>
      <c r="B1094" t="s">
        <v>186</v>
      </c>
      <c r="C1094" t="s">
        <v>445</v>
      </c>
      <c r="D1094">
        <v>0</v>
      </c>
      <c r="E1094">
        <f t="shared" ref="E1094:E1157" si="13">F1094/G1094*100</f>
        <v>100</v>
      </c>
      <c r="F1094">
        <v>6248</v>
      </c>
      <c r="G1094">
        <v>6248</v>
      </c>
      <c r="H1094" t="s">
        <v>390</v>
      </c>
      <c r="I1094" t="s">
        <v>174</v>
      </c>
      <c r="J1094">
        <v>3</v>
      </c>
      <c r="K1094" s="9" t="s">
        <v>1399</v>
      </c>
      <c r="L1094" s="9" t="s">
        <v>1610</v>
      </c>
      <c r="O1094">
        <v>0.995</v>
      </c>
      <c r="Q1094" t="s">
        <v>190</v>
      </c>
    </row>
    <row r="1095" spans="1:17">
      <c r="A1095" t="s">
        <v>1110</v>
      </c>
      <c r="B1095" t="s">
        <v>186</v>
      </c>
      <c r="C1095" t="s">
        <v>445</v>
      </c>
      <c r="D1095">
        <v>4</v>
      </c>
      <c r="E1095">
        <f t="shared" si="13"/>
        <v>98.143405889884761</v>
      </c>
      <c r="F1095">
        <v>6132</v>
      </c>
      <c r="G1095">
        <v>6248</v>
      </c>
      <c r="H1095" t="s">
        <v>390</v>
      </c>
      <c r="I1095" t="s">
        <v>174</v>
      </c>
      <c r="J1095">
        <v>3</v>
      </c>
      <c r="K1095" t="s">
        <v>1385</v>
      </c>
      <c r="L1095" t="s">
        <v>2465</v>
      </c>
      <c r="M1095">
        <v>6.2E-2</v>
      </c>
      <c r="N1095" s="26"/>
      <c r="O1095">
        <v>0.86699999999999999</v>
      </c>
      <c r="P1095" s="2">
        <v>2</v>
      </c>
    </row>
    <row r="1096" spans="1:17">
      <c r="A1096" t="s">
        <v>1110</v>
      </c>
      <c r="B1096" t="s">
        <v>186</v>
      </c>
      <c r="C1096" t="s">
        <v>445</v>
      </c>
      <c r="D1096">
        <v>14</v>
      </c>
      <c r="E1096">
        <f t="shared" si="13"/>
        <v>91.34122919334186</v>
      </c>
      <c r="F1096">
        <v>5707</v>
      </c>
      <c r="G1096">
        <v>6248</v>
      </c>
      <c r="H1096" t="s">
        <v>390</v>
      </c>
      <c r="I1096" t="s">
        <v>174</v>
      </c>
      <c r="J1096">
        <v>3</v>
      </c>
      <c r="K1096" s="26" t="s">
        <v>2466</v>
      </c>
      <c r="L1096" s="26" t="s">
        <v>1705</v>
      </c>
      <c r="M1096" s="26">
        <v>0.25390000000000001</v>
      </c>
      <c r="O1096" s="26">
        <v>0.99</v>
      </c>
    </row>
    <row r="1097" spans="1:17">
      <c r="A1097" t="s">
        <v>1110</v>
      </c>
      <c r="B1097" t="s">
        <v>186</v>
      </c>
      <c r="C1097" t="s">
        <v>445</v>
      </c>
      <c r="D1097">
        <v>23</v>
      </c>
      <c r="E1097">
        <f t="shared" si="13"/>
        <v>16.085147247119078</v>
      </c>
      <c r="F1097">
        <v>1005</v>
      </c>
      <c r="G1097">
        <v>6248</v>
      </c>
      <c r="H1097" t="s">
        <v>390</v>
      </c>
      <c r="I1097" t="s">
        <v>174</v>
      </c>
      <c r="J1097">
        <v>3</v>
      </c>
    </row>
    <row r="1098" spans="1:17">
      <c r="A1098" t="s">
        <v>1110</v>
      </c>
      <c r="B1098" t="s">
        <v>186</v>
      </c>
      <c r="C1098" t="s">
        <v>445</v>
      </c>
      <c r="D1098">
        <v>26</v>
      </c>
      <c r="E1098">
        <f t="shared" si="13"/>
        <v>13.812419974391805</v>
      </c>
      <c r="F1098">
        <v>863</v>
      </c>
      <c r="G1098">
        <v>6248</v>
      </c>
      <c r="H1098" t="s">
        <v>390</v>
      </c>
      <c r="I1098" t="s">
        <v>174</v>
      </c>
      <c r="J1098">
        <v>3</v>
      </c>
    </row>
    <row r="1099" spans="1:17">
      <c r="A1099" t="s">
        <v>1110</v>
      </c>
      <c r="B1099" t="s">
        <v>186</v>
      </c>
      <c r="C1099" t="s">
        <v>445</v>
      </c>
      <c r="D1099">
        <v>29</v>
      </c>
      <c r="E1099">
        <f t="shared" si="13"/>
        <v>13.188220230473751</v>
      </c>
      <c r="F1099">
        <v>824</v>
      </c>
      <c r="G1099">
        <v>6248</v>
      </c>
      <c r="H1099" t="s">
        <v>390</v>
      </c>
      <c r="I1099" t="s">
        <v>174</v>
      </c>
      <c r="J1099">
        <v>3</v>
      </c>
      <c r="K1099">
        <f>412/F1094</f>
        <v>6.5941101152368758E-2</v>
      </c>
    </row>
    <row r="1100" spans="1:17">
      <c r="A1100" t="s">
        <v>1110</v>
      </c>
      <c r="B1100" t="s">
        <v>186</v>
      </c>
      <c r="C1100" t="s">
        <v>445</v>
      </c>
      <c r="D1100">
        <v>32</v>
      </c>
      <c r="E1100">
        <f t="shared" si="13"/>
        <v>11.539692701664531</v>
      </c>
      <c r="F1100">
        <v>721</v>
      </c>
      <c r="G1100">
        <v>6248</v>
      </c>
      <c r="H1100" t="s">
        <v>390</v>
      </c>
      <c r="I1100" t="s">
        <v>174</v>
      </c>
      <c r="J1100">
        <v>3</v>
      </c>
    </row>
    <row r="1101" spans="1:17">
      <c r="A1101" t="s">
        <v>1110</v>
      </c>
      <c r="B1101" t="s">
        <v>186</v>
      </c>
      <c r="C1101" t="s">
        <v>445</v>
      </c>
      <c r="D1101">
        <v>36</v>
      </c>
      <c r="E1101">
        <f t="shared" si="13"/>
        <v>10.723431498079385</v>
      </c>
      <c r="F1101">
        <v>670</v>
      </c>
      <c r="G1101">
        <v>6248</v>
      </c>
      <c r="H1101" t="s">
        <v>390</v>
      </c>
      <c r="I1101" t="s">
        <v>174</v>
      </c>
      <c r="J1101">
        <v>3</v>
      </c>
    </row>
    <row r="1102" spans="1:17">
      <c r="A1102" t="s">
        <v>1110</v>
      </c>
      <c r="B1102" t="s">
        <v>186</v>
      </c>
      <c r="C1102" t="s">
        <v>445</v>
      </c>
      <c r="D1102">
        <v>40</v>
      </c>
      <c r="E1102">
        <f t="shared" si="13"/>
        <v>12.371959026888604</v>
      </c>
      <c r="F1102">
        <v>773</v>
      </c>
      <c r="G1102">
        <v>6248</v>
      </c>
      <c r="H1102" t="s">
        <v>390</v>
      </c>
      <c r="I1102" t="s">
        <v>174</v>
      </c>
      <c r="J1102">
        <v>3</v>
      </c>
    </row>
    <row r="1103" spans="1:17">
      <c r="A1103" t="s">
        <v>1110</v>
      </c>
      <c r="B1103" t="s">
        <v>186</v>
      </c>
      <c r="C1103" t="s">
        <v>445</v>
      </c>
      <c r="D1103">
        <v>44</v>
      </c>
      <c r="E1103">
        <f t="shared" si="13"/>
        <v>10.931498079385403</v>
      </c>
      <c r="F1103">
        <v>683</v>
      </c>
      <c r="G1103">
        <v>6248</v>
      </c>
      <c r="H1103" t="s">
        <v>390</v>
      </c>
      <c r="I1103" t="s">
        <v>174</v>
      </c>
      <c r="J1103">
        <v>3</v>
      </c>
    </row>
    <row r="1104" spans="1:17">
      <c r="A1104" t="s">
        <v>1110</v>
      </c>
      <c r="B1104" t="s">
        <v>186</v>
      </c>
      <c r="C1104" t="s">
        <v>445</v>
      </c>
      <c r="D1104">
        <v>50</v>
      </c>
      <c r="E1104">
        <f t="shared" si="13"/>
        <v>11.74775928297055</v>
      </c>
      <c r="F1104">
        <v>734</v>
      </c>
      <c r="G1104">
        <v>6248</v>
      </c>
      <c r="H1104" t="s">
        <v>390</v>
      </c>
      <c r="I1104" t="s">
        <v>174</v>
      </c>
      <c r="J1104">
        <v>3</v>
      </c>
    </row>
    <row r="1105" spans="1:18">
      <c r="A1105" t="s">
        <v>1110</v>
      </c>
      <c r="B1105" t="s">
        <v>186</v>
      </c>
      <c r="C1105" t="s">
        <v>445</v>
      </c>
      <c r="D1105">
        <v>54</v>
      </c>
      <c r="E1105">
        <f t="shared" si="13"/>
        <v>11.539692701664531</v>
      </c>
      <c r="F1105">
        <v>721</v>
      </c>
      <c r="G1105">
        <v>6248</v>
      </c>
      <c r="H1105" t="s">
        <v>390</v>
      </c>
      <c r="I1105" t="s">
        <v>174</v>
      </c>
      <c r="J1105">
        <v>3</v>
      </c>
    </row>
    <row r="1106" spans="1:18">
      <c r="A1106" t="s">
        <v>1110</v>
      </c>
      <c r="B1106" t="s">
        <v>186</v>
      </c>
      <c r="C1106" t="s">
        <v>445</v>
      </c>
      <c r="D1106">
        <v>61</v>
      </c>
      <c r="E1106">
        <f t="shared" si="13"/>
        <v>11.347631241997441</v>
      </c>
      <c r="F1106">
        <v>709</v>
      </c>
      <c r="G1106">
        <v>6248</v>
      </c>
      <c r="H1106" t="s">
        <v>390</v>
      </c>
      <c r="I1106" t="s">
        <v>174</v>
      </c>
      <c r="J1106">
        <v>3</v>
      </c>
    </row>
    <row r="1107" spans="1:18">
      <c r="A1107" t="s">
        <v>1110</v>
      </c>
      <c r="B1107" t="s">
        <v>186</v>
      </c>
      <c r="C1107" t="s">
        <v>445</v>
      </c>
      <c r="D1107">
        <v>67</v>
      </c>
      <c r="E1107">
        <f t="shared" si="13"/>
        <v>10.307298335467349</v>
      </c>
      <c r="F1107">
        <v>644</v>
      </c>
      <c r="G1107">
        <v>6248</v>
      </c>
      <c r="H1107" t="s">
        <v>390</v>
      </c>
      <c r="I1107" t="s">
        <v>174</v>
      </c>
      <c r="J1107">
        <v>3</v>
      </c>
    </row>
    <row r="1108" spans="1:18">
      <c r="A1108" t="s">
        <v>1110</v>
      </c>
      <c r="B1108" t="s">
        <v>186</v>
      </c>
      <c r="C1108" t="s">
        <v>445</v>
      </c>
      <c r="D1108">
        <v>74</v>
      </c>
      <c r="E1108">
        <f t="shared" si="13"/>
        <v>8.2906530089628685</v>
      </c>
      <c r="F1108">
        <v>518</v>
      </c>
      <c r="G1108">
        <v>6248</v>
      </c>
      <c r="H1108" t="s">
        <v>390</v>
      </c>
      <c r="I1108" t="s">
        <v>174</v>
      </c>
      <c r="J1108">
        <v>3</v>
      </c>
    </row>
    <row r="1109" spans="1:18">
      <c r="A1109" t="s">
        <v>1110</v>
      </c>
      <c r="B1109" t="s">
        <v>186</v>
      </c>
      <c r="C1109" t="s">
        <v>445</v>
      </c>
      <c r="D1109">
        <v>106</v>
      </c>
      <c r="E1109">
        <f t="shared" si="13"/>
        <v>8.8668373879641482</v>
      </c>
      <c r="F1109">
        <v>554</v>
      </c>
      <c r="G1109">
        <v>6248</v>
      </c>
      <c r="H1109" t="s">
        <v>390</v>
      </c>
      <c r="I1109" t="s">
        <v>174</v>
      </c>
      <c r="J1109">
        <v>3</v>
      </c>
    </row>
    <row r="1110" spans="1:18">
      <c r="A1110" t="s">
        <v>1110</v>
      </c>
      <c r="B1110" t="s">
        <v>186</v>
      </c>
      <c r="C1110" t="s">
        <v>445</v>
      </c>
      <c r="D1110">
        <v>217</v>
      </c>
      <c r="E1110">
        <f t="shared" si="13"/>
        <v>7.010243277848911</v>
      </c>
      <c r="F1110">
        <v>438</v>
      </c>
      <c r="G1110">
        <v>6248</v>
      </c>
      <c r="H1110" t="s">
        <v>390</v>
      </c>
      <c r="I1110" t="s">
        <v>174</v>
      </c>
      <c r="J1110">
        <v>3</v>
      </c>
    </row>
    <row r="1111" spans="1:18">
      <c r="A1111" t="s">
        <v>1110</v>
      </c>
      <c r="B1111" t="s">
        <v>186</v>
      </c>
      <c r="C1111" t="s">
        <v>445</v>
      </c>
      <c r="D1111">
        <v>244</v>
      </c>
      <c r="E1111">
        <f t="shared" si="13"/>
        <v>7.010243277848911</v>
      </c>
      <c r="F1111">
        <v>438</v>
      </c>
      <c r="G1111">
        <v>6248</v>
      </c>
      <c r="H1111" t="s">
        <v>390</v>
      </c>
      <c r="I1111" t="s">
        <v>174</v>
      </c>
      <c r="J1111">
        <v>3</v>
      </c>
    </row>
    <row r="1112" spans="1:18">
      <c r="A1112" t="s">
        <v>1110</v>
      </c>
      <c r="B1112" t="s">
        <v>186</v>
      </c>
      <c r="C1112" t="s">
        <v>445</v>
      </c>
      <c r="D1112">
        <v>276</v>
      </c>
      <c r="E1112">
        <f t="shared" si="13"/>
        <v>7.21830985915493</v>
      </c>
      <c r="F1112">
        <v>451</v>
      </c>
      <c r="G1112">
        <v>6248</v>
      </c>
      <c r="H1112" t="s">
        <v>390</v>
      </c>
      <c r="I1112" t="s">
        <v>174</v>
      </c>
      <c r="J1112">
        <v>3</v>
      </c>
    </row>
    <row r="1113" spans="1:18">
      <c r="A1113" t="s">
        <v>1110</v>
      </c>
      <c r="B1113" t="s">
        <v>186</v>
      </c>
      <c r="C1113" t="s">
        <v>445</v>
      </c>
      <c r="D1113">
        <v>308</v>
      </c>
      <c r="E1113">
        <f t="shared" si="13"/>
        <v>7.21830985915493</v>
      </c>
      <c r="F1113">
        <v>451</v>
      </c>
      <c r="G1113">
        <v>6248</v>
      </c>
      <c r="H1113" t="s">
        <v>390</v>
      </c>
      <c r="I1113" t="s">
        <v>174</v>
      </c>
      <c r="J1113">
        <v>3</v>
      </c>
    </row>
    <row r="1114" spans="1:18">
      <c r="A1114" t="s">
        <v>1110</v>
      </c>
      <c r="B1114" t="s">
        <v>186</v>
      </c>
      <c r="C1114" t="s">
        <v>445</v>
      </c>
      <c r="D1114">
        <v>341</v>
      </c>
      <c r="E1114">
        <f t="shared" si="13"/>
        <v>7.21830985915493</v>
      </c>
      <c r="F1114">
        <v>451</v>
      </c>
      <c r="G1114">
        <v>6248</v>
      </c>
      <c r="H1114" t="s">
        <v>390</v>
      </c>
      <c r="I1114" t="s">
        <v>174</v>
      </c>
      <c r="J1114">
        <v>3</v>
      </c>
    </row>
    <row r="1115" spans="1:18">
      <c r="A1115" t="s">
        <v>1110</v>
      </c>
      <c r="B1115" t="s">
        <v>186</v>
      </c>
      <c r="C1115" t="s">
        <v>445</v>
      </c>
      <c r="D1115">
        <v>513</v>
      </c>
      <c r="E1115">
        <f t="shared" si="13"/>
        <v>6.5941101152368757</v>
      </c>
      <c r="F1115">
        <v>412</v>
      </c>
      <c r="G1115">
        <v>6248</v>
      </c>
      <c r="H1115" t="s">
        <v>390</v>
      </c>
      <c r="I1115" t="s">
        <v>174</v>
      </c>
      <c r="J1115">
        <v>3</v>
      </c>
    </row>
    <row r="1116" spans="1:18">
      <c r="A1116" t="s">
        <v>1139</v>
      </c>
      <c r="B1116" t="s">
        <v>999</v>
      </c>
      <c r="C1116" t="s">
        <v>262</v>
      </c>
      <c r="D1116">
        <v>1</v>
      </c>
      <c r="E1116">
        <f t="shared" si="13"/>
        <v>100</v>
      </c>
      <c r="F1116">
        <v>247.7</v>
      </c>
      <c r="G1116">
        <v>247.7</v>
      </c>
      <c r="H1116" t="s">
        <v>1140</v>
      </c>
      <c r="I1116" t="s">
        <v>1141</v>
      </c>
      <c r="J1116">
        <v>3</v>
      </c>
      <c r="K1116" t="s">
        <v>1385</v>
      </c>
      <c r="L1116" t="s">
        <v>1611</v>
      </c>
      <c r="M1116">
        <v>0.92200000000000004</v>
      </c>
      <c r="O1116">
        <v>0.97</v>
      </c>
      <c r="P1116">
        <v>1.7</v>
      </c>
      <c r="Q1116" t="s">
        <v>1394</v>
      </c>
      <c r="R1116">
        <v>2.1000000000000001E-2</v>
      </c>
    </row>
    <row r="1117" spans="1:18">
      <c r="A1117" t="s">
        <v>1139</v>
      </c>
      <c r="B1117" t="s">
        <v>999</v>
      </c>
      <c r="C1117" t="s">
        <v>262</v>
      </c>
      <c r="D1117">
        <v>3</v>
      </c>
      <c r="E1117">
        <f t="shared" si="13"/>
        <v>64.796124343964479</v>
      </c>
      <c r="F1117">
        <v>160.5</v>
      </c>
      <c r="G1117">
        <v>247.7</v>
      </c>
      <c r="H1117" t="s">
        <v>1140</v>
      </c>
      <c r="I1117" t="s">
        <v>1141</v>
      </c>
      <c r="J1117">
        <v>3</v>
      </c>
    </row>
    <row r="1118" spans="1:18">
      <c r="A1118" t="s">
        <v>1139</v>
      </c>
      <c r="B1118" t="s">
        <v>999</v>
      </c>
      <c r="C1118" t="s">
        <v>262</v>
      </c>
      <c r="D1118">
        <v>7</v>
      </c>
      <c r="E1118">
        <f t="shared" si="13"/>
        <v>62.333467904723463</v>
      </c>
      <c r="F1118">
        <v>154.4</v>
      </c>
      <c r="G1118">
        <v>247.7</v>
      </c>
      <c r="H1118" t="s">
        <v>1140</v>
      </c>
      <c r="I1118" t="s">
        <v>1141</v>
      </c>
      <c r="J1118">
        <v>3</v>
      </c>
    </row>
    <row r="1119" spans="1:18">
      <c r="A1119" t="s">
        <v>1139</v>
      </c>
      <c r="B1119" t="s">
        <v>999</v>
      </c>
      <c r="C1119" t="s">
        <v>262</v>
      </c>
      <c r="D1119">
        <v>12</v>
      </c>
      <c r="E1119">
        <f t="shared" si="13"/>
        <v>56.802583770690354</v>
      </c>
      <c r="F1119">
        <v>140.69999999999999</v>
      </c>
      <c r="G1119">
        <v>247.7</v>
      </c>
      <c r="H1119" t="s">
        <v>1140</v>
      </c>
      <c r="I1119" t="s">
        <v>1141</v>
      </c>
      <c r="J1119">
        <v>3</v>
      </c>
    </row>
    <row r="1120" spans="1:18">
      <c r="A1120" t="s">
        <v>1139</v>
      </c>
      <c r="B1120" t="s">
        <v>999</v>
      </c>
      <c r="C1120" t="s">
        <v>262</v>
      </c>
      <c r="D1120">
        <v>21</v>
      </c>
      <c r="E1120">
        <f t="shared" si="13"/>
        <v>56.802583770690354</v>
      </c>
      <c r="F1120">
        <v>140.69999999999999</v>
      </c>
      <c r="G1120">
        <v>247.7</v>
      </c>
      <c r="H1120" t="s">
        <v>1140</v>
      </c>
      <c r="I1120" t="s">
        <v>1141</v>
      </c>
      <c r="J1120">
        <v>3</v>
      </c>
    </row>
    <row r="1121" spans="1:18">
      <c r="A1121" t="s">
        <v>1139</v>
      </c>
      <c r="B1121" t="s">
        <v>999</v>
      </c>
      <c r="C1121" t="s">
        <v>1142</v>
      </c>
      <c r="D1121">
        <v>1</v>
      </c>
      <c r="E1121">
        <f t="shared" si="13"/>
        <v>100</v>
      </c>
      <c r="F1121">
        <v>420.5</v>
      </c>
      <c r="G1121">
        <v>420.5</v>
      </c>
      <c r="H1121" t="s">
        <v>1140</v>
      </c>
      <c r="I1121" t="s">
        <v>1141</v>
      </c>
      <c r="J1121">
        <v>3</v>
      </c>
      <c r="K1121" t="s">
        <v>1385</v>
      </c>
      <c r="L1121" t="s">
        <v>1612</v>
      </c>
      <c r="M1121">
        <v>0.99029999999999996</v>
      </c>
      <c r="O1121">
        <v>0.98</v>
      </c>
      <c r="P1121">
        <v>1.7</v>
      </c>
      <c r="Q1121" t="s">
        <v>1394</v>
      </c>
      <c r="R1121">
        <v>8.0000000000000002E-3</v>
      </c>
    </row>
    <row r="1122" spans="1:18">
      <c r="A1122" t="s">
        <v>1139</v>
      </c>
      <c r="B1122" t="s">
        <v>999</v>
      </c>
      <c r="C1122" t="s">
        <v>1142</v>
      </c>
      <c r="D1122">
        <v>3</v>
      </c>
      <c r="E1122">
        <f t="shared" si="13"/>
        <v>81.807372175980973</v>
      </c>
      <c r="F1122">
        <v>344</v>
      </c>
      <c r="G1122">
        <v>420.5</v>
      </c>
      <c r="H1122" t="s">
        <v>1140</v>
      </c>
      <c r="I1122" t="s">
        <v>1141</v>
      </c>
      <c r="J1122">
        <v>3</v>
      </c>
    </row>
    <row r="1123" spans="1:18">
      <c r="A1123" t="s">
        <v>1139</v>
      </c>
      <c r="B1123" t="s">
        <v>999</v>
      </c>
      <c r="C1123" t="s">
        <v>1142</v>
      </c>
      <c r="D1123">
        <v>7</v>
      </c>
      <c r="E1123">
        <f t="shared" si="13"/>
        <v>80.356718192627824</v>
      </c>
      <c r="F1123">
        <v>337.9</v>
      </c>
      <c r="G1123">
        <v>420.5</v>
      </c>
      <c r="H1123" t="s">
        <v>1140</v>
      </c>
      <c r="I1123" t="s">
        <v>1141</v>
      </c>
      <c r="J1123">
        <v>3</v>
      </c>
    </row>
    <row r="1124" spans="1:18">
      <c r="A1124" t="s">
        <v>1139</v>
      </c>
      <c r="B1124" t="s">
        <v>999</v>
      </c>
      <c r="C1124" t="s">
        <v>1142</v>
      </c>
      <c r="D1124">
        <v>12</v>
      </c>
      <c r="E1124">
        <f t="shared" si="13"/>
        <v>79.262782401902498</v>
      </c>
      <c r="F1124">
        <v>333.3</v>
      </c>
      <c r="G1124">
        <v>420.5</v>
      </c>
      <c r="H1124" t="s">
        <v>1140</v>
      </c>
      <c r="I1124" t="s">
        <v>1141</v>
      </c>
      <c r="J1124">
        <v>3</v>
      </c>
    </row>
    <row r="1125" spans="1:18">
      <c r="A1125" t="s">
        <v>1139</v>
      </c>
      <c r="B1125" t="s">
        <v>999</v>
      </c>
      <c r="C1125" t="s">
        <v>1142</v>
      </c>
      <c r="D1125">
        <v>21</v>
      </c>
      <c r="E1125">
        <f t="shared" si="13"/>
        <v>77.455410225921511</v>
      </c>
      <c r="F1125">
        <v>325.7</v>
      </c>
      <c r="G1125">
        <v>420.5</v>
      </c>
      <c r="H1125" t="s">
        <v>1140</v>
      </c>
      <c r="I1125" t="s">
        <v>1141</v>
      </c>
      <c r="J1125">
        <v>3</v>
      </c>
    </row>
    <row r="1126" spans="1:18">
      <c r="A1126" t="s">
        <v>1139</v>
      </c>
      <c r="B1126" t="s">
        <v>999</v>
      </c>
      <c r="C1126" t="s">
        <v>262</v>
      </c>
      <c r="D1126">
        <v>1</v>
      </c>
      <c r="E1126">
        <f t="shared" si="13"/>
        <v>100</v>
      </c>
      <c r="F1126">
        <v>248.5</v>
      </c>
      <c r="G1126">
        <v>248.5</v>
      </c>
      <c r="H1126" t="s">
        <v>1140</v>
      </c>
      <c r="I1126" t="s">
        <v>1143</v>
      </c>
      <c r="J1126">
        <v>3</v>
      </c>
      <c r="K1126" t="s">
        <v>1385</v>
      </c>
      <c r="L1126" t="s">
        <v>1613</v>
      </c>
      <c r="M1126">
        <v>0.28960000000000002</v>
      </c>
      <c r="O1126">
        <v>0.996</v>
      </c>
      <c r="P1126">
        <v>3.4</v>
      </c>
      <c r="Q1126" t="s">
        <v>1394</v>
      </c>
      <c r="R1126">
        <v>2.5999999999999999E-2</v>
      </c>
    </row>
    <row r="1127" spans="1:18">
      <c r="A1127" t="s">
        <v>1139</v>
      </c>
      <c r="B1127" t="s">
        <v>999</v>
      </c>
      <c r="C1127" t="s">
        <v>262</v>
      </c>
      <c r="D1127">
        <v>3</v>
      </c>
      <c r="E1127">
        <f t="shared" si="13"/>
        <v>81.690140845070431</v>
      </c>
      <c r="F1127">
        <v>203</v>
      </c>
      <c r="G1127">
        <v>248.5</v>
      </c>
      <c r="H1127" t="s">
        <v>1140</v>
      </c>
      <c r="I1127" t="s">
        <v>1143</v>
      </c>
      <c r="J1127">
        <v>3</v>
      </c>
    </row>
    <row r="1128" spans="1:18">
      <c r="A1128" t="s">
        <v>1139</v>
      </c>
      <c r="B1128" t="s">
        <v>999</v>
      </c>
      <c r="C1128" t="s">
        <v>262</v>
      </c>
      <c r="D1128">
        <v>7</v>
      </c>
      <c r="E1128">
        <f t="shared" si="13"/>
        <v>64.627766599597578</v>
      </c>
      <c r="F1128">
        <v>160.6</v>
      </c>
      <c r="G1128">
        <v>248.5</v>
      </c>
      <c r="H1128" t="s">
        <v>1140</v>
      </c>
      <c r="I1128" t="s">
        <v>1143</v>
      </c>
      <c r="J1128">
        <v>3</v>
      </c>
    </row>
    <row r="1129" spans="1:18">
      <c r="A1129" t="s">
        <v>1139</v>
      </c>
      <c r="B1129" t="s">
        <v>999</v>
      </c>
      <c r="C1129" t="s">
        <v>262</v>
      </c>
      <c r="D1129">
        <v>12</v>
      </c>
      <c r="E1129">
        <f t="shared" si="13"/>
        <v>60.965794768611673</v>
      </c>
      <c r="F1129">
        <v>151.5</v>
      </c>
      <c r="G1129">
        <v>248.5</v>
      </c>
      <c r="H1129" t="s">
        <v>1140</v>
      </c>
      <c r="I1129" t="s">
        <v>1143</v>
      </c>
      <c r="J1129">
        <v>3</v>
      </c>
    </row>
    <row r="1130" spans="1:18">
      <c r="A1130" t="s">
        <v>1139</v>
      </c>
      <c r="B1130" t="s">
        <v>999</v>
      </c>
      <c r="C1130" t="s">
        <v>262</v>
      </c>
      <c r="D1130">
        <v>21</v>
      </c>
      <c r="E1130">
        <f t="shared" si="13"/>
        <v>57.30382293762576</v>
      </c>
      <c r="F1130">
        <v>142.4</v>
      </c>
      <c r="G1130">
        <v>248.5</v>
      </c>
      <c r="H1130" t="s">
        <v>1140</v>
      </c>
      <c r="I1130" t="s">
        <v>1143</v>
      </c>
      <c r="J1130">
        <v>3</v>
      </c>
    </row>
    <row r="1131" spans="1:18">
      <c r="A1131" t="s">
        <v>1139</v>
      </c>
      <c r="B1131" t="s">
        <v>999</v>
      </c>
      <c r="C1131" t="s">
        <v>1142</v>
      </c>
      <c r="D1131">
        <v>1</v>
      </c>
      <c r="E1131">
        <f t="shared" si="13"/>
        <v>100</v>
      </c>
      <c r="F1131">
        <v>418.2</v>
      </c>
      <c r="G1131">
        <v>418.2</v>
      </c>
      <c r="H1131" t="s">
        <v>1140</v>
      </c>
      <c r="I1131" t="s">
        <v>1143</v>
      </c>
      <c r="J1131">
        <v>3</v>
      </c>
      <c r="K1131" t="s">
        <v>1385</v>
      </c>
      <c r="L1131" t="s">
        <v>1614</v>
      </c>
      <c r="M1131">
        <v>0.77459999999999996</v>
      </c>
      <c r="O1131">
        <v>0.995</v>
      </c>
      <c r="P1131">
        <v>1.9</v>
      </c>
      <c r="Q1131" t="s">
        <v>1394</v>
      </c>
      <c r="R1131">
        <v>1.4999999999999999E-2</v>
      </c>
    </row>
    <row r="1132" spans="1:18">
      <c r="A1132" t="s">
        <v>1139</v>
      </c>
      <c r="B1132" t="s">
        <v>999</v>
      </c>
      <c r="C1132" t="s">
        <v>1142</v>
      </c>
      <c r="D1132">
        <v>3</v>
      </c>
      <c r="E1132">
        <f t="shared" si="13"/>
        <v>73.912003825920621</v>
      </c>
      <c r="F1132">
        <v>309.10000000000002</v>
      </c>
      <c r="G1132">
        <v>418.2</v>
      </c>
      <c r="H1132" t="s">
        <v>1140</v>
      </c>
      <c r="I1132" t="s">
        <v>1143</v>
      </c>
      <c r="J1132">
        <v>3</v>
      </c>
    </row>
    <row r="1133" spans="1:18">
      <c r="A1133" t="s">
        <v>1139</v>
      </c>
      <c r="B1133" t="s">
        <v>999</v>
      </c>
      <c r="C1133" t="s">
        <v>1142</v>
      </c>
      <c r="D1133">
        <v>7</v>
      </c>
      <c r="E1133">
        <f t="shared" si="13"/>
        <v>68.101386896221911</v>
      </c>
      <c r="F1133">
        <v>284.8</v>
      </c>
      <c r="G1133">
        <v>418.2</v>
      </c>
      <c r="H1133" t="s">
        <v>1140</v>
      </c>
      <c r="I1133" t="s">
        <v>1143</v>
      </c>
      <c r="J1133">
        <v>3</v>
      </c>
    </row>
    <row r="1134" spans="1:18">
      <c r="A1134" t="s">
        <v>1139</v>
      </c>
      <c r="B1134" t="s">
        <v>999</v>
      </c>
      <c r="C1134" t="s">
        <v>1142</v>
      </c>
      <c r="D1134">
        <v>12</v>
      </c>
      <c r="E1134">
        <f t="shared" si="13"/>
        <v>67.407938785270204</v>
      </c>
      <c r="F1134">
        <v>281.89999999999998</v>
      </c>
      <c r="G1134">
        <v>418.2</v>
      </c>
      <c r="H1134" t="s">
        <v>1140</v>
      </c>
      <c r="I1134" t="s">
        <v>1143</v>
      </c>
      <c r="J1134">
        <v>3</v>
      </c>
    </row>
    <row r="1135" spans="1:18">
      <c r="A1135" t="s">
        <v>1139</v>
      </c>
      <c r="B1135" t="s">
        <v>999</v>
      </c>
      <c r="C1135" t="s">
        <v>1142</v>
      </c>
      <c r="D1135">
        <v>21</v>
      </c>
      <c r="E1135">
        <f t="shared" si="13"/>
        <v>65.949306551889052</v>
      </c>
      <c r="F1135">
        <v>275.8</v>
      </c>
      <c r="G1135">
        <v>418.2</v>
      </c>
      <c r="H1135" t="s">
        <v>1140</v>
      </c>
      <c r="I1135" t="s">
        <v>1143</v>
      </c>
      <c r="J1135">
        <v>3</v>
      </c>
    </row>
    <row r="1136" spans="1:18">
      <c r="A1136" t="s">
        <v>1139</v>
      </c>
      <c r="B1136" t="s">
        <v>999</v>
      </c>
      <c r="C1136" t="s">
        <v>262</v>
      </c>
      <c r="D1136">
        <v>1</v>
      </c>
      <c r="E1136">
        <f t="shared" si="13"/>
        <v>100</v>
      </c>
      <c r="F1136">
        <v>247.7</v>
      </c>
      <c r="G1136">
        <v>247.7</v>
      </c>
      <c r="H1136" t="s">
        <v>1140</v>
      </c>
      <c r="I1136" t="s">
        <v>1144</v>
      </c>
      <c r="J1136">
        <v>3</v>
      </c>
      <c r="K1136" t="s">
        <v>1385</v>
      </c>
      <c r="L1136" t="s">
        <v>1615</v>
      </c>
      <c r="M1136">
        <v>1.2170000000000001</v>
      </c>
      <c r="O1136">
        <v>0.96</v>
      </c>
      <c r="P1136">
        <v>1.6</v>
      </c>
      <c r="Q1136" t="s">
        <v>1394</v>
      </c>
      <c r="R1136">
        <v>1.9E-2</v>
      </c>
    </row>
    <row r="1137" spans="1:18">
      <c r="A1137" t="s">
        <v>1139</v>
      </c>
      <c r="B1137" t="s">
        <v>999</v>
      </c>
      <c r="C1137" t="s">
        <v>262</v>
      </c>
      <c r="D1137">
        <v>3</v>
      </c>
      <c r="E1137">
        <f t="shared" si="13"/>
        <v>63.98869600322972</v>
      </c>
      <c r="F1137">
        <v>158.5</v>
      </c>
      <c r="G1137">
        <v>247.7</v>
      </c>
      <c r="H1137" t="s">
        <v>1140</v>
      </c>
      <c r="I1137" t="s">
        <v>1144</v>
      </c>
      <c r="J1137">
        <v>3</v>
      </c>
    </row>
    <row r="1138" spans="1:18">
      <c r="A1138" t="s">
        <v>1139</v>
      </c>
      <c r="B1138" t="s">
        <v>999</v>
      </c>
      <c r="C1138" t="s">
        <v>262</v>
      </c>
      <c r="D1138">
        <v>7</v>
      </c>
      <c r="E1138">
        <f t="shared" si="13"/>
        <v>64.594267258780789</v>
      </c>
      <c r="F1138">
        <v>160</v>
      </c>
      <c r="G1138">
        <v>247.7</v>
      </c>
      <c r="H1138" t="s">
        <v>1140</v>
      </c>
      <c r="I1138" t="s">
        <v>1144</v>
      </c>
      <c r="J1138">
        <v>3</v>
      </c>
    </row>
    <row r="1139" spans="1:18">
      <c r="A1139" t="s">
        <v>1139</v>
      </c>
      <c r="B1139" t="s">
        <v>999</v>
      </c>
      <c r="C1139" t="s">
        <v>262</v>
      </c>
      <c r="D1139">
        <v>12</v>
      </c>
      <c r="E1139">
        <f t="shared" si="13"/>
        <v>59.628582963262012</v>
      </c>
      <c r="F1139">
        <v>147.69999999999999</v>
      </c>
      <c r="G1139">
        <v>247.7</v>
      </c>
      <c r="H1139" t="s">
        <v>1140</v>
      </c>
      <c r="I1139" t="s">
        <v>1144</v>
      </c>
      <c r="J1139">
        <v>3</v>
      </c>
    </row>
    <row r="1140" spans="1:18">
      <c r="A1140" t="s">
        <v>1139</v>
      </c>
      <c r="B1140" t="s">
        <v>999</v>
      </c>
      <c r="C1140" t="s">
        <v>262</v>
      </c>
      <c r="D1140">
        <v>21</v>
      </c>
      <c r="E1140">
        <f t="shared" si="13"/>
        <v>57.771497779572066</v>
      </c>
      <c r="F1140">
        <v>143.1</v>
      </c>
      <c r="G1140">
        <v>247.7</v>
      </c>
      <c r="H1140" t="s">
        <v>1140</v>
      </c>
      <c r="I1140" t="s">
        <v>1144</v>
      </c>
      <c r="J1140">
        <v>3</v>
      </c>
    </row>
    <row r="1141" spans="1:18">
      <c r="A1141" t="s">
        <v>1139</v>
      </c>
      <c r="B1141" t="s">
        <v>999</v>
      </c>
      <c r="C1141" t="s">
        <v>1142</v>
      </c>
      <c r="D1141">
        <v>1</v>
      </c>
      <c r="E1141">
        <f t="shared" si="13"/>
        <v>100</v>
      </c>
      <c r="F1141">
        <v>421.5</v>
      </c>
      <c r="G1141">
        <v>421.5</v>
      </c>
      <c r="H1141" t="s">
        <v>1140</v>
      </c>
      <c r="I1141" t="s">
        <v>1144</v>
      </c>
      <c r="J1141">
        <v>3</v>
      </c>
      <c r="K1141" t="s">
        <v>1385</v>
      </c>
      <c r="L1141" t="s">
        <v>1616</v>
      </c>
      <c r="M1141">
        <v>0.85980000000000001</v>
      </c>
      <c r="O1141">
        <v>0.97</v>
      </c>
      <c r="P1141">
        <v>1.8</v>
      </c>
      <c r="Q1141" t="s">
        <v>1394</v>
      </c>
      <c r="R1141">
        <v>1.4E-2</v>
      </c>
    </row>
    <row r="1142" spans="1:18">
      <c r="A1142" t="s">
        <v>1139</v>
      </c>
      <c r="B1142" t="s">
        <v>999</v>
      </c>
      <c r="C1142" t="s">
        <v>1142</v>
      </c>
      <c r="D1142">
        <v>3</v>
      </c>
      <c r="E1142">
        <f t="shared" si="13"/>
        <v>74.827995255041515</v>
      </c>
      <c r="F1142">
        <v>315.39999999999998</v>
      </c>
      <c r="G1142">
        <v>421.5</v>
      </c>
      <c r="H1142" t="s">
        <v>1140</v>
      </c>
      <c r="I1142" t="s">
        <v>1144</v>
      </c>
      <c r="J1142">
        <v>3</v>
      </c>
    </row>
    <row r="1143" spans="1:18">
      <c r="A1143" t="s">
        <v>1139</v>
      </c>
      <c r="B1143" t="s">
        <v>999</v>
      </c>
      <c r="C1143" t="s">
        <v>1142</v>
      </c>
      <c r="D1143">
        <v>7</v>
      </c>
      <c r="E1143">
        <f t="shared" si="13"/>
        <v>71.909845788849353</v>
      </c>
      <c r="F1143">
        <v>303.10000000000002</v>
      </c>
      <c r="G1143">
        <v>421.5</v>
      </c>
      <c r="H1143" t="s">
        <v>1140</v>
      </c>
      <c r="I1143" t="s">
        <v>1144</v>
      </c>
      <c r="J1143">
        <v>3</v>
      </c>
    </row>
    <row r="1144" spans="1:18">
      <c r="A1144" t="s">
        <v>1139</v>
      </c>
      <c r="B1144" t="s">
        <v>999</v>
      </c>
      <c r="C1144" t="s">
        <v>1142</v>
      </c>
      <c r="D1144">
        <v>12</v>
      </c>
      <c r="E1144">
        <f t="shared" si="13"/>
        <v>69.703440094899179</v>
      </c>
      <c r="F1144">
        <v>293.8</v>
      </c>
      <c r="G1144">
        <v>421.5</v>
      </c>
      <c r="H1144" t="s">
        <v>1140</v>
      </c>
      <c r="I1144" t="s">
        <v>1144</v>
      </c>
      <c r="J1144">
        <v>3</v>
      </c>
    </row>
    <row r="1145" spans="1:18">
      <c r="A1145" t="s">
        <v>1139</v>
      </c>
      <c r="B1145" t="s">
        <v>999</v>
      </c>
      <c r="C1145" t="s">
        <v>1142</v>
      </c>
      <c r="D1145">
        <v>21</v>
      </c>
      <c r="E1145">
        <f t="shared" si="13"/>
        <v>67.520759193357065</v>
      </c>
      <c r="F1145">
        <v>284.60000000000002</v>
      </c>
      <c r="G1145">
        <v>421.5</v>
      </c>
      <c r="H1145" t="s">
        <v>1140</v>
      </c>
      <c r="I1145" t="s">
        <v>1144</v>
      </c>
      <c r="J1145">
        <v>3</v>
      </c>
    </row>
    <row r="1146" spans="1:18">
      <c r="A1146" t="s">
        <v>1139</v>
      </c>
      <c r="B1146" t="s">
        <v>999</v>
      </c>
      <c r="C1146" t="s">
        <v>262</v>
      </c>
      <c r="D1146">
        <v>1</v>
      </c>
      <c r="E1146">
        <f t="shared" si="13"/>
        <v>100</v>
      </c>
      <c r="F1146">
        <v>249.2</v>
      </c>
      <c r="G1146">
        <v>249.2</v>
      </c>
      <c r="H1146" t="s">
        <v>1140</v>
      </c>
      <c r="I1146" t="s">
        <v>1145</v>
      </c>
      <c r="J1146">
        <v>3</v>
      </c>
      <c r="K1146" s="2" t="s">
        <v>1385</v>
      </c>
      <c r="L1146" s="2" t="s">
        <v>1617</v>
      </c>
      <c r="M1146" s="2">
        <v>0.4637</v>
      </c>
      <c r="N1146" s="2"/>
      <c r="O1146" s="2">
        <v>0.84</v>
      </c>
      <c r="P1146">
        <v>2.4</v>
      </c>
      <c r="Q1146" t="s">
        <v>1394</v>
      </c>
      <c r="R1146">
        <v>2.1999999999999999E-2</v>
      </c>
    </row>
    <row r="1147" spans="1:18">
      <c r="A1147" t="s">
        <v>1139</v>
      </c>
      <c r="B1147" t="s">
        <v>999</v>
      </c>
      <c r="C1147" t="s">
        <v>262</v>
      </c>
      <c r="D1147">
        <v>3</v>
      </c>
      <c r="E1147">
        <f t="shared" si="13"/>
        <v>74.077046548956659</v>
      </c>
      <c r="F1147">
        <v>184.6</v>
      </c>
      <c r="G1147">
        <v>249.2</v>
      </c>
      <c r="H1147" t="s">
        <v>1140</v>
      </c>
      <c r="I1147" t="s">
        <v>1145</v>
      </c>
      <c r="J1147">
        <v>3</v>
      </c>
    </row>
    <row r="1148" spans="1:18">
      <c r="A1148" t="s">
        <v>1139</v>
      </c>
      <c r="B1148" t="s">
        <v>999</v>
      </c>
      <c r="C1148" t="s">
        <v>262</v>
      </c>
      <c r="D1148">
        <v>7</v>
      </c>
      <c r="E1148">
        <f t="shared" si="13"/>
        <v>72.833065810593894</v>
      </c>
      <c r="F1148">
        <v>181.5</v>
      </c>
      <c r="G1148">
        <v>249.2</v>
      </c>
      <c r="H1148" t="s">
        <v>1140</v>
      </c>
      <c r="I1148" t="s">
        <v>1145</v>
      </c>
      <c r="J1148">
        <v>3</v>
      </c>
    </row>
    <row r="1149" spans="1:18">
      <c r="A1149" t="s">
        <v>1139</v>
      </c>
      <c r="B1149" t="s">
        <v>999</v>
      </c>
      <c r="C1149" t="s">
        <v>262</v>
      </c>
      <c r="D1149">
        <v>12</v>
      </c>
      <c r="E1149">
        <f t="shared" si="13"/>
        <v>61.797752808988768</v>
      </c>
      <c r="F1149">
        <v>154</v>
      </c>
      <c r="G1149">
        <v>249.2</v>
      </c>
      <c r="H1149" t="s">
        <v>1140</v>
      </c>
      <c r="I1149" t="s">
        <v>1145</v>
      </c>
      <c r="J1149">
        <v>3</v>
      </c>
    </row>
    <row r="1150" spans="1:18">
      <c r="A1150" t="s">
        <v>1139</v>
      </c>
      <c r="B1150" t="s">
        <v>999</v>
      </c>
      <c r="C1150" t="s">
        <v>262</v>
      </c>
      <c r="D1150">
        <v>21</v>
      </c>
      <c r="E1150">
        <f t="shared" si="13"/>
        <v>59.87158908507223</v>
      </c>
      <c r="F1150">
        <v>149.19999999999999</v>
      </c>
      <c r="G1150">
        <v>249.2</v>
      </c>
      <c r="H1150" t="s">
        <v>1140</v>
      </c>
      <c r="I1150" t="s">
        <v>1145</v>
      </c>
      <c r="J1150">
        <v>3</v>
      </c>
    </row>
    <row r="1151" spans="1:18">
      <c r="A1151" t="s">
        <v>1139</v>
      </c>
      <c r="B1151" t="s">
        <v>999</v>
      </c>
      <c r="C1151" t="s">
        <v>1142</v>
      </c>
      <c r="D1151">
        <v>1</v>
      </c>
      <c r="E1151">
        <f t="shared" si="13"/>
        <v>100</v>
      </c>
      <c r="F1151">
        <v>423.1</v>
      </c>
      <c r="G1151">
        <v>423.1</v>
      </c>
      <c r="H1151" t="s">
        <v>1140</v>
      </c>
      <c r="I1151" t="s">
        <v>1145</v>
      </c>
      <c r="J1151">
        <v>3</v>
      </c>
      <c r="K1151" t="s">
        <v>1385</v>
      </c>
      <c r="L1151" t="s">
        <v>1618</v>
      </c>
      <c r="M1151">
        <v>1.4303999999999999</v>
      </c>
      <c r="O1151">
        <v>0.99</v>
      </c>
      <c r="P1151">
        <v>1.5</v>
      </c>
      <c r="Q1151" t="s">
        <v>1394</v>
      </c>
      <c r="R1151">
        <v>1.2999999999999999E-2</v>
      </c>
    </row>
    <row r="1152" spans="1:18">
      <c r="A1152" t="s">
        <v>1139</v>
      </c>
      <c r="B1152" t="s">
        <v>999</v>
      </c>
      <c r="C1152" t="s">
        <v>1142</v>
      </c>
      <c r="D1152">
        <v>3</v>
      </c>
      <c r="E1152">
        <f t="shared" si="13"/>
        <v>69.818009926731264</v>
      </c>
      <c r="F1152">
        <v>295.39999999999998</v>
      </c>
      <c r="G1152">
        <v>423.1</v>
      </c>
      <c r="H1152" t="s">
        <v>1140</v>
      </c>
      <c r="I1152" t="s">
        <v>1145</v>
      </c>
      <c r="J1152">
        <v>3</v>
      </c>
    </row>
    <row r="1153" spans="1:18">
      <c r="A1153" t="s">
        <v>1139</v>
      </c>
      <c r="B1153" t="s">
        <v>999</v>
      </c>
      <c r="C1153" t="s">
        <v>1142</v>
      </c>
      <c r="D1153">
        <v>7</v>
      </c>
      <c r="E1153">
        <f t="shared" si="13"/>
        <v>68.730796502008985</v>
      </c>
      <c r="F1153">
        <v>290.8</v>
      </c>
      <c r="G1153">
        <v>423.1</v>
      </c>
      <c r="H1153" t="s">
        <v>1140</v>
      </c>
      <c r="I1153" t="s">
        <v>1145</v>
      </c>
      <c r="J1153">
        <v>3</v>
      </c>
    </row>
    <row r="1154" spans="1:18">
      <c r="A1154" t="s">
        <v>1139</v>
      </c>
      <c r="B1154" t="s">
        <v>999</v>
      </c>
      <c r="C1154" t="s">
        <v>1142</v>
      </c>
      <c r="D1154">
        <v>12</v>
      </c>
      <c r="E1154">
        <f t="shared" si="13"/>
        <v>69.085322618766241</v>
      </c>
      <c r="F1154">
        <v>292.3</v>
      </c>
      <c r="G1154">
        <v>423.1</v>
      </c>
      <c r="H1154" t="s">
        <v>1140</v>
      </c>
      <c r="I1154" t="s">
        <v>1145</v>
      </c>
      <c r="J1154">
        <v>3</v>
      </c>
    </row>
    <row r="1155" spans="1:18">
      <c r="A1155" t="s">
        <v>1139</v>
      </c>
      <c r="B1155" t="s">
        <v>999</v>
      </c>
      <c r="C1155" t="s">
        <v>1142</v>
      </c>
      <c r="D1155">
        <v>21</v>
      </c>
      <c r="E1155">
        <f t="shared" si="13"/>
        <v>66.178208461356647</v>
      </c>
      <c r="F1155">
        <v>280</v>
      </c>
      <c r="G1155">
        <v>423.1</v>
      </c>
      <c r="H1155" t="s">
        <v>1140</v>
      </c>
      <c r="I1155" t="s">
        <v>1145</v>
      </c>
      <c r="J1155">
        <v>3</v>
      </c>
    </row>
    <row r="1156" spans="1:18">
      <c r="A1156" t="s">
        <v>1146</v>
      </c>
      <c r="B1156" t="s">
        <v>184</v>
      </c>
      <c r="C1156" t="s">
        <v>702</v>
      </c>
      <c r="D1156">
        <v>0</v>
      </c>
      <c r="E1156">
        <f t="shared" si="13"/>
        <v>100</v>
      </c>
      <c r="F1156">
        <v>5</v>
      </c>
      <c r="G1156">
        <v>5</v>
      </c>
      <c r="H1156" t="s">
        <v>1147</v>
      </c>
      <c r="K1156" t="s">
        <v>1385</v>
      </c>
      <c r="L1156" t="s">
        <v>1619</v>
      </c>
      <c r="M1156">
        <v>0.23380000000000001</v>
      </c>
      <c r="O1156">
        <v>0.87</v>
      </c>
      <c r="P1156">
        <v>2.4</v>
      </c>
      <c r="Q1156" t="s">
        <v>190</v>
      </c>
    </row>
    <row r="1157" spans="1:18">
      <c r="A1157" t="s">
        <v>1146</v>
      </c>
      <c r="B1157" t="s">
        <v>184</v>
      </c>
      <c r="C1157" t="s">
        <v>702</v>
      </c>
      <c r="D1157">
        <v>1</v>
      </c>
      <c r="E1157">
        <f t="shared" si="13"/>
        <v>68</v>
      </c>
      <c r="F1157">
        <v>3.4</v>
      </c>
      <c r="G1157">
        <v>5</v>
      </c>
      <c r="H1157" t="s">
        <v>1147</v>
      </c>
    </row>
    <row r="1158" spans="1:18">
      <c r="A1158" t="s">
        <v>1146</v>
      </c>
      <c r="B1158" t="s">
        <v>184</v>
      </c>
      <c r="C1158" t="s">
        <v>702</v>
      </c>
      <c r="D1158">
        <v>2</v>
      </c>
      <c r="E1158">
        <f t="shared" ref="E1158:E1164" si="14">F1158/G1158*100</f>
        <v>62</v>
      </c>
      <c r="F1158">
        <v>3.1</v>
      </c>
      <c r="G1158">
        <v>5</v>
      </c>
      <c r="H1158" t="s">
        <v>1147</v>
      </c>
    </row>
    <row r="1159" spans="1:18">
      <c r="A1159" t="s">
        <v>1146</v>
      </c>
      <c r="B1159" t="s">
        <v>184</v>
      </c>
      <c r="C1159" t="s">
        <v>702</v>
      </c>
      <c r="D1159">
        <v>3</v>
      </c>
      <c r="E1159">
        <f t="shared" si="14"/>
        <v>55.999999999999993</v>
      </c>
      <c r="F1159">
        <v>2.8</v>
      </c>
      <c r="G1159">
        <v>5</v>
      </c>
      <c r="H1159" t="s">
        <v>1147</v>
      </c>
    </row>
    <row r="1160" spans="1:18">
      <c r="A1160" t="s">
        <v>1146</v>
      </c>
      <c r="B1160" t="s">
        <v>184</v>
      </c>
      <c r="C1160" t="s">
        <v>702</v>
      </c>
      <c r="D1160">
        <v>4</v>
      </c>
      <c r="E1160">
        <f t="shared" si="14"/>
        <v>64</v>
      </c>
      <c r="F1160">
        <v>3.2</v>
      </c>
      <c r="G1160">
        <v>5</v>
      </c>
      <c r="H1160" t="s">
        <v>1147</v>
      </c>
    </row>
    <row r="1161" spans="1:18">
      <c r="A1161" t="s">
        <v>1146</v>
      </c>
      <c r="B1161" t="s">
        <v>184</v>
      </c>
      <c r="C1161" t="s">
        <v>702</v>
      </c>
      <c r="D1161">
        <v>5</v>
      </c>
      <c r="E1161">
        <f t="shared" si="14"/>
        <v>52</v>
      </c>
      <c r="F1161">
        <v>2.6</v>
      </c>
      <c r="G1161">
        <v>5</v>
      </c>
      <c r="H1161" t="s">
        <v>1147</v>
      </c>
    </row>
    <row r="1162" spans="1:18">
      <c r="A1162" t="s">
        <v>1146</v>
      </c>
      <c r="B1162" t="s">
        <v>184</v>
      </c>
      <c r="C1162" t="s">
        <v>702</v>
      </c>
      <c r="D1162">
        <v>7</v>
      </c>
      <c r="E1162">
        <f t="shared" si="14"/>
        <v>42.000000000000007</v>
      </c>
      <c r="F1162">
        <v>2.1</v>
      </c>
      <c r="G1162">
        <v>5</v>
      </c>
      <c r="H1162" t="s">
        <v>1147</v>
      </c>
    </row>
    <row r="1163" spans="1:18">
      <c r="A1163" t="s">
        <v>1146</v>
      </c>
      <c r="B1163" t="s">
        <v>184</v>
      </c>
      <c r="C1163" t="s">
        <v>702</v>
      </c>
      <c r="D1163">
        <v>10</v>
      </c>
      <c r="E1163">
        <f t="shared" si="14"/>
        <v>34</v>
      </c>
      <c r="F1163">
        <v>1.7</v>
      </c>
      <c r="G1163">
        <v>5</v>
      </c>
      <c r="H1163" t="s">
        <v>1147</v>
      </c>
    </row>
    <row r="1164" spans="1:18">
      <c r="A1164" t="s">
        <v>1146</v>
      </c>
      <c r="B1164" t="s">
        <v>184</v>
      </c>
      <c r="C1164" t="s">
        <v>702</v>
      </c>
      <c r="D1164">
        <v>16</v>
      </c>
      <c r="E1164">
        <f t="shared" si="14"/>
        <v>27.999999999999996</v>
      </c>
      <c r="F1164">
        <v>1.4</v>
      </c>
      <c r="G1164">
        <v>5</v>
      </c>
      <c r="H1164" t="s">
        <v>1147</v>
      </c>
    </row>
    <row r="1165" spans="1:18">
      <c r="A1165" t="s">
        <v>1155</v>
      </c>
      <c r="B1165" t="s">
        <v>1637</v>
      </c>
      <c r="C1165" t="s">
        <v>983</v>
      </c>
      <c r="D1165">
        <v>0</v>
      </c>
      <c r="E1165">
        <v>100</v>
      </c>
      <c r="F1165">
        <v>100</v>
      </c>
      <c r="G1165">
        <v>100</v>
      </c>
      <c r="H1165" t="s">
        <v>1156</v>
      </c>
      <c r="I1165" t="s">
        <v>1158</v>
      </c>
      <c r="K1165" t="s">
        <v>1396</v>
      </c>
      <c r="L1165" t="s">
        <v>1620</v>
      </c>
      <c r="N1165">
        <v>-0.4113</v>
      </c>
      <c r="O1165">
        <v>0.996</v>
      </c>
      <c r="Q1165" t="s">
        <v>1394</v>
      </c>
      <c r="R1165" t="s">
        <v>1638</v>
      </c>
    </row>
    <row r="1166" spans="1:18">
      <c r="A1166" t="s">
        <v>1155</v>
      </c>
      <c r="B1166" t="s">
        <v>1637</v>
      </c>
      <c r="C1166" t="s">
        <v>983</v>
      </c>
      <c r="D1166">
        <v>3</v>
      </c>
      <c r="E1166">
        <v>98</v>
      </c>
      <c r="F1166">
        <v>98</v>
      </c>
      <c r="G1166">
        <v>100</v>
      </c>
      <c r="H1166" t="s">
        <v>1156</v>
      </c>
      <c r="I1166" t="s">
        <v>1158</v>
      </c>
    </row>
    <row r="1167" spans="1:18">
      <c r="A1167" t="s">
        <v>1155</v>
      </c>
      <c r="B1167" t="s">
        <v>1637</v>
      </c>
      <c r="C1167" t="s">
        <v>983</v>
      </c>
      <c r="D1167">
        <v>10</v>
      </c>
      <c r="E1167">
        <v>95</v>
      </c>
      <c r="F1167">
        <v>95</v>
      </c>
      <c r="G1167">
        <v>100</v>
      </c>
      <c r="H1167" t="s">
        <v>1156</v>
      </c>
      <c r="I1167" t="s">
        <v>1158</v>
      </c>
    </row>
    <row r="1168" spans="1:18">
      <c r="A1168" t="s">
        <v>1155</v>
      </c>
      <c r="B1168" t="s">
        <v>1637</v>
      </c>
      <c r="C1168" t="s">
        <v>983</v>
      </c>
      <c r="D1168">
        <v>18</v>
      </c>
      <c r="E1168">
        <v>91</v>
      </c>
      <c r="F1168">
        <v>91</v>
      </c>
      <c r="G1168">
        <v>100</v>
      </c>
      <c r="H1168" t="s">
        <v>1156</v>
      </c>
      <c r="I1168" t="s">
        <v>1158</v>
      </c>
    </row>
    <row r="1169" spans="1:18">
      <c r="A1169" t="s">
        <v>1155</v>
      </c>
      <c r="B1169" t="s">
        <v>1637</v>
      </c>
      <c r="C1169" t="s">
        <v>983</v>
      </c>
      <c r="D1169">
        <v>36</v>
      </c>
      <c r="E1169">
        <v>83</v>
      </c>
      <c r="F1169">
        <v>83</v>
      </c>
      <c r="G1169">
        <v>100</v>
      </c>
      <c r="H1169" t="s">
        <v>1156</v>
      </c>
      <c r="I1169" t="s">
        <v>1158</v>
      </c>
    </row>
    <row r="1170" spans="1:18">
      <c r="A1170" t="s">
        <v>1155</v>
      </c>
      <c r="B1170" t="s">
        <v>1637</v>
      </c>
      <c r="C1170" t="s">
        <v>983</v>
      </c>
      <c r="D1170">
        <v>52</v>
      </c>
      <c r="E1170">
        <v>77</v>
      </c>
      <c r="F1170">
        <v>77</v>
      </c>
      <c r="G1170">
        <v>100</v>
      </c>
      <c r="H1170" t="s">
        <v>1156</v>
      </c>
      <c r="I1170" t="s">
        <v>1158</v>
      </c>
    </row>
    <row r="1171" spans="1:18">
      <c r="A1171" t="s">
        <v>1155</v>
      </c>
      <c r="B1171" t="s">
        <v>1637</v>
      </c>
      <c r="C1171" t="s">
        <v>983</v>
      </c>
      <c r="D1171">
        <v>92</v>
      </c>
      <c r="E1171">
        <v>62</v>
      </c>
      <c r="F1171">
        <v>62</v>
      </c>
      <c r="G1171">
        <v>100</v>
      </c>
      <c r="H1171" t="s">
        <v>1156</v>
      </c>
      <c r="I1171" t="s">
        <v>1158</v>
      </c>
    </row>
    <row r="1172" spans="1:18">
      <c r="A1172" t="s">
        <v>1155</v>
      </c>
      <c r="B1172" t="s">
        <v>1637</v>
      </c>
      <c r="C1172" t="s">
        <v>983</v>
      </c>
      <c r="D1172">
        <v>0</v>
      </c>
      <c r="E1172">
        <v>100</v>
      </c>
      <c r="F1172">
        <v>100</v>
      </c>
      <c r="G1172">
        <v>100</v>
      </c>
      <c r="H1172" t="s">
        <v>1156</v>
      </c>
      <c r="I1172" t="s">
        <v>1159</v>
      </c>
      <c r="K1172" s="9" t="s">
        <v>1394</v>
      </c>
      <c r="L1172" s="9" t="s">
        <v>1621</v>
      </c>
      <c r="M1172" s="9">
        <v>1.38E-2</v>
      </c>
      <c r="N1172" s="9"/>
      <c r="O1172" s="9">
        <v>0.999</v>
      </c>
      <c r="Q1172" t="s">
        <v>1394</v>
      </c>
      <c r="R1172" t="s">
        <v>1638</v>
      </c>
    </row>
    <row r="1173" spans="1:18">
      <c r="A1173" t="s">
        <v>1155</v>
      </c>
      <c r="B1173" t="s">
        <v>1637</v>
      </c>
      <c r="C1173" t="s">
        <v>983</v>
      </c>
      <c r="D1173">
        <v>3</v>
      </c>
      <c r="E1173">
        <v>96</v>
      </c>
      <c r="F1173">
        <v>96</v>
      </c>
      <c r="G1173">
        <v>100</v>
      </c>
      <c r="H1173" t="s">
        <v>1156</v>
      </c>
      <c r="I1173" t="s">
        <v>1159</v>
      </c>
      <c r="K1173" t="s">
        <v>1396</v>
      </c>
      <c r="L1173" t="s">
        <v>1622</v>
      </c>
      <c r="N1173">
        <v>-0.79220000000000002</v>
      </c>
      <c r="O1173">
        <v>0.97</v>
      </c>
    </row>
    <row r="1174" spans="1:18">
      <c r="A1174" t="s">
        <v>1155</v>
      </c>
      <c r="B1174" t="s">
        <v>1637</v>
      </c>
      <c r="C1174" t="s">
        <v>983</v>
      </c>
      <c r="D1174">
        <v>7</v>
      </c>
      <c r="E1174">
        <v>91</v>
      </c>
      <c r="F1174">
        <v>91</v>
      </c>
      <c r="G1174">
        <v>100</v>
      </c>
      <c r="H1174" t="s">
        <v>1156</v>
      </c>
      <c r="I1174" t="s">
        <v>1159</v>
      </c>
    </row>
    <row r="1175" spans="1:18">
      <c r="A1175" t="s">
        <v>1155</v>
      </c>
      <c r="B1175" t="s">
        <v>1637</v>
      </c>
      <c r="C1175" t="s">
        <v>983</v>
      </c>
      <c r="D1175">
        <v>10</v>
      </c>
      <c r="E1175">
        <v>88</v>
      </c>
      <c r="F1175">
        <v>88</v>
      </c>
      <c r="G1175">
        <v>100</v>
      </c>
      <c r="H1175" t="s">
        <v>1156</v>
      </c>
      <c r="I1175" t="s">
        <v>1159</v>
      </c>
    </row>
    <row r="1176" spans="1:18">
      <c r="A1176" t="s">
        <v>1155</v>
      </c>
      <c r="B1176" t="s">
        <v>1637</v>
      </c>
      <c r="C1176" t="s">
        <v>983</v>
      </c>
      <c r="D1176">
        <v>15</v>
      </c>
      <c r="E1176">
        <v>82</v>
      </c>
      <c r="F1176">
        <v>82</v>
      </c>
      <c r="G1176">
        <v>100</v>
      </c>
      <c r="H1176" t="s">
        <v>1156</v>
      </c>
      <c r="I1176" t="s">
        <v>1159</v>
      </c>
    </row>
    <row r="1177" spans="1:18">
      <c r="A1177" t="s">
        <v>1155</v>
      </c>
      <c r="B1177" t="s">
        <v>1637</v>
      </c>
      <c r="C1177" t="s">
        <v>983</v>
      </c>
      <c r="D1177">
        <v>18</v>
      </c>
      <c r="E1177">
        <v>78</v>
      </c>
      <c r="F1177">
        <v>78</v>
      </c>
      <c r="G1177">
        <v>100</v>
      </c>
      <c r="H1177" t="s">
        <v>1156</v>
      </c>
      <c r="I1177" t="s">
        <v>1159</v>
      </c>
    </row>
    <row r="1178" spans="1:18">
      <c r="A1178" t="s">
        <v>1155</v>
      </c>
      <c r="B1178" t="s">
        <v>1637</v>
      </c>
      <c r="C1178" t="s">
        <v>983</v>
      </c>
      <c r="D1178">
        <v>21</v>
      </c>
      <c r="E1178">
        <v>75</v>
      </c>
      <c r="F1178">
        <v>75</v>
      </c>
      <c r="G1178">
        <v>100</v>
      </c>
      <c r="H1178" t="s">
        <v>1156</v>
      </c>
      <c r="I1178" t="s">
        <v>1159</v>
      </c>
    </row>
    <row r="1179" spans="1:18">
      <c r="A1179" t="s">
        <v>1155</v>
      </c>
      <c r="B1179" t="s">
        <v>1637</v>
      </c>
      <c r="C1179" t="s">
        <v>983</v>
      </c>
      <c r="D1179">
        <v>36</v>
      </c>
      <c r="E1179">
        <v>62</v>
      </c>
      <c r="F1179">
        <v>62</v>
      </c>
      <c r="G1179">
        <v>100</v>
      </c>
      <c r="H1179" t="s">
        <v>1156</v>
      </c>
      <c r="I1179" t="s">
        <v>1159</v>
      </c>
    </row>
    <row r="1180" spans="1:18">
      <c r="A1180" t="s">
        <v>1155</v>
      </c>
      <c r="B1180" t="s">
        <v>1637</v>
      </c>
      <c r="C1180" t="s">
        <v>983</v>
      </c>
      <c r="D1180">
        <v>40</v>
      </c>
      <c r="E1180">
        <v>58</v>
      </c>
      <c r="F1180">
        <v>58</v>
      </c>
      <c r="G1180">
        <v>100</v>
      </c>
      <c r="H1180" t="s">
        <v>1156</v>
      </c>
      <c r="I1180" t="s">
        <v>1159</v>
      </c>
    </row>
    <row r="1181" spans="1:18">
      <c r="A1181" t="s">
        <v>1155</v>
      </c>
      <c r="B1181" t="s">
        <v>1637</v>
      </c>
      <c r="C1181" t="s">
        <v>983</v>
      </c>
      <c r="D1181">
        <v>92</v>
      </c>
      <c r="E1181">
        <v>27</v>
      </c>
      <c r="F1181">
        <v>27</v>
      </c>
      <c r="G1181">
        <v>100</v>
      </c>
      <c r="H1181" t="s">
        <v>1156</v>
      </c>
      <c r="I1181" t="s">
        <v>1159</v>
      </c>
    </row>
    <row r="1182" spans="1:18">
      <c r="A1182" t="s">
        <v>1155</v>
      </c>
      <c r="B1182" t="s">
        <v>1637</v>
      </c>
      <c r="C1182" t="s">
        <v>1157</v>
      </c>
      <c r="D1182">
        <v>0</v>
      </c>
      <c r="E1182">
        <v>100</v>
      </c>
      <c r="F1182">
        <v>100</v>
      </c>
      <c r="G1182">
        <v>100</v>
      </c>
      <c r="H1182" t="s">
        <v>1156</v>
      </c>
      <c r="I1182" t="s">
        <v>1158</v>
      </c>
      <c r="K1182" t="s">
        <v>1394</v>
      </c>
      <c r="L1182" t="s">
        <v>1623</v>
      </c>
      <c r="M1182">
        <v>5.4399999999999997E-2</v>
      </c>
      <c r="O1182">
        <v>1</v>
      </c>
      <c r="Q1182" t="s">
        <v>1394</v>
      </c>
      <c r="R1182" t="s">
        <v>1638</v>
      </c>
    </row>
    <row r="1183" spans="1:18">
      <c r="A1183" t="s">
        <v>1155</v>
      </c>
      <c r="B1183" t="s">
        <v>1637</v>
      </c>
      <c r="C1183" t="s">
        <v>1157</v>
      </c>
      <c r="D1183">
        <v>5</v>
      </c>
      <c r="E1183">
        <v>76</v>
      </c>
      <c r="F1183">
        <v>76</v>
      </c>
      <c r="G1183">
        <v>100</v>
      </c>
      <c r="H1183" t="s">
        <v>1156</v>
      </c>
      <c r="I1183" t="s">
        <v>1158</v>
      </c>
    </row>
    <row r="1184" spans="1:18">
      <c r="A1184" t="s">
        <v>1155</v>
      </c>
      <c r="B1184" t="s">
        <v>1637</v>
      </c>
      <c r="C1184" t="s">
        <v>1157</v>
      </c>
      <c r="D1184">
        <v>6</v>
      </c>
      <c r="E1184">
        <v>71</v>
      </c>
      <c r="F1184">
        <v>71</v>
      </c>
      <c r="G1184">
        <v>100</v>
      </c>
      <c r="H1184" t="s">
        <v>1156</v>
      </c>
      <c r="I1184" t="s">
        <v>1158</v>
      </c>
    </row>
    <row r="1185" spans="1:18">
      <c r="A1185" t="s">
        <v>1155</v>
      </c>
      <c r="B1185" t="s">
        <v>1637</v>
      </c>
      <c r="C1185" t="s">
        <v>1157</v>
      </c>
      <c r="D1185">
        <v>13</v>
      </c>
      <c r="E1185">
        <v>50</v>
      </c>
      <c r="F1185">
        <v>50</v>
      </c>
      <c r="G1185">
        <v>100</v>
      </c>
      <c r="H1185" t="s">
        <v>1156</v>
      </c>
      <c r="I1185" t="s">
        <v>1158</v>
      </c>
    </row>
    <row r="1186" spans="1:18">
      <c r="A1186" t="s">
        <v>1155</v>
      </c>
      <c r="B1186" t="s">
        <v>1637</v>
      </c>
      <c r="C1186" t="s">
        <v>1157</v>
      </c>
      <c r="D1186">
        <v>16</v>
      </c>
      <c r="E1186">
        <v>42</v>
      </c>
      <c r="F1186">
        <v>42</v>
      </c>
      <c r="G1186">
        <v>100</v>
      </c>
      <c r="H1186" t="s">
        <v>1156</v>
      </c>
      <c r="I1186" t="s">
        <v>1158</v>
      </c>
    </row>
    <row r="1187" spans="1:18">
      <c r="A1187" t="s">
        <v>1155</v>
      </c>
      <c r="B1187" t="s">
        <v>1637</v>
      </c>
      <c r="C1187" t="s">
        <v>1157</v>
      </c>
      <c r="D1187">
        <v>21</v>
      </c>
      <c r="E1187">
        <v>33</v>
      </c>
      <c r="F1187">
        <v>33</v>
      </c>
      <c r="G1187">
        <v>100</v>
      </c>
      <c r="H1187" t="s">
        <v>1156</v>
      </c>
      <c r="I1187" t="s">
        <v>1158</v>
      </c>
    </row>
    <row r="1188" spans="1:18">
      <c r="A1188" t="s">
        <v>1155</v>
      </c>
      <c r="B1188" t="s">
        <v>1637</v>
      </c>
      <c r="C1188" t="s">
        <v>1157</v>
      </c>
      <c r="D1188">
        <v>24</v>
      </c>
      <c r="E1188">
        <v>27</v>
      </c>
      <c r="F1188">
        <v>27</v>
      </c>
      <c r="G1188">
        <v>100</v>
      </c>
      <c r="H1188" t="s">
        <v>1156</v>
      </c>
      <c r="I1188" t="s">
        <v>1158</v>
      </c>
    </row>
    <row r="1189" spans="1:18">
      <c r="A1189" t="s">
        <v>1155</v>
      </c>
      <c r="B1189" t="s">
        <v>1637</v>
      </c>
      <c r="C1189" t="s">
        <v>1157</v>
      </c>
      <c r="D1189">
        <v>27</v>
      </c>
      <c r="E1189">
        <v>23</v>
      </c>
      <c r="F1189">
        <v>23</v>
      </c>
      <c r="G1189">
        <v>100</v>
      </c>
      <c r="H1189" t="s">
        <v>1156</v>
      </c>
      <c r="I1189" t="s">
        <v>1158</v>
      </c>
    </row>
    <row r="1190" spans="1:18">
      <c r="A1190" t="s">
        <v>1155</v>
      </c>
      <c r="B1190" t="s">
        <v>1637</v>
      </c>
      <c r="C1190" t="s">
        <v>1157</v>
      </c>
      <c r="D1190">
        <v>38</v>
      </c>
      <c r="E1190">
        <v>12</v>
      </c>
      <c r="F1190">
        <v>12</v>
      </c>
      <c r="G1190">
        <v>100</v>
      </c>
      <c r="H1190" t="s">
        <v>1156</v>
      </c>
      <c r="I1190" t="s">
        <v>1158</v>
      </c>
    </row>
    <row r="1191" spans="1:18">
      <c r="A1191" t="s">
        <v>1155</v>
      </c>
      <c r="B1191" t="s">
        <v>1637</v>
      </c>
      <c r="C1191" t="s">
        <v>1157</v>
      </c>
      <c r="D1191">
        <v>41</v>
      </c>
      <c r="E1191">
        <v>10</v>
      </c>
      <c r="F1191">
        <v>10</v>
      </c>
      <c r="G1191">
        <v>100</v>
      </c>
      <c r="H1191" t="s">
        <v>1156</v>
      </c>
      <c r="I1191" t="s">
        <v>1158</v>
      </c>
    </row>
    <row r="1192" spans="1:18">
      <c r="A1192" t="s">
        <v>1155</v>
      </c>
      <c r="B1192" t="s">
        <v>1637</v>
      </c>
      <c r="C1192" t="s">
        <v>1157</v>
      </c>
      <c r="D1192">
        <v>45</v>
      </c>
      <c r="E1192">
        <v>8</v>
      </c>
      <c r="F1192">
        <v>8</v>
      </c>
      <c r="G1192">
        <v>100</v>
      </c>
      <c r="H1192" t="s">
        <v>1156</v>
      </c>
      <c r="I1192" t="s">
        <v>1158</v>
      </c>
    </row>
    <row r="1193" spans="1:18">
      <c r="A1193" t="s">
        <v>1155</v>
      </c>
      <c r="B1193" t="s">
        <v>1637</v>
      </c>
      <c r="C1193" t="s">
        <v>1157</v>
      </c>
      <c r="D1193">
        <v>0</v>
      </c>
      <c r="E1193">
        <v>100</v>
      </c>
      <c r="F1193">
        <v>100</v>
      </c>
      <c r="G1193">
        <v>100</v>
      </c>
      <c r="H1193" t="s">
        <v>1156</v>
      </c>
      <c r="I1193" t="s">
        <v>1159</v>
      </c>
      <c r="K1193" t="s">
        <v>1394</v>
      </c>
      <c r="L1193" t="s">
        <v>1624</v>
      </c>
      <c r="M1193">
        <v>5.7700000000000001E-2</v>
      </c>
      <c r="O1193">
        <v>0.999</v>
      </c>
      <c r="Q1193" t="s">
        <v>1394</v>
      </c>
      <c r="R1193" t="s">
        <v>1638</v>
      </c>
    </row>
    <row r="1194" spans="1:18">
      <c r="A1194" t="s">
        <v>1155</v>
      </c>
      <c r="B1194" t="s">
        <v>1637</v>
      </c>
      <c r="C1194" t="s">
        <v>1157</v>
      </c>
      <c r="D1194">
        <v>7</v>
      </c>
      <c r="E1194">
        <v>67</v>
      </c>
      <c r="F1194">
        <v>67</v>
      </c>
      <c r="G1194">
        <v>100</v>
      </c>
      <c r="H1194" t="s">
        <v>1156</v>
      </c>
      <c r="I1194" t="s">
        <v>1159</v>
      </c>
    </row>
    <row r="1195" spans="1:18">
      <c r="A1195" t="s">
        <v>1155</v>
      </c>
      <c r="B1195" t="s">
        <v>1637</v>
      </c>
      <c r="C1195" t="s">
        <v>1157</v>
      </c>
      <c r="D1195">
        <v>13</v>
      </c>
      <c r="E1195">
        <v>48</v>
      </c>
      <c r="F1195">
        <v>48</v>
      </c>
      <c r="G1195">
        <v>100</v>
      </c>
      <c r="H1195" t="s">
        <v>1156</v>
      </c>
      <c r="I1195" t="s">
        <v>1159</v>
      </c>
    </row>
    <row r="1196" spans="1:18">
      <c r="A1196" t="s">
        <v>1155</v>
      </c>
      <c r="B1196" t="s">
        <v>1637</v>
      </c>
      <c r="C1196" t="s">
        <v>1157</v>
      </c>
      <c r="D1196">
        <v>16</v>
      </c>
      <c r="E1196">
        <v>41</v>
      </c>
      <c r="F1196">
        <v>41</v>
      </c>
      <c r="G1196">
        <v>100</v>
      </c>
      <c r="H1196" t="s">
        <v>1156</v>
      </c>
      <c r="I1196" t="s">
        <v>1159</v>
      </c>
    </row>
    <row r="1197" spans="1:18">
      <c r="A1197" t="s">
        <v>1155</v>
      </c>
      <c r="B1197" t="s">
        <v>1637</v>
      </c>
      <c r="C1197" t="s">
        <v>1157</v>
      </c>
      <c r="D1197">
        <v>20</v>
      </c>
      <c r="E1197">
        <v>30</v>
      </c>
      <c r="F1197">
        <v>30</v>
      </c>
      <c r="G1197">
        <v>100</v>
      </c>
      <c r="H1197" t="s">
        <v>1156</v>
      </c>
      <c r="I1197" t="s">
        <v>1159</v>
      </c>
    </row>
    <row r="1198" spans="1:18">
      <c r="A1198" t="s">
        <v>1155</v>
      </c>
      <c r="B1198" t="s">
        <v>1637</v>
      </c>
      <c r="C1198" t="s">
        <v>1157</v>
      </c>
      <c r="D1198">
        <v>24</v>
      </c>
      <c r="E1198">
        <v>25</v>
      </c>
      <c r="F1198">
        <v>25</v>
      </c>
      <c r="G1198">
        <v>100</v>
      </c>
      <c r="H1198" t="s">
        <v>1156</v>
      </c>
      <c r="I1198" t="s">
        <v>1159</v>
      </c>
    </row>
    <row r="1199" spans="1:18">
      <c r="A1199" t="s">
        <v>1155</v>
      </c>
      <c r="B1199" t="s">
        <v>1637</v>
      </c>
      <c r="C1199" t="s">
        <v>1157</v>
      </c>
      <c r="D1199">
        <v>38</v>
      </c>
      <c r="E1199">
        <v>11</v>
      </c>
      <c r="F1199">
        <v>11</v>
      </c>
      <c r="G1199">
        <v>100</v>
      </c>
      <c r="H1199" t="s">
        <v>1156</v>
      </c>
      <c r="I1199" t="s">
        <v>1159</v>
      </c>
    </row>
    <row r="1200" spans="1:18">
      <c r="A1200" t="s">
        <v>1155</v>
      </c>
      <c r="B1200" t="s">
        <v>1637</v>
      </c>
      <c r="C1200" t="s">
        <v>983</v>
      </c>
      <c r="D1200">
        <v>0</v>
      </c>
      <c r="E1200">
        <v>100</v>
      </c>
      <c r="F1200">
        <v>100</v>
      </c>
      <c r="G1200">
        <v>100</v>
      </c>
      <c r="H1200" t="s">
        <v>1156</v>
      </c>
      <c r="I1200" t="s">
        <v>1160</v>
      </c>
      <c r="K1200" t="s">
        <v>1396</v>
      </c>
      <c r="L1200" t="s">
        <v>1625</v>
      </c>
      <c r="N1200">
        <v>-0.23810000000000001</v>
      </c>
      <c r="O1200">
        <v>0.99</v>
      </c>
      <c r="Q1200" t="s">
        <v>1394</v>
      </c>
      <c r="R1200" t="s">
        <v>1638</v>
      </c>
    </row>
    <row r="1201" spans="1:18">
      <c r="A1201" t="s">
        <v>1155</v>
      </c>
      <c r="B1201" t="s">
        <v>1637</v>
      </c>
      <c r="C1201" t="s">
        <v>983</v>
      </c>
      <c r="D1201">
        <v>5</v>
      </c>
      <c r="E1201">
        <v>99</v>
      </c>
      <c r="F1201">
        <v>99</v>
      </c>
      <c r="G1201">
        <v>100</v>
      </c>
      <c r="H1201" t="s">
        <v>1156</v>
      </c>
      <c r="I1201" t="s">
        <v>1160</v>
      </c>
    </row>
    <row r="1202" spans="1:18">
      <c r="A1202" t="s">
        <v>1155</v>
      </c>
      <c r="B1202" t="s">
        <v>1637</v>
      </c>
      <c r="C1202" t="s">
        <v>983</v>
      </c>
      <c r="D1202">
        <v>10</v>
      </c>
      <c r="E1202">
        <v>98</v>
      </c>
      <c r="F1202">
        <v>98</v>
      </c>
      <c r="G1202">
        <v>100</v>
      </c>
      <c r="H1202" t="s">
        <v>1156</v>
      </c>
      <c r="I1202" t="s">
        <v>1160</v>
      </c>
    </row>
    <row r="1203" spans="1:18">
      <c r="A1203" t="s">
        <v>1155</v>
      </c>
      <c r="B1203" t="s">
        <v>1637</v>
      </c>
      <c r="C1203" t="s">
        <v>983</v>
      </c>
      <c r="D1203">
        <v>15</v>
      </c>
      <c r="E1203">
        <v>97</v>
      </c>
      <c r="F1203">
        <v>97</v>
      </c>
      <c r="G1203">
        <v>100</v>
      </c>
      <c r="H1203" t="s">
        <v>1156</v>
      </c>
      <c r="I1203" t="s">
        <v>1160</v>
      </c>
    </row>
    <row r="1204" spans="1:18">
      <c r="A1204" t="s">
        <v>1155</v>
      </c>
      <c r="B1204" t="s">
        <v>1637</v>
      </c>
      <c r="C1204" t="s">
        <v>983</v>
      </c>
      <c r="D1204">
        <v>20</v>
      </c>
      <c r="E1204">
        <v>95</v>
      </c>
      <c r="F1204">
        <v>95</v>
      </c>
      <c r="G1204">
        <v>100</v>
      </c>
      <c r="H1204" t="s">
        <v>1156</v>
      </c>
      <c r="I1204" t="s">
        <v>1160</v>
      </c>
    </row>
    <row r="1205" spans="1:18">
      <c r="A1205" t="s">
        <v>1155</v>
      </c>
      <c r="B1205" t="s">
        <v>1637</v>
      </c>
      <c r="C1205" t="s">
        <v>983</v>
      </c>
      <c r="D1205">
        <v>25</v>
      </c>
      <c r="E1205">
        <v>94</v>
      </c>
      <c r="F1205">
        <v>94</v>
      </c>
      <c r="G1205">
        <v>100</v>
      </c>
      <c r="H1205" t="s">
        <v>1156</v>
      </c>
      <c r="I1205" t="s">
        <v>1160</v>
      </c>
    </row>
    <row r="1206" spans="1:18">
      <c r="A1206" t="s">
        <v>1155</v>
      </c>
      <c r="B1206" t="s">
        <v>1637</v>
      </c>
      <c r="C1206" t="s">
        <v>983</v>
      </c>
      <c r="D1206">
        <v>30</v>
      </c>
      <c r="E1206">
        <v>93</v>
      </c>
      <c r="F1206">
        <v>93</v>
      </c>
      <c r="G1206">
        <v>100</v>
      </c>
      <c r="H1206" t="s">
        <v>1156</v>
      </c>
      <c r="I1206" t="s">
        <v>1160</v>
      </c>
    </row>
    <row r="1207" spans="1:18">
      <c r="A1207" t="s">
        <v>1155</v>
      </c>
      <c r="B1207" t="s">
        <v>1637</v>
      </c>
      <c r="C1207" t="s">
        <v>983</v>
      </c>
      <c r="D1207">
        <v>35</v>
      </c>
      <c r="E1207">
        <v>92</v>
      </c>
      <c r="F1207">
        <v>92</v>
      </c>
      <c r="G1207">
        <v>100</v>
      </c>
      <c r="H1207" t="s">
        <v>1156</v>
      </c>
      <c r="I1207" t="s">
        <v>1160</v>
      </c>
    </row>
    <row r="1208" spans="1:18">
      <c r="A1208" t="s">
        <v>1155</v>
      </c>
      <c r="B1208" t="s">
        <v>1637</v>
      </c>
      <c r="C1208" t="s">
        <v>983</v>
      </c>
      <c r="D1208">
        <v>0</v>
      </c>
      <c r="E1208">
        <v>100</v>
      </c>
      <c r="F1208">
        <v>100</v>
      </c>
      <c r="G1208">
        <v>100</v>
      </c>
      <c r="H1208" t="s">
        <v>1156</v>
      </c>
      <c r="I1208" t="s">
        <v>1161</v>
      </c>
      <c r="K1208" t="s">
        <v>1394</v>
      </c>
      <c r="L1208" t="s">
        <v>1626</v>
      </c>
      <c r="M1208">
        <v>2.6700000000000002E-2</v>
      </c>
      <c r="O1208">
        <v>1</v>
      </c>
      <c r="Q1208" t="s">
        <v>1394</v>
      </c>
      <c r="R1208" t="s">
        <v>1638</v>
      </c>
    </row>
    <row r="1209" spans="1:18">
      <c r="A1209" t="s">
        <v>1155</v>
      </c>
      <c r="B1209" t="s">
        <v>1637</v>
      </c>
      <c r="C1209" t="s">
        <v>983</v>
      </c>
      <c r="D1209">
        <v>5</v>
      </c>
      <c r="E1209">
        <v>87</v>
      </c>
      <c r="F1209">
        <v>87</v>
      </c>
      <c r="G1209">
        <v>100</v>
      </c>
      <c r="H1209" t="s">
        <v>1156</v>
      </c>
      <c r="I1209" t="s">
        <v>1161</v>
      </c>
    </row>
    <row r="1210" spans="1:18">
      <c r="A1210" t="s">
        <v>1155</v>
      </c>
      <c r="B1210" t="s">
        <v>1637</v>
      </c>
      <c r="C1210" t="s">
        <v>983</v>
      </c>
      <c r="D1210">
        <v>10</v>
      </c>
      <c r="E1210">
        <v>76</v>
      </c>
      <c r="F1210">
        <v>76</v>
      </c>
      <c r="G1210">
        <v>100</v>
      </c>
      <c r="H1210" t="s">
        <v>1156</v>
      </c>
      <c r="I1210" t="s">
        <v>1161</v>
      </c>
    </row>
    <row r="1211" spans="1:18">
      <c r="A1211" t="s">
        <v>1155</v>
      </c>
      <c r="B1211" t="s">
        <v>1637</v>
      </c>
      <c r="C1211" t="s">
        <v>983</v>
      </c>
      <c r="D1211">
        <v>15</v>
      </c>
      <c r="E1211">
        <v>67</v>
      </c>
      <c r="F1211">
        <v>67</v>
      </c>
      <c r="G1211">
        <v>100</v>
      </c>
      <c r="H1211" t="s">
        <v>1156</v>
      </c>
      <c r="I1211" t="s">
        <v>1161</v>
      </c>
    </row>
    <row r="1212" spans="1:18">
      <c r="A1212" t="s">
        <v>1155</v>
      </c>
      <c r="B1212" t="s">
        <v>1637</v>
      </c>
      <c r="C1212" t="s">
        <v>983</v>
      </c>
      <c r="D1212">
        <v>20</v>
      </c>
      <c r="E1212">
        <v>59</v>
      </c>
      <c r="F1212">
        <v>59</v>
      </c>
      <c r="G1212">
        <v>100</v>
      </c>
      <c r="H1212" t="s">
        <v>1156</v>
      </c>
      <c r="I1212" t="s">
        <v>1161</v>
      </c>
    </row>
    <row r="1213" spans="1:18">
      <c r="A1213" t="s">
        <v>1155</v>
      </c>
      <c r="B1213" t="s">
        <v>1637</v>
      </c>
      <c r="C1213" t="s">
        <v>983</v>
      </c>
      <c r="D1213">
        <v>25</v>
      </c>
      <c r="E1213">
        <v>51</v>
      </c>
      <c r="F1213">
        <v>51</v>
      </c>
      <c r="G1213">
        <v>100</v>
      </c>
      <c r="H1213" t="s">
        <v>1156</v>
      </c>
      <c r="I1213" t="s">
        <v>1161</v>
      </c>
    </row>
    <row r="1214" spans="1:18">
      <c r="A1214" t="s">
        <v>1155</v>
      </c>
      <c r="B1214" t="s">
        <v>1637</v>
      </c>
      <c r="C1214" t="s">
        <v>983</v>
      </c>
      <c r="D1214">
        <v>30</v>
      </c>
      <c r="E1214">
        <v>45</v>
      </c>
      <c r="F1214">
        <v>45</v>
      </c>
      <c r="G1214">
        <v>100</v>
      </c>
      <c r="H1214" t="s">
        <v>1156</v>
      </c>
      <c r="I1214" t="s">
        <v>1161</v>
      </c>
    </row>
    <row r="1215" spans="1:18">
      <c r="A1215" t="s">
        <v>1155</v>
      </c>
      <c r="B1215" t="s">
        <v>1637</v>
      </c>
      <c r="C1215" t="s">
        <v>983</v>
      </c>
      <c r="D1215">
        <v>35</v>
      </c>
      <c r="E1215">
        <v>39</v>
      </c>
      <c r="F1215">
        <v>39</v>
      </c>
      <c r="G1215">
        <v>100</v>
      </c>
      <c r="H1215" t="s">
        <v>1156</v>
      </c>
      <c r="I1215" t="s">
        <v>1161</v>
      </c>
    </row>
    <row r="1216" spans="1:18">
      <c r="A1216" t="s">
        <v>1155</v>
      </c>
      <c r="B1216" t="s">
        <v>1637</v>
      </c>
      <c r="C1216" t="s">
        <v>1162</v>
      </c>
      <c r="D1216">
        <v>0</v>
      </c>
      <c r="E1216">
        <v>100</v>
      </c>
      <c r="F1216">
        <v>100</v>
      </c>
      <c r="G1216">
        <v>100</v>
      </c>
      <c r="H1216" t="s">
        <v>1156</v>
      </c>
      <c r="I1216" t="s">
        <v>1160</v>
      </c>
      <c r="K1216" t="s">
        <v>1396</v>
      </c>
      <c r="L1216" t="s">
        <v>1627</v>
      </c>
      <c r="N1216">
        <v>-7.1400000000000005E-2</v>
      </c>
      <c r="O1216">
        <v>0.88</v>
      </c>
      <c r="Q1216" t="s">
        <v>1394</v>
      </c>
      <c r="R1216" t="s">
        <v>1638</v>
      </c>
    </row>
    <row r="1217" spans="1:18">
      <c r="A1217" t="s">
        <v>1155</v>
      </c>
      <c r="B1217" t="s">
        <v>1637</v>
      </c>
      <c r="C1217" t="s">
        <v>1162</v>
      </c>
      <c r="D1217">
        <v>5</v>
      </c>
      <c r="E1217">
        <v>99</v>
      </c>
      <c r="F1217">
        <v>99</v>
      </c>
      <c r="G1217">
        <v>100</v>
      </c>
      <c r="H1217" t="s">
        <v>1156</v>
      </c>
      <c r="I1217" t="s">
        <v>1160</v>
      </c>
    </row>
    <row r="1218" spans="1:18">
      <c r="A1218" t="s">
        <v>1155</v>
      </c>
      <c r="B1218" t="s">
        <v>1637</v>
      </c>
      <c r="C1218" t="s">
        <v>1162</v>
      </c>
      <c r="D1218">
        <v>10</v>
      </c>
      <c r="E1218">
        <v>99</v>
      </c>
      <c r="F1218">
        <v>99</v>
      </c>
      <c r="G1218">
        <v>100</v>
      </c>
      <c r="H1218" t="s">
        <v>1156</v>
      </c>
      <c r="I1218" t="s">
        <v>1160</v>
      </c>
    </row>
    <row r="1219" spans="1:18">
      <c r="A1219" t="s">
        <v>1155</v>
      </c>
      <c r="B1219" t="s">
        <v>1637</v>
      </c>
      <c r="C1219" t="s">
        <v>1162</v>
      </c>
      <c r="D1219">
        <v>15</v>
      </c>
      <c r="E1219">
        <v>99</v>
      </c>
      <c r="F1219">
        <v>99</v>
      </c>
      <c r="G1219">
        <v>100</v>
      </c>
      <c r="H1219" t="s">
        <v>1156</v>
      </c>
      <c r="I1219" t="s">
        <v>1160</v>
      </c>
    </row>
    <row r="1220" spans="1:18">
      <c r="A1220" t="s">
        <v>1155</v>
      </c>
      <c r="B1220" t="s">
        <v>1637</v>
      </c>
      <c r="C1220" t="s">
        <v>1162</v>
      </c>
      <c r="D1220">
        <v>20</v>
      </c>
      <c r="E1220">
        <v>98</v>
      </c>
      <c r="F1220">
        <v>98</v>
      </c>
      <c r="G1220">
        <v>100</v>
      </c>
      <c r="H1220" t="s">
        <v>1156</v>
      </c>
      <c r="I1220" t="s">
        <v>1160</v>
      </c>
    </row>
    <row r="1221" spans="1:18">
      <c r="A1221" t="s">
        <v>1155</v>
      </c>
      <c r="B1221" t="s">
        <v>1637</v>
      </c>
      <c r="C1221" t="s">
        <v>1162</v>
      </c>
      <c r="D1221">
        <v>25</v>
      </c>
      <c r="E1221">
        <v>98</v>
      </c>
      <c r="F1221">
        <v>98</v>
      </c>
      <c r="G1221">
        <v>100</v>
      </c>
      <c r="H1221" t="s">
        <v>1156</v>
      </c>
      <c r="I1221" t="s">
        <v>1160</v>
      </c>
    </row>
    <row r="1222" spans="1:18">
      <c r="A1222" t="s">
        <v>1155</v>
      </c>
      <c r="B1222" t="s">
        <v>1637</v>
      </c>
      <c r="C1222" t="s">
        <v>1162</v>
      </c>
      <c r="D1222">
        <v>30</v>
      </c>
      <c r="E1222">
        <v>98</v>
      </c>
      <c r="F1222">
        <v>98</v>
      </c>
      <c r="G1222">
        <v>100</v>
      </c>
      <c r="H1222" t="s">
        <v>1156</v>
      </c>
      <c r="I1222" t="s">
        <v>1160</v>
      </c>
    </row>
    <row r="1223" spans="1:18">
      <c r="A1223" t="s">
        <v>1155</v>
      </c>
      <c r="B1223" t="s">
        <v>1637</v>
      </c>
      <c r="C1223" t="s">
        <v>1162</v>
      </c>
      <c r="D1223">
        <v>35</v>
      </c>
      <c r="E1223">
        <v>97</v>
      </c>
      <c r="F1223">
        <v>97</v>
      </c>
      <c r="G1223">
        <v>100</v>
      </c>
      <c r="H1223" t="s">
        <v>1156</v>
      </c>
      <c r="I1223" t="s">
        <v>1160</v>
      </c>
    </row>
    <row r="1224" spans="1:18">
      <c r="A1224" t="s">
        <v>1155</v>
      </c>
      <c r="B1224" t="s">
        <v>1637</v>
      </c>
      <c r="C1224" t="s">
        <v>1162</v>
      </c>
      <c r="D1224">
        <v>0</v>
      </c>
      <c r="E1224">
        <v>100</v>
      </c>
      <c r="F1224">
        <v>100</v>
      </c>
      <c r="G1224">
        <v>100</v>
      </c>
      <c r="H1224" t="s">
        <v>1156</v>
      </c>
      <c r="I1224" t="s">
        <v>1161</v>
      </c>
      <c r="K1224" s="9" t="s">
        <v>1394</v>
      </c>
      <c r="L1224" s="9" t="s">
        <v>1628</v>
      </c>
      <c r="M1224" s="9">
        <v>1.06E-2</v>
      </c>
      <c r="O1224">
        <v>1</v>
      </c>
      <c r="Q1224" t="s">
        <v>1394</v>
      </c>
      <c r="R1224" t="s">
        <v>1638</v>
      </c>
    </row>
    <row r="1225" spans="1:18">
      <c r="A1225" t="s">
        <v>1155</v>
      </c>
      <c r="B1225" t="s">
        <v>1637</v>
      </c>
      <c r="C1225" t="s">
        <v>1162</v>
      </c>
      <c r="D1225">
        <v>5</v>
      </c>
      <c r="E1225">
        <v>95</v>
      </c>
      <c r="F1225">
        <v>95</v>
      </c>
      <c r="G1225">
        <v>100</v>
      </c>
      <c r="H1225" t="s">
        <v>1156</v>
      </c>
      <c r="I1225" t="s">
        <v>1161</v>
      </c>
      <c r="K1225" t="s">
        <v>1396</v>
      </c>
      <c r="L1225" t="s">
        <v>1629</v>
      </c>
      <c r="N1225">
        <v>-0.88100000000000001</v>
      </c>
      <c r="O1225">
        <v>0.996</v>
      </c>
    </row>
    <row r="1226" spans="1:18">
      <c r="A1226" t="s">
        <v>1155</v>
      </c>
      <c r="B1226" t="s">
        <v>1637</v>
      </c>
      <c r="C1226" t="s">
        <v>1162</v>
      </c>
      <c r="D1226">
        <v>10</v>
      </c>
      <c r="E1226">
        <v>90</v>
      </c>
      <c r="F1226">
        <v>90</v>
      </c>
      <c r="G1226">
        <v>100</v>
      </c>
      <c r="H1226" t="s">
        <v>1156</v>
      </c>
      <c r="I1226" t="s">
        <v>1161</v>
      </c>
    </row>
    <row r="1227" spans="1:18">
      <c r="A1227" t="s">
        <v>1155</v>
      </c>
      <c r="B1227" t="s">
        <v>1637</v>
      </c>
      <c r="C1227" t="s">
        <v>1162</v>
      </c>
      <c r="D1227">
        <v>15</v>
      </c>
      <c r="E1227">
        <v>85</v>
      </c>
      <c r="F1227">
        <v>85</v>
      </c>
      <c r="G1227">
        <v>100</v>
      </c>
      <c r="H1227" t="s">
        <v>1156</v>
      </c>
      <c r="I1227" t="s">
        <v>1161</v>
      </c>
    </row>
    <row r="1228" spans="1:18">
      <c r="A1228" t="s">
        <v>1155</v>
      </c>
      <c r="B1228" t="s">
        <v>1637</v>
      </c>
      <c r="C1228" t="s">
        <v>1162</v>
      </c>
      <c r="D1228">
        <v>20</v>
      </c>
      <c r="E1228">
        <v>81</v>
      </c>
      <c r="F1228">
        <v>81</v>
      </c>
      <c r="G1228">
        <v>100</v>
      </c>
      <c r="H1228" t="s">
        <v>1156</v>
      </c>
      <c r="I1228" t="s">
        <v>1161</v>
      </c>
    </row>
    <row r="1229" spans="1:18">
      <c r="A1229" t="s">
        <v>1155</v>
      </c>
      <c r="B1229" t="s">
        <v>1637</v>
      </c>
      <c r="C1229" t="s">
        <v>1162</v>
      </c>
      <c r="D1229">
        <v>25</v>
      </c>
      <c r="E1229">
        <v>77</v>
      </c>
      <c r="F1229">
        <v>77</v>
      </c>
      <c r="G1229">
        <v>100</v>
      </c>
      <c r="H1229" t="s">
        <v>1156</v>
      </c>
      <c r="I1229" t="s">
        <v>1161</v>
      </c>
    </row>
    <row r="1230" spans="1:18">
      <c r="A1230" t="s">
        <v>1155</v>
      </c>
      <c r="B1230" t="s">
        <v>1637</v>
      </c>
      <c r="C1230" t="s">
        <v>1162</v>
      </c>
      <c r="D1230">
        <v>30</v>
      </c>
      <c r="E1230">
        <v>73</v>
      </c>
      <c r="F1230">
        <v>73</v>
      </c>
      <c r="G1230">
        <v>100</v>
      </c>
      <c r="H1230" t="s">
        <v>1156</v>
      </c>
      <c r="I1230" t="s">
        <v>1161</v>
      </c>
    </row>
    <row r="1231" spans="1:18">
      <c r="A1231" t="s">
        <v>1155</v>
      </c>
      <c r="B1231" t="s">
        <v>1637</v>
      </c>
      <c r="C1231" t="s">
        <v>1162</v>
      </c>
      <c r="D1231">
        <v>35</v>
      </c>
      <c r="E1231">
        <v>69</v>
      </c>
      <c r="F1231">
        <v>69</v>
      </c>
      <c r="G1231">
        <v>100</v>
      </c>
      <c r="H1231" t="s">
        <v>1156</v>
      </c>
      <c r="I1231" t="s">
        <v>1161</v>
      </c>
    </row>
    <row r="1232" spans="1:18">
      <c r="A1232" t="s">
        <v>1155</v>
      </c>
      <c r="B1232" t="s">
        <v>1637</v>
      </c>
      <c r="C1232" t="s">
        <v>983</v>
      </c>
      <c r="D1232">
        <v>0</v>
      </c>
      <c r="E1232">
        <v>100</v>
      </c>
      <c r="F1232">
        <v>100</v>
      </c>
      <c r="G1232">
        <v>100</v>
      </c>
      <c r="H1232" t="s">
        <v>1156</v>
      </c>
      <c r="I1232" t="s">
        <v>1163</v>
      </c>
      <c r="K1232" t="s">
        <v>1396</v>
      </c>
      <c r="L1232" t="s">
        <v>1630</v>
      </c>
      <c r="N1232">
        <v>-0.1361</v>
      </c>
      <c r="O1232">
        <v>0.99</v>
      </c>
      <c r="Q1232" t="s">
        <v>1394</v>
      </c>
      <c r="R1232" t="s">
        <v>1638</v>
      </c>
    </row>
    <row r="1233" spans="1:18">
      <c r="A1233" t="s">
        <v>1155</v>
      </c>
      <c r="B1233" t="s">
        <v>1637</v>
      </c>
      <c r="C1233" t="s">
        <v>983</v>
      </c>
      <c r="D1233">
        <v>5</v>
      </c>
      <c r="E1233">
        <v>99</v>
      </c>
      <c r="F1233">
        <v>99</v>
      </c>
      <c r="G1233">
        <v>100</v>
      </c>
      <c r="H1233" t="s">
        <v>1156</v>
      </c>
      <c r="I1233" t="s">
        <v>1163</v>
      </c>
    </row>
    <row r="1234" spans="1:18">
      <c r="A1234" t="s">
        <v>1155</v>
      </c>
      <c r="B1234" t="s">
        <v>1637</v>
      </c>
      <c r="C1234" t="s">
        <v>983</v>
      </c>
      <c r="D1234">
        <v>13</v>
      </c>
      <c r="E1234">
        <v>98</v>
      </c>
      <c r="F1234">
        <v>98</v>
      </c>
      <c r="G1234">
        <v>100</v>
      </c>
      <c r="H1234" t="s">
        <v>1156</v>
      </c>
      <c r="I1234" t="s">
        <v>1163</v>
      </c>
    </row>
    <row r="1235" spans="1:18">
      <c r="A1235" t="s">
        <v>1155</v>
      </c>
      <c r="B1235" t="s">
        <v>1637</v>
      </c>
      <c r="C1235" t="s">
        <v>983</v>
      </c>
      <c r="D1235">
        <v>18</v>
      </c>
      <c r="E1235">
        <v>97</v>
      </c>
      <c r="F1235">
        <v>97</v>
      </c>
      <c r="G1235">
        <v>100</v>
      </c>
      <c r="H1235" t="s">
        <v>1156</v>
      </c>
      <c r="I1235" t="s">
        <v>1163</v>
      </c>
    </row>
    <row r="1236" spans="1:18">
      <c r="A1236" t="s">
        <v>1155</v>
      </c>
      <c r="B1236" t="s">
        <v>1637</v>
      </c>
      <c r="C1236" t="s">
        <v>983</v>
      </c>
      <c r="D1236">
        <v>21</v>
      </c>
      <c r="E1236">
        <v>97</v>
      </c>
      <c r="F1236">
        <v>97</v>
      </c>
      <c r="G1236">
        <v>100</v>
      </c>
      <c r="H1236" t="s">
        <v>1156</v>
      </c>
      <c r="I1236" t="s">
        <v>1163</v>
      </c>
    </row>
    <row r="1237" spans="1:18">
      <c r="A1237" t="s">
        <v>1155</v>
      </c>
      <c r="B1237" t="s">
        <v>1637</v>
      </c>
      <c r="C1237" t="s">
        <v>983</v>
      </c>
      <c r="D1237">
        <v>26</v>
      </c>
      <c r="E1237">
        <v>96</v>
      </c>
      <c r="F1237">
        <v>96</v>
      </c>
      <c r="G1237">
        <v>100</v>
      </c>
      <c r="H1237" t="s">
        <v>1156</v>
      </c>
      <c r="I1237" t="s">
        <v>1163</v>
      </c>
    </row>
    <row r="1238" spans="1:18">
      <c r="A1238" t="s">
        <v>1155</v>
      </c>
      <c r="B1238" t="s">
        <v>1637</v>
      </c>
      <c r="C1238" t="s">
        <v>983</v>
      </c>
      <c r="D1238">
        <v>40</v>
      </c>
      <c r="E1238">
        <v>94</v>
      </c>
      <c r="F1238">
        <v>94</v>
      </c>
      <c r="G1238">
        <v>100</v>
      </c>
      <c r="H1238" t="s">
        <v>1156</v>
      </c>
      <c r="I1238" t="s">
        <v>1163</v>
      </c>
    </row>
    <row r="1239" spans="1:18">
      <c r="A1239" t="s">
        <v>1155</v>
      </c>
      <c r="B1239" t="s">
        <v>1637</v>
      </c>
      <c r="C1239" t="s">
        <v>983</v>
      </c>
      <c r="D1239">
        <v>52</v>
      </c>
      <c r="E1239">
        <v>93</v>
      </c>
      <c r="F1239">
        <v>93</v>
      </c>
      <c r="G1239">
        <v>100</v>
      </c>
      <c r="H1239" t="s">
        <v>1156</v>
      </c>
      <c r="I1239" t="s">
        <v>1163</v>
      </c>
    </row>
    <row r="1240" spans="1:18">
      <c r="A1240" t="s">
        <v>1155</v>
      </c>
      <c r="B1240" t="s">
        <v>1637</v>
      </c>
      <c r="C1240" t="s">
        <v>983</v>
      </c>
      <c r="D1240">
        <v>0</v>
      </c>
      <c r="E1240">
        <v>100</v>
      </c>
      <c r="F1240">
        <v>100</v>
      </c>
      <c r="G1240">
        <v>100</v>
      </c>
      <c r="H1240" t="s">
        <v>1156</v>
      </c>
      <c r="I1240" t="s">
        <v>1164</v>
      </c>
      <c r="K1240" t="s">
        <v>1394</v>
      </c>
      <c r="L1240" t="s">
        <v>1631</v>
      </c>
      <c r="M1240">
        <v>2.9899999999999999E-2</v>
      </c>
      <c r="O1240">
        <v>0.997</v>
      </c>
      <c r="Q1240" t="s">
        <v>1394</v>
      </c>
      <c r="R1240" t="s">
        <v>1638</v>
      </c>
    </row>
    <row r="1241" spans="1:18">
      <c r="A1241" t="s">
        <v>1155</v>
      </c>
      <c r="B1241" t="s">
        <v>1637</v>
      </c>
      <c r="C1241" t="s">
        <v>983</v>
      </c>
      <c r="D1241">
        <v>2</v>
      </c>
      <c r="E1241">
        <v>91</v>
      </c>
      <c r="F1241">
        <v>91</v>
      </c>
      <c r="G1241">
        <v>100</v>
      </c>
      <c r="H1241" t="s">
        <v>1156</v>
      </c>
      <c r="I1241" t="s">
        <v>1164</v>
      </c>
    </row>
    <row r="1242" spans="1:18">
      <c r="A1242" t="s">
        <v>1155</v>
      </c>
      <c r="B1242" t="s">
        <v>1637</v>
      </c>
      <c r="C1242" t="s">
        <v>983</v>
      </c>
      <c r="D1242">
        <v>4</v>
      </c>
      <c r="E1242">
        <v>86</v>
      </c>
      <c r="F1242">
        <v>86</v>
      </c>
      <c r="G1242">
        <v>100</v>
      </c>
      <c r="H1242" t="s">
        <v>1156</v>
      </c>
      <c r="I1242" t="s">
        <v>1164</v>
      </c>
    </row>
    <row r="1243" spans="1:18">
      <c r="A1243" t="s">
        <v>1155</v>
      </c>
      <c r="B1243" t="s">
        <v>1637</v>
      </c>
      <c r="C1243" t="s">
        <v>983</v>
      </c>
      <c r="D1243">
        <v>6</v>
      </c>
      <c r="E1243">
        <v>81</v>
      </c>
      <c r="F1243">
        <v>81</v>
      </c>
      <c r="G1243">
        <v>100</v>
      </c>
      <c r="H1243" t="s">
        <v>1156</v>
      </c>
      <c r="I1243" t="s">
        <v>1164</v>
      </c>
    </row>
    <row r="1244" spans="1:18">
      <c r="A1244" t="s">
        <v>1155</v>
      </c>
      <c r="B1244" t="s">
        <v>1637</v>
      </c>
      <c r="C1244" t="s">
        <v>983</v>
      </c>
      <c r="D1244">
        <v>8</v>
      </c>
      <c r="E1244">
        <v>76</v>
      </c>
      <c r="F1244">
        <v>76</v>
      </c>
      <c r="G1244">
        <v>100</v>
      </c>
      <c r="H1244" t="s">
        <v>1156</v>
      </c>
      <c r="I1244" t="s">
        <v>1164</v>
      </c>
    </row>
    <row r="1245" spans="1:18">
      <c r="A1245" t="s">
        <v>1155</v>
      </c>
      <c r="B1245" t="s">
        <v>1637</v>
      </c>
      <c r="C1245" t="s">
        <v>983</v>
      </c>
      <c r="D1245">
        <v>15</v>
      </c>
      <c r="E1245">
        <v>62</v>
      </c>
      <c r="F1245">
        <v>62</v>
      </c>
      <c r="G1245">
        <v>100</v>
      </c>
      <c r="H1245" t="s">
        <v>1156</v>
      </c>
      <c r="I1245" t="s">
        <v>1164</v>
      </c>
    </row>
    <row r="1246" spans="1:18">
      <c r="A1246" t="s">
        <v>1155</v>
      </c>
      <c r="B1246" t="s">
        <v>1637</v>
      </c>
      <c r="C1246" t="s">
        <v>983</v>
      </c>
      <c r="D1246">
        <v>20</v>
      </c>
      <c r="E1246">
        <v>55</v>
      </c>
      <c r="F1246">
        <v>55</v>
      </c>
      <c r="G1246">
        <v>100</v>
      </c>
      <c r="H1246" t="s">
        <v>1156</v>
      </c>
      <c r="I1246" t="s">
        <v>1164</v>
      </c>
    </row>
    <row r="1247" spans="1:18">
      <c r="A1247" t="s">
        <v>1155</v>
      </c>
      <c r="B1247" t="s">
        <v>1637</v>
      </c>
      <c r="C1247" t="s">
        <v>983</v>
      </c>
      <c r="D1247">
        <v>52</v>
      </c>
      <c r="E1247">
        <v>21</v>
      </c>
      <c r="F1247">
        <v>21</v>
      </c>
      <c r="G1247">
        <v>100</v>
      </c>
      <c r="H1247" t="s">
        <v>1156</v>
      </c>
      <c r="I1247" t="s">
        <v>1164</v>
      </c>
    </row>
    <row r="1248" spans="1:18">
      <c r="A1248" t="s">
        <v>1155</v>
      </c>
      <c r="B1248" t="s">
        <v>1637</v>
      </c>
      <c r="C1248" t="s">
        <v>983</v>
      </c>
      <c r="D1248">
        <v>0</v>
      </c>
      <c r="E1248">
        <v>100</v>
      </c>
      <c r="F1248">
        <v>100</v>
      </c>
      <c r="G1248">
        <v>100</v>
      </c>
      <c r="H1248" t="s">
        <v>1156</v>
      </c>
      <c r="I1248" t="s">
        <v>1165</v>
      </c>
      <c r="K1248" s="9" t="s">
        <v>1394</v>
      </c>
      <c r="L1248" s="9" t="s">
        <v>1632</v>
      </c>
      <c r="M1248" s="9">
        <v>4.4000000000000003E-3</v>
      </c>
      <c r="N1248" s="9"/>
      <c r="O1248" s="9">
        <v>0.997</v>
      </c>
      <c r="P1248" s="9"/>
      <c r="Q1248" t="s">
        <v>1394</v>
      </c>
      <c r="R1248" t="s">
        <v>1638</v>
      </c>
    </row>
    <row r="1249" spans="1:18">
      <c r="A1249" t="s">
        <v>1155</v>
      </c>
      <c r="B1249" t="s">
        <v>1637</v>
      </c>
      <c r="C1249" t="s">
        <v>983</v>
      </c>
      <c r="D1249">
        <v>3</v>
      </c>
      <c r="E1249">
        <v>98</v>
      </c>
      <c r="F1249">
        <v>98</v>
      </c>
      <c r="G1249">
        <v>100</v>
      </c>
      <c r="H1249" t="s">
        <v>1156</v>
      </c>
      <c r="I1249" t="s">
        <v>1165</v>
      </c>
      <c r="K1249" t="s">
        <v>1396</v>
      </c>
      <c r="L1249" t="s">
        <v>1633</v>
      </c>
      <c r="N1249">
        <v>-0.3931</v>
      </c>
      <c r="O1249">
        <v>0.99</v>
      </c>
    </row>
    <row r="1250" spans="1:18">
      <c r="A1250" t="s">
        <v>1155</v>
      </c>
      <c r="B1250" t="s">
        <v>1637</v>
      </c>
      <c r="C1250" t="s">
        <v>983</v>
      </c>
      <c r="D1250">
        <v>9</v>
      </c>
      <c r="E1250">
        <v>95</v>
      </c>
      <c r="F1250">
        <v>95</v>
      </c>
      <c r="G1250">
        <v>100</v>
      </c>
      <c r="H1250" t="s">
        <v>1156</v>
      </c>
      <c r="I1250" t="s">
        <v>1165</v>
      </c>
    </row>
    <row r="1251" spans="1:18">
      <c r="A1251" t="s">
        <v>1155</v>
      </c>
      <c r="B1251" t="s">
        <v>1637</v>
      </c>
      <c r="C1251" t="s">
        <v>983</v>
      </c>
      <c r="D1251">
        <v>17</v>
      </c>
      <c r="E1251">
        <v>92</v>
      </c>
      <c r="F1251">
        <v>92</v>
      </c>
      <c r="G1251">
        <v>100</v>
      </c>
      <c r="H1251" t="s">
        <v>1156</v>
      </c>
      <c r="I1251" t="s">
        <v>1165</v>
      </c>
    </row>
    <row r="1252" spans="1:18">
      <c r="A1252" t="s">
        <v>1155</v>
      </c>
      <c r="B1252" t="s">
        <v>1637</v>
      </c>
      <c r="C1252" t="s">
        <v>983</v>
      </c>
      <c r="D1252">
        <v>36</v>
      </c>
      <c r="E1252">
        <v>85</v>
      </c>
      <c r="F1252">
        <v>85</v>
      </c>
      <c r="G1252">
        <v>100</v>
      </c>
      <c r="H1252" t="s">
        <v>1156</v>
      </c>
      <c r="I1252" t="s">
        <v>1165</v>
      </c>
    </row>
    <row r="1253" spans="1:18">
      <c r="A1253" t="s">
        <v>1155</v>
      </c>
      <c r="B1253" t="s">
        <v>1637</v>
      </c>
      <c r="C1253" t="s">
        <v>983</v>
      </c>
      <c r="D1253">
        <v>52</v>
      </c>
      <c r="E1253">
        <v>79</v>
      </c>
      <c r="F1253">
        <v>79</v>
      </c>
      <c r="G1253">
        <v>100</v>
      </c>
      <c r="H1253" t="s">
        <v>1156</v>
      </c>
      <c r="I1253" t="s">
        <v>1165</v>
      </c>
    </row>
    <row r="1254" spans="1:18">
      <c r="A1254" t="s">
        <v>1155</v>
      </c>
      <c r="B1254" t="s">
        <v>1637</v>
      </c>
      <c r="C1254" t="s">
        <v>983</v>
      </c>
      <c r="D1254">
        <v>0</v>
      </c>
      <c r="E1254">
        <v>100</v>
      </c>
      <c r="F1254">
        <v>100</v>
      </c>
      <c r="G1254">
        <v>100</v>
      </c>
      <c r="H1254" t="s">
        <v>1156</v>
      </c>
      <c r="I1254" t="s">
        <v>1166</v>
      </c>
      <c r="K1254" t="s">
        <v>1394</v>
      </c>
      <c r="L1254" t="s">
        <v>1634</v>
      </c>
      <c r="M1254">
        <v>1.1599999999999999E-2</v>
      </c>
      <c r="O1254">
        <v>1</v>
      </c>
      <c r="Q1254" t="s">
        <v>1394</v>
      </c>
      <c r="R1254" t="s">
        <v>1638</v>
      </c>
    </row>
    <row r="1255" spans="1:18">
      <c r="A1255" t="s">
        <v>1155</v>
      </c>
      <c r="B1255" t="s">
        <v>1637</v>
      </c>
      <c r="C1255" t="s">
        <v>983</v>
      </c>
      <c r="D1255">
        <v>3</v>
      </c>
      <c r="E1255">
        <v>97</v>
      </c>
      <c r="F1255">
        <v>97</v>
      </c>
      <c r="G1255">
        <v>100</v>
      </c>
      <c r="H1255" t="s">
        <v>1156</v>
      </c>
      <c r="I1255" t="s">
        <v>1166</v>
      </c>
    </row>
    <row r="1256" spans="1:18">
      <c r="A1256" t="s">
        <v>1155</v>
      </c>
      <c r="B1256" t="s">
        <v>1637</v>
      </c>
      <c r="C1256" t="s">
        <v>983</v>
      </c>
      <c r="D1256">
        <v>7</v>
      </c>
      <c r="E1256">
        <v>92</v>
      </c>
      <c r="F1256">
        <v>92</v>
      </c>
      <c r="G1256">
        <v>100</v>
      </c>
      <c r="H1256" t="s">
        <v>1156</v>
      </c>
      <c r="I1256" t="s">
        <v>1166</v>
      </c>
    </row>
    <row r="1257" spans="1:18">
      <c r="A1257" t="s">
        <v>1155</v>
      </c>
      <c r="B1257" t="s">
        <v>1637</v>
      </c>
      <c r="C1257" t="s">
        <v>983</v>
      </c>
      <c r="D1257">
        <v>10</v>
      </c>
      <c r="E1257">
        <v>89</v>
      </c>
      <c r="F1257">
        <v>89</v>
      </c>
      <c r="G1257">
        <v>100</v>
      </c>
      <c r="H1257" t="s">
        <v>1156</v>
      </c>
      <c r="I1257" t="s">
        <v>1166</v>
      </c>
    </row>
    <row r="1258" spans="1:18">
      <c r="A1258" t="s">
        <v>1155</v>
      </c>
      <c r="B1258" t="s">
        <v>1637</v>
      </c>
      <c r="C1258" t="s">
        <v>983</v>
      </c>
      <c r="D1258">
        <v>15</v>
      </c>
      <c r="E1258">
        <v>84</v>
      </c>
      <c r="F1258">
        <v>84</v>
      </c>
      <c r="G1258">
        <v>100</v>
      </c>
      <c r="H1258" t="s">
        <v>1156</v>
      </c>
      <c r="I1258" t="s">
        <v>1166</v>
      </c>
    </row>
    <row r="1259" spans="1:18">
      <c r="A1259" t="s">
        <v>1155</v>
      </c>
      <c r="B1259" t="s">
        <v>1637</v>
      </c>
      <c r="C1259" t="s">
        <v>983</v>
      </c>
      <c r="D1259">
        <v>18</v>
      </c>
      <c r="E1259">
        <v>81</v>
      </c>
      <c r="F1259">
        <v>81</v>
      </c>
      <c r="G1259">
        <v>100</v>
      </c>
      <c r="H1259" t="s">
        <v>1156</v>
      </c>
      <c r="I1259" t="s">
        <v>1166</v>
      </c>
    </row>
    <row r="1260" spans="1:18">
      <c r="A1260" t="s">
        <v>1155</v>
      </c>
      <c r="B1260" t="s">
        <v>1637</v>
      </c>
      <c r="C1260" t="s">
        <v>983</v>
      </c>
      <c r="D1260">
        <v>20</v>
      </c>
      <c r="E1260">
        <v>79</v>
      </c>
      <c r="F1260">
        <v>79</v>
      </c>
      <c r="G1260">
        <v>100</v>
      </c>
      <c r="H1260" t="s">
        <v>1156</v>
      </c>
      <c r="I1260" t="s">
        <v>1166</v>
      </c>
    </row>
    <row r="1261" spans="1:18">
      <c r="A1261" t="s">
        <v>1155</v>
      </c>
      <c r="B1261" t="s">
        <v>1637</v>
      </c>
      <c r="C1261" t="s">
        <v>983</v>
      </c>
      <c r="D1261">
        <v>36</v>
      </c>
      <c r="E1261">
        <v>66</v>
      </c>
      <c r="F1261">
        <v>66</v>
      </c>
      <c r="G1261">
        <v>100</v>
      </c>
      <c r="H1261" t="s">
        <v>1156</v>
      </c>
      <c r="I1261" t="s">
        <v>1166</v>
      </c>
    </row>
    <row r="1262" spans="1:18">
      <c r="A1262" t="s">
        <v>1155</v>
      </c>
      <c r="B1262" t="s">
        <v>1637</v>
      </c>
      <c r="C1262" t="s">
        <v>983</v>
      </c>
      <c r="D1262">
        <v>40</v>
      </c>
      <c r="E1262">
        <v>63</v>
      </c>
      <c r="F1262">
        <v>63</v>
      </c>
      <c r="G1262">
        <v>100</v>
      </c>
      <c r="H1262" t="s">
        <v>1156</v>
      </c>
      <c r="I1262" t="s">
        <v>1166</v>
      </c>
    </row>
    <row r="1263" spans="1:18">
      <c r="A1263" t="s">
        <v>1155</v>
      </c>
      <c r="B1263" t="s">
        <v>1637</v>
      </c>
      <c r="C1263" t="s">
        <v>983</v>
      </c>
      <c r="D1263">
        <v>52</v>
      </c>
      <c r="E1263">
        <v>55</v>
      </c>
      <c r="F1263">
        <v>55</v>
      </c>
      <c r="G1263">
        <v>100</v>
      </c>
      <c r="H1263" t="s">
        <v>1156</v>
      </c>
      <c r="I1263" t="s">
        <v>1166</v>
      </c>
    </row>
    <row r="1264" spans="1:18">
      <c r="A1264" t="s">
        <v>1155</v>
      </c>
      <c r="B1264" t="s">
        <v>1637</v>
      </c>
      <c r="C1264" t="s">
        <v>983</v>
      </c>
      <c r="D1264">
        <v>0</v>
      </c>
      <c r="E1264">
        <v>100</v>
      </c>
      <c r="F1264">
        <v>100</v>
      </c>
      <c r="G1264">
        <v>100</v>
      </c>
      <c r="H1264" t="s">
        <v>1156</v>
      </c>
      <c r="I1264" t="s">
        <v>1160</v>
      </c>
      <c r="K1264" t="s">
        <v>1396</v>
      </c>
      <c r="L1264" t="s">
        <v>1635</v>
      </c>
      <c r="N1264">
        <v>-0.22509999999999999</v>
      </c>
      <c r="O1264">
        <v>0.99</v>
      </c>
      <c r="Q1264" t="s">
        <v>1394</v>
      </c>
      <c r="R1264" t="s">
        <v>1638</v>
      </c>
    </row>
    <row r="1265" spans="1:18">
      <c r="A1265" t="s">
        <v>1155</v>
      </c>
      <c r="B1265" t="s">
        <v>1637</v>
      </c>
      <c r="C1265" t="s">
        <v>983</v>
      </c>
      <c r="D1265">
        <v>5</v>
      </c>
      <c r="E1265">
        <v>98</v>
      </c>
      <c r="F1265">
        <v>98</v>
      </c>
      <c r="G1265">
        <v>100</v>
      </c>
      <c r="H1265" t="s">
        <v>1156</v>
      </c>
      <c r="I1265" t="s">
        <v>1160</v>
      </c>
    </row>
    <row r="1266" spans="1:18">
      <c r="A1266" t="s">
        <v>1155</v>
      </c>
      <c r="B1266" t="s">
        <v>1637</v>
      </c>
      <c r="C1266" t="s">
        <v>983</v>
      </c>
      <c r="D1266">
        <v>10</v>
      </c>
      <c r="E1266">
        <v>97</v>
      </c>
      <c r="F1266">
        <v>97</v>
      </c>
      <c r="G1266">
        <v>100</v>
      </c>
      <c r="H1266" t="s">
        <v>1156</v>
      </c>
      <c r="I1266" t="s">
        <v>1160</v>
      </c>
    </row>
    <row r="1267" spans="1:18">
      <c r="A1267" t="s">
        <v>1155</v>
      </c>
      <c r="B1267" t="s">
        <v>1637</v>
      </c>
      <c r="C1267" t="s">
        <v>983</v>
      </c>
      <c r="D1267">
        <v>15</v>
      </c>
      <c r="E1267">
        <v>96</v>
      </c>
      <c r="F1267">
        <v>96</v>
      </c>
      <c r="G1267">
        <v>100</v>
      </c>
      <c r="H1267" t="s">
        <v>1156</v>
      </c>
      <c r="I1267" t="s">
        <v>1160</v>
      </c>
    </row>
    <row r="1268" spans="1:18">
      <c r="A1268" t="s">
        <v>1155</v>
      </c>
      <c r="B1268" t="s">
        <v>1637</v>
      </c>
      <c r="C1268" t="s">
        <v>983</v>
      </c>
      <c r="D1268">
        <v>20</v>
      </c>
      <c r="E1268">
        <v>95</v>
      </c>
      <c r="F1268">
        <v>95</v>
      </c>
      <c r="G1268">
        <v>100</v>
      </c>
      <c r="H1268" t="s">
        <v>1156</v>
      </c>
      <c r="I1268" t="s">
        <v>1160</v>
      </c>
    </row>
    <row r="1269" spans="1:18">
      <c r="A1269" t="s">
        <v>1155</v>
      </c>
      <c r="B1269" t="s">
        <v>1637</v>
      </c>
      <c r="C1269" t="s">
        <v>983</v>
      </c>
      <c r="D1269">
        <v>25</v>
      </c>
      <c r="E1269">
        <v>94</v>
      </c>
      <c r="F1269">
        <v>94</v>
      </c>
      <c r="G1269">
        <v>100</v>
      </c>
      <c r="H1269" t="s">
        <v>1156</v>
      </c>
      <c r="I1269" t="s">
        <v>1160</v>
      </c>
    </row>
    <row r="1270" spans="1:18">
      <c r="A1270" t="s">
        <v>1155</v>
      </c>
      <c r="B1270" t="s">
        <v>1637</v>
      </c>
      <c r="C1270" t="s">
        <v>983</v>
      </c>
      <c r="D1270">
        <v>30</v>
      </c>
      <c r="E1270">
        <v>93</v>
      </c>
      <c r="F1270">
        <v>93</v>
      </c>
      <c r="G1270">
        <v>100</v>
      </c>
      <c r="H1270" t="s">
        <v>1156</v>
      </c>
      <c r="I1270" t="s">
        <v>1160</v>
      </c>
    </row>
    <row r="1271" spans="1:18">
      <c r="A1271" t="s">
        <v>1155</v>
      </c>
      <c r="B1271" t="s">
        <v>1637</v>
      </c>
      <c r="C1271" t="s">
        <v>983</v>
      </c>
      <c r="D1271">
        <v>35</v>
      </c>
      <c r="E1271">
        <v>92</v>
      </c>
      <c r="F1271">
        <v>92</v>
      </c>
      <c r="G1271">
        <v>100</v>
      </c>
      <c r="H1271" t="s">
        <v>1156</v>
      </c>
      <c r="I1271" t="s">
        <v>1160</v>
      </c>
    </row>
    <row r="1272" spans="1:18">
      <c r="A1272" t="s">
        <v>1155</v>
      </c>
      <c r="B1272" t="s">
        <v>1637</v>
      </c>
      <c r="C1272" t="s">
        <v>983</v>
      </c>
      <c r="D1272">
        <v>50</v>
      </c>
      <c r="E1272">
        <v>88</v>
      </c>
      <c r="F1272">
        <v>88</v>
      </c>
      <c r="G1272">
        <v>100</v>
      </c>
      <c r="H1272" t="s">
        <v>1156</v>
      </c>
      <c r="I1272" t="s">
        <v>1160</v>
      </c>
    </row>
    <row r="1273" spans="1:18">
      <c r="A1273" t="s">
        <v>1155</v>
      </c>
      <c r="B1273" t="s">
        <v>1637</v>
      </c>
      <c r="C1273" t="s">
        <v>983</v>
      </c>
      <c r="D1273">
        <v>0</v>
      </c>
      <c r="E1273">
        <v>100</v>
      </c>
      <c r="F1273">
        <v>100</v>
      </c>
      <c r="G1273">
        <v>100</v>
      </c>
      <c r="H1273" t="s">
        <v>1156</v>
      </c>
      <c r="I1273" t="s">
        <v>1161</v>
      </c>
      <c r="K1273" t="s">
        <v>1394</v>
      </c>
      <c r="L1273" t="s">
        <v>1636</v>
      </c>
      <c r="M1273">
        <v>2.6700000000000002E-2</v>
      </c>
      <c r="O1273">
        <v>1</v>
      </c>
      <c r="Q1273" t="s">
        <v>1394</v>
      </c>
      <c r="R1273" t="s">
        <v>1638</v>
      </c>
    </row>
    <row r="1274" spans="1:18">
      <c r="A1274" t="s">
        <v>1155</v>
      </c>
      <c r="B1274" t="s">
        <v>1637</v>
      </c>
      <c r="C1274" t="s">
        <v>983</v>
      </c>
      <c r="D1274">
        <v>5</v>
      </c>
      <c r="E1274">
        <v>87</v>
      </c>
      <c r="F1274">
        <v>87</v>
      </c>
      <c r="G1274">
        <v>100</v>
      </c>
      <c r="H1274" t="s">
        <v>1156</v>
      </c>
      <c r="I1274" t="s">
        <v>1161</v>
      </c>
    </row>
    <row r="1275" spans="1:18">
      <c r="A1275" t="s">
        <v>1155</v>
      </c>
      <c r="B1275" t="s">
        <v>1637</v>
      </c>
      <c r="C1275" t="s">
        <v>983</v>
      </c>
      <c r="D1275">
        <v>10</v>
      </c>
      <c r="E1275">
        <v>76</v>
      </c>
      <c r="F1275">
        <v>76</v>
      </c>
      <c r="G1275">
        <v>100</v>
      </c>
      <c r="H1275" t="s">
        <v>1156</v>
      </c>
      <c r="I1275" t="s">
        <v>1161</v>
      </c>
    </row>
    <row r="1276" spans="1:18">
      <c r="A1276" t="s">
        <v>1155</v>
      </c>
      <c r="B1276" t="s">
        <v>1637</v>
      </c>
      <c r="C1276" t="s">
        <v>983</v>
      </c>
      <c r="D1276">
        <v>15</v>
      </c>
      <c r="E1276">
        <v>67</v>
      </c>
      <c r="F1276">
        <v>67</v>
      </c>
      <c r="G1276">
        <v>100</v>
      </c>
      <c r="H1276" t="s">
        <v>1156</v>
      </c>
      <c r="I1276" t="s">
        <v>1161</v>
      </c>
    </row>
    <row r="1277" spans="1:18">
      <c r="A1277" t="s">
        <v>1155</v>
      </c>
      <c r="B1277" t="s">
        <v>1637</v>
      </c>
      <c r="C1277" t="s">
        <v>983</v>
      </c>
      <c r="D1277">
        <v>20</v>
      </c>
      <c r="E1277">
        <v>59</v>
      </c>
      <c r="F1277">
        <v>59</v>
      </c>
      <c r="G1277">
        <v>100</v>
      </c>
      <c r="H1277" t="s">
        <v>1156</v>
      </c>
      <c r="I1277" t="s">
        <v>1161</v>
      </c>
    </row>
    <row r="1278" spans="1:18">
      <c r="A1278" t="s">
        <v>1155</v>
      </c>
      <c r="B1278" t="s">
        <v>1637</v>
      </c>
      <c r="C1278" t="s">
        <v>983</v>
      </c>
      <c r="D1278">
        <v>25</v>
      </c>
      <c r="E1278">
        <v>51</v>
      </c>
      <c r="F1278">
        <v>51</v>
      </c>
      <c r="G1278">
        <v>100</v>
      </c>
      <c r="H1278" t="s">
        <v>1156</v>
      </c>
      <c r="I1278" t="s">
        <v>1161</v>
      </c>
    </row>
    <row r="1279" spans="1:18">
      <c r="A1279" t="s">
        <v>1155</v>
      </c>
      <c r="B1279" t="s">
        <v>1637</v>
      </c>
      <c r="C1279" t="s">
        <v>983</v>
      </c>
      <c r="D1279">
        <v>30</v>
      </c>
      <c r="E1279">
        <v>45</v>
      </c>
      <c r="F1279">
        <v>45</v>
      </c>
      <c r="G1279">
        <v>100</v>
      </c>
      <c r="H1279" t="s">
        <v>1156</v>
      </c>
      <c r="I1279" t="s">
        <v>1161</v>
      </c>
    </row>
    <row r="1280" spans="1:18">
      <c r="A1280" t="s">
        <v>1155</v>
      </c>
      <c r="B1280" t="s">
        <v>1637</v>
      </c>
      <c r="C1280" t="s">
        <v>983</v>
      </c>
      <c r="D1280">
        <v>35</v>
      </c>
      <c r="E1280">
        <v>40</v>
      </c>
      <c r="F1280">
        <v>40</v>
      </c>
      <c r="G1280">
        <v>100</v>
      </c>
      <c r="H1280" t="s">
        <v>1156</v>
      </c>
      <c r="I1280" t="s">
        <v>1161</v>
      </c>
    </row>
    <row r="1281" spans="1:17">
      <c r="A1281" t="s">
        <v>1155</v>
      </c>
      <c r="B1281" t="s">
        <v>1637</v>
      </c>
      <c r="C1281" t="s">
        <v>983</v>
      </c>
      <c r="D1281">
        <v>50</v>
      </c>
      <c r="E1281">
        <v>25</v>
      </c>
      <c r="F1281">
        <v>25</v>
      </c>
      <c r="G1281">
        <v>100</v>
      </c>
      <c r="H1281" t="s">
        <v>1156</v>
      </c>
      <c r="I1281" t="s">
        <v>1161</v>
      </c>
    </row>
    <row r="1282" spans="1:17">
      <c r="A1282" t="s">
        <v>1178</v>
      </c>
      <c r="B1282" t="s">
        <v>1637</v>
      </c>
      <c r="C1282" t="s">
        <v>1179</v>
      </c>
      <c r="D1282">
        <v>0</v>
      </c>
      <c r="E1282">
        <v>100</v>
      </c>
      <c r="F1282">
        <v>100</v>
      </c>
      <c r="G1282">
        <v>100</v>
      </c>
      <c r="H1282" t="s">
        <v>1180</v>
      </c>
      <c r="K1282" t="s">
        <v>1385</v>
      </c>
      <c r="L1282" t="s">
        <v>1639</v>
      </c>
      <c r="M1282">
        <v>0.106</v>
      </c>
      <c r="O1282">
        <v>0.98</v>
      </c>
      <c r="P1282">
        <v>3.4</v>
      </c>
      <c r="Q1282" t="s">
        <v>190</v>
      </c>
    </row>
    <row r="1283" spans="1:17">
      <c r="A1283" t="s">
        <v>1178</v>
      </c>
      <c r="B1283" t="s">
        <v>1637</v>
      </c>
      <c r="C1283" t="s">
        <v>1179</v>
      </c>
      <c r="D1283">
        <v>3</v>
      </c>
      <c r="E1283">
        <v>52.6</v>
      </c>
      <c r="F1283">
        <v>52.6</v>
      </c>
      <c r="G1283">
        <v>100</v>
      </c>
      <c r="H1283" t="s">
        <v>1180</v>
      </c>
    </row>
    <row r="1284" spans="1:17">
      <c r="A1284" t="s">
        <v>1178</v>
      </c>
      <c r="B1284" t="s">
        <v>1637</v>
      </c>
      <c r="C1284" t="s">
        <v>1179</v>
      </c>
      <c r="D1284">
        <v>4</v>
      </c>
      <c r="E1284">
        <v>51.8</v>
      </c>
      <c r="F1284">
        <v>51.8</v>
      </c>
      <c r="G1284">
        <v>100</v>
      </c>
      <c r="H1284" t="s">
        <v>1180</v>
      </c>
    </row>
    <row r="1285" spans="1:17">
      <c r="A1285" t="s">
        <v>1178</v>
      </c>
      <c r="B1285" t="s">
        <v>1637</v>
      </c>
      <c r="C1285" t="s">
        <v>1179</v>
      </c>
      <c r="D1285">
        <v>4</v>
      </c>
      <c r="E1285">
        <v>36.1</v>
      </c>
      <c r="F1285">
        <v>36.1</v>
      </c>
      <c r="G1285">
        <v>100</v>
      </c>
      <c r="H1285" t="s">
        <v>1180</v>
      </c>
    </row>
    <row r="1286" spans="1:17">
      <c r="A1286" t="s">
        <v>1178</v>
      </c>
      <c r="B1286" t="s">
        <v>1637</v>
      </c>
      <c r="C1286" t="s">
        <v>1179</v>
      </c>
      <c r="D1286">
        <v>4</v>
      </c>
      <c r="E1286">
        <v>43.9</v>
      </c>
      <c r="F1286">
        <v>43.9</v>
      </c>
      <c r="G1286">
        <v>100</v>
      </c>
      <c r="H1286" t="s">
        <v>1180</v>
      </c>
    </row>
    <row r="1287" spans="1:17">
      <c r="A1287" t="s">
        <v>1178</v>
      </c>
      <c r="B1287" t="s">
        <v>1637</v>
      </c>
      <c r="C1287" t="s">
        <v>1179</v>
      </c>
      <c r="D1287">
        <v>5</v>
      </c>
      <c r="E1287">
        <v>33.700000000000003</v>
      </c>
      <c r="F1287">
        <v>33.700000000000003</v>
      </c>
      <c r="G1287">
        <v>100</v>
      </c>
      <c r="H1287" t="s">
        <v>1180</v>
      </c>
    </row>
    <row r="1288" spans="1:17">
      <c r="A1288" t="s">
        <v>1178</v>
      </c>
      <c r="B1288" t="s">
        <v>1637</v>
      </c>
      <c r="C1288" t="s">
        <v>1179</v>
      </c>
      <c r="D1288">
        <v>7</v>
      </c>
      <c r="E1288">
        <v>13.7</v>
      </c>
      <c r="F1288">
        <v>13.7</v>
      </c>
      <c r="G1288">
        <v>100</v>
      </c>
      <c r="H1288" t="s">
        <v>1180</v>
      </c>
    </row>
    <row r="1289" spans="1:17">
      <c r="A1289" t="s">
        <v>1178</v>
      </c>
      <c r="B1289" t="s">
        <v>1637</v>
      </c>
      <c r="C1289" t="s">
        <v>1179</v>
      </c>
      <c r="D1289">
        <v>7</v>
      </c>
      <c r="E1289">
        <v>15.7</v>
      </c>
      <c r="F1289">
        <v>15.7</v>
      </c>
      <c r="G1289">
        <v>100</v>
      </c>
      <c r="H1289" t="s">
        <v>1180</v>
      </c>
    </row>
    <row r="1290" spans="1:17">
      <c r="A1290" t="s">
        <v>1178</v>
      </c>
      <c r="B1290" t="s">
        <v>1637</v>
      </c>
      <c r="C1290" t="s">
        <v>1179</v>
      </c>
      <c r="D1290">
        <v>8</v>
      </c>
      <c r="E1290">
        <v>7.9</v>
      </c>
      <c r="F1290">
        <v>7.9</v>
      </c>
      <c r="G1290">
        <v>100</v>
      </c>
      <c r="H1290" t="s">
        <v>1180</v>
      </c>
    </row>
    <row r="1291" spans="1:17">
      <c r="A1291" t="s">
        <v>1178</v>
      </c>
      <c r="B1291" t="s">
        <v>1637</v>
      </c>
      <c r="C1291" t="s">
        <v>1179</v>
      </c>
      <c r="D1291">
        <v>8</v>
      </c>
      <c r="E1291">
        <v>6.1</v>
      </c>
      <c r="F1291">
        <v>6.1</v>
      </c>
      <c r="G1291">
        <v>100</v>
      </c>
      <c r="H1291" t="s">
        <v>1180</v>
      </c>
    </row>
    <row r="1292" spans="1:17">
      <c r="A1292" t="s">
        <v>1178</v>
      </c>
      <c r="B1292" t="s">
        <v>1637</v>
      </c>
      <c r="C1292" t="s">
        <v>1179</v>
      </c>
      <c r="D1292">
        <v>8</v>
      </c>
      <c r="E1292">
        <v>4.5</v>
      </c>
      <c r="F1292">
        <v>4.5</v>
      </c>
      <c r="G1292">
        <v>100</v>
      </c>
      <c r="H1292" t="s">
        <v>1180</v>
      </c>
    </row>
    <row r="1293" spans="1:17">
      <c r="A1293" t="s">
        <v>1178</v>
      </c>
      <c r="B1293" t="s">
        <v>1637</v>
      </c>
      <c r="C1293" t="s">
        <v>1179</v>
      </c>
      <c r="D1293">
        <v>8</v>
      </c>
      <c r="E1293">
        <v>3.3</v>
      </c>
      <c r="F1293">
        <v>3.3</v>
      </c>
      <c r="G1293">
        <v>100</v>
      </c>
      <c r="H1293" t="s">
        <v>1180</v>
      </c>
    </row>
    <row r="1294" spans="1:17">
      <c r="A1294" t="s">
        <v>1178</v>
      </c>
      <c r="B1294" t="s">
        <v>1637</v>
      </c>
      <c r="C1294" t="s">
        <v>1179</v>
      </c>
      <c r="D1294">
        <v>8</v>
      </c>
      <c r="E1294">
        <v>0.8</v>
      </c>
      <c r="F1294">
        <v>0.8</v>
      </c>
      <c r="G1294">
        <v>100</v>
      </c>
      <c r="H1294" t="s">
        <v>1180</v>
      </c>
    </row>
    <row r="1295" spans="1:17">
      <c r="A1295" t="s">
        <v>1178</v>
      </c>
      <c r="B1295" t="s">
        <v>1637</v>
      </c>
      <c r="C1295" t="s">
        <v>1179</v>
      </c>
      <c r="D1295">
        <v>9</v>
      </c>
      <c r="E1295">
        <v>1</v>
      </c>
      <c r="F1295">
        <v>1</v>
      </c>
      <c r="G1295">
        <v>100</v>
      </c>
      <c r="H1295" t="s">
        <v>1180</v>
      </c>
    </row>
    <row r="1296" spans="1:17">
      <c r="A1296" t="s">
        <v>1178</v>
      </c>
      <c r="B1296" t="s">
        <v>1637</v>
      </c>
      <c r="C1296" t="s">
        <v>1179</v>
      </c>
      <c r="D1296">
        <v>9</v>
      </c>
      <c r="E1296">
        <v>1.1000000000000001</v>
      </c>
      <c r="F1296">
        <v>1.1000000000000001</v>
      </c>
      <c r="G1296">
        <v>100</v>
      </c>
      <c r="H1296" t="s">
        <v>1180</v>
      </c>
    </row>
    <row r="1297" spans="1:17">
      <c r="A1297" s="1" t="s">
        <v>1184</v>
      </c>
      <c r="B1297" s="1" t="s">
        <v>1194</v>
      </c>
      <c r="C1297" s="1" t="s">
        <v>1185</v>
      </c>
      <c r="D1297" s="1">
        <v>0</v>
      </c>
      <c r="E1297" s="1">
        <v>100</v>
      </c>
      <c r="F1297" s="1">
        <v>100</v>
      </c>
      <c r="G1297" s="1">
        <v>100</v>
      </c>
      <c r="H1297" s="1" t="s">
        <v>1156</v>
      </c>
      <c r="I1297" t="s">
        <v>1186</v>
      </c>
      <c r="J1297" s="1">
        <v>3</v>
      </c>
      <c r="K1297" s="9" t="s">
        <v>1394</v>
      </c>
      <c r="L1297" s="9" t="s">
        <v>1640</v>
      </c>
      <c r="M1297" s="9">
        <v>1.9599999999999999E-2</v>
      </c>
      <c r="N1297" s="9"/>
      <c r="O1297" s="9">
        <v>0.96</v>
      </c>
      <c r="Q1297" t="s">
        <v>1396</v>
      </c>
    </row>
    <row r="1298" spans="1:17">
      <c r="A1298" s="1" t="s">
        <v>1184</v>
      </c>
      <c r="B1298" s="1" t="s">
        <v>1194</v>
      </c>
      <c r="C1298" s="1" t="s">
        <v>1185</v>
      </c>
      <c r="D1298" s="1">
        <v>5</v>
      </c>
      <c r="E1298" s="1">
        <v>93.8</v>
      </c>
      <c r="F1298" s="1">
        <v>93.8</v>
      </c>
      <c r="G1298" s="1">
        <v>100</v>
      </c>
      <c r="H1298" s="1" t="s">
        <v>1156</v>
      </c>
      <c r="I1298" t="s">
        <v>1186</v>
      </c>
      <c r="J1298" s="1">
        <v>3</v>
      </c>
      <c r="K1298" t="s">
        <v>1396</v>
      </c>
      <c r="L1298" t="s">
        <v>1641</v>
      </c>
      <c r="N1298">
        <v>-1.4357</v>
      </c>
      <c r="O1298">
        <v>0.95</v>
      </c>
    </row>
    <row r="1299" spans="1:17">
      <c r="A1299" s="1" t="s">
        <v>1184</v>
      </c>
      <c r="B1299" s="1" t="s">
        <v>1194</v>
      </c>
      <c r="C1299" s="1" t="s">
        <v>1185</v>
      </c>
      <c r="D1299" s="1">
        <v>7</v>
      </c>
      <c r="E1299" s="1">
        <v>90.7</v>
      </c>
      <c r="F1299" s="1">
        <v>90.7</v>
      </c>
      <c r="G1299" s="1">
        <v>100</v>
      </c>
      <c r="H1299" s="1" t="s">
        <v>1156</v>
      </c>
      <c r="I1299" t="s">
        <v>1186</v>
      </c>
      <c r="J1299" s="1">
        <v>3</v>
      </c>
    </row>
    <row r="1300" spans="1:17">
      <c r="A1300" s="1" t="s">
        <v>1184</v>
      </c>
      <c r="B1300" s="1" t="s">
        <v>1194</v>
      </c>
      <c r="C1300" s="1" t="s">
        <v>1185</v>
      </c>
      <c r="D1300" s="1">
        <v>11</v>
      </c>
      <c r="E1300" s="1">
        <v>83.6</v>
      </c>
      <c r="F1300" s="1">
        <v>83.6</v>
      </c>
      <c r="G1300" s="1">
        <v>100</v>
      </c>
      <c r="H1300" s="1" t="s">
        <v>1156</v>
      </c>
      <c r="I1300" t="s">
        <v>1186</v>
      </c>
      <c r="J1300" s="1">
        <v>3</v>
      </c>
    </row>
    <row r="1301" spans="1:17">
      <c r="A1301" s="1" t="s">
        <v>1184</v>
      </c>
      <c r="B1301" s="1" t="s">
        <v>1194</v>
      </c>
      <c r="C1301" s="1" t="s">
        <v>1185</v>
      </c>
      <c r="D1301" s="1">
        <v>14</v>
      </c>
      <c r="E1301" s="1">
        <v>81</v>
      </c>
      <c r="F1301" s="1">
        <v>81</v>
      </c>
      <c r="G1301" s="1">
        <v>100</v>
      </c>
      <c r="H1301" s="1" t="s">
        <v>1156</v>
      </c>
      <c r="I1301" t="s">
        <v>1186</v>
      </c>
      <c r="J1301" s="1">
        <v>3</v>
      </c>
    </row>
    <row r="1302" spans="1:17">
      <c r="A1302" s="1" t="s">
        <v>1184</v>
      </c>
      <c r="B1302" s="1" t="s">
        <v>1194</v>
      </c>
      <c r="C1302" s="1" t="s">
        <v>1185</v>
      </c>
      <c r="D1302" s="1">
        <v>18</v>
      </c>
      <c r="E1302" s="1">
        <v>70.3</v>
      </c>
      <c r="F1302" s="1">
        <v>70.3</v>
      </c>
      <c r="G1302" s="1">
        <v>100</v>
      </c>
      <c r="H1302" s="1" t="s">
        <v>1156</v>
      </c>
      <c r="I1302" t="s">
        <v>1186</v>
      </c>
      <c r="J1302" s="1">
        <v>3</v>
      </c>
    </row>
    <row r="1303" spans="1:17">
      <c r="A1303" s="1" t="s">
        <v>1184</v>
      </c>
      <c r="B1303" s="1" t="s">
        <v>1194</v>
      </c>
      <c r="C1303" s="1" t="s">
        <v>1185</v>
      </c>
      <c r="D1303" s="1">
        <v>21</v>
      </c>
      <c r="E1303" s="1">
        <v>67.7</v>
      </c>
      <c r="F1303" s="1">
        <v>67.7</v>
      </c>
      <c r="G1303" s="1">
        <v>100</v>
      </c>
      <c r="H1303" s="1" t="s">
        <v>1156</v>
      </c>
      <c r="I1303" t="s">
        <v>1186</v>
      </c>
      <c r="J1303" s="1">
        <v>3</v>
      </c>
    </row>
    <row r="1304" spans="1:17">
      <c r="A1304" s="1" t="s">
        <v>1184</v>
      </c>
      <c r="B1304" s="1" t="s">
        <v>1194</v>
      </c>
      <c r="C1304" s="1" t="s">
        <v>1185</v>
      </c>
      <c r="D1304" s="1">
        <v>25</v>
      </c>
      <c r="E1304" s="1">
        <v>55.4</v>
      </c>
      <c r="F1304" s="1">
        <v>55.4</v>
      </c>
      <c r="G1304" s="1">
        <v>100</v>
      </c>
      <c r="H1304" s="1" t="s">
        <v>1156</v>
      </c>
      <c r="I1304" t="s">
        <v>1186</v>
      </c>
      <c r="J1304" s="1">
        <v>3</v>
      </c>
    </row>
    <row r="1305" spans="1:17">
      <c r="A1305" s="1" t="s">
        <v>1184</v>
      </c>
      <c r="B1305" s="1" t="s">
        <v>1194</v>
      </c>
      <c r="C1305" s="1" t="s">
        <v>1185</v>
      </c>
      <c r="D1305" s="1">
        <v>28</v>
      </c>
      <c r="E1305" s="1">
        <v>63.1</v>
      </c>
      <c r="F1305" s="1">
        <v>63.1</v>
      </c>
      <c r="G1305" s="1">
        <v>100</v>
      </c>
      <c r="H1305" s="1" t="s">
        <v>1156</v>
      </c>
      <c r="I1305" t="s">
        <v>1186</v>
      </c>
      <c r="J1305" s="1">
        <v>3</v>
      </c>
    </row>
    <row r="1306" spans="1:17">
      <c r="A1306" s="1" t="s">
        <v>1184</v>
      </c>
      <c r="B1306" s="1" t="s">
        <v>1194</v>
      </c>
      <c r="C1306" s="1" t="s">
        <v>1185</v>
      </c>
      <c r="D1306" s="1">
        <v>32</v>
      </c>
      <c r="E1306" s="1">
        <v>54.4</v>
      </c>
      <c r="F1306" s="1">
        <v>54.4</v>
      </c>
      <c r="G1306" s="1">
        <v>100</v>
      </c>
      <c r="H1306" s="1" t="s">
        <v>1156</v>
      </c>
      <c r="I1306" t="s">
        <v>1186</v>
      </c>
      <c r="J1306" s="1">
        <v>3</v>
      </c>
    </row>
    <row r="1307" spans="1:17">
      <c r="A1307" s="1" t="s">
        <v>1184</v>
      </c>
      <c r="B1307" s="1" t="s">
        <v>1194</v>
      </c>
      <c r="C1307" s="1" t="s">
        <v>1185</v>
      </c>
      <c r="D1307" s="1">
        <v>35</v>
      </c>
      <c r="E1307" s="1">
        <v>52.8</v>
      </c>
      <c r="F1307" s="1">
        <v>52.8</v>
      </c>
      <c r="G1307" s="1">
        <v>100</v>
      </c>
      <c r="H1307" s="1" t="s">
        <v>1156</v>
      </c>
      <c r="I1307" t="s">
        <v>1186</v>
      </c>
      <c r="J1307" s="1">
        <v>3</v>
      </c>
    </row>
    <row r="1308" spans="1:17">
      <c r="A1308" s="1" t="s">
        <v>1184</v>
      </c>
      <c r="B1308" s="1" t="s">
        <v>1194</v>
      </c>
      <c r="C1308" s="1" t="s">
        <v>1185</v>
      </c>
      <c r="D1308" s="1">
        <v>0</v>
      </c>
      <c r="E1308" s="1">
        <v>100</v>
      </c>
      <c r="F1308" s="1">
        <v>100</v>
      </c>
      <c r="G1308" s="1">
        <v>100</v>
      </c>
      <c r="H1308" s="1" t="s">
        <v>1156</v>
      </c>
      <c r="I1308" t="s">
        <v>806</v>
      </c>
      <c r="J1308" s="1">
        <v>3</v>
      </c>
      <c r="K1308" s="1" t="s">
        <v>1385</v>
      </c>
      <c r="L1308" s="1" t="s">
        <v>1642</v>
      </c>
      <c r="M1308" s="1">
        <v>0.12559999999999999</v>
      </c>
      <c r="N1308" s="1"/>
      <c r="O1308" s="1">
        <v>0.93</v>
      </c>
      <c r="P1308">
        <v>5.4</v>
      </c>
      <c r="Q1308" t="s">
        <v>1461</v>
      </c>
    </row>
    <row r="1309" spans="1:17">
      <c r="A1309" s="1" t="s">
        <v>1184</v>
      </c>
      <c r="B1309" s="1" t="s">
        <v>1194</v>
      </c>
      <c r="C1309" s="1" t="s">
        <v>1185</v>
      </c>
      <c r="D1309" s="1">
        <v>5</v>
      </c>
      <c r="E1309" s="1">
        <v>68.400000000000006</v>
      </c>
      <c r="F1309" s="1">
        <v>68.400000000000006</v>
      </c>
      <c r="G1309" s="1">
        <v>100</v>
      </c>
      <c r="H1309" s="1" t="s">
        <v>1156</v>
      </c>
      <c r="I1309" t="s">
        <v>806</v>
      </c>
      <c r="J1309" s="1">
        <v>3</v>
      </c>
    </row>
    <row r="1310" spans="1:17">
      <c r="A1310" s="1" t="s">
        <v>1184</v>
      </c>
      <c r="B1310" s="1" t="s">
        <v>1194</v>
      </c>
      <c r="C1310" s="1" t="s">
        <v>1185</v>
      </c>
      <c r="D1310" s="1">
        <v>7</v>
      </c>
      <c r="E1310" s="1">
        <v>72.400000000000006</v>
      </c>
      <c r="F1310" s="1">
        <v>72.400000000000006</v>
      </c>
      <c r="G1310" s="1">
        <v>100</v>
      </c>
      <c r="H1310" s="1" t="s">
        <v>1156</v>
      </c>
      <c r="I1310" t="s">
        <v>806</v>
      </c>
      <c r="J1310" s="1">
        <v>3</v>
      </c>
    </row>
    <row r="1311" spans="1:17">
      <c r="A1311" s="1" t="s">
        <v>1184</v>
      </c>
      <c r="B1311" s="1" t="s">
        <v>1194</v>
      </c>
      <c r="C1311" s="1" t="s">
        <v>1185</v>
      </c>
      <c r="D1311" s="1">
        <v>11</v>
      </c>
      <c r="E1311" s="1">
        <v>59.7</v>
      </c>
      <c r="F1311" s="1">
        <v>59.7</v>
      </c>
      <c r="G1311" s="1">
        <v>100</v>
      </c>
      <c r="H1311" s="1" t="s">
        <v>1156</v>
      </c>
      <c r="I1311" t="s">
        <v>806</v>
      </c>
      <c r="J1311" s="1">
        <v>3</v>
      </c>
    </row>
    <row r="1312" spans="1:17">
      <c r="A1312" s="1" t="s">
        <v>1184</v>
      </c>
      <c r="B1312" s="1" t="s">
        <v>1194</v>
      </c>
      <c r="C1312" s="1" t="s">
        <v>1185</v>
      </c>
      <c r="D1312" s="1">
        <v>14</v>
      </c>
      <c r="E1312" s="1">
        <v>53.1</v>
      </c>
      <c r="F1312" s="1">
        <v>53.1</v>
      </c>
      <c r="G1312" s="1">
        <v>100</v>
      </c>
      <c r="H1312" s="1" t="s">
        <v>1156</v>
      </c>
      <c r="I1312" t="s">
        <v>806</v>
      </c>
      <c r="J1312" s="1">
        <v>3</v>
      </c>
    </row>
    <row r="1313" spans="1:17">
      <c r="A1313" s="1" t="s">
        <v>1184</v>
      </c>
      <c r="B1313" s="1" t="s">
        <v>1194</v>
      </c>
      <c r="C1313" s="1" t="s">
        <v>1185</v>
      </c>
      <c r="D1313" s="1">
        <v>18</v>
      </c>
      <c r="E1313" s="1">
        <v>47.4</v>
      </c>
      <c r="F1313" s="1">
        <v>47.4</v>
      </c>
      <c r="G1313" s="1">
        <v>100</v>
      </c>
      <c r="H1313" s="1" t="s">
        <v>1156</v>
      </c>
      <c r="I1313" t="s">
        <v>806</v>
      </c>
      <c r="J1313" s="1">
        <v>3</v>
      </c>
    </row>
    <row r="1314" spans="1:17">
      <c r="A1314" s="1" t="s">
        <v>1184</v>
      </c>
      <c r="B1314" s="1" t="s">
        <v>1194</v>
      </c>
      <c r="C1314" s="1" t="s">
        <v>1185</v>
      </c>
      <c r="D1314" s="1">
        <v>21</v>
      </c>
      <c r="E1314" s="1">
        <v>58.2</v>
      </c>
      <c r="F1314" s="1">
        <v>58.2</v>
      </c>
      <c r="G1314" s="1">
        <v>100</v>
      </c>
      <c r="H1314" s="1" t="s">
        <v>1156</v>
      </c>
      <c r="I1314" t="s">
        <v>806</v>
      </c>
      <c r="J1314" s="1">
        <v>3</v>
      </c>
    </row>
    <row r="1315" spans="1:17">
      <c r="A1315" s="1" t="s">
        <v>1184</v>
      </c>
      <c r="B1315" s="1" t="s">
        <v>1194</v>
      </c>
      <c r="C1315" s="1" t="s">
        <v>1185</v>
      </c>
      <c r="D1315" s="1">
        <v>25</v>
      </c>
      <c r="E1315" s="1">
        <v>46.4</v>
      </c>
      <c r="F1315" s="1">
        <v>46.4</v>
      </c>
      <c r="G1315" s="1">
        <v>100</v>
      </c>
      <c r="H1315" s="1" t="s">
        <v>1156</v>
      </c>
      <c r="I1315" t="s">
        <v>806</v>
      </c>
      <c r="J1315" s="1">
        <v>3</v>
      </c>
    </row>
    <row r="1316" spans="1:17">
      <c r="A1316" s="1" t="s">
        <v>1184</v>
      </c>
      <c r="B1316" s="1" t="s">
        <v>1194</v>
      </c>
      <c r="C1316" s="1" t="s">
        <v>1185</v>
      </c>
      <c r="D1316" s="1">
        <v>28</v>
      </c>
      <c r="E1316" s="1">
        <v>46.4</v>
      </c>
      <c r="F1316" s="1">
        <v>46.4</v>
      </c>
      <c r="G1316" s="1">
        <v>100</v>
      </c>
      <c r="H1316" s="1" t="s">
        <v>1156</v>
      </c>
      <c r="I1316" t="s">
        <v>806</v>
      </c>
      <c r="J1316" s="1">
        <v>3</v>
      </c>
    </row>
    <row r="1317" spans="1:17">
      <c r="A1317" s="1" t="s">
        <v>1184</v>
      </c>
      <c r="B1317" s="1" t="s">
        <v>1194</v>
      </c>
      <c r="C1317" s="1" t="s">
        <v>1185</v>
      </c>
      <c r="D1317" s="1">
        <v>32</v>
      </c>
      <c r="E1317" s="1">
        <v>45.4</v>
      </c>
      <c r="F1317" s="1">
        <v>45.4</v>
      </c>
      <c r="G1317" s="1">
        <v>100</v>
      </c>
      <c r="H1317" s="1" t="s">
        <v>1156</v>
      </c>
      <c r="I1317" t="s">
        <v>806</v>
      </c>
      <c r="J1317" s="1">
        <v>3</v>
      </c>
    </row>
    <row r="1318" spans="1:17">
      <c r="A1318" s="1" t="s">
        <v>1184</v>
      </c>
      <c r="B1318" s="1" t="s">
        <v>1194</v>
      </c>
      <c r="C1318" s="1" t="s">
        <v>1185</v>
      </c>
      <c r="D1318" s="1">
        <v>35</v>
      </c>
      <c r="E1318" s="1">
        <v>44.9</v>
      </c>
      <c r="F1318" s="1">
        <v>44.9</v>
      </c>
      <c r="G1318" s="1">
        <v>100</v>
      </c>
      <c r="H1318" s="1" t="s">
        <v>1156</v>
      </c>
      <c r="I1318" t="s">
        <v>806</v>
      </c>
      <c r="J1318" s="1">
        <v>3</v>
      </c>
    </row>
    <row r="1319" spans="1:17">
      <c r="A1319" s="1" t="s">
        <v>1184</v>
      </c>
      <c r="B1319" s="1" t="s">
        <v>1194</v>
      </c>
      <c r="C1319" s="1" t="s">
        <v>1187</v>
      </c>
      <c r="D1319" s="1">
        <v>0</v>
      </c>
      <c r="E1319" s="1">
        <v>100</v>
      </c>
      <c r="F1319" s="1">
        <v>100</v>
      </c>
      <c r="G1319" s="1">
        <v>100</v>
      </c>
      <c r="H1319" s="1" t="s">
        <v>1156</v>
      </c>
      <c r="I1319" t="s">
        <v>1186</v>
      </c>
      <c r="J1319" s="1">
        <v>3</v>
      </c>
      <c r="K1319" s="1" t="s">
        <v>181</v>
      </c>
      <c r="L1319" s="1" t="s">
        <v>2422</v>
      </c>
      <c r="M1319" s="1"/>
      <c r="N1319" s="1"/>
      <c r="O1319" s="1">
        <v>0.94489999999999996</v>
      </c>
      <c r="P1319">
        <v>15.3</v>
      </c>
      <c r="Q1319" t="s">
        <v>1646</v>
      </c>
    </row>
    <row r="1320" spans="1:17">
      <c r="A1320" s="1" t="s">
        <v>1184</v>
      </c>
      <c r="B1320" s="1" t="s">
        <v>1194</v>
      </c>
      <c r="C1320" s="1" t="s">
        <v>1187</v>
      </c>
      <c r="D1320" s="1">
        <v>4</v>
      </c>
      <c r="E1320" s="1">
        <v>80.900000000000006</v>
      </c>
      <c r="F1320" s="1">
        <v>80.900000000000006</v>
      </c>
      <c r="G1320" s="1">
        <v>100</v>
      </c>
      <c r="H1320" s="1" t="s">
        <v>1156</v>
      </c>
      <c r="I1320" t="s">
        <v>1186</v>
      </c>
      <c r="J1320" s="1">
        <v>3</v>
      </c>
    </row>
    <row r="1321" spans="1:17">
      <c r="A1321" s="1" t="s">
        <v>1184</v>
      </c>
      <c r="B1321" s="1" t="s">
        <v>1194</v>
      </c>
      <c r="C1321" s="1" t="s">
        <v>1187</v>
      </c>
      <c r="D1321" s="1">
        <v>7</v>
      </c>
      <c r="E1321" s="1">
        <v>78.400000000000006</v>
      </c>
      <c r="F1321" s="1">
        <v>78.400000000000006</v>
      </c>
      <c r="G1321" s="1">
        <v>100</v>
      </c>
      <c r="H1321" s="1" t="s">
        <v>1156</v>
      </c>
      <c r="I1321" t="s">
        <v>1186</v>
      </c>
      <c r="J1321" s="1">
        <v>3</v>
      </c>
    </row>
    <row r="1322" spans="1:17">
      <c r="A1322" s="1" t="s">
        <v>1184</v>
      </c>
      <c r="B1322" s="1" t="s">
        <v>1194</v>
      </c>
      <c r="C1322" s="1" t="s">
        <v>1187</v>
      </c>
      <c r="D1322" s="1">
        <v>11</v>
      </c>
      <c r="E1322" s="1">
        <v>66.7</v>
      </c>
      <c r="F1322" s="1">
        <v>66.7</v>
      </c>
      <c r="G1322" s="1">
        <v>100</v>
      </c>
      <c r="H1322" s="1" t="s">
        <v>1156</v>
      </c>
      <c r="I1322" t="s">
        <v>1186</v>
      </c>
      <c r="J1322" s="1">
        <v>3</v>
      </c>
    </row>
    <row r="1323" spans="1:17">
      <c r="A1323" s="1" t="s">
        <v>1184</v>
      </c>
      <c r="B1323" s="1" t="s">
        <v>1194</v>
      </c>
      <c r="C1323" s="1" t="s">
        <v>1187</v>
      </c>
      <c r="D1323" s="1">
        <v>14</v>
      </c>
      <c r="E1323" s="1">
        <v>53.4</v>
      </c>
      <c r="F1323" s="1">
        <v>53.4</v>
      </c>
      <c r="G1323" s="1">
        <v>100</v>
      </c>
      <c r="H1323" s="1" t="s">
        <v>1156</v>
      </c>
      <c r="I1323" t="s">
        <v>1186</v>
      </c>
      <c r="J1323" s="1">
        <v>3</v>
      </c>
    </row>
    <row r="1324" spans="1:17">
      <c r="A1324" s="1" t="s">
        <v>1184</v>
      </c>
      <c r="B1324" s="1" t="s">
        <v>1194</v>
      </c>
      <c r="C1324" s="1" t="s">
        <v>1187</v>
      </c>
      <c r="D1324" s="1">
        <v>18</v>
      </c>
      <c r="E1324" s="1">
        <v>41.7</v>
      </c>
      <c r="F1324" s="1">
        <v>41.7</v>
      </c>
      <c r="G1324" s="1">
        <v>100</v>
      </c>
      <c r="H1324" s="1" t="s">
        <v>1156</v>
      </c>
      <c r="I1324" t="s">
        <v>1186</v>
      </c>
      <c r="J1324" s="1">
        <v>3</v>
      </c>
    </row>
    <row r="1325" spans="1:17">
      <c r="A1325" s="1" t="s">
        <v>1184</v>
      </c>
      <c r="B1325" s="1" t="s">
        <v>1194</v>
      </c>
      <c r="C1325" s="1" t="s">
        <v>1187</v>
      </c>
      <c r="D1325" s="1">
        <v>21</v>
      </c>
      <c r="E1325" s="1">
        <v>50.5</v>
      </c>
      <c r="F1325" s="1">
        <v>50.5</v>
      </c>
      <c r="G1325" s="1">
        <v>100</v>
      </c>
      <c r="H1325" s="1" t="s">
        <v>1156</v>
      </c>
      <c r="I1325" t="s">
        <v>1186</v>
      </c>
      <c r="J1325" s="1">
        <v>3</v>
      </c>
    </row>
    <row r="1326" spans="1:17">
      <c r="A1326" s="1" t="s">
        <v>1184</v>
      </c>
      <c r="B1326" s="1" t="s">
        <v>1194</v>
      </c>
      <c r="C1326" s="1" t="s">
        <v>1187</v>
      </c>
      <c r="D1326" s="1">
        <v>24</v>
      </c>
      <c r="E1326" s="1">
        <v>15.2</v>
      </c>
      <c r="F1326" s="1">
        <v>15.2</v>
      </c>
      <c r="G1326" s="1">
        <v>100</v>
      </c>
      <c r="H1326" s="1" t="s">
        <v>1156</v>
      </c>
      <c r="I1326" t="s">
        <v>1186</v>
      </c>
      <c r="J1326" s="1">
        <v>3</v>
      </c>
    </row>
    <row r="1327" spans="1:17">
      <c r="A1327" s="1" t="s">
        <v>1184</v>
      </c>
      <c r="B1327" s="1" t="s">
        <v>1194</v>
      </c>
      <c r="C1327" s="1" t="s">
        <v>1187</v>
      </c>
      <c r="D1327" s="1">
        <v>27</v>
      </c>
      <c r="E1327" s="1">
        <v>3.4</v>
      </c>
      <c r="F1327" s="1">
        <v>3.4</v>
      </c>
      <c r="G1327" s="1">
        <v>100</v>
      </c>
      <c r="H1327" s="1" t="s">
        <v>1156</v>
      </c>
      <c r="I1327" t="s">
        <v>1186</v>
      </c>
      <c r="J1327" s="1">
        <v>3</v>
      </c>
    </row>
    <row r="1328" spans="1:17">
      <c r="A1328" s="1" t="s">
        <v>1184</v>
      </c>
      <c r="B1328" s="1" t="s">
        <v>1194</v>
      </c>
      <c r="C1328" s="1" t="s">
        <v>1187</v>
      </c>
      <c r="D1328" s="1">
        <v>32</v>
      </c>
      <c r="E1328" s="1">
        <v>3.9</v>
      </c>
      <c r="F1328" s="1">
        <v>3.9</v>
      </c>
      <c r="G1328" s="1">
        <v>100</v>
      </c>
      <c r="H1328" s="1" t="s">
        <v>1156</v>
      </c>
      <c r="I1328" t="s">
        <v>1186</v>
      </c>
      <c r="J1328" s="1">
        <v>3</v>
      </c>
    </row>
    <row r="1329" spans="1:17">
      <c r="A1329" s="1" t="s">
        <v>1184</v>
      </c>
      <c r="B1329" s="1" t="s">
        <v>1194</v>
      </c>
      <c r="C1329" s="1" t="s">
        <v>1187</v>
      </c>
      <c r="D1329" s="1">
        <v>35</v>
      </c>
      <c r="E1329" s="1">
        <v>2</v>
      </c>
      <c r="F1329" s="1">
        <v>2</v>
      </c>
      <c r="G1329" s="1">
        <v>100</v>
      </c>
      <c r="H1329" s="1" t="s">
        <v>1156</v>
      </c>
      <c r="I1329" t="s">
        <v>1186</v>
      </c>
      <c r="J1329" s="1">
        <v>3</v>
      </c>
    </row>
    <row r="1330" spans="1:17">
      <c r="A1330" s="1" t="s">
        <v>1184</v>
      </c>
      <c r="B1330" s="1" t="s">
        <v>1194</v>
      </c>
      <c r="C1330" s="1" t="s">
        <v>1187</v>
      </c>
      <c r="D1330" s="1">
        <v>0</v>
      </c>
      <c r="E1330" s="1">
        <v>100</v>
      </c>
      <c r="F1330" s="1">
        <v>100</v>
      </c>
      <c r="G1330" s="1">
        <v>100</v>
      </c>
      <c r="H1330" s="1" t="s">
        <v>1156</v>
      </c>
      <c r="I1330" t="s">
        <v>806</v>
      </c>
      <c r="J1330" s="1">
        <v>3</v>
      </c>
      <c r="K1330" s="2" t="s">
        <v>1385</v>
      </c>
      <c r="L1330" s="2" t="s">
        <v>1643</v>
      </c>
      <c r="M1330" s="2">
        <v>0.1547</v>
      </c>
      <c r="N1330" s="2"/>
      <c r="O1330" s="2">
        <v>0.67</v>
      </c>
      <c r="P1330">
        <v>4.0999999999999996</v>
      </c>
      <c r="Q1330" t="s">
        <v>1646</v>
      </c>
    </row>
    <row r="1331" spans="1:17">
      <c r="A1331" s="1" t="s">
        <v>1184</v>
      </c>
      <c r="B1331" s="1" t="s">
        <v>1194</v>
      </c>
      <c r="C1331" s="1" t="s">
        <v>1187</v>
      </c>
      <c r="D1331" s="1">
        <v>4</v>
      </c>
      <c r="E1331" s="1">
        <v>86.8</v>
      </c>
      <c r="F1331" s="1">
        <v>86.8</v>
      </c>
      <c r="G1331" s="1">
        <v>100</v>
      </c>
      <c r="H1331" s="1" t="s">
        <v>1156</v>
      </c>
      <c r="I1331" t="s">
        <v>806</v>
      </c>
      <c r="J1331" s="1">
        <v>3</v>
      </c>
    </row>
    <row r="1332" spans="1:17">
      <c r="A1332" s="1" t="s">
        <v>1184</v>
      </c>
      <c r="B1332" s="1" t="s">
        <v>1194</v>
      </c>
      <c r="C1332" s="1" t="s">
        <v>1187</v>
      </c>
      <c r="D1332" s="1">
        <v>7</v>
      </c>
      <c r="E1332" s="1">
        <v>88.7</v>
      </c>
      <c r="F1332" s="1">
        <v>88.7</v>
      </c>
      <c r="G1332" s="1">
        <v>100</v>
      </c>
      <c r="H1332" s="1" t="s">
        <v>1156</v>
      </c>
      <c r="I1332" t="s">
        <v>806</v>
      </c>
      <c r="J1332" s="1">
        <v>3</v>
      </c>
    </row>
    <row r="1333" spans="1:17">
      <c r="A1333" s="1" t="s">
        <v>1184</v>
      </c>
      <c r="B1333" s="1" t="s">
        <v>1194</v>
      </c>
      <c r="C1333" s="1" t="s">
        <v>1187</v>
      </c>
      <c r="D1333" s="1">
        <v>11</v>
      </c>
      <c r="E1333" s="1">
        <v>86.3</v>
      </c>
      <c r="F1333" s="1">
        <v>86.3</v>
      </c>
      <c r="G1333" s="1">
        <v>100</v>
      </c>
      <c r="H1333" s="1" t="s">
        <v>1156</v>
      </c>
      <c r="I1333" t="s">
        <v>806</v>
      </c>
      <c r="J1333" s="1">
        <v>3</v>
      </c>
    </row>
    <row r="1334" spans="1:17">
      <c r="A1334" s="1" t="s">
        <v>1184</v>
      </c>
      <c r="B1334" s="1" t="s">
        <v>1194</v>
      </c>
      <c r="C1334" s="1" t="s">
        <v>1187</v>
      </c>
      <c r="D1334" s="1">
        <v>14</v>
      </c>
      <c r="E1334" s="1">
        <v>80.400000000000006</v>
      </c>
      <c r="F1334" s="1">
        <v>80.400000000000006</v>
      </c>
      <c r="G1334" s="1">
        <v>100</v>
      </c>
      <c r="H1334" s="1" t="s">
        <v>1156</v>
      </c>
      <c r="I1334" t="s">
        <v>806</v>
      </c>
      <c r="J1334" s="1">
        <v>3</v>
      </c>
    </row>
    <row r="1335" spans="1:17">
      <c r="A1335" s="1" t="s">
        <v>1184</v>
      </c>
      <c r="B1335" s="1" t="s">
        <v>1194</v>
      </c>
      <c r="C1335" s="1" t="s">
        <v>1187</v>
      </c>
      <c r="D1335" s="1">
        <v>18</v>
      </c>
      <c r="E1335" s="1">
        <v>81.900000000000006</v>
      </c>
      <c r="F1335" s="1">
        <v>81.900000000000006</v>
      </c>
      <c r="G1335" s="1">
        <v>100</v>
      </c>
      <c r="H1335" s="1" t="s">
        <v>1156</v>
      </c>
      <c r="I1335" t="s">
        <v>806</v>
      </c>
      <c r="J1335" s="1">
        <v>3</v>
      </c>
    </row>
    <row r="1336" spans="1:17">
      <c r="A1336" s="1" t="s">
        <v>1184</v>
      </c>
      <c r="B1336" s="1" t="s">
        <v>1194</v>
      </c>
      <c r="C1336" s="1" t="s">
        <v>1187</v>
      </c>
      <c r="D1336" s="1">
        <v>21</v>
      </c>
      <c r="E1336" s="1">
        <v>85.3</v>
      </c>
      <c r="F1336" s="1">
        <v>85.3</v>
      </c>
      <c r="G1336" s="1">
        <v>100</v>
      </c>
      <c r="H1336" s="1" t="s">
        <v>1156</v>
      </c>
      <c r="I1336" t="s">
        <v>806</v>
      </c>
      <c r="J1336" s="1">
        <v>3</v>
      </c>
    </row>
    <row r="1337" spans="1:17">
      <c r="A1337" s="1" t="s">
        <v>1184</v>
      </c>
      <c r="B1337" s="1" t="s">
        <v>1194</v>
      </c>
      <c r="C1337" s="1" t="s">
        <v>1187</v>
      </c>
      <c r="D1337" s="1">
        <v>25</v>
      </c>
      <c r="E1337" s="1">
        <v>85.8</v>
      </c>
      <c r="F1337" s="1">
        <v>85.8</v>
      </c>
      <c r="G1337" s="1">
        <v>100</v>
      </c>
      <c r="H1337" s="1" t="s">
        <v>1156</v>
      </c>
      <c r="I1337" t="s">
        <v>806</v>
      </c>
      <c r="J1337" s="1">
        <v>3</v>
      </c>
    </row>
    <row r="1338" spans="1:17">
      <c r="A1338" s="1" t="s">
        <v>1184</v>
      </c>
      <c r="B1338" s="1" t="s">
        <v>1194</v>
      </c>
      <c r="C1338" s="1" t="s">
        <v>1187</v>
      </c>
      <c r="D1338" s="1">
        <v>28</v>
      </c>
      <c r="E1338" s="1">
        <v>75</v>
      </c>
      <c r="F1338" s="1">
        <v>75</v>
      </c>
      <c r="G1338" s="1">
        <v>100</v>
      </c>
      <c r="H1338" s="1" t="s">
        <v>1156</v>
      </c>
      <c r="I1338" t="s">
        <v>806</v>
      </c>
      <c r="J1338" s="1">
        <v>3</v>
      </c>
    </row>
    <row r="1339" spans="1:17">
      <c r="A1339" s="1" t="s">
        <v>1184</v>
      </c>
      <c r="B1339" s="1" t="s">
        <v>1194</v>
      </c>
      <c r="C1339" s="1" t="s">
        <v>1187</v>
      </c>
      <c r="D1339" s="1">
        <v>32</v>
      </c>
      <c r="E1339" s="1">
        <v>82.4</v>
      </c>
      <c r="F1339" s="1">
        <v>82.4</v>
      </c>
      <c r="G1339" s="1">
        <v>100</v>
      </c>
      <c r="H1339" s="1" t="s">
        <v>1156</v>
      </c>
      <c r="I1339" t="s">
        <v>806</v>
      </c>
      <c r="J1339" s="1">
        <v>3</v>
      </c>
    </row>
    <row r="1340" spans="1:17">
      <c r="A1340" s="1" t="s">
        <v>1184</v>
      </c>
      <c r="B1340" s="1" t="s">
        <v>1194</v>
      </c>
      <c r="C1340" s="1" t="s">
        <v>1187</v>
      </c>
      <c r="D1340" s="1">
        <v>35</v>
      </c>
      <c r="E1340" s="1">
        <v>77.900000000000006</v>
      </c>
      <c r="F1340" s="1">
        <v>77.900000000000006</v>
      </c>
      <c r="G1340" s="1">
        <v>100</v>
      </c>
      <c r="H1340" s="1" t="s">
        <v>1156</v>
      </c>
      <c r="I1340" t="s">
        <v>806</v>
      </c>
      <c r="J1340" s="1">
        <v>3</v>
      </c>
    </row>
    <row r="1341" spans="1:17">
      <c r="A1341" s="1" t="s">
        <v>1184</v>
      </c>
      <c r="B1341" s="1" t="s">
        <v>1194</v>
      </c>
      <c r="C1341" s="1" t="s">
        <v>1185</v>
      </c>
      <c r="D1341" s="1">
        <v>0</v>
      </c>
      <c r="E1341" s="1">
        <v>100</v>
      </c>
      <c r="F1341" s="1">
        <v>100</v>
      </c>
      <c r="G1341" s="1">
        <v>100</v>
      </c>
      <c r="H1341" s="1" t="s">
        <v>1156</v>
      </c>
      <c r="I1341" t="s">
        <v>1193</v>
      </c>
      <c r="J1341" s="1">
        <v>3</v>
      </c>
      <c r="K1341" t="s">
        <v>1387</v>
      </c>
      <c r="Q1341" t="s">
        <v>190</v>
      </c>
    </row>
    <row r="1342" spans="1:17">
      <c r="A1342" s="1" t="s">
        <v>1184</v>
      </c>
      <c r="B1342" s="1" t="s">
        <v>1194</v>
      </c>
      <c r="C1342" s="1" t="s">
        <v>1185</v>
      </c>
      <c r="D1342" s="1">
        <v>7</v>
      </c>
      <c r="E1342" s="1">
        <v>92.3</v>
      </c>
      <c r="F1342" s="1">
        <v>92.3</v>
      </c>
      <c r="G1342" s="1">
        <v>100</v>
      </c>
      <c r="H1342" s="1" t="s">
        <v>1156</v>
      </c>
      <c r="I1342" t="s">
        <v>1193</v>
      </c>
      <c r="J1342" s="1">
        <v>3</v>
      </c>
    </row>
    <row r="1343" spans="1:17">
      <c r="A1343" s="1" t="s">
        <v>1184</v>
      </c>
      <c r="B1343" s="1" t="s">
        <v>1194</v>
      </c>
      <c r="C1343" s="1" t="s">
        <v>1185</v>
      </c>
      <c r="D1343" s="1">
        <v>21</v>
      </c>
      <c r="E1343" s="1">
        <v>110.9</v>
      </c>
      <c r="F1343" s="1">
        <v>110.9</v>
      </c>
      <c r="G1343" s="1">
        <v>100</v>
      </c>
      <c r="H1343" s="1" t="s">
        <v>1156</v>
      </c>
      <c r="I1343" t="s">
        <v>1193</v>
      </c>
      <c r="J1343" s="1">
        <v>3</v>
      </c>
    </row>
    <row r="1344" spans="1:17">
      <c r="A1344" s="1" t="s">
        <v>1184</v>
      </c>
      <c r="B1344" s="1" t="s">
        <v>1194</v>
      </c>
      <c r="C1344" s="1" t="s">
        <v>1187</v>
      </c>
      <c r="D1344" s="1">
        <v>0</v>
      </c>
      <c r="E1344" s="1">
        <v>100</v>
      </c>
      <c r="F1344" s="1">
        <v>100</v>
      </c>
      <c r="G1344" s="1">
        <v>100</v>
      </c>
      <c r="H1344" s="1" t="s">
        <v>1156</v>
      </c>
      <c r="I1344" t="s">
        <v>1193</v>
      </c>
      <c r="J1344" s="1">
        <v>3</v>
      </c>
      <c r="K1344" s="1" t="s">
        <v>1385</v>
      </c>
      <c r="L1344" s="1" t="s">
        <v>2423</v>
      </c>
      <c r="M1344" s="1">
        <v>0.12</v>
      </c>
      <c r="N1344" s="1"/>
      <c r="O1344" s="1">
        <v>0.97</v>
      </c>
      <c r="Q1344" t="s">
        <v>190</v>
      </c>
    </row>
    <row r="1345" spans="1:18">
      <c r="A1345" s="1" t="s">
        <v>1184</v>
      </c>
      <c r="B1345" s="1" t="s">
        <v>1194</v>
      </c>
      <c r="C1345" s="1" t="s">
        <v>1187</v>
      </c>
      <c r="D1345" s="1">
        <v>7</v>
      </c>
      <c r="E1345" s="1">
        <v>73.099999999999994</v>
      </c>
      <c r="F1345" s="1">
        <v>73.099999999999994</v>
      </c>
      <c r="G1345" s="1">
        <v>100</v>
      </c>
      <c r="H1345" s="1" t="s">
        <v>1156</v>
      </c>
      <c r="I1345" t="s">
        <v>1193</v>
      </c>
      <c r="J1345" s="1">
        <v>3</v>
      </c>
    </row>
    <row r="1346" spans="1:18">
      <c r="A1346" s="1" t="s">
        <v>1184</v>
      </c>
      <c r="B1346" s="1" t="s">
        <v>1194</v>
      </c>
      <c r="C1346" s="1" t="s">
        <v>1187</v>
      </c>
      <c r="D1346" s="1">
        <v>14</v>
      </c>
      <c r="E1346" s="1">
        <v>66.7</v>
      </c>
      <c r="F1346" s="1">
        <v>66.7</v>
      </c>
      <c r="G1346" s="1">
        <v>100</v>
      </c>
      <c r="H1346" s="1" t="s">
        <v>1156</v>
      </c>
      <c r="I1346" t="s">
        <v>1193</v>
      </c>
      <c r="J1346" s="1">
        <v>3</v>
      </c>
    </row>
    <row r="1347" spans="1:18">
      <c r="A1347" s="1" t="s">
        <v>1184</v>
      </c>
      <c r="B1347" s="1" t="s">
        <v>1194</v>
      </c>
      <c r="C1347" s="1" t="s">
        <v>1187</v>
      </c>
      <c r="D1347" s="1">
        <v>21</v>
      </c>
      <c r="E1347" s="1">
        <v>62.2</v>
      </c>
      <c r="F1347" s="1">
        <v>62.2</v>
      </c>
      <c r="G1347" s="1">
        <v>100</v>
      </c>
      <c r="H1347" s="1" t="s">
        <v>1156</v>
      </c>
      <c r="I1347" t="s">
        <v>1193</v>
      </c>
      <c r="J1347" s="1">
        <v>3</v>
      </c>
    </row>
    <row r="1348" spans="1:18">
      <c r="A1348" s="1" t="s">
        <v>1184</v>
      </c>
      <c r="B1348" s="1" t="s">
        <v>1194</v>
      </c>
      <c r="C1348" s="1" t="s">
        <v>1187</v>
      </c>
      <c r="D1348" s="1">
        <v>28</v>
      </c>
      <c r="E1348" s="1">
        <v>55.8</v>
      </c>
      <c r="F1348" s="1">
        <v>55.8</v>
      </c>
      <c r="G1348" s="1">
        <v>100</v>
      </c>
      <c r="H1348" s="1" t="s">
        <v>1156</v>
      </c>
      <c r="I1348" t="s">
        <v>1193</v>
      </c>
      <c r="J1348" s="1">
        <v>3</v>
      </c>
    </row>
    <row r="1349" spans="1:18">
      <c r="A1349" s="1" t="s">
        <v>1184</v>
      </c>
      <c r="B1349" s="1" t="s">
        <v>1194</v>
      </c>
      <c r="C1349" s="1" t="s">
        <v>1185</v>
      </c>
      <c r="D1349" s="1">
        <v>0</v>
      </c>
      <c r="E1349" s="1">
        <v>100</v>
      </c>
      <c r="F1349" s="1">
        <v>100</v>
      </c>
      <c r="G1349" s="1">
        <v>100</v>
      </c>
      <c r="H1349" s="1" t="s">
        <v>1156</v>
      </c>
      <c r="I1349" t="s">
        <v>217</v>
      </c>
      <c r="J1349" s="1">
        <v>3</v>
      </c>
      <c r="K1349" t="s">
        <v>1430</v>
      </c>
      <c r="L1349" t="s">
        <v>1644</v>
      </c>
      <c r="O1349">
        <v>0.93</v>
      </c>
      <c r="Q1349" t="s">
        <v>190</v>
      </c>
    </row>
    <row r="1350" spans="1:18">
      <c r="A1350" s="1" t="s">
        <v>1184</v>
      </c>
      <c r="B1350" s="1" t="s">
        <v>1194</v>
      </c>
      <c r="C1350" s="1" t="s">
        <v>1185</v>
      </c>
      <c r="D1350" s="1">
        <v>7</v>
      </c>
      <c r="E1350" s="1">
        <v>111.5</v>
      </c>
      <c r="F1350" s="1">
        <v>111.5</v>
      </c>
      <c r="G1350" s="1">
        <v>100</v>
      </c>
      <c r="H1350" s="1" t="s">
        <v>1156</v>
      </c>
      <c r="I1350" t="s">
        <v>217</v>
      </c>
      <c r="J1350" s="1">
        <v>3</v>
      </c>
      <c r="K1350" t="s">
        <v>181</v>
      </c>
      <c r="L1350" t="s">
        <v>2351</v>
      </c>
      <c r="O1350">
        <v>0.76700000000000002</v>
      </c>
    </row>
    <row r="1351" spans="1:18">
      <c r="A1351" s="1" t="s">
        <v>1184</v>
      </c>
      <c r="B1351" s="1" t="s">
        <v>1194</v>
      </c>
      <c r="C1351" s="1" t="s">
        <v>1185</v>
      </c>
      <c r="D1351" s="1">
        <v>14</v>
      </c>
      <c r="E1351" s="1">
        <v>98.1</v>
      </c>
      <c r="F1351" s="1">
        <v>98.1</v>
      </c>
      <c r="G1351" s="1">
        <v>100</v>
      </c>
      <c r="H1351" s="1" t="s">
        <v>1156</v>
      </c>
      <c r="I1351" t="s">
        <v>217</v>
      </c>
      <c r="J1351" s="1">
        <v>3</v>
      </c>
    </row>
    <row r="1352" spans="1:18">
      <c r="A1352" s="1" t="s">
        <v>1184</v>
      </c>
      <c r="B1352" s="1" t="s">
        <v>1194</v>
      </c>
      <c r="C1352" s="1" t="s">
        <v>1185</v>
      </c>
      <c r="D1352" s="1">
        <v>28</v>
      </c>
      <c r="E1352" s="1">
        <v>35.299999999999997</v>
      </c>
      <c r="F1352" s="1">
        <v>35.299999999999997</v>
      </c>
      <c r="G1352" s="1">
        <v>100</v>
      </c>
      <c r="H1352" s="1" t="s">
        <v>1156</v>
      </c>
      <c r="I1352" t="s">
        <v>217</v>
      </c>
      <c r="J1352" s="1">
        <v>3</v>
      </c>
    </row>
    <row r="1353" spans="1:18">
      <c r="A1353" s="1" t="s">
        <v>1184</v>
      </c>
      <c r="B1353" s="1" t="s">
        <v>1194</v>
      </c>
      <c r="C1353" s="1" t="s">
        <v>1187</v>
      </c>
      <c r="D1353" s="1">
        <v>0</v>
      </c>
      <c r="E1353" s="1">
        <v>100</v>
      </c>
      <c r="F1353" s="1">
        <v>100</v>
      </c>
      <c r="G1353" s="1">
        <v>100</v>
      </c>
      <c r="H1353" s="1" t="s">
        <v>1156</v>
      </c>
      <c r="I1353" t="s">
        <v>217</v>
      </c>
      <c r="J1353" s="1">
        <v>3</v>
      </c>
      <c r="K1353" t="s">
        <v>1564</v>
      </c>
      <c r="L1353" t="s">
        <v>1645</v>
      </c>
      <c r="M1353">
        <v>4.0599999999999997E-2</v>
      </c>
      <c r="O1353">
        <v>0.998</v>
      </c>
      <c r="Q1353" t="s">
        <v>190</v>
      </c>
    </row>
    <row r="1354" spans="1:18">
      <c r="A1354" s="1" t="s">
        <v>1184</v>
      </c>
      <c r="B1354" s="1" t="s">
        <v>1194</v>
      </c>
      <c r="C1354" s="1" t="s">
        <v>1187</v>
      </c>
      <c r="D1354" s="1">
        <v>7</v>
      </c>
      <c r="E1354" s="1">
        <v>78.2</v>
      </c>
      <c r="F1354" s="1">
        <v>78.2</v>
      </c>
      <c r="G1354" s="1">
        <v>100</v>
      </c>
      <c r="H1354" s="1" t="s">
        <v>1156</v>
      </c>
      <c r="I1354" t="s">
        <v>217</v>
      </c>
      <c r="J1354" s="1">
        <v>3</v>
      </c>
    </row>
    <row r="1355" spans="1:18">
      <c r="A1355" s="1" t="s">
        <v>1184</v>
      </c>
      <c r="B1355" s="1" t="s">
        <v>1194</v>
      </c>
      <c r="C1355" s="1" t="s">
        <v>1187</v>
      </c>
      <c r="D1355" s="1">
        <v>14</v>
      </c>
      <c r="E1355" s="1">
        <v>57.1</v>
      </c>
      <c r="F1355" s="1">
        <v>57.1</v>
      </c>
      <c r="G1355" s="1">
        <v>100</v>
      </c>
      <c r="H1355" s="1" t="s">
        <v>1156</v>
      </c>
      <c r="I1355" t="s">
        <v>217</v>
      </c>
      <c r="J1355" s="1">
        <v>3</v>
      </c>
    </row>
    <row r="1356" spans="1:18">
      <c r="A1356" s="1" t="s">
        <v>1184</v>
      </c>
      <c r="B1356" s="1" t="s">
        <v>1194</v>
      </c>
      <c r="C1356" s="1" t="s">
        <v>1187</v>
      </c>
      <c r="D1356" s="1">
        <v>21</v>
      </c>
      <c r="E1356" s="1">
        <v>42.3</v>
      </c>
      <c r="F1356" s="1">
        <v>42.3</v>
      </c>
      <c r="G1356" s="1">
        <v>100</v>
      </c>
      <c r="H1356" s="1" t="s">
        <v>1156</v>
      </c>
      <c r="I1356" t="s">
        <v>217</v>
      </c>
      <c r="J1356" s="1">
        <v>3</v>
      </c>
    </row>
    <row r="1357" spans="1:18">
      <c r="A1357" s="1" t="s">
        <v>1184</v>
      </c>
      <c r="B1357" s="1" t="s">
        <v>1194</v>
      </c>
      <c r="C1357" s="1" t="s">
        <v>1187</v>
      </c>
      <c r="D1357" s="1">
        <v>28</v>
      </c>
      <c r="E1357" s="1">
        <v>32.1</v>
      </c>
      <c r="F1357" s="1">
        <v>32.1</v>
      </c>
      <c r="G1357" s="1">
        <v>100</v>
      </c>
      <c r="H1357" s="1" t="s">
        <v>1156</v>
      </c>
      <c r="I1357" t="s">
        <v>217</v>
      </c>
      <c r="J1357" s="1">
        <v>3</v>
      </c>
    </row>
    <row r="1358" spans="1:18">
      <c r="A1358" s="1" t="s">
        <v>1200</v>
      </c>
      <c r="B1358" t="s">
        <v>186</v>
      </c>
      <c r="C1358" s="1" t="s">
        <v>1201</v>
      </c>
      <c r="D1358" s="1">
        <v>0</v>
      </c>
      <c r="E1358" s="1">
        <v>100</v>
      </c>
      <c r="F1358" s="1">
        <v>100</v>
      </c>
      <c r="G1358" s="1">
        <v>100</v>
      </c>
      <c r="H1358" s="1" t="s">
        <v>1069</v>
      </c>
      <c r="J1358" s="1">
        <v>2</v>
      </c>
      <c r="K1358" s="1" t="s">
        <v>1385</v>
      </c>
      <c r="L1358" s="1" t="s">
        <v>1647</v>
      </c>
      <c r="M1358" s="1">
        <v>4.4699999999999997E-2</v>
      </c>
      <c r="N1358" s="1"/>
      <c r="O1358" s="1">
        <v>0.94</v>
      </c>
      <c r="P1358">
        <v>12.2</v>
      </c>
      <c r="Q1358" s="2" t="s">
        <v>1655</v>
      </c>
      <c r="R1358">
        <v>1.17E-2</v>
      </c>
    </row>
    <row r="1359" spans="1:18">
      <c r="A1359" s="1" t="s">
        <v>1200</v>
      </c>
      <c r="B1359" t="s">
        <v>186</v>
      </c>
      <c r="C1359" s="1" t="s">
        <v>1201</v>
      </c>
      <c r="D1359" s="1">
        <v>2</v>
      </c>
      <c r="E1359" s="1">
        <v>76</v>
      </c>
      <c r="F1359" s="1">
        <v>76</v>
      </c>
      <c r="G1359" s="1">
        <v>100</v>
      </c>
      <c r="H1359" s="1" t="s">
        <v>1069</v>
      </c>
      <c r="J1359" s="1">
        <v>2</v>
      </c>
    </row>
    <row r="1360" spans="1:18">
      <c r="A1360" s="1" t="s">
        <v>1200</v>
      </c>
      <c r="B1360" t="s">
        <v>186</v>
      </c>
      <c r="C1360" s="1" t="s">
        <v>1201</v>
      </c>
      <c r="D1360" s="1">
        <v>4</v>
      </c>
      <c r="E1360" s="1">
        <v>74.7</v>
      </c>
      <c r="F1360" s="1">
        <v>74.7</v>
      </c>
      <c r="G1360" s="1">
        <v>100</v>
      </c>
      <c r="H1360" s="1" t="s">
        <v>1069</v>
      </c>
      <c r="J1360" s="1">
        <v>2</v>
      </c>
    </row>
    <row r="1361" spans="1:10">
      <c r="A1361" s="1" t="s">
        <v>1200</v>
      </c>
      <c r="B1361" t="s">
        <v>186</v>
      </c>
      <c r="C1361" s="1" t="s">
        <v>1201</v>
      </c>
      <c r="D1361" s="1">
        <v>6</v>
      </c>
      <c r="E1361" s="1">
        <v>74</v>
      </c>
      <c r="F1361" s="1">
        <v>74</v>
      </c>
      <c r="G1361" s="1">
        <v>100</v>
      </c>
      <c r="H1361" s="1" t="s">
        <v>1069</v>
      </c>
      <c r="J1361" s="1">
        <v>2</v>
      </c>
    </row>
    <row r="1362" spans="1:10">
      <c r="A1362" s="1" t="s">
        <v>1200</v>
      </c>
      <c r="B1362" t="s">
        <v>186</v>
      </c>
      <c r="C1362" s="1" t="s">
        <v>1201</v>
      </c>
      <c r="D1362" s="1">
        <v>8</v>
      </c>
      <c r="E1362" s="1">
        <v>73.2</v>
      </c>
      <c r="F1362" s="1">
        <v>73.2</v>
      </c>
      <c r="G1362" s="1">
        <v>100</v>
      </c>
      <c r="H1362" s="1" t="s">
        <v>1069</v>
      </c>
      <c r="J1362" s="1">
        <v>2</v>
      </c>
    </row>
    <row r="1363" spans="1:10">
      <c r="A1363" s="1" t="s">
        <v>1200</v>
      </c>
      <c r="B1363" t="s">
        <v>186</v>
      </c>
      <c r="C1363" s="1" t="s">
        <v>1201</v>
      </c>
      <c r="D1363" s="1">
        <v>10</v>
      </c>
      <c r="E1363" s="1">
        <v>69.8</v>
      </c>
      <c r="F1363" s="1">
        <v>69.8</v>
      </c>
      <c r="G1363" s="1">
        <v>100</v>
      </c>
      <c r="H1363" s="1" t="s">
        <v>1069</v>
      </c>
      <c r="J1363" s="1">
        <v>2</v>
      </c>
    </row>
    <row r="1364" spans="1:10">
      <c r="A1364" s="1" t="s">
        <v>1200</v>
      </c>
      <c r="B1364" t="s">
        <v>186</v>
      </c>
      <c r="C1364" s="1" t="s">
        <v>1201</v>
      </c>
      <c r="D1364" s="1">
        <v>12</v>
      </c>
      <c r="E1364" s="1">
        <v>67.900000000000006</v>
      </c>
      <c r="F1364" s="1">
        <v>67.900000000000006</v>
      </c>
      <c r="G1364" s="1">
        <v>100</v>
      </c>
      <c r="H1364" s="1" t="s">
        <v>1069</v>
      </c>
      <c r="J1364" s="1">
        <v>2</v>
      </c>
    </row>
    <row r="1365" spans="1:10">
      <c r="A1365" s="1" t="s">
        <v>1200</v>
      </c>
      <c r="B1365" t="s">
        <v>186</v>
      </c>
      <c r="C1365" s="1" t="s">
        <v>1201</v>
      </c>
      <c r="D1365" s="1">
        <v>14</v>
      </c>
      <c r="E1365" s="1">
        <v>64.5</v>
      </c>
      <c r="F1365" s="1">
        <v>64.5</v>
      </c>
      <c r="G1365" s="1">
        <v>100</v>
      </c>
      <c r="H1365" s="1" t="s">
        <v>1069</v>
      </c>
      <c r="J1365" s="1">
        <v>2</v>
      </c>
    </row>
    <row r="1366" spans="1:10">
      <c r="A1366" s="1" t="s">
        <v>1200</v>
      </c>
      <c r="B1366" t="s">
        <v>186</v>
      </c>
      <c r="C1366" s="1" t="s">
        <v>1201</v>
      </c>
      <c r="D1366" s="1">
        <v>16</v>
      </c>
      <c r="E1366" s="1">
        <v>63</v>
      </c>
      <c r="F1366" s="1">
        <v>63</v>
      </c>
      <c r="G1366" s="1">
        <v>100</v>
      </c>
      <c r="H1366" s="1" t="s">
        <v>1069</v>
      </c>
      <c r="J1366" s="1">
        <v>2</v>
      </c>
    </row>
    <row r="1367" spans="1:10">
      <c r="A1367" s="1" t="s">
        <v>1200</v>
      </c>
      <c r="B1367" t="s">
        <v>186</v>
      </c>
      <c r="C1367" s="1" t="s">
        <v>1201</v>
      </c>
      <c r="D1367" s="1">
        <v>18</v>
      </c>
      <c r="E1367" s="1">
        <v>61.9</v>
      </c>
      <c r="F1367" s="1">
        <v>61.9</v>
      </c>
      <c r="G1367" s="1">
        <v>100</v>
      </c>
      <c r="H1367" s="1" t="s">
        <v>1069</v>
      </c>
      <c r="J1367" s="1">
        <v>2</v>
      </c>
    </row>
    <row r="1368" spans="1:10">
      <c r="A1368" s="1" t="s">
        <v>1200</v>
      </c>
      <c r="B1368" t="s">
        <v>186</v>
      </c>
      <c r="C1368" s="1" t="s">
        <v>1201</v>
      </c>
      <c r="D1368" s="1">
        <v>20</v>
      </c>
      <c r="E1368" s="1">
        <v>61.2</v>
      </c>
      <c r="F1368" s="1">
        <v>61.2</v>
      </c>
      <c r="G1368" s="1">
        <v>100</v>
      </c>
      <c r="H1368" s="1" t="s">
        <v>1069</v>
      </c>
      <c r="J1368" s="1">
        <v>2</v>
      </c>
    </row>
    <row r="1369" spans="1:10">
      <c r="A1369" s="1" t="s">
        <v>1200</v>
      </c>
      <c r="B1369" t="s">
        <v>186</v>
      </c>
      <c r="C1369" s="1" t="s">
        <v>1201</v>
      </c>
      <c r="D1369" s="1">
        <v>22</v>
      </c>
      <c r="E1369" s="1">
        <v>58.6</v>
      </c>
      <c r="F1369" s="1">
        <v>58.6</v>
      </c>
      <c r="G1369" s="1">
        <v>100</v>
      </c>
      <c r="H1369" s="1" t="s">
        <v>1069</v>
      </c>
      <c r="J1369" s="1">
        <v>2</v>
      </c>
    </row>
    <row r="1370" spans="1:10">
      <c r="A1370" s="1" t="s">
        <v>1200</v>
      </c>
      <c r="B1370" t="s">
        <v>186</v>
      </c>
      <c r="C1370" s="1" t="s">
        <v>1201</v>
      </c>
      <c r="D1370" s="1">
        <v>24</v>
      </c>
      <c r="E1370" s="1">
        <v>56.2</v>
      </c>
      <c r="F1370" s="1">
        <v>56.2</v>
      </c>
      <c r="G1370" s="1">
        <v>100</v>
      </c>
      <c r="H1370" s="1" t="s">
        <v>1069</v>
      </c>
      <c r="J1370" s="1">
        <v>2</v>
      </c>
    </row>
    <row r="1371" spans="1:10">
      <c r="A1371" s="1" t="s">
        <v>1200</v>
      </c>
      <c r="B1371" t="s">
        <v>186</v>
      </c>
      <c r="C1371" s="1" t="s">
        <v>1201</v>
      </c>
      <c r="D1371" s="1">
        <v>26</v>
      </c>
      <c r="E1371" s="1">
        <v>42.7</v>
      </c>
      <c r="F1371" s="1">
        <v>42.7</v>
      </c>
      <c r="G1371" s="1">
        <v>100</v>
      </c>
      <c r="H1371" s="1" t="s">
        <v>1069</v>
      </c>
      <c r="J1371" s="1">
        <v>2</v>
      </c>
    </row>
    <row r="1372" spans="1:10">
      <c r="A1372" s="1" t="s">
        <v>1200</v>
      </c>
      <c r="B1372" t="s">
        <v>186</v>
      </c>
      <c r="C1372" s="1" t="s">
        <v>1201</v>
      </c>
      <c r="D1372" s="1">
        <v>28</v>
      </c>
      <c r="E1372" s="1">
        <v>41.1</v>
      </c>
      <c r="F1372" s="1">
        <v>41.1</v>
      </c>
      <c r="G1372" s="1">
        <v>100</v>
      </c>
      <c r="H1372" s="1" t="s">
        <v>1069</v>
      </c>
      <c r="J1372" s="1">
        <v>2</v>
      </c>
    </row>
    <row r="1373" spans="1:10">
      <c r="A1373" s="1" t="s">
        <v>1200</v>
      </c>
      <c r="B1373" t="s">
        <v>186</v>
      </c>
      <c r="C1373" s="1" t="s">
        <v>1201</v>
      </c>
      <c r="D1373" s="1">
        <v>30</v>
      </c>
      <c r="E1373" s="1">
        <v>39</v>
      </c>
      <c r="F1373" s="1">
        <v>39</v>
      </c>
      <c r="G1373" s="1">
        <v>100</v>
      </c>
      <c r="H1373" s="1" t="s">
        <v>1069</v>
      </c>
      <c r="J1373" s="1">
        <v>2</v>
      </c>
    </row>
    <row r="1374" spans="1:10">
      <c r="A1374" s="1" t="s">
        <v>1200</v>
      </c>
      <c r="B1374" t="s">
        <v>186</v>
      </c>
      <c r="C1374" s="1" t="s">
        <v>1201</v>
      </c>
      <c r="D1374" s="1">
        <v>37</v>
      </c>
      <c r="E1374" s="1">
        <v>38.299999999999997</v>
      </c>
      <c r="F1374" s="1">
        <v>38.299999999999997</v>
      </c>
      <c r="G1374" s="1">
        <v>100</v>
      </c>
      <c r="H1374" s="1" t="s">
        <v>1069</v>
      </c>
      <c r="J1374" s="1">
        <v>2</v>
      </c>
    </row>
    <row r="1375" spans="1:10">
      <c r="A1375" s="1" t="s">
        <v>1200</v>
      </c>
      <c r="B1375" t="s">
        <v>186</v>
      </c>
      <c r="C1375" s="1" t="s">
        <v>1201</v>
      </c>
      <c r="D1375" s="1">
        <v>44</v>
      </c>
      <c r="E1375" s="1">
        <v>37.9</v>
      </c>
      <c r="F1375" s="1">
        <v>37.9</v>
      </c>
      <c r="G1375" s="1">
        <v>100</v>
      </c>
      <c r="H1375" s="1" t="s">
        <v>1069</v>
      </c>
      <c r="J1375" s="1">
        <v>2</v>
      </c>
    </row>
    <row r="1376" spans="1:10">
      <c r="A1376" s="1" t="s">
        <v>1200</v>
      </c>
      <c r="B1376" t="s">
        <v>186</v>
      </c>
      <c r="C1376" s="1" t="s">
        <v>1201</v>
      </c>
      <c r="D1376" s="1">
        <v>51</v>
      </c>
      <c r="E1376" s="1">
        <v>37</v>
      </c>
      <c r="F1376" s="1">
        <v>37</v>
      </c>
      <c r="G1376" s="1">
        <v>100</v>
      </c>
      <c r="H1376" s="1" t="s">
        <v>1069</v>
      </c>
      <c r="J1376" s="1">
        <v>2</v>
      </c>
    </row>
    <row r="1377" spans="1:18">
      <c r="A1377" s="1" t="s">
        <v>1200</v>
      </c>
      <c r="B1377" t="s">
        <v>186</v>
      </c>
      <c r="C1377" s="1" t="s">
        <v>1201</v>
      </c>
      <c r="D1377" s="1">
        <v>58</v>
      </c>
      <c r="E1377" s="1">
        <v>36.299999999999997</v>
      </c>
      <c r="F1377" s="1">
        <v>36.299999999999997</v>
      </c>
      <c r="G1377" s="1">
        <v>100</v>
      </c>
      <c r="H1377" s="1" t="s">
        <v>1069</v>
      </c>
      <c r="J1377" s="1">
        <v>2</v>
      </c>
    </row>
    <row r="1378" spans="1:18">
      <c r="A1378" s="1" t="s">
        <v>1200</v>
      </c>
      <c r="B1378" t="s">
        <v>186</v>
      </c>
      <c r="C1378" s="1" t="s">
        <v>1201</v>
      </c>
      <c r="D1378" s="1">
        <v>65</v>
      </c>
      <c r="E1378" s="1">
        <v>35.9</v>
      </c>
      <c r="F1378" s="1">
        <v>35.9</v>
      </c>
      <c r="G1378" s="1">
        <v>100</v>
      </c>
      <c r="H1378" s="1" t="s">
        <v>1069</v>
      </c>
      <c r="J1378" s="1">
        <v>2</v>
      </c>
    </row>
    <row r="1379" spans="1:18">
      <c r="A1379" s="1" t="s">
        <v>1200</v>
      </c>
      <c r="B1379" t="s">
        <v>186</v>
      </c>
      <c r="C1379" s="1" t="s">
        <v>1201</v>
      </c>
      <c r="D1379" s="1">
        <v>72</v>
      </c>
      <c r="E1379" s="1">
        <v>33.5</v>
      </c>
      <c r="F1379" s="1">
        <v>33.5</v>
      </c>
      <c r="G1379" s="1">
        <v>100</v>
      </c>
      <c r="H1379" s="1" t="s">
        <v>1069</v>
      </c>
      <c r="J1379" s="1">
        <v>2</v>
      </c>
    </row>
    <row r="1380" spans="1:18">
      <c r="A1380" s="1" t="s">
        <v>1200</v>
      </c>
      <c r="B1380" t="s">
        <v>186</v>
      </c>
      <c r="C1380" s="1" t="s">
        <v>1201</v>
      </c>
      <c r="D1380" s="1">
        <v>79</v>
      </c>
      <c r="E1380" s="1">
        <v>33.1</v>
      </c>
      <c r="F1380" s="1">
        <v>33.1</v>
      </c>
      <c r="G1380" s="1">
        <v>100</v>
      </c>
      <c r="H1380" s="1" t="s">
        <v>1069</v>
      </c>
      <c r="J1380" s="1">
        <v>2</v>
      </c>
    </row>
    <row r="1381" spans="1:18">
      <c r="A1381" s="1" t="s">
        <v>1200</v>
      </c>
      <c r="B1381" t="s">
        <v>186</v>
      </c>
      <c r="C1381" s="1" t="s">
        <v>1201</v>
      </c>
      <c r="D1381" s="1">
        <v>86</v>
      </c>
      <c r="E1381" s="1">
        <v>32.299999999999997</v>
      </c>
      <c r="F1381" s="1">
        <v>32.299999999999997</v>
      </c>
      <c r="G1381" s="1">
        <v>100</v>
      </c>
      <c r="H1381" s="1" t="s">
        <v>1069</v>
      </c>
      <c r="J1381" s="1">
        <v>2</v>
      </c>
    </row>
    <row r="1382" spans="1:18">
      <c r="A1382" s="1" t="s">
        <v>1200</v>
      </c>
      <c r="B1382" t="s">
        <v>186</v>
      </c>
      <c r="C1382" s="1" t="s">
        <v>1201</v>
      </c>
      <c r="D1382" s="1">
        <v>93</v>
      </c>
      <c r="E1382" s="1">
        <v>31.8</v>
      </c>
      <c r="F1382" s="1">
        <v>31.8</v>
      </c>
      <c r="G1382" s="1">
        <v>100</v>
      </c>
      <c r="H1382" s="1" t="s">
        <v>1069</v>
      </c>
      <c r="J1382" s="1">
        <v>2</v>
      </c>
    </row>
    <row r="1383" spans="1:18">
      <c r="A1383" s="1" t="s">
        <v>1200</v>
      </c>
      <c r="B1383" t="s">
        <v>186</v>
      </c>
      <c r="C1383" s="1" t="s">
        <v>1201</v>
      </c>
      <c r="D1383" s="1">
        <v>100</v>
      </c>
      <c r="E1383" s="1">
        <v>31.4</v>
      </c>
      <c r="F1383" s="1">
        <v>31.4</v>
      </c>
      <c r="G1383" s="1">
        <v>100</v>
      </c>
      <c r="H1383" s="1" t="s">
        <v>1069</v>
      </c>
      <c r="J1383" s="1">
        <v>2</v>
      </c>
    </row>
    <row r="1384" spans="1:18">
      <c r="A1384" s="1" t="s">
        <v>1200</v>
      </c>
      <c r="B1384" t="s">
        <v>186</v>
      </c>
      <c r="C1384" s="1" t="s">
        <v>1202</v>
      </c>
      <c r="D1384" s="1">
        <v>0</v>
      </c>
      <c r="E1384" s="1">
        <v>100</v>
      </c>
      <c r="F1384" s="1">
        <v>100</v>
      </c>
      <c r="G1384" s="1">
        <v>100</v>
      </c>
      <c r="H1384" s="1" t="s">
        <v>1069</v>
      </c>
      <c r="J1384" s="1">
        <v>2</v>
      </c>
      <c r="K1384" s="1" t="s">
        <v>1385</v>
      </c>
      <c r="L1384" s="1" t="s">
        <v>1648</v>
      </c>
      <c r="M1384" s="1">
        <v>5.16E-2</v>
      </c>
      <c r="N1384" s="1"/>
      <c r="O1384" s="1">
        <v>0.92</v>
      </c>
      <c r="P1384">
        <v>9.8000000000000007</v>
      </c>
      <c r="Q1384" s="2" t="s">
        <v>1655</v>
      </c>
      <c r="R1384">
        <v>1.26E-2</v>
      </c>
    </row>
    <row r="1385" spans="1:18">
      <c r="A1385" s="1" t="s">
        <v>1200</v>
      </c>
      <c r="B1385" t="s">
        <v>186</v>
      </c>
      <c r="C1385" s="1" t="s">
        <v>1202</v>
      </c>
      <c r="D1385">
        <v>2</v>
      </c>
      <c r="E1385" s="1">
        <v>70</v>
      </c>
      <c r="F1385" s="1">
        <v>70</v>
      </c>
      <c r="G1385" s="1">
        <v>100</v>
      </c>
      <c r="H1385" s="1" t="s">
        <v>1069</v>
      </c>
      <c r="J1385" s="1">
        <v>2</v>
      </c>
    </row>
    <row r="1386" spans="1:18">
      <c r="A1386" s="1" t="s">
        <v>1200</v>
      </c>
      <c r="B1386" t="s">
        <v>186</v>
      </c>
      <c r="C1386" s="1" t="s">
        <v>1202</v>
      </c>
      <c r="D1386">
        <v>4</v>
      </c>
      <c r="E1386" s="1">
        <v>69.400000000000006</v>
      </c>
      <c r="F1386" s="1">
        <v>69.400000000000006</v>
      </c>
      <c r="G1386" s="1">
        <v>100</v>
      </c>
      <c r="H1386" s="1" t="s">
        <v>1069</v>
      </c>
      <c r="J1386" s="1">
        <v>2</v>
      </c>
    </row>
    <row r="1387" spans="1:18">
      <c r="A1387" s="1" t="s">
        <v>1200</v>
      </c>
      <c r="B1387" t="s">
        <v>186</v>
      </c>
      <c r="C1387" s="1" t="s">
        <v>1202</v>
      </c>
      <c r="D1387">
        <v>6</v>
      </c>
      <c r="E1387" s="1">
        <v>68.900000000000006</v>
      </c>
      <c r="F1387" s="1">
        <v>68.900000000000006</v>
      </c>
      <c r="G1387" s="1">
        <v>100</v>
      </c>
      <c r="H1387" s="1" t="s">
        <v>1069</v>
      </c>
      <c r="J1387" s="1">
        <v>2</v>
      </c>
    </row>
    <row r="1388" spans="1:18">
      <c r="A1388" s="1" t="s">
        <v>1200</v>
      </c>
      <c r="B1388" t="s">
        <v>186</v>
      </c>
      <c r="C1388" s="1" t="s">
        <v>1202</v>
      </c>
      <c r="D1388">
        <v>8</v>
      </c>
      <c r="E1388" s="1">
        <v>67.5</v>
      </c>
      <c r="F1388" s="1">
        <v>67.5</v>
      </c>
      <c r="G1388" s="1">
        <v>100</v>
      </c>
      <c r="H1388" s="1" t="s">
        <v>1069</v>
      </c>
      <c r="J1388" s="1">
        <v>2</v>
      </c>
    </row>
    <row r="1389" spans="1:18">
      <c r="A1389" s="1" t="s">
        <v>1200</v>
      </c>
      <c r="B1389" t="s">
        <v>186</v>
      </c>
      <c r="C1389" s="1" t="s">
        <v>1202</v>
      </c>
      <c r="D1389">
        <v>10</v>
      </c>
      <c r="E1389" s="1">
        <v>67.400000000000006</v>
      </c>
      <c r="F1389" s="1">
        <v>67.400000000000006</v>
      </c>
      <c r="G1389" s="1">
        <v>100</v>
      </c>
      <c r="H1389" s="1" t="s">
        <v>1069</v>
      </c>
      <c r="J1389" s="1">
        <v>2</v>
      </c>
    </row>
    <row r="1390" spans="1:18">
      <c r="A1390" s="1" t="s">
        <v>1200</v>
      </c>
      <c r="B1390" t="s">
        <v>186</v>
      </c>
      <c r="C1390" s="1" t="s">
        <v>1202</v>
      </c>
      <c r="D1390">
        <v>12</v>
      </c>
      <c r="E1390" s="1">
        <v>64.5</v>
      </c>
      <c r="F1390" s="1">
        <v>64.5</v>
      </c>
      <c r="G1390" s="1">
        <v>100</v>
      </c>
      <c r="H1390" s="1" t="s">
        <v>1069</v>
      </c>
      <c r="J1390" s="1">
        <v>2</v>
      </c>
    </row>
    <row r="1391" spans="1:18">
      <c r="A1391" s="1" t="s">
        <v>1200</v>
      </c>
      <c r="B1391" t="s">
        <v>186</v>
      </c>
      <c r="C1391" s="1" t="s">
        <v>1202</v>
      </c>
      <c r="D1391">
        <v>14</v>
      </c>
      <c r="E1391" s="1">
        <v>64.2</v>
      </c>
      <c r="F1391" s="1">
        <v>64.2</v>
      </c>
      <c r="G1391" s="1">
        <v>100</v>
      </c>
      <c r="H1391" s="1" t="s">
        <v>1069</v>
      </c>
      <c r="J1391" s="1">
        <v>2</v>
      </c>
    </row>
    <row r="1392" spans="1:18">
      <c r="A1392" s="1" t="s">
        <v>1200</v>
      </c>
      <c r="B1392" t="s">
        <v>186</v>
      </c>
      <c r="C1392" s="1" t="s">
        <v>1202</v>
      </c>
      <c r="D1392">
        <v>16</v>
      </c>
      <c r="E1392" s="1">
        <v>63.8</v>
      </c>
      <c r="F1392" s="1">
        <v>63.8</v>
      </c>
      <c r="G1392" s="1">
        <v>100</v>
      </c>
      <c r="H1392" s="1" t="s">
        <v>1069</v>
      </c>
      <c r="J1392" s="1">
        <v>2</v>
      </c>
    </row>
    <row r="1393" spans="1:10">
      <c r="A1393" s="1" t="s">
        <v>1200</v>
      </c>
      <c r="B1393" t="s">
        <v>186</v>
      </c>
      <c r="C1393" s="1" t="s">
        <v>1202</v>
      </c>
      <c r="D1393">
        <v>18</v>
      </c>
      <c r="E1393" s="1">
        <v>53</v>
      </c>
      <c r="F1393" s="1">
        <v>53</v>
      </c>
      <c r="G1393" s="1">
        <v>100</v>
      </c>
      <c r="H1393" s="1" t="s">
        <v>1069</v>
      </c>
      <c r="J1393" s="1">
        <v>2</v>
      </c>
    </row>
    <row r="1394" spans="1:10">
      <c r="A1394" s="1" t="s">
        <v>1200</v>
      </c>
      <c r="B1394" t="s">
        <v>186</v>
      </c>
      <c r="C1394" s="1" t="s">
        <v>1202</v>
      </c>
      <c r="D1394">
        <v>20</v>
      </c>
      <c r="E1394" s="1">
        <v>49.3</v>
      </c>
      <c r="F1394" s="1">
        <v>49.3</v>
      </c>
      <c r="G1394" s="1">
        <v>100</v>
      </c>
      <c r="H1394" s="1" t="s">
        <v>1069</v>
      </c>
      <c r="J1394" s="1">
        <v>2</v>
      </c>
    </row>
    <row r="1395" spans="1:10">
      <c r="A1395" s="1" t="s">
        <v>1200</v>
      </c>
      <c r="B1395" t="s">
        <v>186</v>
      </c>
      <c r="C1395" s="1" t="s">
        <v>1202</v>
      </c>
      <c r="D1395">
        <v>22</v>
      </c>
      <c r="E1395" s="1">
        <v>44.4</v>
      </c>
      <c r="F1395" s="1">
        <v>44.4</v>
      </c>
      <c r="G1395" s="1">
        <v>100</v>
      </c>
      <c r="H1395" s="1" t="s">
        <v>1069</v>
      </c>
      <c r="J1395" s="1">
        <v>2</v>
      </c>
    </row>
    <row r="1396" spans="1:10">
      <c r="A1396" s="1" t="s">
        <v>1200</v>
      </c>
      <c r="B1396" t="s">
        <v>186</v>
      </c>
      <c r="C1396" s="1" t="s">
        <v>1202</v>
      </c>
      <c r="D1396">
        <v>24</v>
      </c>
      <c r="E1396" s="1">
        <v>44</v>
      </c>
      <c r="F1396" s="1">
        <v>44</v>
      </c>
      <c r="G1396" s="1">
        <v>100</v>
      </c>
      <c r="H1396" s="1" t="s">
        <v>1069</v>
      </c>
      <c r="J1396" s="1">
        <v>2</v>
      </c>
    </row>
    <row r="1397" spans="1:10">
      <c r="A1397" s="1" t="s">
        <v>1200</v>
      </c>
      <c r="B1397" t="s">
        <v>186</v>
      </c>
      <c r="C1397" s="1" t="s">
        <v>1202</v>
      </c>
      <c r="D1397">
        <v>26</v>
      </c>
      <c r="E1397" s="1">
        <v>41.5</v>
      </c>
      <c r="F1397" s="1">
        <v>41.5</v>
      </c>
      <c r="G1397" s="1">
        <v>100</v>
      </c>
      <c r="H1397" s="1" t="s">
        <v>1069</v>
      </c>
      <c r="J1397" s="1">
        <v>2</v>
      </c>
    </row>
    <row r="1398" spans="1:10">
      <c r="A1398" s="1" t="s">
        <v>1200</v>
      </c>
      <c r="B1398" t="s">
        <v>186</v>
      </c>
      <c r="C1398" s="1" t="s">
        <v>1202</v>
      </c>
      <c r="D1398">
        <v>28</v>
      </c>
      <c r="E1398" s="1">
        <v>40</v>
      </c>
      <c r="F1398" s="1">
        <v>40</v>
      </c>
      <c r="G1398" s="1">
        <v>100</v>
      </c>
      <c r="H1398" s="1" t="s">
        <v>1069</v>
      </c>
      <c r="J1398" s="1">
        <v>2</v>
      </c>
    </row>
    <row r="1399" spans="1:10">
      <c r="A1399" s="1" t="s">
        <v>1200</v>
      </c>
      <c r="B1399" t="s">
        <v>186</v>
      </c>
      <c r="C1399" s="1" t="s">
        <v>1202</v>
      </c>
      <c r="D1399">
        <v>30</v>
      </c>
      <c r="E1399" s="1">
        <v>39</v>
      </c>
      <c r="F1399" s="1">
        <v>39</v>
      </c>
      <c r="G1399" s="1">
        <v>100</v>
      </c>
      <c r="H1399" s="1" t="s">
        <v>1069</v>
      </c>
      <c r="J1399" s="1">
        <v>2</v>
      </c>
    </row>
    <row r="1400" spans="1:10">
      <c r="A1400" s="1" t="s">
        <v>1200</v>
      </c>
      <c r="B1400" t="s">
        <v>186</v>
      </c>
      <c r="C1400" s="1" t="s">
        <v>1202</v>
      </c>
      <c r="D1400">
        <v>37</v>
      </c>
      <c r="E1400" s="1">
        <v>38.700000000000003</v>
      </c>
      <c r="F1400" s="1">
        <v>38.700000000000003</v>
      </c>
      <c r="G1400" s="1">
        <v>100</v>
      </c>
      <c r="H1400" s="1" t="s">
        <v>1069</v>
      </c>
      <c r="J1400" s="1">
        <v>2</v>
      </c>
    </row>
    <row r="1401" spans="1:10">
      <c r="A1401" s="1" t="s">
        <v>1200</v>
      </c>
      <c r="B1401" t="s">
        <v>186</v>
      </c>
      <c r="C1401" s="1" t="s">
        <v>1202</v>
      </c>
      <c r="D1401">
        <v>44</v>
      </c>
      <c r="E1401" s="1">
        <v>38</v>
      </c>
      <c r="F1401" s="1">
        <v>38</v>
      </c>
      <c r="G1401" s="1">
        <v>100</v>
      </c>
      <c r="H1401" s="1" t="s">
        <v>1069</v>
      </c>
      <c r="J1401" s="1">
        <v>2</v>
      </c>
    </row>
    <row r="1402" spans="1:10">
      <c r="A1402" s="1" t="s">
        <v>1200</v>
      </c>
      <c r="B1402" t="s">
        <v>186</v>
      </c>
      <c r="C1402" s="1" t="s">
        <v>1202</v>
      </c>
      <c r="D1402">
        <v>51</v>
      </c>
      <c r="E1402" s="1">
        <v>34.5</v>
      </c>
      <c r="F1402" s="1">
        <v>34.5</v>
      </c>
      <c r="G1402" s="1">
        <v>100</v>
      </c>
      <c r="H1402" s="1" t="s">
        <v>1069</v>
      </c>
      <c r="J1402" s="1">
        <v>2</v>
      </c>
    </row>
    <row r="1403" spans="1:10">
      <c r="A1403" s="1" t="s">
        <v>1200</v>
      </c>
      <c r="B1403" t="s">
        <v>186</v>
      </c>
      <c r="C1403" s="1" t="s">
        <v>1202</v>
      </c>
      <c r="D1403">
        <v>58</v>
      </c>
      <c r="E1403" s="1">
        <v>33.9</v>
      </c>
      <c r="F1403" s="1">
        <v>33.9</v>
      </c>
      <c r="G1403" s="1">
        <v>100</v>
      </c>
      <c r="H1403" s="1" t="s">
        <v>1069</v>
      </c>
      <c r="J1403" s="1">
        <v>2</v>
      </c>
    </row>
    <row r="1404" spans="1:10">
      <c r="A1404" s="1" t="s">
        <v>1200</v>
      </c>
      <c r="B1404" t="s">
        <v>186</v>
      </c>
      <c r="C1404" s="1" t="s">
        <v>1202</v>
      </c>
      <c r="D1404">
        <v>65</v>
      </c>
      <c r="E1404" s="1">
        <v>32.9</v>
      </c>
      <c r="F1404" s="1">
        <v>32.9</v>
      </c>
      <c r="G1404" s="1">
        <v>100</v>
      </c>
      <c r="H1404" s="1" t="s">
        <v>1069</v>
      </c>
      <c r="J1404" s="1">
        <v>2</v>
      </c>
    </row>
    <row r="1405" spans="1:10">
      <c r="A1405" s="1" t="s">
        <v>1200</v>
      </c>
      <c r="B1405" t="s">
        <v>186</v>
      </c>
      <c r="C1405" s="1" t="s">
        <v>1202</v>
      </c>
      <c r="D1405">
        <v>72</v>
      </c>
      <c r="E1405" s="1">
        <v>32.799999999999997</v>
      </c>
      <c r="F1405" s="1">
        <v>32.799999999999997</v>
      </c>
      <c r="G1405" s="1">
        <v>100</v>
      </c>
      <c r="H1405" s="1" t="s">
        <v>1069</v>
      </c>
      <c r="J1405" s="1">
        <v>2</v>
      </c>
    </row>
    <row r="1406" spans="1:10">
      <c r="A1406" s="1" t="s">
        <v>1200</v>
      </c>
      <c r="B1406" t="s">
        <v>186</v>
      </c>
      <c r="C1406" s="1" t="s">
        <v>1202</v>
      </c>
      <c r="D1406">
        <v>79</v>
      </c>
      <c r="E1406" s="1">
        <v>31.7</v>
      </c>
      <c r="F1406" s="1">
        <v>31.7</v>
      </c>
      <c r="G1406" s="1">
        <v>100</v>
      </c>
      <c r="H1406" s="1" t="s">
        <v>1069</v>
      </c>
      <c r="J1406" s="1">
        <v>2</v>
      </c>
    </row>
    <row r="1407" spans="1:10">
      <c r="A1407" s="1" t="s">
        <v>1200</v>
      </c>
      <c r="B1407" t="s">
        <v>186</v>
      </c>
      <c r="C1407" s="1" t="s">
        <v>1202</v>
      </c>
      <c r="D1407">
        <v>86</v>
      </c>
      <c r="E1407" s="1">
        <v>29.3</v>
      </c>
      <c r="F1407" s="1">
        <v>29.3</v>
      </c>
      <c r="G1407" s="1">
        <v>100</v>
      </c>
      <c r="H1407" s="1" t="s">
        <v>1069</v>
      </c>
      <c r="J1407" s="1">
        <v>2</v>
      </c>
    </row>
    <row r="1408" spans="1:10">
      <c r="A1408" s="1" t="s">
        <v>1200</v>
      </c>
      <c r="B1408" t="s">
        <v>186</v>
      </c>
      <c r="C1408" s="1" t="s">
        <v>1202</v>
      </c>
      <c r="D1408">
        <v>93</v>
      </c>
      <c r="E1408" s="1">
        <v>28.4</v>
      </c>
      <c r="F1408" s="1">
        <v>28.4</v>
      </c>
      <c r="G1408" s="1">
        <v>100</v>
      </c>
      <c r="H1408" s="1" t="s">
        <v>1069</v>
      </c>
      <c r="J1408" s="1">
        <v>2</v>
      </c>
    </row>
    <row r="1409" spans="1:18">
      <c r="A1409" s="1" t="s">
        <v>1200</v>
      </c>
      <c r="B1409" t="s">
        <v>186</v>
      </c>
      <c r="C1409" s="1" t="s">
        <v>1202</v>
      </c>
      <c r="D1409">
        <v>100</v>
      </c>
      <c r="E1409" s="1">
        <v>28.4</v>
      </c>
      <c r="F1409" s="1">
        <v>28.4</v>
      </c>
      <c r="G1409" s="1">
        <v>100</v>
      </c>
      <c r="H1409" s="1" t="s">
        <v>1069</v>
      </c>
      <c r="J1409" s="1">
        <v>2</v>
      </c>
    </row>
    <row r="1410" spans="1:18">
      <c r="A1410" s="1" t="s">
        <v>1200</v>
      </c>
      <c r="B1410" t="s">
        <v>186</v>
      </c>
      <c r="C1410" s="1" t="s">
        <v>1209</v>
      </c>
      <c r="D1410">
        <v>0</v>
      </c>
      <c r="E1410" s="1">
        <v>100</v>
      </c>
      <c r="F1410" s="1">
        <v>100</v>
      </c>
      <c r="G1410" s="1">
        <v>100</v>
      </c>
      <c r="H1410" s="1" t="s">
        <v>1069</v>
      </c>
      <c r="J1410" s="1">
        <v>2</v>
      </c>
      <c r="K1410" t="s">
        <v>1412</v>
      </c>
      <c r="L1410" t="s">
        <v>1649</v>
      </c>
      <c r="O1410">
        <v>0.99</v>
      </c>
      <c r="Q1410" s="2" t="s">
        <v>1655</v>
      </c>
      <c r="R1410">
        <v>2.3E-2</v>
      </c>
    </row>
    <row r="1411" spans="1:18">
      <c r="A1411" s="1" t="s">
        <v>1200</v>
      </c>
      <c r="B1411" t="s">
        <v>186</v>
      </c>
      <c r="C1411" s="1" t="s">
        <v>1209</v>
      </c>
      <c r="D1411">
        <v>2</v>
      </c>
      <c r="E1411" s="1">
        <v>58.3</v>
      </c>
      <c r="F1411" s="1">
        <v>58.3</v>
      </c>
      <c r="G1411" s="1">
        <v>100</v>
      </c>
      <c r="H1411" s="1" t="s">
        <v>1069</v>
      </c>
      <c r="J1411" s="1">
        <v>2</v>
      </c>
      <c r="K1411" s="10" t="s">
        <v>1385</v>
      </c>
      <c r="L1411" s="10" t="s">
        <v>1650</v>
      </c>
      <c r="M1411" s="10">
        <v>0.28060000000000002</v>
      </c>
      <c r="N1411" s="10"/>
      <c r="O1411" s="10">
        <v>0.97</v>
      </c>
      <c r="P1411">
        <v>2.4</v>
      </c>
    </row>
    <row r="1412" spans="1:18">
      <c r="A1412" s="1" t="s">
        <v>1200</v>
      </c>
      <c r="B1412" t="s">
        <v>186</v>
      </c>
      <c r="C1412" s="1" t="s">
        <v>1209</v>
      </c>
      <c r="D1412">
        <v>4</v>
      </c>
      <c r="E1412" s="1">
        <v>34.299999999999997</v>
      </c>
      <c r="F1412" s="1">
        <v>34.299999999999997</v>
      </c>
      <c r="G1412" s="1">
        <v>100</v>
      </c>
      <c r="H1412" s="1" t="s">
        <v>1069</v>
      </c>
      <c r="J1412" s="1">
        <v>2</v>
      </c>
    </row>
    <row r="1413" spans="1:18">
      <c r="A1413" s="1" t="s">
        <v>1200</v>
      </c>
      <c r="B1413" t="s">
        <v>186</v>
      </c>
      <c r="C1413" s="1" t="s">
        <v>1209</v>
      </c>
      <c r="D1413">
        <v>6</v>
      </c>
      <c r="E1413" s="1">
        <v>30.3</v>
      </c>
      <c r="F1413" s="1">
        <v>30.3</v>
      </c>
      <c r="G1413" s="1">
        <v>100</v>
      </c>
      <c r="H1413" s="1" t="s">
        <v>1069</v>
      </c>
      <c r="J1413" s="1">
        <v>2</v>
      </c>
    </row>
    <row r="1414" spans="1:18">
      <c r="A1414" s="1" t="s">
        <v>1200</v>
      </c>
      <c r="B1414" t="s">
        <v>186</v>
      </c>
      <c r="C1414" s="1" t="s">
        <v>1209</v>
      </c>
      <c r="D1414">
        <v>8</v>
      </c>
      <c r="E1414" s="1">
        <v>28.8</v>
      </c>
      <c r="F1414" s="1">
        <v>28.8</v>
      </c>
      <c r="G1414" s="1">
        <v>100</v>
      </c>
      <c r="H1414" s="1" t="s">
        <v>1069</v>
      </c>
      <c r="J1414" s="1">
        <v>2</v>
      </c>
    </row>
    <row r="1415" spans="1:18">
      <c r="A1415" s="1" t="s">
        <v>1200</v>
      </c>
      <c r="B1415" t="s">
        <v>186</v>
      </c>
      <c r="C1415" s="1" t="s">
        <v>1209</v>
      </c>
      <c r="D1415">
        <v>10</v>
      </c>
      <c r="E1415" s="1">
        <v>21.5</v>
      </c>
      <c r="F1415" s="1">
        <v>21.5</v>
      </c>
      <c r="G1415" s="1">
        <v>100</v>
      </c>
      <c r="H1415" s="1" t="s">
        <v>1069</v>
      </c>
      <c r="J1415" s="1">
        <v>2</v>
      </c>
    </row>
    <row r="1416" spans="1:18">
      <c r="A1416" s="1" t="s">
        <v>1200</v>
      </c>
      <c r="B1416" t="s">
        <v>186</v>
      </c>
      <c r="C1416" s="1" t="s">
        <v>1209</v>
      </c>
      <c r="D1416">
        <v>12</v>
      </c>
      <c r="E1416" s="1">
        <v>20</v>
      </c>
      <c r="F1416" s="1">
        <v>20</v>
      </c>
      <c r="G1416" s="1">
        <v>100</v>
      </c>
      <c r="H1416" s="1" t="s">
        <v>1069</v>
      </c>
      <c r="J1416" s="1">
        <v>2</v>
      </c>
    </row>
    <row r="1417" spans="1:18">
      <c r="A1417" s="1" t="s">
        <v>1200</v>
      </c>
      <c r="B1417" t="s">
        <v>186</v>
      </c>
      <c r="C1417" s="1" t="s">
        <v>1209</v>
      </c>
      <c r="D1417">
        <v>14</v>
      </c>
      <c r="E1417" s="1">
        <v>18.2</v>
      </c>
      <c r="F1417" s="1">
        <v>18.2</v>
      </c>
      <c r="G1417" s="1">
        <v>100</v>
      </c>
      <c r="H1417" s="1" t="s">
        <v>1069</v>
      </c>
      <c r="J1417" s="1">
        <v>2</v>
      </c>
    </row>
    <row r="1418" spans="1:18">
      <c r="A1418" s="1" t="s">
        <v>1200</v>
      </c>
      <c r="B1418" t="s">
        <v>186</v>
      </c>
      <c r="C1418" s="1" t="s">
        <v>1209</v>
      </c>
      <c r="D1418">
        <v>16</v>
      </c>
      <c r="E1418" s="1">
        <v>17.8</v>
      </c>
      <c r="F1418" s="1">
        <v>17.8</v>
      </c>
      <c r="G1418" s="1">
        <v>100</v>
      </c>
      <c r="H1418" s="1" t="s">
        <v>1069</v>
      </c>
      <c r="J1418" s="1">
        <v>2</v>
      </c>
    </row>
    <row r="1419" spans="1:18">
      <c r="A1419" s="1" t="s">
        <v>1200</v>
      </c>
      <c r="B1419" t="s">
        <v>186</v>
      </c>
      <c r="C1419" s="1" t="s">
        <v>1209</v>
      </c>
      <c r="D1419">
        <v>18</v>
      </c>
      <c r="E1419" s="1">
        <v>17</v>
      </c>
      <c r="F1419" s="1">
        <v>17</v>
      </c>
      <c r="G1419" s="1">
        <v>100</v>
      </c>
      <c r="H1419" s="1" t="s">
        <v>1069</v>
      </c>
      <c r="J1419" s="1">
        <v>2</v>
      </c>
    </row>
    <row r="1420" spans="1:18">
      <c r="A1420" s="1" t="s">
        <v>1200</v>
      </c>
      <c r="B1420" t="s">
        <v>186</v>
      </c>
      <c r="C1420" s="1" t="s">
        <v>1209</v>
      </c>
      <c r="D1420">
        <v>20</v>
      </c>
      <c r="E1420" s="1">
        <v>15.6</v>
      </c>
      <c r="F1420" s="1">
        <v>15.6</v>
      </c>
      <c r="G1420" s="1">
        <v>100</v>
      </c>
      <c r="H1420" s="1" t="s">
        <v>1069</v>
      </c>
      <c r="J1420" s="1">
        <v>2</v>
      </c>
    </row>
    <row r="1421" spans="1:18">
      <c r="A1421" s="1" t="s">
        <v>1200</v>
      </c>
      <c r="B1421" t="s">
        <v>186</v>
      </c>
      <c r="C1421" s="1" t="s">
        <v>1209</v>
      </c>
      <c r="D1421">
        <v>22</v>
      </c>
      <c r="E1421" s="1">
        <v>15.2</v>
      </c>
      <c r="F1421" s="1">
        <v>15.2</v>
      </c>
      <c r="G1421" s="1">
        <v>100</v>
      </c>
      <c r="H1421" s="1" t="s">
        <v>1069</v>
      </c>
      <c r="J1421" s="1">
        <v>2</v>
      </c>
    </row>
    <row r="1422" spans="1:18">
      <c r="A1422" s="1" t="s">
        <v>1200</v>
      </c>
      <c r="B1422" t="s">
        <v>186</v>
      </c>
      <c r="C1422" s="1" t="s">
        <v>1209</v>
      </c>
      <c r="D1422">
        <v>24</v>
      </c>
      <c r="E1422" s="1">
        <v>15</v>
      </c>
      <c r="F1422" s="1">
        <v>15</v>
      </c>
      <c r="G1422" s="1">
        <v>100</v>
      </c>
      <c r="H1422" s="1" t="s">
        <v>1069</v>
      </c>
      <c r="J1422" s="1">
        <v>2</v>
      </c>
    </row>
    <row r="1423" spans="1:18">
      <c r="A1423" s="1" t="s">
        <v>1200</v>
      </c>
      <c r="B1423" t="s">
        <v>186</v>
      </c>
      <c r="C1423" s="1" t="s">
        <v>1209</v>
      </c>
      <c r="D1423">
        <v>26</v>
      </c>
      <c r="E1423" s="1">
        <v>14.6</v>
      </c>
      <c r="F1423" s="1">
        <v>14.6</v>
      </c>
      <c r="G1423" s="1">
        <v>100</v>
      </c>
      <c r="H1423" s="1" t="s">
        <v>1069</v>
      </c>
      <c r="J1423" s="1">
        <v>2</v>
      </c>
    </row>
    <row r="1424" spans="1:18">
      <c r="A1424" s="1" t="s">
        <v>1200</v>
      </c>
      <c r="B1424" t="s">
        <v>186</v>
      </c>
      <c r="C1424" s="1" t="s">
        <v>1209</v>
      </c>
      <c r="D1424">
        <v>28</v>
      </c>
      <c r="E1424" s="1">
        <v>14.6</v>
      </c>
      <c r="F1424" s="1">
        <v>14.6</v>
      </c>
      <c r="G1424" s="1">
        <v>100</v>
      </c>
      <c r="H1424" s="1" t="s">
        <v>1069</v>
      </c>
      <c r="J1424" s="1">
        <v>2</v>
      </c>
    </row>
    <row r="1425" spans="1:18">
      <c r="A1425" s="1" t="s">
        <v>1200</v>
      </c>
      <c r="B1425" t="s">
        <v>186</v>
      </c>
      <c r="C1425" s="1" t="s">
        <v>1209</v>
      </c>
      <c r="D1425">
        <v>30</v>
      </c>
      <c r="E1425" s="1">
        <v>14</v>
      </c>
      <c r="F1425" s="1">
        <v>14</v>
      </c>
      <c r="G1425" s="1">
        <v>100</v>
      </c>
      <c r="H1425" s="1" t="s">
        <v>1069</v>
      </c>
      <c r="J1425" s="1">
        <v>2</v>
      </c>
    </row>
    <row r="1426" spans="1:18">
      <c r="A1426" s="1" t="s">
        <v>1200</v>
      </c>
      <c r="B1426" t="s">
        <v>186</v>
      </c>
      <c r="C1426" s="1" t="s">
        <v>1209</v>
      </c>
      <c r="D1426">
        <v>37</v>
      </c>
      <c r="E1426" s="1">
        <v>14.1</v>
      </c>
      <c r="F1426" s="1">
        <v>14.1</v>
      </c>
      <c r="G1426" s="1">
        <v>100</v>
      </c>
      <c r="H1426" s="1" t="s">
        <v>1069</v>
      </c>
      <c r="J1426" s="1">
        <v>2</v>
      </c>
    </row>
    <row r="1427" spans="1:18">
      <c r="A1427" s="1" t="s">
        <v>1200</v>
      </c>
      <c r="B1427" t="s">
        <v>186</v>
      </c>
      <c r="C1427" s="1" t="s">
        <v>1209</v>
      </c>
      <c r="D1427">
        <v>44</v>
      </c>
      <c r="E1427" s="1">
        <v>13.4</v>
      </c>
      <c r="F1427" s="1">
        <v>13.4</v>
      </c>
      <c r="G1427" s="1">
        <v>100</v>
      </c>
      <c r="H1427" s="1" t="s">
        <v>1069</v>
      </c>
      <c r="J1427" s="1">
        <v>2</v>
      </c>
    </row>
    <row r="1428" spans="1:18">
      <c r="A1428" s="1" t="s">
        <v>1200</v>
      </c>
      <c r="B1428" t="s">
        <v>186</v>
      </c>
      <c r="C1428" s="1" t="s">
        <v>1209</v>
      </c>
      <c r="D1428">
        <v>51</v>
      </c>
      <c r="E1428" s="1">
        <v>12.9</v>
      </c>
      <c r="F1428" s="1">
        <v>12.9</v>
      </c>
      <c r="G1428" s="1">
        <v>100</v>
      </c>
      <c r="H1428" s="1" t="s">
        <v>1069</v>
      </c>
      <c r="J1428" s="1">
        <v>2</v>
      </c>
    </row>
    <row r="1429" spans="1:18">
      <c r="A1429" s="1" t="s">
        <v>1200</v>
      </c>
      <c r="B1429" t="s">
        <v>186</v>
      </c>
      <c r="C1429" s="1" t="s">
        <v>1209</v>
      </c>
      <c r="D1429">
        <v>58</v>
      </c>
      <c r="E1429" s="1">
        <v>12.9</v>
      </c>
      <c r="F1429" s="1">
        <v>12.9</v>
      </c>
      <c r="G1429" s="1">
        <v>100</v>
      </c>
      <c r="H1429" s="1" t="s">
        <v>1069</v>
      </c>
      <c r="J1429" s="1">
        <v>2</v>
      </c>
    </row>
    <row r="1430" spans="1:18">
      <c r="A1430" s="1" t="s">
        <v>1200</v>
      </c>
      <c r="B1430" t="s">
        <v>186</v>
      </c>
      <c r="C1430" s="1" t="s">
        <v>1209</v>
      </c>
      <c r="D1430">
        <v>65</v>
      </c>
      <c r="E1430" s="1">
        <v>10.6</v>
      </c>
      <c r="F1430" s="1">
        <v>10.6</v>
      </c>
      <c r="G1430" s="1">
        <v>100</v>
      </c>
      <c r="H1430" s="1" t="s">
        <v>1069</v>
      </c>
      <c r="J1430" s="1">
        <v>2</v>
      </c>
    </row>
    <row r="1431" spans="1:18">
      <c r="A1431" s="1" t="s">
        <v>1200</v>
      </c>
      <c r="B1431" t="s">
        <v>186</v>
      </c>
      <c r="C1431" s="1" t="s">
        <v>1209</v>
      </c>
      <c r="D1431">
        <v>72</v>
      </c>
      <c r="E1431" s="1">
        <v>9.9</v>
      </c>
      <c r="F1431" s="1">
        <v>9.9</v>
      </c>
      <c r="G1431" s="1">
        <v>100</v>
      </c>
      <c r="H1431" s="1" t="s">
        <v>1069</v>
      </c>
      <c r="J1431" s="1">
        <v>2</v>
      </c>
    </row>
    <row r="1432" spans="1:18">
      <c r="A1432" s="1" t="s">
        <v>1200</v>
      </c>
      <c r="B1432" t="s">
        <v>186</v>
      </c>
      <c r="C1432" s="1" t="s">
        <v>1209</v>
      </c>
      <c r="D1432">
        <v>79</v>
      </c>
      <c r="E1432" s="1">
        <v>9.6</v>
      </c>
      <c r="F1432" s="1">
        <v>9.6</v>
      </c>
      <c r="G1432" s="1">
        <v>100</v>
      </c>
      <c r="H1432" s="1" t="s">
        <v>1069</v>
      </c>
      <c r="J1432" s="1">
        <v>2</v>
      </c>
    </row>
    <row r="1433" spans="1:18">
      <c r="A1433" s="1" t="s">
        <v>1200</v>
      </c>
      <c r="B1433" t="s">
        <v>186</v>
      </c>
      <c r="C1433" s="1" t="s">
        <v>1209</v>
      </c>
      <c r="D1433">
        <v>86</v>
      </c>
      <c r="E1433" s="1">
        <v>9.6999999999999993</v>
      </c>
      <c r="F1433" s="1">
        <v>9.6999999999999993</v>
      </c>
      <c r="G1433" s="1">
        <v>100</v>
      </c>
      <c r="H1433" s="1" t="s">
        <v>1069</v>
      </c>
      <c r="J1433" s="1">
        <v>2</v>
      </c>
    </row>
    <row r="1434" spans="1:18">
      <c r="A1434" s="1" t="s">
        <v>1200</v>
      </c>
      <c r="B1434" t="s">
        <v>186</v>
      </c>
      <c r="C1434" s="1" t="s">
        <v>1209</v>
      </c>
      <c r="D1434">
        <v>93</v>
      </c>
      <c r="E1434" s="1">
        <v>9.3000000000000007</v>
      </c>
      <c r="F1434" s="1">
        <v>9.3000000000000007</v>
      </c>
      <c r="G1434" s="1">
        <v>100</v>
      </c>
      <c r="H1434" s="1" t="s">
        <v>1069</v>
      </c>
      <c r="J1434" s="1">
        <v>2</v>
      </c>
    </row>
    <row r="1435" spans="1:18">
      <c r="A1435" s="1" t="s">
        <v>1200</v>
      </c>
      <c r="B1435" t="s">
        <v>186</v>
      </c>
      <c r="C1435" s="1" t="s">
        <v>1209</v>
      </c>
      <c r="D1435">
        <v>100</v>
      </c>
      <c r="E1435" s="1">
        <v>9.3000000000000007</v>
      </c>
      <c r="F1435" s="1">
        <v>9.3000000000000007</v>
      </c>
      <c r="G1435" s="1">
        <v>100</v>
      </c>
      <c r="H1435" s="1" t="s">
        <v>1069</v>
      </c>
      <c r="J1435" s="1">
        <v>2</v>
      </c>
    </row>
    <row r="1436" spans="1:18">
      <c r="A1436" s="1" t="s">
        <v>1200</v>
      </c>
      <c r="B1436" t="s">
        <v>186</v>
      </c>
      <c r="C1436" s="1" t="s">
        <v>1203</v>
      </c>
      <c r="D1436">
        <v>0</v>
      </c>
      <c r="E1436" s="1">
        <v>100</v>
      </c>
      <c r="F1436" s="1">
        <v>100</v>
      </c>
      <c r="G1436" s="1">
        <v>100</v>
      </c>
      <c r="H1436" s="1" t="s">
        <v>1069</v>
      </c>
      <c r="J1436" s="1">
        <v>2</v>
      </c>
      <c r="K1436" t="s">
        <v>1412</v>
      </c>
      <c r="L1436" t="s">
        <v>1651</v>
      </c>
      <c r="O1436">
        <v>0.96</v>
      </c>
      <c r="Q1436" s="2" t="s">
        <v>1655</v>
      </c>
      <c r="R1436">
        <v>1.6E-2</v>
      </c>
    </row>
    <row r="1437" spans="1:18">
      <c r="A1437" s="1" t="s">
        <v>1200</v>
      </c>
      <c r="B1437" t="s">
        <v>186</v>
      </c>
      <c r="C1437" s="1" t="s">
        <v>1203</v>
      </c>
      <c r="D1437">
        <v>2</v>
      </c>
      <c r="E1437" s="1">
        <v>86.2</v>
      </c>
      <c r="F1437" s="1">
        <v>86.2</v>
      </c>
      <c r="G1437" s="1">
        <v>100</v>
      </c>
      <c r="H1437" s="1" t="s">
        <v>1069</v>
      </c>
      <c r="J1437" s="1">
        <v>2</v>
      </c>
      <c r="K1437" s="10" t="s">
        <v>1385</v>
      </c>
      <c r="L1437" s="10" t="s">
        <v>1652</v>
      </c>
      <c r="M1437" s="10">
        <v>0.11</v>
      </c>
      <c r="N1437" s="10"/>
      <c r="O1437" s="10">
        <v>0.94</v>
      </c>
      <c r="P1437">
        <v>5.6</v>
      </c>
    </row>
    <row r="1438" spans="1:18">
      <c r="A1438" s="1" t="s">
        <v>1200</v>
      </c>
      <c r="B1438" t="s">
        <v>186</v>
      </c>
      <c r="C1438" s="1" t="s">
        <v>1203</v>
      </c>
      <c r="D1438">
        <v>4</v>
      </c>
      <c r="E1438" s="1">
        <v>59.2</v>
      </c>
      <c r="F1438" s="1">
        <v>59.2</v>
      </c>
      <c r="G1438" s="1">
        <v>100</v>
      </c>
      <c r="H1438" s="1" t="s">
        <v>1069</v>
      </c>
      <c r="J1438" s="1">
        <v>2</v>
      </c>
    </row>
    <row r="1439" spans="1:18">
      <c r="A1439" s="1" t="s">
        <v>1200</v>
      </c>
      <c r="B1439" t="s">
        <v>186</v>
      </c>
      <c r="C1439" s="1" t="s">
        <v>1203</v>
      </c>
      <c r="D1439">
        <v>6</v>
      </c>
      <c r="E1439" s="1">
        <v>51.4</v>
      </c>
      <c r="F1439" s="1">
        <v>51.4</v>
      </c>
      <c r="G1439" s="1">
        <v>100</v>
      </c>
      <c r="H1439" s="1" t="s">
        <v>1069</v>
      </c>
      <c r="J1439" s="1">
        <v>2</v>
      </c>
    </row>
    <row r="1440" spans="1:18">
      <c r="A1440" s="1" t="s">
        <v>1200</v>
      </c>
      <c r="B1440" t="s">
        <v>186</v>
      </c>
      <c r="C1440" s="1" t="s">
        <v>1203</v>
      </c>
      <c r="D1440">
        <v>8</v>
      </c>
      <c r="E1440" s="1">
        <v>46.6</v>
      </c>
      <c r="F1440" s="1">
        <v>46.6</v>
      </c>
      <c r="G1440" s="1">
        <v>100</v>
      </c>
      <c r="H1440" s="1" t="s">
        <v>1069</v>
      </c>
      <c r="J1440" s="1">
        <v>2</v>
      </c>
    </row>
    <row r="1441" spans="1:10">
      <c r="A1441" s="1" t="s">
        <v>1200</v>
      </c>
      <c r="B1441" t="s">
        <v>186</v>
      </c>
      <c r="C1441" s="1" t="s">
        <v>1203</v>
      </c>
      <c r="D1441">
        <v>10</v>
      </c>
      <c r="E1441" s="1">
        <v>44.2</v>
      </c>
      <c r="F1441" s="1">
        <v>44.2</v>
      </c>
      <c r="G1441" s="1">
        <v>100</v>
      </c>
      <c r="H1441" s="1" t="s">
        <v>1069</v>
      </c>
      <c r="J1441" s="1">
        <v>2</v>
      </c>
    </row>
    <row r="1442" spans="1:10">
      <c r="A1442" s="1" t="s">
        <v>1200</v>
      </c>
      <c r="B1442" t="s">
        <v>186</v>
      </c>
      <c r="C1442" s="1" t="s">
        <v>1203</v>
      </c>
      <c r="D1442">
        <v>12</v>
      </c>
      <c r="E1442" s="1">
        <v>43.7</v>
      </c>
      <c r="F1442" s="1">
        <v>43.7</v>
      </c>
      <c r="G1442" s="1">
        <v>100</v>
      </c>
      <c r="H1442" s="1" t="s">
        <v>1069</v>
      </c>
      <c r="J1442" s="1">
        <v>2</v>
      </c>
    </row>
    <row r="1443" spans="1:10">
      <c r="A1443" s="1" t="s">
        <v>1200</v>
      </c>
      <c r="B1443" t="s">
        <v>186</v>
      </c>
      <c r="C1443" s="1" t="s">
        <v>1203</v>
      </c>
      <c r="D1443">
        <v>14</v>
      </c>
      <c r="E1443" s="1">
        <v>43.7</v>
      </c>
      <c r="F1443" s="1">
        <v>43.7</v>
      </c>
      <c r="G1443" s="1">
        <v>100</v>
      </c>
      <c r="H1443" s="1" t="s">
        <v>1069</v>
      </c>
      <c r="J1443" s="1">
        <v>2</v>
      </c>
    </row>
    <row r="1444" spans="1:10">
      <c r="A1444" s="1" t="s">
        <v>1200</v>
      </c>
      <c r="B1444" t="s">
        <v>186</v>
      </c>
      <c r="C1444" s="1" t="s">
        <v>1203</v>
      </c>
      <c r="D1444">
        <v>16</v>
      </c>
      <c r="E1444" s="1">
        <v>43.7</v>
      </c>
      <c r="F1444" s="1">
        <v>43.7</v>
      </c>
      <c r="G1444" s="1">
        <v>100</v>
      </c>
      <c r="H1444" s="1" t="s">
        <v>1069</v>
      </c>
      <c r="J1444" s="1">
        <v>2</v>
      </c>
    </row>
    <row r="1445" spans="1:10">
      <c r="A1445" s="1" t="s">
        <v>1200</v>
      </c>
      <c r="B1445" t="s">
        <v>186</v>
      </c>
      <c r="C1445" s="1" t="s">
        <v>1203</v>
      </c>
      <c r="D1445">
        <v>18</v>
      </c>
      <c r="E1445" s="1">
        <v>43.2</v>
      </c>
      <c r="F1445" s="1">
        <v>43.2</v>
      </c>
      <c r="G1445" s="1">
        <v>100</v>
      </c>
      <c r="H1445" s="1" t="s">
        <v>1069</v>
      </c>
      <c r="J1445" s="1">
        <v>2</v>
      </c>
    </row>
    <row r="1446" spans="1:10">
      <c r="A1446" s="1" t="s">
        <v>1200</v>
      </c>
      <c r="B1446" t="s">
        <v>186</v>
      </c>
      <c r="C1446" s="1" t="s">
        <v>1203</v>
      </c>
      <c r="D1446">
        <v>20</v>
      </c>
      <c r="E1446" s="1">
        <v>38.200000000000003</v>
      </c>
      <c r="F1446" s="1">
        <v>38.200000000000003</v>
      </c>
      <c r="G1446" s="1">
        <v>100</v>
      </c>
      <c r="H1446" s="1" t="s">
        <v>1069</v>
      </c>
      <c r="J1446" s="1">
        <v>2</v>
      </c>
    </row>
    <row r="1447" spans="1:10">
      <c r="A1447" s="1" t="s">
        <v>1200</v>
      </c>
      <c r="B1447" t="s">
        <v>186</v>
      </c>
      <c r="C1447" s="1" t="s">
        <v>1203</v>
      </c>
      <c r="D1447">
        <v>22</v>
      </c>
      <c r="E1447" s="1">
        <v>29.6</v>
      </c>
      <c r="F1447" s="1">
        <v>29.6</v>
      </c>
      <c r="G1447" s="1">
        <v>100</v>
      </c>
      <c r="H1447" s="1" t="s">
        <v>1069</v>
      </c>
      <c r="J1447" s="1">
        <v>2</v>
      </c>
    </row>
    <row r="1448" spans="1:10">
      <c r="A1448" s="1" t="s">
        <v>1200</v>
      </c>
      <c r="B1448" t="s">
        <v>186</v>
      </c>
      <c r="C1448" s="1" t="s">
        <v>1203</v>
      </c>
      <c r="D1448">
        <v>24</v>
      </c>
      <c r="E1448" s="1">
        <v>29</v>
      </c>
      <c r="F1448" s="1">
        <v>29</v>
      </c>
      <c r="G1448" s="1">
        <v>100</v>
      </c>
      <c r="H1448" s="1" t="s">
        <v>1069</v>
      </c>
      <c r="J1448" s="1">
        <v>2</v>
      </c>
    </row>
    <row r="1449" spans="1:10">
      <c r="A1449" s="1" t="s">
        <v>1200</v>
      </c>
      <c r="B1449" t="s">
        <v>186</v>
      </c>
      <c r="C1449" s="1" t="s">
        <v>1203</v>
      </c>
      <c r="D1449">
        <v>26</v>
      </c>
      <c r="E1449" s="1">
        <v>27.3</v>
      </c>
      <c r="F1449" s="1">
        <v>27.3</v>
      </c>
      <c r="G1449" s="1">
        <v>100</v>
      </c>
      <c r="H1449" s="1" t="s">
        <v>1069</v>
      </c>
      <c r="J1449" s="1">
        <v>2</v>
      </c>
    </row>
    <row r="1450" spans="1:10">
      <c r="A1450" s="1" t="s">
        <v>1200</v>
      </c>
      <c r="B1450" t="s">
        <v>186</v>
      </c>
      <c r="C1450" s="1" t="s">
        <v>1203</v>
      </c>
      <c r="D1450">
        <v>28</v>
      </c>
      <c r="E1450" s="1">
        <v>27.3</v>
      </c>
      <c r="F1450" s="1">
        <v>27.3</v>
      </c>
      <c r="G1450" s="1">
        <v>100</v>
      </c>
      <c r="H1450" s="1" t="s">
        <v>1069</v>
      </c>
      <c r="J1450" s="1">
        <v>2</v>
      </c>
    </row>
    <row r="1451" spans="1:10">
      <c r="A1451" s="1" t="s">
        <v>1200</v>
      </c>
      <c r="B1451" t="s">
        <v>186</v>
      </c>
      <c r="C1451" s="1" t="s">
        <v>1203</v>
      </c>
      <c r="D1451">
        <v>30</v>
      </c>
      <c r="E1451" s="1">
        <v>26.6</v>
      </c>
      <c r="F1451" s="1">
        <v>26.6</v>
      </c>
      <c r="G1451" s="1">
        <v>100</v>
      </c>
      <c r="H1451" s="1" t="s">
        <v>1069</v>
      </c>
      <c r="J1451" s="1">
        <v>2</v>
      </c>
    </row>
    <row r="1452" spans="1:10">
      <c r="A1452" s="1" t="s">
        <v>1200</v>
      </c>
      <c r="B1452" t="s">
        <v>186</v>
      </c>
      <c r="C1452" s="1" t="s">
        <v>1203</v>
      </c>
      <c r="D1452">
        <v>37</v>
      </c>
      <c r="E1452" s="1">
        <v>25.5</v>
      </c>
      <c r="F1452" s="1">
        <v>25.5</v>
      </c>
      <c r="G1452" s="1">
        <v>100</v>
      </c>
      <c r="H1452" s="1" t="s">
        <v>1069</v>
      </c>
      <c r="J1452" s="1">
        <v>2</v>
      </c>
    </row>
    <row r="1453" spans="1:10">
      <c r="A1453" s="1" t="s">
        <v>1200</v>
      </c>
      <c r="B1453" t="s">
        <v>186</v>
      </c>
      <c r="C1453" s="1" t="s">
        <v>1203</v>
      </c>
      <c r="D1453">
        <v>44</v>
      </c>
      <c r="E1453" s="1">
        <v>25.1</v>
      </c>
      <c r="F1453" s="1">
        <v>25.1</v>
      </c>
      <c r="G1453" s="1">
        <v>100</v>
      </c>
      <c r="H1453" s="1" t="s">
        <v>1069</v>
      </c>
      <c r="J1453" s="1">
        <v>2</v>
      </c>
    </row>
    <row r="1454" spans="1:10">
      <c r="A1454" s="1" t="s">
        <v>1200</v>
      </c>
      <c r="B1454" t="s">
        <v>186</v>
      </c>
      <c r="C1454" s="1" t="s">
        <v>1203</v>
      </c>
      <c r="D1454">
        <v>51</v>
      </c>
      <c r="E1454" s="1">
        <v>24.8</v>
      </c>
      <c r="F1454" s="1">
        <v>24.8</v>
      </c>
      <c r="G1454" s="1">
        <v>100</v>
      </c>
      <c r="H1454" s="1" t="s">
        <v>1069</v>
      </c>
      <c r="J1454" s="1">
        <v>2</v>
      </c>
    </row>
    <row r="1455" spans="1:10">
      <c r="A1455" s="1" t="s">
        <v>1200</v>
      </c>
      <c r="B1455" t="s">
        <v>186</v>
      </c>
      <c r="C1455" s="1" t="s">
        <v>1203</v>
      </c>
      <c r="D1455">
        <v>58</v>
      </c>
      <c r="E1455" s="1">
        <v>24.6</v>
      </c>
      <c r="F1455" s="1">
        <v>24.6</v>
      </c>
      <c r="G1455" s="1">
        <v>100</v>
      </c>
      <c r="H1455" s="1" t="s">
        <v>1069</v>
      </c>
      <c r="J1455" s="1">
        <v>2</v>
      </c>
    </row>
    <row r="1456" spans="1:10">
      <c r="A1456" s="1" t="s">
        <v>1200</v>
      </c>
      <c r="B1456" t="s">
        <v>186</v>
      </c>
      <c r="C1456" s="1" t="s">
        <v>1203</v>
      </c>
      <c r="D1456">
        <v>65</v>
      </c>
      <c r="E1456" s="1">
        <v>24.8</v>
      </c>
      <c r="F1456" s="1">
        <v>24.8</v>
      </c>
      <c r="G1456" s="1">
        <v>100</v>
      </c>
      <c r="H1456" s="1" t="s">
        <v>1069</v>
      </c>
      <c r="J1456" s="1">
        <v>2</v>
      </c>
    </row>
    <row r="1457" spans="1:18">
      <c r="A1457" s="1" t="s">
        <v>1200</v>
      </c>
      <c r="B1457" t="s">
        <v>186</v>
      </c>
      <c r="C1457" s="1" t="s">
        <v>1203</v>
      </c>
      <c r="D1457">
        <v>72</v>
      </c>
      <c r="E1457" s="1">
        <v>23</v>
      </c>
      <c r="F1457" s="1">
        <v>23</v>
      </c>
      <c r="G1457" s="1">
        <v>100</v>
      </c>
      <c r="H1457" s="1" t="s">
        <v>1069</v>
      </c>
      <c r="J1457" s="1">
        <v>2</v>
      </c>
    </row>
    <row r="1458" spans="1:18">
      <c r="A1458" s="1" t="s">
        <v>1200</v>
      </c>
      <c r="B1458" t="s">
        <v>186</v>
      </c>
      <c r="C1458" s="1" t="s">
        <v>1203</v>
      </c>
      <c r="D1458">
        <v>79</v>
      </c>
      <c r="E1458" s="1">
        <v>21</v>
      </c>
      <c r="F1458" s="1">
        <v>21</v>
      </c>
      <c r="G1458" s="1">
        <v>100</v>
      </c>
      <c r="H1458" s="1" t="s">
        <v>1069</v>
      </c>
      <c r="J1458" s="1">
        <v>2</v>
      </c>
    </row>
    <row r="1459" spans="1:18">
      <c r="A1459" s="1" t="s">
        <v>1200</v>
      </c>
      <c r="B1459" t="s">
        <v>186</v>
      </c>
      <c r="C1459" s="1" t="s">
        <v>1203</v>
      </c>
      <c r="D1459">
        <v>86</v>
      </c>
      <c r="E1459" s="1">
        <v>20.399999999999999</v>
      </c>
      <c r="F1459" s="1">
        <v>20.399999999999999</v>
      </c>
      <c r="G1459" s="1">
        <v>100</v>
      </c>
      <c r="H1459" s="1" t="s">
        <v>1069</v>
      </c>
      <c r="J1459" s="1">
        <v>2</v>
      </c>
    </row>
    <row r="1460" spans="1:18">
      <c r="A1460" s="1" t="s">
        <v>1200</v>
      </c>
      <c r="B1460" t="s">
        <v>186</v>
      </c>
      <c r="C1460" s="1" t="s">
        <v>1203</v>
      </c>
      <c r="D1460">
        <v>93</v>
      </c>
      <c r="E1460" s="1">
        <v>20.100000000000001</v>
      </c>
      <c r="F1460" s="1">
        <v>20.100000000000001</v>
      </c>
      <c r="G1460" s="1">
        <v>100</v>
      </c>
      <c r="H1460" s="1" t="s">
        <v>1069</v>
      </c>
      <c r="J1460" s="1">
        <v>2</v>
      </c>
    </row>
    <row r="1461" spans="1:18">
      <c r="A1461" s="1" t="s">
        <v>1200</v>
      </c>
      <c r="B1461" t="s">
        <v>186</v>
      </c>
      <c r="C1461" s="1" t="s">
        <v>1203</v>
      </c>
      <c r="D1461">
        <v>100</v>
      </c>
      <c r="E1461" s="1">
        <v>19.7</v>
      </c>
      <c r="F1461" s="1">
        <v>19.7</v>
      </c>
      <c r="G1461" s="1">
        <v>100</v>
      </c>
      <c r="H1461" s="1" t="s">
        <v>1069</v>
      </c>
      <c r="J1461" s="1">
        <v>2</v>
      </c>
    </row>
    <row r="1462" spans="1:18">
      <c r="A1462" s="1" t="s">
        <v>1200</v>
      </c>
      <c r="B1462" t="s">
        <v>186</v>
      </c>
      <c r="C1462" s="1" t="s">
        <v>1204</v>
      </c>
      <c r="D1462">
        <v>0</v>
      </c>
      <c r="E1462" s="1">
        <v>100</v>
      </c>
      <c r="F1462" s="1">
        <v>100</v>
      </c>
      <c r="G1462" s="1">
        <v>100</v>
      </c>
      <c r="H1462" s="1" t="s">
        <v>1069</v>
      </c>
      <c r="J1462" s="1">
        <v>2</v>
      </c>
      <c r="K1462" t="s">
        <v>1412</v>
      </c>
      <c r="L1462" t="s">
        <v>1653</v>
      </c>
      <c r="O1462">
        <v>0.98</v>
      </c>
      <c r="Q1462" s="2" t="s">
        <v>1655</v>
      </c>
      <c r="R1462">
        <v>0.02</v>
      </c>
    </row>
    <row r="1463" spans="1:18">
      <c r="A1463" s="1" t="s">
        <v>1200</v>
      </c>
      <c r="B1463" t="s">
        <v>186</v>
      </c>
      <c r="C1463" s="1" t="s">
        <v>1204</v>
      </c>
      <c r="D1463">
        <v>2</v>
      </c>
      <c r="E1463" s="1">
        <v>41</v>
      </c>
      <c r="F1463" s="1">
        <v>41</v>
      </c>
      <c r="G1463" s="1">
        <v>100</v>
      </c>
      <c r="H1463" s="1" t="s">
        <v>1069</v>
      </c>
      <c r="J1463" s="1">
        <v>2</v>
      </c>
      <c r="K1463" s="10" t="s">
        <v>1385</v>
      </c>
      <c r="L1463" s="10" t="s">
        <v>1654</v>
      </c>
      <c r="M1463" s="10">
        <v>0.43519999999999998</v>
      </c>
      <c r="N1463" s="10"/>
      <c r="O1463" s="10">
        <v>0.81</v>
      </c>
      <c r="P1463">
        <v>1.3</v>
      </c>
    </row>
    <row r="1464" spans="1:18">
      <c r="A1464" s="1" t="s">
        <v>1200</v>
      </c>
      <c r="B1464" t="s">
        <v>186</v>
      </c>
      <c r="C1464" s="1" t="s">
        <v>1204</v>
      </c>
      <c r="D1464">
        <v>4</v>
      </c>
      <c r="E1464" s="1">
        <v>39</v>
      </c>
      <c r="F1464" s="1">
        <v>39</v>
      </c>
      <c r="G1464" s="1">
        <v>100</v>
      </c>
      <c r="H1464" s="1" t="s">
        <v>1069</v>
      </c>
      <c r="J1464" s="1">
        <v>2</v>
      </c>
    </row>
    <row r="1465" spans="1:18">
      <c r="A1465" s="1" t="s">
        <v>1200</v>
      </c>
      <c r="B1465" t="s">
        <v>186</v>
      </c>
      <c r="C1465" s="1" t="s">
        <v>1204</v>
      </c>
      <c r="D1465">
        <v>6</v>
      </c>
      <c r="E1465" s="1">
        <v>36.5</v>
      </c>
      <c r="F1465" s="1">
        <v>36.5</v>
      </c>
      <c r="G1465" s="1">
        <v>100</v>
      </c>
      <c r="H1465" s="1" t="s">
        <v>1069</v>
      </c>
      <c r="J1465" s="1">
        <v>2</v>
      </c>
    </row>
    <row r="1466" spans="1:18">
      <c r="A1466" s="1" t="s">
        <v>1200</v>
      </c>
      <c r="B1466" t="s">
        <v>186</v>
      </c>
      <c r="C1466" s="1" t="s">
        <v>1204</v>
      </c>
      <c r="D1466">
        <v>8</v>
      </c>
      <c r="E1466" s="1">
        <v>36.5</v>
      </c>
      <c r="F1466" s="1">
        <v>36.5</v>
      </c>
      <c r="G1466" s="1">
        <v>100</v>
      </c>
      <c r="H1466" s="1" t="s">
        <v>1069</v>
      </c>
      <c r="J1466" s="1">
        <v>2</v>
      </c>
    </row>
    <row r="1467" spans="1:18">
      <c r="A1467" s="1" t="s">
        <v>1200</v>
      </c>
      <c r="B1467" t="s">
        <v>186</v>
      </c>
      <c r="C1467" s="1" t="s">
        <v>1204</v>
      </c>
      <c r="D1467">
        <v>10</v>
      </c>
      <c r="E1467" s="1">
        <v>34.5</v>
      </c>
      <c r="F1467" s="1">
        <v>34.5</v>
      </c>
      <c r="G1467" s="1">
        <v>100</v>
      </c>
      <c r="H1467" s="1" t="s">
        <v>1069</v>
      </c>
      <c r="J1467" s="1">
        <v>2</v>
      </c>
    </row>
    <row r="1468" spans="1:18">
      <c r="A1468" s="1" t="s">
        <v>1200</v>
      </c>
      <c r="B1468" t="s">
        <v>186</v>
      </c>
      <c r="C1468" s="1" t="s">
        <v>1204</v>
      </c>
      <c r="D1468">
        <v>12</v>
      </c>
      <c r="E1468" s="1">
        <v>33.700000000000003</v>
      </c>
      <c r="F1468" s="1">
        <v>33.700000000000003</v>
      </c>
      <c r="G1468" s="1">
        <v>100</v>
      </c>
      <c r="H1468" s="1" t="s">
        <v>1069</v>
      </c>
      <c r="J1468" s="1">
        <v>2</v>
      </c>
    </row>
    <row r="1469" spans="1:18">
      <c r="A1469" s="1" t="s">
        <v>1200</v>
      </c>
      <c r="B1469" t="s">
        <v>186</v>
      </c>
      <c r="C1469" s="1" t="s">
        <v>1204</v>
      </c>
      <c r="D1469">
        <v>14</v>
      </c>
      <c r="E1469" s="1">
        <v>30.7</v>
      </c>
      <c r="F1469" s="1">
        <v>30.7</v>
      </c>
      <c r="G1469" s="1">
        <v>100</v>
      </c>
      <c r="H1469" s="1" t="s">
        <v>1069</v>
      </c>
      <c r="J1469" s="1">
        <v>2</v>
      </c>
    </row>
    <row r="1470" spans="1:18">
      <c r="A1470" s="1" t="s">
        <v>1200</v>
      </c>
      <c r="B1470" t="s">
        <v>186</v>
      </c>
      <c r="C1470" s="1" t="s">
        <v>1204</v>
      </c>
      <c r="D1470">
        <v>16</v>
      </c>
      <c r="E1470" s="1">
        <v>30.2</v>
      </c>
      <c r="F1470" s="1">
        <v>30.2</v>
      </c>
      <c r="G1470" s="1">
        <v>100</v>
      </c>
      <c r="H1470" s="1" t="s">
        <v>1069</v>
      </c>
      <c r="J1470" s="1">
        <v>2</v>
      </c>
    </row>
    <row r="1471" spans="1:18">
      <c r="A1471" s="1" t="s">
        <v>1200</v>
      </c>
      <c r="B1471" t="s">
        <v>186</v>
      </c>
      <c r="C1471" s="1" t="s">
        <v>1204</v>
      </c>
      <c r="D1471">
        <v>18</v>
      </c>
      <c r="E1471" s="1">
        <v>29.8</v>
      </c>
      <c r="F1471" s="1">
        <v>29.8</v>
      </c>
      <c r="G1471" s="1">
        <v>100</v>
      </c>
      <c r="H1471" s="1" t="s">
        <v>1069</v>
      </c>
      <c r="J1471" s="1">
        <v>2</v>
      </c>
    </row>
    <row r="1472" spans="1:18">
      <c r="A1472" s="1" t="s">
        <v>1200</v>
      </c>
      <c r="B1472" t="s">
        <v>186</v>
      </c>
      <c r="C1472" s="1" t="s">
        <v>1204</v>
      </c>
      <c r="D1472">
        <v>20</v>
      </c>
      <c r="E1472" s="1">
        <v>29.9</v>
      </c>
      <c r="F1472" s="1">
        <v>29.9</v>
      </c>
      <c r="G1472" s="1">
        <v>100</v>
      </c>
      <c r="H1472" s="1" t="s">
        <v>1069</v>
      </c>
      <c r="J1472" s="1">
        <v>2</v>
      </c>
    </row>
    <row r="1473" spans="1:17">
      <c r="A1473" s="1" t="s">
        <v>1200</v>
      </c>
      <c r="B1473" t="s">
        <v>186</v>
      </c>
      <c r="C1473" s="1" t="s">
        <v>1204</v>
      </c>
      <c r="D1473">
        <v>22</v>
      </c>
      <c r="E1473" s="1">
        <v>24.7</v>
      </c>
      <c r="F1473" s="1">
        <v>24.7</v>
      </c>
      <c r="G1473" s="1">
        <v>100</v>
      </c>
      <c r="H1473" s="1" t="s">
        <v>1069</v>
      </c>
      <c r="J1473" s="1">
        <v>2</v>
      </c>
    </row>
    <row r="1474" spans="1:17">
      <c r="A1474" s="1" t="s">
        <v>1200</v>
      </c>
      <c r="B1474" t="s">
        <v>186</v>
      </c>
      <c r="C1474" s="1" t="s">
        <v>1204</v>
      </c>
      <c r="D1474">
        <v>24</v>
      </c>
      <c r="E1474" s="1">
        <v>23.6</v>
      </c>
      <c r="F1474" s="1">
        <v>23.6</v>
      </c>
      <c r="G1474" s="1">
        <v>100</v>
      </c>
      <c r="H1474" s="1" t="s">
        <v>1069</v>
      </c>
      <c r="J1474" s="1">
        <v>2</v>
      </c>
    </row>
    <row r="1475" spans="1:17">
      <c r="A1475" s="1" t="s">
        <v>1200</v>
      </c>
      <c r="B1475" t="s">
        <v>186</v>
      </c>
      <c r="C1475" s="1" t="s">
        <v>1204</v>
      </c>
      <c r="D1475">
        <v>26</v>
      </c>
      <c r="E1475" s="1">
        <v>22.9</v>
      </c>
      <c r="F1475" s="1">
        <v>22.9</v>
      </c>
      <c r="G1475" s="1">
        <v>100</v>
      </c>
      <c r="H1475" s="1" t="s">
        <v>1069</v>
      </c>
      <c r="J1475" s="1">
        <v>2</v>
      </c>
    </row>
    <row r="1476" spans="1:17">
      <c r="A1476" s="1" t="s">
        <v>1200</v>
      </c>
      <c r="B1476" t="s">
        <v>186</v>
      </c>
      <c r="C1476" s="1" t="s">
        <v>1204</v>
      </c>
      <c r="D1476">
        <v>28</v>
      </c>
      <c r="E1476" s="1">
        <v>21.9</v>
      </c>
      <c r="F1476" s="1">
        <v>21.9</v>
      </c>
      <c r="G1476" s="1">
        <v>100</v>
      </c>
      <c r="H1476" s="1" t="s">
        <v>1069</v>
      </c>
      <c r="J1476" s="1">
        <v>2</v>
      </c>
    </row>
    <row r="1477" spans="1:17">
      <c r="A1477" s="1" t="s">
        <v>1200</v>
      </c>
      <c r="B1477" t="s">
        <v>186</v>
      </c>
      <c r="C1477" s="1" t="s">
        <v>1204</v>
      </c>
      <c r="D1477">
        <v>30</v>
      </c>
      <c r="E1477" s="1">
        <v>21.9</v>
      </c>
      <c r="F1477" s="1">
        <v>21.9</v>
      </c>
      <c r="G1477" s="1">
        <v>100</v>
      </c>
      <c r="H1477" s="1" t="s">
        <v>1069</v>
      </c>
      <c r="J1477" s="1">
        <v>2</v>
      </c>
    </row>
    <row r="1478" spans="1:17">
      <c r="A1478" s="1" t="s">
        <v>1200</v>
      </c>
      <c r="B1478" t="s">
        <v>186</v>
      </c>
      <c r="C1478" s="1" t="s">
        <v>1204</v>
      </c>
      <c r="D1478">
        <v>37</v>
      </c>
      <c r="E1478" s="1">
        <v>20.9</v>
      </c>
      <c r="F1478" s="1">
        <v>20.9</v>
      </c>
      <c r="G1478" s="1">
        <v>100</v>
      </c>
      <c r="H1478" s="1" t="s">
        <v>1069</v>
      </c>
      <c r="J1478" s="1">
        <v>2</v>
      </c>
    </row>
    <row r="1479" spans="1:17">
      <c r="A1479" s="1" t="s">
        <v>1200</v>
      </c>
      <c r="B1479" t="s">
        <v>186</v>
      </c>
      <c r="C1479" s="1" t="s">
        <v>1204</v>
      </c>
      <c r="D1479">
        <v>44</v>
      </c>
      <c r="E1479" s="1">
        <v>19.8</v>
      </c>
      <c r="F1479" s="1">
        <v>19.8</v>
      </c>
      <c r="G1479" s="1">
        <v>100</v>
      </c>
      <c r="H1479" s="1" t="s">
        <v>1069</v>
      </c>
      <c r="J1479" s="1">
        <v>2</v>
      </c>
    </row>
    <row r="1480" spans="1:17">
      <c r="A1480" s="1" t="s">
        <v>1200</v>
      </c>
      <c r="B1480" t="s">
        <v>186</v>
      </c>
      <c r="C1480" s="1" t="s">
        <v>1204</v>
      </c>
      <c r="D1480">
        <v>51</v>
      </c>
      <c r="E1480" s="1">
        <v>18.899999999999999</v>
      </c>
      <c r="F1480" s="1">
        <v>18.899999999999999</v>
      </c>
      <c r="G1480" s="1">
        <v>100</v>
      </c>
      <c r="H1480" s="1" t="s">
        <v>1069</v>
      </c>
      <c r="J1480" s="1">
        <v>2</v>
      </c>
    </row>
    <row r="1481" spans="1:17">
      <c r="A1481" s="1" t="s">
        <v>1200</v>
      </c>
      <c r="B1481" t="s">
        <v>186</v>
      </c>
      <c r="C1481" s="1" t="s">
        <v>1204</v>
      </c>
      <c r="D1481">
        <v>58</v>
      </c>
      <c r="E1481" s="1">
        <v>18.7</v>
      </c>
      <c r="F1481" s="1">
        <v>18.7</v>
      </c>
      <c r="G1481" s="1">
        <v>100</v>
      </c>
      <c r="H1481" s="1" t="s">
        <v>1069</v>
      </c>
      <c r="J1481" s="1">
        <v>2</v>
      </c>
    </row>
    <row r="1482" spans="1:17">
      <c r="A1482" s="1" t="s">
        <v>1200</v>
      </c>
      <c r="B1482" t="s">
        <v>186</v>
      </c>
      <c r="C1482" s="1" t="s">
        <v>1204</v>
      </c>
      <c r="D1482">
        <v>65</v>
      </c>
      <c r="E1482" s="1">
        <v>18.7</v>
      </c>
      <c r="F1482" s="1">
        <v>18.7</v>
      </c>
      <c r="G1482" s="1">
        <v>100</v>
      </c>
      <c r="H1482" s="1" t="s">
        <v>1069</v>
      </c>
      <c r="J1482" s="1">
        <v>2</v>
      </c>
    </row>
    <row r="1483" spans="1:17">
      <c r="A1483" s="1" t="s">
        <v>1200</v>
      </c>
      <c r="B1483" t="s">
        <v>186</v>
      </c>
      <c r="C1483" s="1" t="s">
        <v>1204</v>
      </c>
      <c r="D1483">
        <v>72</v>
      </c>
      <c r="E1483" s="1">
        <v>18.3</v>
      </c>
      <c r="F1483" s="1">
        <v>18.3</v>
      </c>
      <c r="G1483" s="1">
        <v>100</v>
      </c>
      <c r="H1483" s="1" t="s">
        <v>1069</v>
      </c>
      <c r="J1483" s="1">
        <v>2</v>
      </c>
    </row>
    <row r="1484" spans="1:17">
      <c r="A1484" s="1" t="s">
        <v>1200</v>
      </c>
      <c r="B1484" t="s">
        <v>186</v>
      </c>
      <c r="C1484" s="1" t="s">
        <v>1204</v>
      </c>
      <c r="D1484">
        <v>79</v>
      </c>
      <c r="E1484" s="1">
        <v>16.7</v>
      </c>
      <c r="F1484" s="1">
        <v>16.7</v>
      </c>
      <c r="G1484" s="1">
        <v>100</v>
      </c>
      <c r="H1484" s="1" t="s">
        <v>1069</v>
      </c>
      <c r="J1484" s="1">
        <v>2</v>
      </c>
    </row>
    <row r="1485" spans="1:17">
      <c r="A1485" s="1" t="s">
        <v>1200</v>
      </c>
      <c r="B1485" t="s">
        <v>186</v>
      </c>
      <c r="C1485" s="1" t="s">
        <v>1204</v>
      </c>
      <c r="D1485">
        <v>86</v>
      </c>
      <c r="E1485" s="1">
        <v>13.5</v>
      </c>
      <c r="F1485" s="1">
        <v>13.5</v>
      </c>
      <c r="G1485" s="1">
        <v>100</v>
      </c>
      <c r="H1485" s="1" t="s">
        <v>1069</v>
      </c>
      <c r="J1485" s="1">
        <v>2</v>
      </c>
    </row>
    <row r="1486" spans="1:17">
      <c r="A1486" s="1" t="s">
        <v>1200</v>
      </c>
      <c r="B1486" t="s">
        <v>186</v>
      </c>
      <c r="C1486" s="1" t="s">
        <v>1204</v>
      </c>
      <c r="D1486">
        <v>93</v>
      </c>
      <c r="E1486" s="1">
        <v>13</v>
      </c>
      <c r="F1486" s="1">
        <v>13</v>
      </c>
      <c r="G1486" s="1">
        <v>100</v>
      </c>
      <c r="H1486" s="1" t="s">
        <v>1069</v>
      </c>
      <c r="J1486" s="1">
        <v>2</v>
      </c>
    </row>
    <row r="1487" spans="1:17">
      <c r="A1487" s="1" t="s">
        <v>1200</v>
      </c>
      <c r="B1487" t="s">
        <v>186</v>
      </c>
      <c r="C1487" s="1" t="s">
        <v>1204</v>
      </c>
      <c r="D1487">
        <v>100</v>
      </c>
      <c r="E1487" s="1">
        <v>13.3</v>
      </c>
      <c r="F1487" s="1">
        <v>13.3</v>
      </c>
      <c r="G1487" s="1">
        <v>100</v>
      </c>
      <c r="H1487" s="1" t="s">
        <v>1069</v>
      </c>
      <c r="J1487" s="1">
        <v>2</v>
      </c>
    </row>
    <row r="1488" spans="1:17">
      <c r="A1488" s="1" t="s">
        <v>1259</v>
      </c>
      <c r="B1488" t="s">
        <v>186</v>
      </c>
      <c r="C1488" s="1" t="s">
        <v>1261</v>
      </c>
      <c r="D1488">
        <v>0</v>
      </c>
      <c r="E1488">
        <f t="shared" ref="E1488:E1511" si="15">F1488/G1488*100</f>
        <v>100</v>
      </c>
      <c r="F1488">
        <v>5249</v>
      </c>
      <c r="G1488" s="1">
        <v>5249</v>
      </c>
      <c r="H1488" s="1" t="s">
        <v>390</v>
      </c>
      <c r="J1488" s="1">
        <v>3</v>
      </c>
      <c r="K1488" s="1" t="s">
        <v>1385</v>
      </c>
      <c r="L1488" s="1" t="s">
        <v>1656</v>
      </c>
      <c r="M1488" s="1">
        <v>9.4700000000000006E-2</v>
      </c>
      <c r="N1488" s="1"/>
      <c r="O1488" s="1">
        <v>0.97</v>
      </c>
      <c r="P1488">
        <v>8.1</v>
      </c>
      <c r="Q1488" s="14" t="s">
        <v>1262</v>
      </c>
    </row>
    <row r="1489" spans="1:17">
      <c r="A1489" s="1" t="s">
        <v>1259</v>
      </c>
      <c r="B1489" t="s">
        <v>186</v>
      </c>
      <c r="C1489" s="1" t="s">
        <v>1261</v>
      </c>
      <c r="D1489">
        <v>3</v>
      </c>
      <c r="E1489">
        <f t="shared" si="15"/>
        <v>94.151266907982475</v>
      </c>
      <c r="F1489">
        <v>4942</v>
      </c>
      <c r="G1489" s="1">
        <v>5249</v>
      </c>
      <c r="H1489" s="1" t="s">
        <v>390</v>
      </c>
      <c r="J1489" s="1">
        <v>3</v>
      </c>
      <c r="Q1489" s="14" t="s">
        <v>1263</v>
      </c>
    </row>
    <row r="1490" spans="1:17">
      <c r="A1490" s="1" t="s">
        <v>1259</v>
      </c>
      <c r="B1490" t="s">
        <v>186</v>
      </c>
      <c r="C1490" s="1" t="s">
        <v>1261</v>
      </c>
      <c r="D1490">
        <v>11</v>
      </c>
      <c r="E1490">
        <f t="shared" si="15"/>
        <v>41.817489045532483</v>
      </c>
      <c r="F1490">
        <v>2195</v>
      </c>
      <c r="G1490" s="1">
        <v>5249</v>
      </c>
      <c r="H1490" s="1" t="s">
        <v>390</v>
      </c>
      <c r="J1490" s="1">
        <v>3</v>
      </c>
    </row>
    <row r="1491" spans="1:17">
      <c r="A1491" s="1" t="s">
        <v>1259</v>
      </c>
      <c r="B1491" t="s">
        <v>186</v>
      </c>
      <c r="C1491" s="1" t="s">
        <v>1261</v>
      </c>
      <c r="D1491">
        <v>16</v>
      </c>
      <c r="E1491">
        <f t="shared" si="15"/>
        <v>17.717660506763195</v>
      </c>
      <c r="F1491">
        <v>930</v>
      </c>
      <c r="G1491" s="1">
        <v>5249</v>
      </c>
      <c r="H1491" s="1" t="s">
        <v>390</v>
      </c>
      <c r="J1491" s="1">
        <v>3</v>
      </c>
    </row>
    <row r="1492" spans="1:17">
      <c r="A1492" s="1" t="s">
        <v>1259</v>
      </c>
      <c r="B1492" t="s">
        <v>186</v>
      </c>
      <c r="C1492" s="1" t="s">
        <v>1261</v>
      </c>
      <c r="D1492">
        <v>26</v>
      </c>
      <c r="E1492">
        <f t="shared" si="15"/>
        <v>11.183082491903219</v>
      </c>
      <c r="F1492">
        <v>587</v>
      </c>
      <c r="G1492" s="1">
        <v>5249</v>
      </c>
      <c r="H1492" s="1" t="s">
        <v>390</v>
      </c>
      <c r="J1492" s="1">
        <v>3</v>
      </c>
    </row>
    <row r="1493" spans="1:17">
      <c r="A1493" s="1" t="s">
        <v>1259</v>
      </c>
      <c r="B1493" t="s">
        <v>186</v>
      </c>
      <c r="C1493" s="1" t="s">
        <v>1261</v>
      </c>
      <c r="D1493">
        <v>86</v>
      </c>
      <c r="E1493">
        <f t="shared" si="15"/>
        <v>4.6294532291865114</v>
      </c>
      <c r="F1493">
        <v>243</v>
      </c>
      <c r="G1493" s="1">
        <v>5249</v>
      </c>
      <c r="H1493" s="1" t="s">
        <v>390</v>
      </c>
      <c r="J1493" s="1">
        <v>3</v>
      </c>
    </row>
    <row r="1494" spans="1:17">
      <c r="A1494" s="1" t="s">
        <v>1259</v>
      </c>
      <c r="B1494" t="s">
        <v>186</v>
      </c>
      <c r="C1494" s="1" t="s">
        <v>1261</v>
      </c>
      <c r="D1494">
        <v>116</v>
      </c>
      <c r="E1494">
        <f t="shared" si="15"/>
        <v>4.2865307677652886</v>
      </c>
      <c r="F1494">
        <v>225</v>
      </c>
      <c r="G1494" s="1">
        <v>5249</v>
      </c>
      <c r="H1494" s="1" t="s">
        <v>390</v>
      </c>
      <c r="J1494" s="1">
        <v>3</v>
      </c>
    </row>
    <row r="1495" spans="1:17">
      <c r="A1495" s="1" t="s">
        <v>1259</v>
      </c>
      <c r="B1495" t="s">
        <v>186</v>
      </c>
      <c r="C1495" s="1" t="s">
        <v>1261</v>
      </c>
      <c r="D1495">
        <v>146</v>
      </c>
      <c r="E1495">
        <f t="shared" si="15"/>
        <v>4.6294532291865114</v>
      </c>
      <c r="F1495">
        <v>243</v>
      </c>
      <c r="G1495" s="1">
        <v>5249</v>
      </c>
      <c r="H1495" s="1" t="s">
        <v>390</v>
      </c>
      <c r="J1495" s="1">
        <v>3</v>
      </c>
    </row>
    <row r="1496" spans="1:17">
      <c r="A1496" s="1" t="s">
        <v>1259</v>
      </c>
      <c r="B1496" t="s">
        <v>186</v>
      </c>
      <c r="C1496" s="1" t="s">
        <v>1261</v>
      </c>
      <c r="D1496">
        <v>176</v>
      </c>
      <c r="E1496">
        <f t="shared" si="15"/>
        <v>3.943608306344065</v>
      </c>
      <c r="F1496">
        <v>207</v>
      </c>
      <c r="G1496" s="1">
        <v>5249</v>
      </c>
      <c r="H1496" s="1" t="s">
        <v>390</v>
      </c>
      <c r="J1496" s="1">
        <v>3</v>
      </c>
    </row>
    <row r="1497" spans="1:17">
      <c r="A1497" s="1" t="s">
        <v>1259</v>
      </c>
      <c r="B1497" t="s">
        <v>186</v>
      </c>
      <c r="C1497" s="1" t="s">
        <v>1261</v>
      </c>
      <c r="D1497">
        <v>206</v>
      </c>
      <c r="E1497">
        <f t="shared" si="15"/>
        <v>4.2865307677652886</v>
      </c>
      <c r="F1497">
        <v>225</v>
      </c>
      <c r="G1497" s="1">
        <v>5249</v>
      </c>
      <c r="H1497" s="1" t="s">
        <v>390</v>
      </c>
      <c r="J1497" s="1">
        <v>3</v>
      </c>
    </row>
    <row r="1498" spans="1:17">
      <c r="A1498" s="1" t="s">
        <v>1259</v>
      </c>
      <c r="B1498" t="s">
        <v>725</v>
      </c>
      <c r="C1498" s="1" t="s">
        <v>1261</v>
      </c>
      <c r="D1498">
        <v>0</v>
      </c>
      <c r="E1498">
        <f t="shared" si="15"/>
        <v>100</v>
      </c>
      <c r="F1498">
        <v>746</v>
      </c>
      <c r="G1498">
        <v>746</v>
      </c>
      <c r="H1498" s="1" t="s">
        <v>390</v>
      </c>
      <c r="J1498" s="1">
        <v>3</v>
      </c>
      <c r="K1498" t="s">
        <v>1412</v>
      </c>
      <c r="L1498" t="s">
        <v>1657</v>
      </c>
      <c r="O1498">
        <v>0.99</v>
      </c>
      <c r="Q1498" s="14" t="s">
        <v>1264</v>
      </c>
    </row>
    <row r="1499" spans="1:17">
      <c r="A1499" s="1" t="s">
        <v>1259</v>
      </c>
      <c r="B1499" t="s">
        <v>725</v>
      </c>
      <c r="C1499" s="1" t="s">
        <v>1261</v>
      </c>
      <c r="D1499">
        <v>1</v>
      </c>
      <c r="E1499">
        <f t="shared" si="15"/>
        <v>94.906166219839136</v>
      </c>
      <c r="F1499">
        <v>708</v>
      </c>
      <c r="G1499">
        <v>746</v>
      </c>
      <c r="H1499" s="1" t="s">
        <v>390</v>
      </c>
      <c r="J1499" s="1">
        <v>3</v>
      </c>
      <c r="K1499" s="2" t="s">
        <v>1385</v>
      </c>
      <c r="L1499" s="2" t="s">
        <v>1658</v>
      </c>
      <c r="M1499" s="2">
        <v>0.43519999999999998</v>
      </c>
      <c r="N1499" s="2"/>
      <c r="O1499" s="2">
        <v>0.81</v>
      </c>
      <c r="P1499">
        <v>5.0999999999999996</v>
      </c>
      <c r="Q1499" s="14" t="s">
        <v>1265</v>
      </c>
    </row>
    <row r="1500" spans="1:17">
      <c r="A1500" s="1" t="s">
        <v>1259</v>
      </c>
      <c r="B1500" t="s">
        <v>725</v>
      </c>
      <c r="C1500" s="1" t="s">
        <v>1261</v>
      </c>
      <c r="D1500">
        <v>2</v>
      </c>
      <c r="E1500">
        <f t="shared" si="15"/>
        <v>69.168900804289549</v>
      </c>
      <c r="F1500">
        <v>516</v>
      </c>
      <c r="G1500">
        <v>746</v>
      </c>
      <c r="H1500" s="1" t="s">
        <v>390</v>
      </c>
      <c r="J1500" s="1">
        <v>3</v>
      </c>
    </row>
    <row r="1501" spans="1:17">
      <c r="A1501" s="1" t="s">
        <v>1259</v>
      </c>
      <c r="B1501" t="s">
        <v>725</v>
      </c>
      <c r="C1501" s="1" t="s">
        <v>1261</v>
      </c>
      <c r="D1501">
        <v>4</v>
      </c>
      <c r="E1501">
        <f t="shared" si="15"/>
        <v>50.536193029490619</v>
      </c>
      <c r="F1501">
        <v>377</v>
      </c>
      <c r="G1501">
        <v>746</v>
      </c>
      <c r="H1501" s="1" t="s">
        <v>390</v>
      </c>
      <c r="J1501" s="1">
        <v>3</v>
      </c>
    </row>
    <row r="1502" spans="1:17">
      <c r="A1502" s="1" t="s">
        <v>1259</v>
      </c>
      <c r="B1502" t="s">
        <v>725</v>
      </c>
      <c r="C1502" s="1" t="s">
        <v>1261</v>
      </c>
      <c r="D1502">
        <v>7</v>
      </c>
      <c r="E1502">
        <f t="shared" si="15"/>
        <v>42.091152815013402</v>
      </c>
      <c r="F1502">
        <v>314</v>
      </c>
      <c r="G1502">
        <v>746</v>
      </c>
      <c r="H1502" s="1" t="s">
        <v>390</v>
      </c>
      <c r="J1502" s="1">
        <v>3</v>
      </c>
    </row>
    <row r="1503" spans="1:17">
      <c r="A1503" s="1" t="s">
        <v>1259</v>
      </c>
      <c r="B1503" t="s">
        <v>725</v>
      </c>
      <c r="C1503" s="1" t="s">
        <v>1261</v>
      </c>
      <c r="D1503">
        <v>12</v>
      </c>
      <c r="E1503">
        <f t="shared" si="15"/>
        <v>26.675603217158177</v>
      </c>
      <c r="F1503">
        <v>199</v>
      </c>
      <c r="G1503">
        <v>746</v>
      </c>
      <c r="H1503" s="1" t="s">
        <v>390</v>
      </c>
      <c r="J1503" s="1">
        <v>3</v>
      </c>
    </row>
    <row r="1504" spans="1:17">
      <c r="A1504" s="1" t="s">
        <v>1259</v>
      </c>
      <c r="B1504" t="s">
        <v>725</v>
      </c>
      <c r="C1504" s="1" t="s">
        <v>1261</v>
      </c>
      <c r="D1504">
        <v>17</v>
      </c>
      <c r="E1504">
        <f t="shared" si="15"/>
        <v>25.603217158176943</v>
      </c>
      <c r="F1504">
        <v>191</v>
      </c>
      <c r="G1504">
        <v>746</v>
      </c>
      <c r="H1504" s="1" t="s">
        <v>390</v>
      </c>
      <c r="J1504" s="1">
        <v>3</v>
      </c>
    </row>
    <row r="1505" spans="1:18">
      <c r="A1505" s="1" t="s">
        <v>1259</v>
      </c>
      <c r="B1505" t="s">
        <v>725</v>
      </c>
      <c r="C1505" s="1" t="s">
        <v>1261</v>
      </c>
      <c r="D1505">
        <v>27</v>
      </c>
      <c r="E1505">
        <f t="shared" si="15"/>
        <v>21.849865951742629</v>
      </c>
      <c r="F1505">
        <v>163</v>
      </c>
      <c r="G1505">
        <v>746</v>
      </c>
      <c r="H1505" s="1" t="s">
        <v>390</v>
      </c>
      <c r="J1505" s="1">
        <v>3</v>
      </c>
    </row>
    <row r="1506" spans="1:18">
      <c r="A1506" s="1" t="s">
        <v>1259</v>
      </c>
      <c r="B1506" t="s">
        <v>725</v>
      </c>
      <c r="C1506" s="1" t="s">
        <v>1261</v>
      </c>
      <c r="D1506">
        <v>57</v>
      </c>
      <c r="E1506">
        <f t="shared" si="15"/>
        <v>7.6407506702412862</v>
      </c>
      <c r="F1506">
        <v>57</v>
      </c>
      <c r="G1506">
        <v>746</v>
      </c>
      <c r="H1506" s="1" t="s">
        <v>390</v>
      </c>
      <c r="J1506" s="1">
        <v>3</v>
      </c>
    </row>
    <row r="1507" spans="1:18">
      <c r="A1507" s="1" t="s">
        <v>1259</v>
      </c>
      <c r="B1507" t="s">
        <v>725</v>
      </c>
      <c r="C1507" s="1" t="s">
        <v>1261</v>
      </c>
      <c r="D1507">
        <v>87</v>
      </c>
      <c r="E1507">
        <f t="shared" si="15"/>
        <v>3.8873994638069704</v>
      </c>
      <c r="F1507">
        <v>29</v>
      </c>
      <c r="G1507">
        <v>746</v>
      </c>
      <c r="H1507" s="1" t="s">
        <v>390</v>
      </c>
      <c r="J1507" s="1">
        <v>3</v>
      </c>
    </row>
    <row r="1508" spans="1:18">
      <c r="A1508" s="1" t="s">
        <v>1259</v>
      </c>
      <c r="B1508" t="s">
        <v>725</v>
      </c>
      <c r="C1508" s="1" t="s">
        <v>1261</v>
      </c>
      <c r="D1508">
        <v>117</v>
      </c>
      <c r="E1508">
        <f t="shared" si="15"/>
        <v>2.8150134048257374</v>
      </c>
      <c r="F1508">
        <v>21</v>
      </c>
      <c r="G1508">
        <v>746</v>
      </c>
      <c r="H1508" s="1" t="s">
        <v>390</v>
      </c>
      <c r="J1508" s="1">
        <v>3</v>
      </c>
    </row>
    <row r="1509" spans="1:18">
      <c r="A1509" s="1" t="s">
        <v>1259</v>
      </c>
      <c r="B1509" t="s">
        <v>725</v>
      </c>
      <c r="C1509" s="1" t="s">
        <v>1261</v>
      </c>
      <c r="D1509">
        <v>147</v>
      </c>
      <c r="E1509">
        <f t="shared" si="15"/>
        <v>2.8150134048257374</v>
      </c>
      <c r="F1509">
        <v>21</v>
      </c>
      <c r="G1509">
        <v>746</v>
      </c>
      <c r="H1509" s="1" t="s">
        <v>390</v>
      </c>
      <c r="J1509" s="1">
        <v>3</v>
      </c>
    </row>
    <row r="1510" spans="1:18">
      <c r="A1510" s="1" t="s">
        <v>1259</v>
      </c>
      <c r="B1510" t="s">
        <v>725</v>
      </c>
      <c r="C1510" s="1" t="s">
        <v>1261</v>
      </c>
      <c r="D1510">
        <v>177</v>
      </c>
      <c r="E1510">
        <f t="shared" si="15"/>
        <v>3.6193029490616624</v>
      </c>
      <c r="F1510">
        <v>27</v>
      </c>
      <c r="G1510">
        <v>746</v>
      </c>
      <c r="H1510" s="1" t="s">
        <v>390</v>
      </c>
      <c r="J1510" s="1">
        <v>3</v>
      </c>
    </row>
    <row r="1511" spans="1:18">
      <c r="A1511" s="1" t="s">
        <v>1259</v>
      </c>
      <c r="B1511" t="s">
        <v>725</v>
      </c>
      <c r="C1511" s="1" t="s">
        <v>1261</v>
      </c>
      <c r="D1511">
        <v>207</v>
      </c>
      <c r="E1511">
        <f t="shared" si="15"/>
        <v>2.8150134048257374</v>
      </c>
      <c r="F1511">
        <v>21</v>
      </c>
      <c r="G1511">
        <v>746</v>
      </c>
      <c r="H1511" s="1" t="s">
        <v>390</v>
      </c>
      <c r="J1511" s="1">
        <v>3</v>
      </c>
    </row>
    <row r="1512" spans="1:18" ht="17" customHeight="1">
      <c r="A1512" s="1" t="s">
        <v>1182</v>
      </c>
      <c r="B1512" t="s">
        <v>1194</v>
      </c>
      <c r="C1512" s="1" t="s">
        <v>1271</v>
      </c>
      <c r="D1512">
        <v>0</v>
      </c>
      <c r="E1512">
        <v>100</v>
      </c>
      <c r="F1512">
        <v>100</v>
      </c>
      <c r="G1512">
        <v>100</v>
      </c>
      <c r="H1512" s="1" t="s">
        <v>1069</v>
      </c>
      <c r="J1512" s="1">
        <v>1</v>
      </c>
      <c r="K1512" t="s">
        <v>1412</v>
      </c>
      <c r="L1512" t="s">
        <v>1659</v>
      </c>
      <c r="O1512">
        <v>0.998</v>
      </c>
      <c r="Q1512" t="s">
        <v>1461</v>
      </c>
      <c r="R1512" t="s">
        <v>1661</v>
      </c>
    </row>
    <row r="1513" spans="1:18" ht="17" customHeight="1">
      <c r="A1513" s="1" t="s">
        <v>1182</v>
      </c>
      <c r="B1513" t="s">
        <v>1194</v>
      </c>
      <c r="C1513" s="1" t="s">
        <v>1271</v>
      </c>
      <c r="D1513">
        <v>14</v>
      </c>
      <c r="E1513">
        <v>49</v>
      </c>
      <c r="F1513">
        <v>49</v>
      </c>
      <c r="G1513">
        <v>100</v>
      </c>
      <c r="H1513" s="1" t="s">
        <v>1069</v>
      </c>
      <c r="J1513" s="1">
        <v>1</v>
      </c>
      <c r="K1513" s="12" t="s">
        <v>1385</v>
      </c>
      <c r="L1513" s="12" t="s">
        <v>1660</v>
      </c>
      <c r="M1513" s="12">
        <v>6.2700000000000006E-2</v>
      </c>
      <c r="N1513" s="12"/>
      <c r="O1513" s="12">
        <v>0.99</v>
      </c>
      <c r="P1513">
        <v>11.1</v>
      </c>
    </row>
    <row r="1514" spans="1:18" ht="17" customHeight="1">
      <c r="A1514" s="1" t="s">
        <v>1182</v>
      </c>
      <c r="B1514" t="s">
        <v>1194</v>
      </c>
      <c r="C1514" s="1" t="s">
        <v>1271</v>
      </c>
      <c r="D1514">
        <v>28</v>
      </c>
      <c r="E1514">
        <v>30</v>
      </c>
      <c r="F1514">
        <v>30</v>
      </c>
      <c r="G1514">
        <v>100</v>
      </c>
      <c r="H1514" s="1" t="s">
        <v>1069</v>
      </c>
      <c r="J1514" s="1">
        <v>1</v>
      </c>
    </row>
    <row r="1515" spans="1:18" ht="17" customHeight="1">
      <c r="A1515" s="1" t="s">
        <v>1182</v>
      </c>
      <c r="B1515" t="s">
        <v>1194</v>
      </c>
      <c r="C1515" s="1" t="s">
        <v>1271</v>
      </c>
      <c r="D1515">
        <v>56</v>
      </c>
      <c r="E1515">
        <v>23</v>
      </c>
      <c r="F1515">
        <v>23</v>
      </c>
      <c r="G1515">
        <v>100</v>
      </c>
      <c r="H1515" s="1" t="s">
        <v>1069</v>
      </c>
      <c r="J1515" s="1">
        <v>1</v>
      </c>
    </row>
    <row r="1516" spans="1:18" ht="17" customHeight="1">
      <c r="A1516" s="1" t="s">
        <v>1182</v>
      </c>
      <c r="B1516" t="s">
        <v>1194</v>
      </c>
      <c r="C1516" s="1" t="s">
        <v>1271</v>
      </c>
      <c r="D1516">
        <v>112</v>
      </c>
      <c r="E1516">
        <v>15</v>
      </c>
      <c r="F1516">
        <v>15</v>
      </c>
      <c r="G1516">
        <v>100</v>
      </c>
      <c r="H1516" s="1" t="s">
        <v>1069</v>
      </c>
      <c r="J1516" s="1">
        <v>1</v>
      </c>
    </row>
    <row r="1517" spans="1:18">
      <c r="A1517" s="1" t="s">
        <v>1182</v>
      </c>
      <c r="B1517" t="s">
        <v>1194</v>
      </c>
      <c r="C1517" s="1" t="s">
        <v>1271</v>
      </c>
      <c r="D1517">
        <v>168</v>
      </c>
      <c r="E1517">
        <v>12</v>
      </c>
      <c r="F1517">
        <v>12</v>
      </c>
      <c r="G1517">
        <v>100</v>
      </c>
      <c r="H1517" s="1" t="s">
        <v>1069</v>
      </c>
      <c r="J1517" s="1">
        <v>1</v>
      </c>
    </row>
    <row r="1518" spans="1:18" ht="16">
      <c r="A1518" s="1" t="s">
        <v>1182</v>
      </c>
      <c r="B1518" t="s">
        <v>186</v>
      </c>
      <c r="C1518" s="1" t="s">
        <v>1271</v>
      </c>
      <c r="D1518">
        <v>0</v>
      </c>
      <c r="E1518">
        <f t="shared" ref="E1518:E1523" si="16">(F1518/G1518)*100</f>
        <v>100</v>
      </c>
      <c r="F1518" s="18">
        <v>5.87</v>
      </c>
      <c r="G1518" s="18">
        <v>5.87</v>
      </c>
      <c r="H1518" t="s">
        <v>1717</v>
      </c>
      <c r="J1518" s="1"/>
      <c r="K1518" t="s">
        <v>181</v>
      </c>
      <c r="L1518" t="s">
        <v>2356</v>
      </c>
      <c r="Q1518" t="s">
        <v>2128</v>
      </c>
    </row>
    <row r="1519" spans="1:18" ht="16">
      <c r="A1519" s="1" t="s">
        <v>1182</v>
      </c>
      <c r="B1519" t="s">
        <v>186</v>
      </c>
      <c r="C1519" s="1" t="s">
        <v>1271</v>
      </c>
      <c r="D1519">
        <v>14</v>
      </c>
      <c r="E1519">
        <f t="shared" si="16"/>
        <v>461.66950596252133</v>
      </c>
      <c r="F1519" s="18">
        <v>27.1</v>
      </c>
      <c r="G1519" s="18">
        <v>5.87</v>
      </c>
      <c r="H1519" t="s">
        <v>1717</v>
      </c>
      <c r="J1519" s="1"/>
    </row>
    <row r="1520" spans="1:18" ht="16">
      <c r="A1520" s="1" t="s">
        <v>1182</v>
      </c>
      <c r="B1520" t="s">
        <v>186</v>
      </c>
      <c r="C1520" s="1" t="s">
        <v>1271</v>
      </c>
      <c r="D1520">
        <v>28</v>
      </c>
      <c r="E1520">
        <f t="shared" si="16"/>
        <v>255.7069846678024</v>
      </c>
      <c r="F1520" s="18">
        <v>15.01</v>
      </c>
      <c r="G1520" s="18">
        <v>5.87</v>
      </c>
      <c r="H1520" t="s">
        <v>1717</v>
      </c>
      <c r="J1520" s="1"/>
    </row>
    <row r="1521" spans="1:19" ht="16">
      <c r="A1521" s="1" t="s">
        <v>1182</v>
      </c>
      <c r="B1521" t="s">
        <v>186</v>
      </c>
      <c r="C1521" s="1" t="s">
        <v>1271</v>
      </c>
      <c r="D1521">
        <v>56</v>
      </c>
      <c r="E1521">
        <f t="shared" si="16"/>
        <v>375.12776831345826</v>
      </c>
      <c r="F1521" s="18">
        <v>22.02</v>
      </c>
      <c r="G1521" s="18">
        <v>5.87</v>
      </c>
      <c r="H1521" t="s">
        <v>1717</v>
      </c>
      <c r="J1521" s="1"/>
    </row>
    <row r="1522" spans="1:19" ht="16">
      <c r="A1522" s="1" t="s">
        <v>1182</v>
      </c>
      <c r="B1522" t="s">
        <v>186</v>
      </c>
      <c r="C1522" s="1" t="s">
        <v>1271</v>
      </c>
      <c r="D1522">
        <v>112</v>
      </c>
      <c r="E1522">
        <f t="shared" si="16"/>
        <v>84.872231686541738</v>
      </c>
      <c r="F1522" s="18">
        <v>4.9820000000000002</v>
      </c>
      <c r="G1522" s="18">
        <v>5.87</v>
      </c>
      <c r="H1522" t="s">
        <v>1717</v>
      </c>
      <c r="J1522" s="1"/>
    </row>
    <row r="1523" spans="1:19" ht="16">
      <c r="A1523" s="1" t="s">
        <v>1182</v>
      </c>
      <c r="B1523" t="s">
        <v>186</v>
      </c>
      <c r="C1523" s="1" t="s">
        <v>1271</v>
      </c>
      <c r="D1523">
        <v>168</v>
      </c>
      <c r="E1523">
        <f t="shared" si="16"/>
        <v>55.144804088586028</v>
      </c>
      <c r="F1523" s="18">
        <v>3.2370000000000001</v>
      </c>
      <c r="G1523" s="18">
        <v>5.87</v>
      </c>
      <c r="H1523" t="s">
        <v>1717</v>
      </c>
      <c r="J1523" s="1"/>
    </row>
    <row r="1524" spans="1:19">
      <c r="A1524" s="1" t="s">
        <v>1278</v>
      </c>
      <c r="B1524" t="s">
        <v>1277</v>
      </c>
      <c r="C1524" s="1" t="s">
        <v>1279</v>
      </c>
      <c r="D1524">
        <v>0</v>
      </c>
      <c r="E1524">
        <f t="shared" ref="E1524:E1546" si="17">F1524/G1524*100</f>
        <v>100</v>
      </c>
      <c r="F1524">
        <v>30.2</v>
      </c>
      <c r="G1524">
        <v>30.2</v>
      </c>
      <c r="H1524" t="s">
        <v>1280</v>
      </c>
      <c r="I1524" t="s">
        <v>1281</v>
      </c>
      <c r="J1524">
        <v>5</v>
      </c>
      <c r="K1524" t="s">
        <v>1399</v>
      </c>
      <c r="L1524" t="s">
        <v>1662</v>
      </c>
      <c r="Q1524" t="s">
        <v>1394</v>
      </c>
    </row>
    <row r="1525" spans="1:19">
      <c r="A1525" s="1" t="s">
        <v>1278</v>
      </c>
      <c r="B1525" t="s">
        <v>1277</v>
      </c>
      <c r="C1525" s="1" t="s">
        <v>1279</v>
      </c>
      <c r="D1525">
        <v>7</v>
      </c>
      <c r="E1525">
        <f t="shared" si="17"/>
        <v>91.059602649006621</v>
      </c>
      <c r="F1525">
        <v>27.5</v>
      </c>
      <c r="G1525">
        <v>30.2</v>
      </c>
      <c r="H1525" t="s">
        <v>1280</v>
      </c>
      <c r="I1525" t="s">
        <v>1281</v>
      </c>
      <c r="J1525">
        <v>5</v>
      </c>
      <c r="K1525" s="9" t="s">
        <v>1396</v>
      </c>
      <c r="L1525" s="9" t="s">
        <v>2424</v>
      </c>
      <c r="M1525" s="9"/>
      <c r="N1525" s="9"/>
      <c r="O1525" s="9">
        <v>0.96</v>
      </c>
    </row>
    <row r="1526" spans="1:19">
      <c r="A1526" s="1" t="s">
        <v>1278</v>
      </c>
      <c r="B1526" t="s">
        <v>1277</v>
      </c>
      <c r="C1526" s="1" t="s">
        <v>1279</v>
      </c>
      <c r="D1526">
        <v>11</v>
      </c>
      <c r="E1526">
        <f t="shared" si="17"/>
        <v>74.83443708609272</v>
      </c>
      <c r="F1526">
        <v>22.6</v>
      </c>
      <c r="G1526">
        <v>30.2</v>
      </c>
      <c r="H1526" t="s">
        <v>1280</v>
      </c>
      <c r="I1526" t="s">
        <v>1281</v>
      </c>
      <c r="J1526">
        <v>5</v>
      </c>
    </row>
    <row r="1527" spans="1:19">
      <c r="A1527" s="1" t="s">
        <v>1278</v>
      </c>
      <c r="B1527" t="s">
        <v>1277</v>
      </c>
      <c r="C1527" s="1" t="s">
        <v>1279</v>
      </c>
      <c r="D1527">
        <v>22</v>
      </c>
      <c r="E1527">
        <f t="shared" si="17"/>
        <v>59.602649006622521</v>
      </c>
      <c r="F1527">
        <v>18</v>
      </c>
      <c r="G1527">
        <v>30.2</v>
      </c>
      <c r="H1527" t="s">
        <v>1280</v>
      </c>
      <c r="I1527" t="s">
        <v>1281</v>
      </c>
      <c r="J1527">
        <v>5</v>
      </c>
    </row>
    <row r="1528" spans="1:19">
      <c r="A1528" s="1" t="s">
        <v>1278</v>
      </c>
      <c r="B1528" t="s">
        <v>725</v>
      </c>
      <c r="C1528" s="1" t="s">
        <v>1279</v>
      </c>
      <c r="D1528">
        <v>0</v>
      </c>
      <c r="E1528">
        <f t="shared" si="17"/>
        <v>100</v>
      </c>
      <c r="F1528">
        <v>25.7</v>
      </c>
      <c r="G1528">
        <v>25.7</v>
      </c>
      <c r="H1528" t="s">
        <v>1280</v>
      </c>
      <c r="I1528" t="s">
        <v>1282</v>
      </c>
      <c r="J1528">
        <v>5</v>
      </c>
      <c r="K1528" s="1" t="s">
        <v>1385</v>
      </c>
      <c r="L1528" s="1" t="s">
        <v>1663</v>
      </c>
      <c r="M1528" s="1">
        <v>0.1169</v>
      </c>
      <c r="N1528" s="1"/>
      <c r="O1528" s="1">
        <v>0.97</v>
      </c>
      <c r="P1528">
        <v>6</v>
      </c>
      <c r="Q1528" t="s">
        <v>1284</v>
      </c>
      <c r="R1528">
        <v>8.4699999999999998E-2</v>
      </c>
    </row>
    <row r="1529" spans="1:19">
      <c r="A1529" s="1" t="s">
        <v>1278</v>
      </c>
      <c r="B1529" t="s">
        <v>725</v>
      </c>
      <c r="C1529" s="1" t="s">
        <v>1279</v>
      </c>
      <c r="D1529">
        <v>7</v>
      </c>
      <c r="E1529">
        <f t="shared" si="17"/>
        <v>56.031128404669261</v>
      </c>
      <c r="F1529">
        <v>14.4</v>
      </c>
      <c r="G1529">
        <v>25.7</v>
      </c>
      <c r="H1529" t="s">
        <v>1280</v>
      </c>
      <c r="I1529" t="s">
        <v>1282</v>
      </c>
      <c r="J1529">
        <v>5</v>
      </c>
    </row>
    <row r="1530" spans="1:19">
      <c r="A1530" s="1" t="s">
        <v>1278</v>
      </c>
      <c r="B1530" t="s">
        <v>725</v>
      </c>
      <c r="C1530" s="1" t="s">
        <v>1279</v>
      </c>
      <c r="D1530">
        <v>11</v>
      </c>
      <c r="E1530">
        <f t="shared" si="17"/>
        <v>33.07392996108949</v>
      </c>
      <c r="F1530">
        <v>8.5</v>
      </c>
      <c r="G1530">
        <v>25.7</v>
      </c>
      <c r="H1530" t="s">
        <v>1280</v>
      </c>
      <c r="I1530" t="s">
        <v>1282</v>
      </c>
      <c r="J1530">
        <v>5</v>
      </c>
    </row>
    <row r="1531" spans="1:19">
      <c r="A1531" s="1" t="s">
        <v>1278</v>
      </c>
      <c r="B1531" t="s">
        <v>725</v>
      </c>
      <c r="C1531" s="1" t="s">
        <v>1279</v>
      </c>
      <c r="D1531">
        <v>22</v>
      </c>
      <c r="E1531">
        <f t="shared" si="17"/>
        <v>21.789883268482491</v>
      </c>
      <c r="F1531">
        <v>5.6</v>
      </c>
      <c r="G1531">
        <v>25.7</v>
      </c>
      <c r="H1531" t="s">
        <v>1280</v>
      </c>
      <c r="I1531" t="s">
        <v>1282</v>
      </c>
      <c r="J1531">
        <v>5</v>
      </c>
    </row>
    <row r="1532" spans="1:19">
      <c r="A1532" s="1" t="s">
        <v>1278</v>
      </c>
      <c r="B1532" t="s">
        <v>186</v>
      </c>
      <c r="C1532" s="1" t="s">
        <v>1279</v>
      </c>
      <c r="D1532">
        <v>0</v>
      </c>
      <c r="E1532">
        <f t="shared" si="17"/>
        <v>100</v>
      </c>
      <c r="F1532">
        <v>4.7</v>
      </c>
      <c r="G1532">
        <v>4.7</v>
      </c>
      <c r="H1532" t="s">
        <v>1280</v>
      </c>
      <c r="I1532" t="s">
        <v>1283</v>
      </c>
      <c r="J1532">
        <v>5</v>
      </c>
      <c r="K1532" s="1" t="s">
        <v>1385</v>
      </c>
      <c r="L1532" s="1" t="s">
        <v>1664</v>
      </c>
      <c r="M1532" s="1">
        <v>0.35630000000000001</v>
      </c>
      <c r="N1532" s="1"/>
      <c r="O1532" s="1">
        <v>1</v>
      </c>
      <c r="P1532">
        <v>1.9</v>
      </c>
      <c r="Q1532" t="s">
        <v>1394</v>
      </c>
    </row>
    <row r="1533" spans="1:19">
      <c r="A1533" s="1" t="s">
        <v>1278</v>
      </c>
      <c r="B1533" t="s">
        <v>186</v>
      </c>
      <c r="C1533" s="1" t="s">
        <v>1279</v>
      </c>
      <c r="D1533">
        <v>7</v>
      </c>
      <c r="E1533">
        <f t="shared" si="17"/>
        <v>29.787234042553191</v>
      </c>
      <c r="F1533">
        <v>1.4</v>
      </c>
      <c r="G1533">
        <v>4.7</v>
      </c>
      <c r="H1533" t="s">
        <v>1280</v>
      </c>
      <c r="I1533" t="s">
        <v>1283</v>
      </c>
      <c r="J1533">
        <v>5</v>
      </c>
    </row>
    <row r="1534" spans="1:19">
      <c r="A1534" s="1" t="s">
        <v>1278</v>
      </c>
      <c r="B1534" t="s">
        <v>186</v>
      </c>
      <c r="C1534" s="1" t="s">
        <v>1279</v>
      </c>
      <c r="D1534">
        <v>11</v>
      </c>
      <c r="E1534">
        <f t="shared" si="17"/>
        <v>25.531914893617021</v>
      </c>
      <c r="F1534">
        <v>1.2</v>
      </c>
      <c r="G1534">
        <v>4.7</v>
      </c>
      <c r="H1534" t="s">
        <v>1280</v>
      </c>
      <c r="I1534" t="s">
        <v>1283</v>
      </c>
      <c r="J1534">
        <v>5</v>
      </c>
    </row>
    <row r="1535" spans="1:19">
      <c r="A1535" s="1" t="s">
        <v>1278</v>
      </c>
      <c r="B1535" t="s">
        <v>186</v>
      </c>
      <c r="C1535" s="1" t="s">
        <v>1279</v>
      </c>
      <c r="D1535">
        <v>22</v>
      </c>
      <c r="E1535">
        <f t="shared" si="17"/>
        <v>23.404255319148938</v>
      </c>
      <c r="F1535">
        <v>1.1000000000000001</v>
      </c>
      <c r="G1535">
        <v>4.7</v>
      </c>
      <c r="H1535" t="s">
        <v>1280</v>
      </c>
      <c r="I1535" t="s">
        <v>1283</v>
      </c>
      <c r="J1535">
        <v>5</v>
      </c>
    </row>
    <row r="1536" spans="1:19">
      <c r="A1536" s="1" t="s">
        <v>1289</v>
      </c>
      <c r="B1536" t="s">
        <v>186</v>
      </c>
      <c r="C1536" s="1" t="s">
        <v>1290</v>
      </c>
      <c r="D1536">
        <v>0</v>
      </c>
      <c r="E1536">
        <f t="shared" si="17"/>
        <v>100</v>
      </c>
      <c r="F1536">
        <v>827</v>
      </c>
      <c r="G1536">
        <v>827</v>
      </c>
      <c r="H1536" t="s">
        <v>390</v>
      </c>
      <c r="I1536" t="s">
        <v>1292</v>
      </c>
      <c r="J1536">
        <v>3</v>
      </c>
      <c r="K1536" s="1" t="s">
        <v>1385</v>
      </c>
      <c r="L1536" s="1" t="s">
        <v>1665</v>
      </c>
      <c r="M1536" s="1">
        <v>0.14000000000000001</v>
      </c>
      <c r="N1536" s="1"/>
      <c r="O1536" s="1">
        <v>0.98</v>
      </c>
      <c r="P1536">
        <v>4.8</v>
      </c>
      <c r="Q1536" t="s">
        <v>190</v>
      </c>
      <c r="S1536" s="15" t="s">
        <v>1291</v>
      </c>
    </row>
    <row r="1537" spans="1:17">
      <c r="A1537" s="1" t="s">
        <v>1289</v>
      </c>
      <c r="B1537" t="s">
        <v>186</v>
      </c>
      <c r="C1537" s="1" t="s">
        <v>1290</v>
      </c>
      <c r="D1537">
        <v>6</v>
      </c>
      <c r="E1537">
        <f t="shared" si="17"/>
        <v>53.446191051995164</v>
      </c>
      <c r="F1537">
        <v>442</v>
      </c>
      <c r="G1537">
        <v>827</v>
      </c>
      <c r="H1537" t="s">
        <v>390</v>
      </c>
      <c r="I1537" t="s">
        <v>1292</v>
      </c>
      <c r="J1537">
        <v>3</v>
      </c>
    </row>
    <row r="1538" spans="1:17">
      <c r="A1538" s="1" t="s">
        <v>1289</v>
      </c>
      <c r="B1538" t="s">
        <v>186</v>
      </c>
      <c r="C1538" s="1" t="s">
        <v>1290</v>
      </c>
      <c r="D1538">
        <v>12</v>
      </c>
      <c r="E1538">
        <f t="shared" si="17"/>
        <v>27.206771463119711</v>
      </c>
      <c r="F1538">
        <v>225</v>
      </c>
      <c r="G1538">
        <v>827</v>
      </c>
      <c r="H1538" t="s">
        <v>390</v>
      </c>
      <c r="I1538" t="s">
        <v>1292</v>
      </c>
      <c r="J1538">
        <v>3</v>
      </c>
    </row>
    <row r="1539" spans="1:17">
      <c r="A1539" s="1" t="s">
        <v>1289</v>
      </c>
      <c r="B1539" t="s">
        <v>186</v>
      </c>
      <c r="C1539" s="1" t="s">
        <v>1290</v>
      </c>
      <c r="D1539">
        <v>24</v>
      </c>
      <c r="E1539">
        <f t="shared" si="17"/>
        <v>16.324062877871825</v>
      </c>
      <c r="F1539">
        <v>135</v>
      </c>
      <c r="G1539">
        <v>827</v>
      </c>
      <c r="H1539" t="s">
        <v>390</v>
      </c>
      <c r="I1539" t="s">
        <v>1292</v>
      </c>
      <c r="J1539">
        <v>3</v>
      </c>
    </row>
    <row r="1540" spans="1:17">
      <c r="A1540" s="1" t="s">
        <v>1289</v>
      </c>
      <c r="B1540" t="s">
        <v>186</v>
      </c>
      <c r="C1540" s="1" t="s">
        <v>1290</v>
      </c>
      <c r="D1540">
        <v>34</v>
      </c>
      <c r="E1540">
        <f t="shared" si="17"/>
        <v>8.827085852478838</v>
      </c>
      <c r="F1540">
        <v>73</v>
      </c>
      <c r="G1540">
        <v>827</v>
      </c>
      <c r="H1540" t="s">
        <v>390</v>
      </c>
      <c r="I1540" t="s">
        <v>1292</v>
      </c>
      <c r="J1540">
        <v>3</v>
      </c>
    </row>
    <row r="1541" spans="1:17">
      <c r="A1541" s="1" t="s">
        <v>1289</v>
      </c>
      <c r="B1541" t="s">
        <v>186</v>
      </c>
      <c r="C1541" s="1" t="s">
        <v>1290</v>
      </c>
      <c r="D1541">
        <v>48</v>
      </c>
      <c r="E1541">
        <f t="shared" si="17"/>
        <v>14.268440145102781</v>
      </c>
      <c r="F1541">
        <v>118</v>
      </c>
      <c r="G1541">
        <v>827</v>
      </c>
      <c r="H1541" t="s">
        <v>390</v>
      </c>
      <c r="I1541" t="s">
        <v>1292</v>
      </c>
      <c r="J1541">
        <v>3</v>
      </c>
    </row>
    <row r="1542" spans="1:17">
      <c r="A1542" s="1" t="s">
        <v>1289</v>
      </c>
      <c r="B1542" t="s">
        <v>186</v>
      </c>
      <c r="C1542" s="1" t="s">
        <v>1290</v>
      </c>
      <c r="D1542">
        <v>72</v>
      </c>
      <c r="E1542">
        <f t="shared" si="17"/>
        <v>17.533252720677147</v>
      </c>
      <c r="F1542">
        <v>145</v>
      </c>
      <c r="G1542">
        <v>827</v>
      </c>
      <c r="H1542" t="s">
        <v>390</v>
      </c>
      <c r="I1542" t="s">
        <v>1292</v>
      </c>
      <c r="J1542">
        <v>3</v>
      </c>
    </row>
    <row r="1543" spans="1:17">
      <c r="A1543" s="1" t="s">
        <v>1289</v>
      </c>
      <c r="B1543" t="s">
        <v>186</v>
      </c>
      <c r="C1543" s="1" t="s">
        <v>1290</v>
      </c>
      <c r="D1543">
        <v>96</v>
      </c>
      <c r="E1543">
        <f t="shared" si="17"/>
        <v>16.444981862152357</v>
      </c>
      <c r="F1543">
        <v>136</v>
      </c>
      <c r="G1543">
        <v>827</v>
      </c>
      <c r="H1543" t="s">
        <v>390</v>
      </c>
      <c r="I1543" t="s">
        <v>1292</v>
      </c>
      <c r="J1543">
        <v>3</v>
      </c>
    </row>
    <row r="1544" spans="1:17">
      <c r="A1544" s="1" t="s">
        <v>1289</v>
      </c>
      <c r="B1544" t="s">
        <v>186</v>
      </c>
      <c r="C1544" s="1" t="s">
        <v>1290</v>
      </c>
      <c r="D1544">
        <v>119</v>
      </c>
      <c r="E1544">
        <f t="shared" si="17"/>
        <v>16.444981862152357</v>
      </c>
      <c r="F1544">
        <v>136</v>
      </c>
      <c r="G1544">
        <v>827</v>
      </c>
      <c r="H1544" t="s">
        <v>390</v>
      </c>
      <c r="I1544" t="s">
        <v>1292</v>
      </c>
      <c r="J1544">
        <v>3</v>
      </c>
    </row>
    <row r="1545" spans="1:17">
      <c r="A1545" s="1" t="s">
        <v>1289</v>
      </c>
      <c r="B1545" t="s">
        <v>186</v>
      </c>
      <c r="C1545" s="1" t="s">
        <v>1290</v>
      </c>
      <c r="D1545">
        <v>144</v>
      </c>
      <c r="E1545">
        <f t="shared" si="17"/>
        <v>9.7944377267230962</v>
      </c>
      <c r="F1545">
        <v>81</v>
      </c>
      <c r="G1545">
        <v>827</v>
      </c>
      <c r="H1545" t="s">
        <v>390</v>
      </c>
      <c r="I1545" t="s">
        <v>1292</v>
      </c>
      <c r="J1545">
        <v>3</v>
      </c>
    </row>
    <row r="1546" spans="1:17">
      <c r="A1546" s="1" t="s">
        <v>1289</v>
      </c>
      <c r="B1546" t="s">
        <v>186</v>
      </c>
      <c r="C1546" s="1" t="s">
        <v>1290</v>
      </c>
      <c r="D1546">
        <v>168</v>
      </c>
      <c r="E1546">
        <f t="shared" si="17"/>
        <v>10.278113663845224</v>
      </c>
      <c r="F1546">
        <v>85</v>
      </c>
      <c r="G1546">
        <v>827</v>
      </c>
      <c r="H1546" t="s">
        <v>390</v>
      </c>
      <c r="I1546" t="s">
        <v>1292</v>
      </c>
      <c r="J1546">
        <v>3</v>
      </c>
    </row>
    <row r="1547" spans="1:17">
      <c r="A1547" s="1" t="s">
        <v>1301</v>
      </c>
      <c r="B1547" t="s">
        <v>186</v>
      </c>
      <c r="C1547" s="1" t="s">
        <v>1202</v>
      </c>
      <c r="D1547">
        <v>0</v>
      </c>
      <c r="E1547">
        <v>100</v>
      </c>
      <c r="F1547">
        <v>100</v>
      </c>
      <c r="G1547">
        <v>100</v>
      </c>
      <c r="H1547" t="s">
        <v>428</v>
      </c>
      <c r="I1547" t="s">
        <v>217</v>
      </c>
      <c r="J1547">
        <v>3</v>
      </c>
      <c r="K1547" t="s">
        <v>1399</v>
      </c>
      <c r="L1547" t="s">
        <v>1666</v>
      </c>
      <c r="O1547">
        <v>0.99</v>
      </c>
      <c r="Q1547" t="s">
        <v>1461</v>
      </c>
    </row>
    <row r="1548" spans="1:17">
      <c r="A1548" s="1" t="s">
        <v>1301</v>
      </c>
      <c r="B1548" t="s">
        <v>186</v>
      </c>
      <c r="C1548" s="1" t="s">
        <v>1202</v>
      </c>
      <c r="D1548">
        <v>3</v>
      </c>
      <c r="E1548">
        <v>95</v>
      </c>
      <c r="F1548">
        <v>95</v>
      </c>
      <c r="G1548">
        <v>100</v>
      </c>
      <c r="H1548" t="s">
        <v>428</v>
      </c>
      <c r="I1548" t="s">
        <v>217</v>
      </c>
      <c r="J1548">
        <v>3</v>
      </c>
      <c r="K1548" s="2" t="s">
        <v>1667</v>
      </c>
      <c r="L1548" s="2" t="s">
        <v>1668</v>
      </c>
      <c r="M1548" s="2">
        <v>9.7199999999999995E-2</v>
      </c>
      <c r="N1548" s="2"/>
      <c r="O1548" s="2">
        <v>0.95</v>
      </c>
      <c r="P1548">
        <v>6.1</v>
      </c>
    </row>
    <row r="1549" spans="1:17">
      <c r="A1549" s="1" t="s">
        <v>1301</v>
      </c>
      <c r="B1549" t="s">
        <v>186</v>
      </c>
      <c r="C1549" s="1" t="s">
        <v>1202</v>
      </c>
      <c r="D1549">
        <v>5</v>
      </c>
      <c r="E1549">
        <v>81</v>
      </c>
      <c r="F1549">
        <v>81</v>
      </c>
      <c r="G1549">
        <v>100</v>
      </c>
      <c r="H1549" t="s">
        <v>428</v>
      </c>
      <c r="I1549" t="s">
        <v>217</v>
      </c>
      <c r="J1549">
        <v>3</v>
      </c>
      <c r="K1549" s="9" t="s">
        <v>181</v>
      </c>
      <c r="L1549" s="9" t="s">
        <v>2425</v>
      </c>
      <c r="O1549">
        <v>0.95</v>
      </c>
    </row>
    <row r="1550" spans="1:17">
      <c r="A1550" s="1" t="s">
        <v>1301</v>
      </c>
      <c r="B1550" t="s">
        <v>186</v>
      </c>
      <c r="C1550" s="1" t="s">
        <v>1202</v>
      </c>
      <c r="D1550">
        <v>7</v>
      </c>
      <c r="E1550">
        <v>69</v>
      </c>
      <c r="F1550">
        <v>69</v>
      </c>
      <c r="G1550">
        <v>100</v>
      </c>
      <c r="H1550" t="s">
        <v>428</v>
      </c>
      <c r="I1550" t="s">
        <v>217</v>
      </c>
      <c r="J1550">
        <v>3</v>
      </c>
    </row>
    <row r="1551" spans="1:17">
      <c r="A1551" s="1" t="s">
        <v>1301</v>
      </c>
      <c r="B1551" t="s">
        <v>186</v>
      </c>
      <c r="C1551" s="1" t="s">
        <v>1202</v>
      </c>
      <c r="D1551">
        <v>8</v>
      </c>
      <c r="E1551">
        <v>56</v>
      </c>
      <c r="F1551">
        <v>56</v>
      </c>
      <c r="G1551">
        <v>100</v>
      </c>
      <c r="H1551" t="s">
        <v>428</v>
      </c>
      <c r="I1551" t="s">
        <v>217</v>
      </c>
      <c r="J1551">
        <v>3</v>
      </c>
    </row>
    <row r="1552" spans="1:17">
      <c r="A1552" s="1" t="s">
        <v>1301</v>
      </c>
      <c r="B1552" t="s">
        <v>186</v>
      </c>
      <c r="C1552" s="1" t="s">
        <v>1202</v>
      </c>
      <c r="D1552">
        <v>9</v>
      </c>
      <c r="E1552">
        <v>51</v>
      </c>
      <c r="F1552">
        <v>51</v>
      </c>
      <c r="G1552">
        <v>100</v>
      </c>
      <c r="H1552" t="s">
        <v>428</v>
      </c>
      <c r="I1552" t="s">
        <v>217</v>
      </c>
      <c r="J1552">
        <v>3</v>
      </c>
    </row>
    <row r="1553" spans="1:18">
      <c r="A1553" s="1" t="s">
        <v>1301</v>
      </c>
      <c r="B1553" t="s">
        <v>186</v>
      </c>
      <c r="C1553" s="1" t="s">
        <v>1202</v>
      </c>
      <c r="D1553">
        <v>10</v>
      </c>
      <c r="E1553">
        <v>44</v>
      </c>
      <c r="F1553">
        <v>44</v>
      </c>
      <c r="G1553">
        <v>100</v>
      </c>
      <c r="H1553" t="s">
        <v>428</v>
      </c>
      <c r="I1553" t="s">
        <v>217</v>
      </c>
      <c r="J1553">
        <v>3</v>
      </c>
    </row>
    <row r="1554" spans="1:18">
      <c r="A1554" s="1" t="s">
        <v>1301</v>
      </c>
      <c r="B1554" t="s">
        <v>186</v>
      </c>
      <c r="C1554" s="1" t="s">
        <v>1202</v>
      </c>
      <c r="D1554">
        <v>11</v>
      </c>
      <c r="E1554">
        <v>34</v>
      </c>
      <c r="F1554">
        <v>34</v>
      </c>
      <c r="G1554">
        <v>100</v>
      </c>
      <c r="H1554" t="s">
        <v>428</v>
      </c>
      <c r="I1554" t="s">
        <v>217</v>
      </c>
      <c r="J1554">
        <v>3</v>
      </c>
    </row>
    <row r="1555" spans="1:18">
      <c r="A1555" s="1" t="s">
        <v>1301</v>
      </c>
      <c r="B1555" t="s">
        <v>186</v>
      </c>
      <c r="C1555" s="1" t="s">
        <v>1202</v>
      </c>
      <c r="D1555">
        <v>13</v>
      </c>
      <c r="E1555">
        <v>30</v>
      </c>
      <c r="F1555">
        <v>30</v>
      </c>
      <c r="G1555">
        <v>100</v>
      </c>
      <c r="H1555" t="s">
        <v>428</v>
      </c>
      <c r="I1555" t="s">
        <v>217</v>
      </c>
      <c r="J1555">
        <v>3</v>
      </c>
    </row>
    <row r="1556" spans="1:18">
      <c r="A1556" s="1" t="s">
        <v>1301</v>
      </c>
      <c r="B1556" t="s">
        <v>186</v>
      </c>
      <c r="C1556" s="1" t="s">
        <v>1202</v>
      </c>
      <c r="D1556">
        <v>15</v>
      </c>
      <c r="E1556">
        <v>29</v>
      </c>
      <c r="F1556">
        <v>29</v>
      </c>
      <c r="G1556">
        <v>100</v>
      </c>
      <c r="H1556" t="s">
        <v>428</v>
      </c>
      <c r="I1556" t="s">
        <v>217</v>
      </c>
      <c r="J1556">
        <v>3</v>
      </c>
    </row>
    <row r="1557" spans="1:18">
      <c r="A1557" s="1" t="s">
        <v>1301</v>
      </c>
      <c r="B1557" t="s">
        <v>186</v>
      </c>
      <c r="C1557" s="1" t="s">
        <v>1202</v>
      </c>
      <c r="D1557">
        <v>0</v>
      </c>
      <c r="E1557">
        <v>100</v>
      </c>
      <c r="F1557">
        <v>100</v>
      </c>
      <c r="G1557">
        <v>100</v>
      </c>
      <c r="H1557" t="s">
        <v>428</v>
      </c>
      <c r="I1557" t="s">
        <v>328</v>
      </c>
      <c r="J1557">
        <v>3</v>
      </c>
      <c r="K1557" s="12" t="s">
        <v>1385</v>
      </c>
      <c r="L1557" s="12" t="s">
        <v>1669</v>
      </c>
      <c r="M1557" s="12">
        <v>0.1525</v>
      </c>
      <c r="N1557" s="12"/>
      <c r="O1557" s="12">
        <v>0.98</v>
      </c>
      <c r="P1557">
        <v>4.4000000000000004</v>
      </c>
      <c r="Q1557" t="s">
        <v>1461</v>
      </c>
    </row>
    <row r="1558" spans="1:18">
      <c r="A1558" s="1" t="s">
        <v>1301</v>
      </c>
      <c r="B1558" t="s">
        <v>186</v>
      </c>
      <c r="C1558" s="1" t="s">
        <v>1202</v>
      </c>
      <c r="D1558">
        <v>3</v>
      </c>
      <c r="E1558">
        <v>64</v>
      </c>
      <c r="F1558">
        <v>64</v>
      </c>
      <c r="G1558">
        <v>100</v>
      </c>
      <c r="H1558" t="s">
        <v>428</v>
      </c>
      <c r="I1558" t="s">
        <v>328</v>
      </c>
      <c r="J1558">
        <v>3</v>
      </c>
      <c r="K1558" s="2" t="s">
        <v>1564</v>
      </c>
      <c r="L1558" s="2" t="s">
        <v>1670</v>
      </c>
      <c r="M1558" s="2">
        <v>0.10730000000000001</v>
      </c>
      <c r="N1558" s="2"/>
      <c r="O1558" s="2">
        <v>0.97</v>
      </c>
    </row>
    <row r="1559" spans="1:18">
      <c r="A1559" s="1" t="s">
        <v>1301</v>
      </c>
      <c r="B1559" t="s">
        <v>186</v>
      </c>
      <c r="C1559" s="1" t="s">
        <v>1202</v>
      </c>
      <c r="D1559">
        <v>5</v>
      </c>
      <c r="E1559">
        <v>50</v>
      </c>
      <c r="F1559">
        <v>50</v>
      </c>
      <c r="G1559">
        <v>100</v>
      </c>
      <c r="H1559" t="s">
        <v>428</v>
      </c>
      <c r="I1559" t="s">
        <v>328</v>
      </c>
      <c r="J1559">
        <v>3</v>
      </c>
    </row>
    <row r="1560" spans="1:18">
      <c r="A1560" s="1" t="s">
        <v>1301</v>
      </c>
      <c r="B1560" t="s">
        <v>186</v>
      </c>
      <c r="C1560" s="1" t="s">
        <v>1202</v>
      </c>
      <c r="D1560">
        <v>7</v>
      </c>
      <c r="E1560">
        <v>48</v>
      </c>
      <c r="F1560">
        <v>48</v>
      </c>
      <c r="G1560">
        <v>100</v>
      </c>
      <c r="H1560" t="s">
        <v>428</v>
      </c>
      <c r="I1560" t="s">
        <v>328</v>
      </c>
      <c r="J1560">
        <v>3</v>
      </c>
    </row>
    <row r="1561" spans="1:18">
      <c r="A1561" s="1" t="s">
        <v>1301</v>
      </c>
      <c r="B1561" t="s">
        <v>186</v>
      </c>
      <c r="C1561" s="1" t="s">
        <v>1202</v>
      </c>
      <c r="D1561">
        <v>8</v>
      </c>
      <c r="E1561">
        <v>39</v>
      </c>
      <c r="F1561">
        <v>39</v>
      </c>
      <c r="G1561">
        <v>100</v>
      </c>
      <c r="H1561" t="s">
        <v>428</v>
      </c>
      <c r="I1561" t="s">
        <v>328</v>
      </c>
      <c r="J1561">
        <v>3</v>
      </c>
    </row>
    <row r="1562" spans="1:18">
      <c r="A1562" s="1" t="s">
        <v>1301</v>
      </c>
      <c r="B1562" t="s">
        <v>186</v>
      </c>
      <c r="C1562" s="1" t="s">
        <v>1202</v>
      </c>
      <c r="D1562">
        <v>9</v>
      </c>
      <c r="E1562">
        <v>38</v>
      </c>
      <c r="F1562">
        <v>38</v>
      </c>
      <c r="G1562">
        <v>100</v>
      </c>
      <c r="H1562" t="s">
        <v>428</v>
      </c>
      <c r="I1562" t="s">
        <v>328</v>
      </c>
      <c r="J1562">
        <v>3</v>
      </c>
    </row>
    <row r="1563" spans="1:18">
      <c r="A1563" s="1" t="s">
        <v>1301</v>
      </c>
      <c r="B1563" t="s">
        <v>186</v>
      </c>
      <c r="C1563" s="1" t="s">
        <v>1202</v>
      </c>
      <c r="D1563">
        <v>10</v>
      </c>
      <c r="E1563">
        <v>37</v>
      </c>
      <c r="F1563">
        <v>37</v>
      </c>
      <c r="G1563">
        <v>100</v>
      </c>
      <c r="H1563" t="s">
        <v>428</v>
      </c>
      <c r="I1563" t="s">
        <v>328</v>
      </c>
      <c r="J1563">
        <v>3</v>
      </c>
    </row>
    <row r="1564" spans="1:18">
      <c r="A1564" s="1" t="s">
        <v>1301</v>
      </c>
      <c r="B1564" t="s">
        <v>186</v>
      </c>
      <c r="C1564" s="1" t="s">
        <v>1202</v>
      </c>
      <c r="D1564">
        <v>11</v>
      </c>
      <c r="E1564">
        <v>29</v>
      </c>
      <c r="F1564">
        <v>29</v>
      </c>
      <c r="G1564">
        <v>100</v>
      </c>
      <c r="H1564" t="s">
        <v>428</v>
      </c>
      <c r="I1564" t="s">
        <v>328</v>
      </c>
      <c r="J1564">
        <v>3</v>
      </c>
    </row>
    <row r="1565" spans="1:18">
      <c r="A1565" s="1" t="s">
        <v>1301</v>
      </c>
      <c r="B1565" t="s">
        <v>186</v>
      </c>
      <c r="C1565" s="1" t="s">
        <v>1202</v>
      </c>
      <c r="D1565">
        <v>13</v>
      </c>
      <c r="E1565">
        <v>23</v>
      </c>
      <c r="F1565">
        <v>23</v>
      </c>
      <c r="G1565">
        <v>100</v>
      </c>
      <c r="H1565" t="s">
        <v>428</v>
      </c>
      <c r="I1565" t="s">
        <v>328</v>
      </c>
      <c r="J1565">
        <v>3</v>
      </c>
    </row>
    <row r="1566" spans="1:18">
      <c r="A1566" s="1" t="s">
        <v>1301</v>
      </c>
      <c r="B1566" t="s">
        <v>186</v>
      </c>
      <c r="C1566" s="1" t="s">
        <v>1202</v>
      </c>
      <c r="D1566">
        <v>15</v>
      </c>
      <c r="E1566">
        <v>22</v>
      </c>
      <c r="F1566">
        <v>22</v>
      </c>
      <c r="G1566">
        <v>100</v>
      </c>
      <c r="H1566" t="s">
        <v>428</v>
      </c>
      <c r="I1566" t="s">
        <v>328</v>
      </c>
      <c r="J1566">
        <v>3</v>
      </c>
    </row>
    <row r="1567" spans="1:18">
      <c r="A1567" s="1" t="s">
        <v>1308</v>
      </c>
      <c r="B1567" t="s">
        <v>1194</v>
      </c>
      <c r="C1567" s="1" t="s">
        <v>1305</v>
      </c>
      <c r="D1567">
        <v>0</v>
      </c>
      <c r="E1567">
        <v>100</v>
      </c>
      <c r="F1567">
        <v>100</v>
      </c>
      <c r="G1567">
        <v>100</v>
      </c>
      <c r="H1567" t="s">
        <v>428</v>
      </c>
      <c r="I1567" t="s">
        <v>1309</v>
      </c>
      <c r="J1567">
        <v>6</v>
      </c>
      <c r="K1567" s="1" t="s">
        <v>1385</v>
      </c>
      <c r="L1567" s="1" t="s">
        <v>1671</v>
      </c>
      <c r="M1567" s="1">
        <v>7.22E-2</v>
      </c>
      <c r="N1567" s="1"/>
      <c r="O1567" s="1">
        <v>0.98</v>
      </c>
      <c r="P1567">
        <v>9.6999999999999993</v>
      </c>
      <c r="Q1567" t="s">
        <v>1461</v>
      </c>
      <c r="R1567" t="s">
        <v>1311</v>
      </c>
    </row>
    <row r="1568" spans="1:18">
      <c r="A1568" s="1" t="s">
        <v>1308</v>
      </c>
      <c r="B1568" t="s">
        <v>1194</v>
      </c>
      <c r="C1568" s="1" t="s">
        <v>1305</v>
      </c>
      <c r="D1568">
        <v>10</v>
      </c>
      <c r="E1568">
        <v>54</v>
      </c>
      <c r="F1568">
        <v>54</v>
      </c>
      <c r="G1568">
        <v>100</v>
      </c>
      <c r="H1568" t="s">
        <v>428</v>
      </c>
      <c r="I1568" t="s">
        <v>1309</v>
      </c>
      <c r="J1568">
        <v>6</v>
      </c>
    </row>
    <row r="1569" spans="1:18">
      <c r="A1569" s="1" t="s">
        <v>1308</v>
      </c>
      <c r="B1569" t="s">
        <v>1194</v>
      </c>
      <c r="C1569" s="1" t="s">
        <v>1305</v>
      </c>
      <c r="D1569">
        <v>20</v>
      </c>
      <c r="E1569">
        <v>23</v>
      </c>
      <c r="F1569">
        <v>23</v>
      </c>
      <c r="G1569">
        <v>100</v>
      </c>
      <c r="H1569" t="s">
        <v>428</v>
      </c>
      <c r="I1569" t="s">
        <v>1309</v>
      </c>
      <c r="J1569">
        <v>6</v>
      </c>
    </row>
    <row r="1570" spans="1:18">
      <c r="A1570" s="1" t="s">
        <v>1308</v>
      </c>
      <c r="B1570" t="s">
        <v>1194</v>
      </c>
      <c r="C1570" s="1" t="s">
        <v>1305</v>
      </c>
      <c r="D1570">
        <v>30</v>
      </c>
      <c r="E1570">
        <v>18</v>
      </c>
      <c r="F1570">
        <v>18</v>
      </c>
      <c r="G1570">
        <v>100</v>
      </c>
      <c r="H1570" t="s">
        <v>428</v>
      </c>
      <c r="I1570" t="s">
        <v>1309</v>
      </c>
      <c r="J1570">
        <v>6</v>
      </c>
    </row>
    <row r="1571" spans="1:18">
      <c r="A1571" s="1" t="s">
        <v>1308</v>
      </c>
      <c r="B1571" t="s">
        <v>1194</v>
      </c>
      <c r="C1571" s="1" t="s">
        <v>1305</v>
      </c>
      <c r="D1571">
        <v>0</v>
      </c>
      <c r="E1571">
        <v>100</v>
      </c>
      <c r="F1571">
        <v>100</v>
      </c>
      <c r="G1571">
        <v>100</v>
      </c>
      <c r="H1571" t="s">
        <v>428</v>
      </c>
      <c r="I1571" t="s">
        <v>1310</v>
      </c>
      <c r="J1571">
        <v>6</v>
      </c>
      <c r="K1571" s="1" t="s">
        <v>1385</v>
      </c>
      <c r="L1571" s="1" t="s">
        <v>1672</v>
      </c>
      <c r="M1571" s="1">
        <v>0.20030000000000001</v>
      </c>
      <c r="N1571" s="1"/>
      <c r="O1571" s="1">
        <v>0.998</v>
      </c>
      <c r="P1571">
        <v>3.4</v>
      </c>
      <c r="Q1571" t="s">
        <v>1461</v>
      </c>
      <c r="R1571" t="s">
        <v>1312</v>
      </c>
    </row>
    <row r="1572" spans="1:18">
      <c r="A1572" s="1" t="s">
        <v>1308</v>
      </c>
      <c r="B1572" t="s">
        <v>1194</v>
      </c>
      <c r="C1572" s="1" t="s">
        <v>1305</v>
      </c>
      <c r="D1572">
        <v>10</v>
      </c>
      <c r="E1572">
        <v>20</v>
      </c>
      <c r="F1572">
        <v>20</v>
      </c>
      <c r="G1572">
        <v>100</v>
      </c>
      <c r="H1572" t="s">
        <v>428</v>
      </c>
      <c r="I1572" t="s">
        <v>1310</v>
      </c>
      <c r="J1572">
        <v>6</v>
      </c>
    </row>
    <row r="1573" spans="1:18">
      <c r="A1573" s="1" t="s">
        <v>1308</v>
      </c>
      <c r="B1573" t="s">
        <v>1194</v>
      </c>
      <c r="C1573" s="1" t="s">
        <v>1305</v>
      </c>
      <c r="D1573">
        <v>20</v>
      </c>
      <c r="E1573">
        <v>11</v>
      </c>
      <c r="F1573">
        <v>11</v>
      </c>
      <c r="G1573">
        <v>100</v>
      </c>
      <c r="H1573" t="s">
        <v>428</v>
      </c>
      <c r="I1573" t="s">
        <v>1310</v>
      </c>
      <c r="J1573">
        <v>6</v>
      </c>
    </row>
    <row r="1574" spans="1:18">
      <c r="A1574" s="1" t="s">
        <v>1308</v>
      </c>
      <c r="B1574" t="s">
        <v>1194</v>
      </c>
      <c r="C1574" s="1" t="s">
        <v>1305</v>
      </c>
      <c r="D1574">
        <v>30</v>
      </c>
      <c r="E1574">
        <v>7</v>
      </c>
      <c r="F1574">
        <v>7</v>
      </c>
      <c r="G1574">
        <v>100</v>
      </c>
      <c r="H1574" t="s">
        <v>428</v>
      </c>
      <c r="I1574" t="s">
        <v>1310</v>
      </c>
      <c r="J1574">
        <v>6</v>
      </c>
    </row>
    <row r="1575" spans="1:18">
      <c r="A1575" t="s">
        <v>1315</v>
      </c>
      <c r="B1575" t="s">
        <v>1194</v>
      </c>
      <c r="C1575" s="1" t="s">
        <v>1326</v>
      </c>
      <c r="D1575">
        <v>0</v>
      </c>
      <c r="E1575">
        <f t="shared" ref="E1575:E1590" si="18">F1575/G1575*100</f>
        <v>100</v>
      </c>
      <c r="F1575">
        <v>800</v>
      </c>
      <c r="G1575">
        <v>800</v>
      </c>
      <c r="H1575" t="s">
        <v>1320</v>
      </c>
      <c r="I1575" t="s">
        <v>1316</v>
      </c>
      <c r="J1575">
        <v>4</v>
      </c>
      <c r="K1575" t="s">
        <v>1430</v>
      </c>
      <c r="L1575" t="s">
        <v>1673</v>
      </c>
      <c r="O1575">
        <v>0.996</v>
      </c>
      <c r="Q1575" t="s">
        <v>190</v>
      </c>
    </row>
    <row r="1576" spans="1:18">
      <c r="A1576" t="s">
        <v>1315</v>
      </c>
      <c r="B1576" t="s">
        <v>1194</v>
      </c>
      <c r="C1576" s="1" t="s">
        <v>1326</v>
      </c>
      <c r="D1576">
        <v>7</v>
      </c>
      <c r="E1576">
        <f t="shared" si="18"/>
        <v>91.625</v>
      </c>
      <c r="F1576">
        <v>733</v>
      </c>
      <c r="G1576">
        <v>800</v>
      </c>
      <c r="H1576" t="s">
        <v>1320</v>
      </c>
      <c r="I1576" t="s">
        <v>1316</v>
      </c>
      <c r="J1576">
        <v>4</v>
      </c>
      <c r="K1576" t="s">
        <v>181</v>
      </c>
      <c r="L1576" t="s">
        <v>2426</v>
      </c>
      <c r="O1576">
        <v>0.90400000000000003</v>
      </c>
    </row>
    <row r="1577" spans="1:18">
      <c r="A1577" t="s">
        <v>1315</v>
      </c>
      <c r="B1577" t="s">
        <v>1194</v>
      </c>
      <c r="C1577" s="1" t="s">
        <v>1326</v>
      </c>
      <c r="D1577">
        <v>14</v>
      </c>
      <c r="E1577">
        <f t="shared" si="18"/>
        <v>70.375</v>
      </c>
      <c r="F1577">
        <v>563</v>
      </c>
      <c r="G1577">
        <v>800</v>
      </c>
      <c r="H1577" t="s">
        <v>1320</v>
      </c>
      <c r="I1577" t="s">
        <v>1316</v>
      </c>
      <c r="J1577">
        <v>4</v>
      </c>
    </row>
    <row r="1578" spans="1:18">
      <c r="A1578" t="s">
        <v>1315</v>
      </c>
      <c r="B1578" t="s">
        <v>1194</v>
      </c>
      <c r="C1578" s="1" t="s">
        <v>1326</v>
      </c>
      <c r="D1578">
        <v>21</v>
      </c>
      <c r="E1578">
        <f t="shared" si="18"/>
        <v>27.375</v>
      </c>
      <c r="F1578">
        <v>219</v>
      </c>
      <c r="G1578">
        <v>800</v>
      </c>
      <c r="H1578" t="s">
        <v>1320</v>
      </c>
      <c r="I1578" t="s">
        <v>1316</v>
      </c>
      <c r="J1578">
        <v>4</v>
      </c>
    </row>
    <row r="1579" spans="1:18">
      <c r="A1579" t="s">
        <v>1315</v>
      </c>
      <c r="B1579" t="s">
        <v>1194</v>
      </c>
      <c r="C1579" s="1" t="s">
        <v>1326</v>
      </c>
      <c r="D1579">
        <v>0</v>
      </c>
      <c r="E1579">
        <f t="shared" si="18"/>
        <v>100</v>
      </c>
      <c r="F1579">
        <v>800</v>
      </c>
      <c r="G1579">
        <v>800</v>
      </c>
      <c r="H1579" t="s">
        <v>1320</v>
      </c>
      <c r="I1579" t="s">
        <v>1317</v>
      </c>
      <c r="J1579">
        <v>4</v>
      </c>
      <c r="K1579" s="1" t="s">
        <v>1385</v>
      </c>
      <c r="L1579" s="1" t="s">
        <v>1674</v>
      </c>
      <c r="M1579" s="1">
        <v>7.7299999999999994E-2</v>
      </c>
      <c r="N1579" s="1"/>
      <c r="O1579" s="1">
        <v>0.99</v>
      </c>
      <c r="Q1579" t="s">
        <v>190</v>
      </c>
    </row>
    <row r="1580" spans="1:18">
      <c r="A1580" t="s">
        <v>1315</v>
      </c>
      <c r="B1580" t="s">
        <v>1194</v>
      </c>
      <c r="C1580" s="1" t="s">
        <v>1326</v>
      </c>
      <c r="D1580">
        <v>7</v>
      </c>
      <c r="E1580">
        <f t="shared" si="18"/>
        <v>51.625</v>
      </c>
      <c r="F1580">
        <v>413</v>
      </c>
      <c r="G1580">
        <v>800</v>
      </c>
      <c r="H1580" t="s">
        <v>1320</v>
      </c>
      <c r="I1580" t="s">
        <v>1317</v>
      </c>
      <c r="J1580">
        <v>4</v>
      </c>
      <c r="K1580" t="s">
        <v>1394</v>
      </c>
      <c r="L1580" t="s">
        <v>1675</v>
      </c>
      <c r="M1580">
        <v>9.4899999999999998E-2</v>
      </c>
      <c r="O1580">
        <v>0.99</v>
      </c>
    </row>
    <row r="1581" spans="1:18">
      <c r="A1581" t="s">
        <v>1315</v>
      </c>
      <c r="B1581" t="s">
        <v>1194</v>
      </c>
      <c r="C1581" s="1" t="s">
        <v>1326</v>
      </c>
      <c r="D1581">
        <v>14</v>
      </c>
      <c r="E1581">
        <f t="shared" si="18"/>
        <v>29.5</v>
      </c>
      <c r="F1581">
        <v>236</v>
      </c>
      <c r="G1581">
        <v>800</v>
      </c>
      <c r="H1581" t="s">
        <v>1320</v>
      </c>
      <c r="I1581" t="s">
        <v>1317</v>
      </c>
      <c r="J1581">
        <v>4</v>
      </c>
    </row>
    <row r="1582" spans="1:18">
      <c r="A1582" t="s">
        <v>1315</v>
      </c>
      <c r="B1582" t="s">
        <v>1194</v>
      </c>
      <c r="C1582" s="1" t="s">
        <v>1326</v>
      </c>
      <c r="D1582">
        <v>21</v>
      </c>
      <c r="E1582">
        <f t="shared" si="18"/>
        <v>9.875</v>
      </c>
      <c r="F1582">
        <v>79</v>
      </c>
      <c r="G1582">
        <v>800</v>
      </c>
      <c r="H1582" t="s">
        <v>1320</v>
      </c>
      <c r="I1582" t="s">
        <v>1317</v>
      </c>
      <c r="J1582">
        <v>4</v>
      </c>
    </row>
    <row r="1583" spans="1:18">
      <c r="A1583" t="s">
        <v>1315</v>
      </c>
      <c r="B1583" t="s">
        <v>1194</v>
      </c>
      <c r="C1583" s="1" t="s">
        <v>1326</v>
      </c>
      <c r="D1583">
        <v>0</v>
      </c>
      <c r="E1583">
        <f t="shared" si="18"/>
        <v>100</v>
      </c>
      <c r="F1583">
        <v>77</v>
      </c>
      <c r="G1583">
        <v>77</v>
      </c>
      <c r="H1583" t="s">
        <v>1320</v>
      </c>
      <c r="I1583" t="s">
        <v>1318</v>
      </c>
      <c r="J1583">
        <v>4</v>
      </c>
      <c r="K1583" t="s">
        <v>2602</v>
      </c>
      <c r="Q1583" t="s">
        <v>190</v>
      </c>
    </row>
    <row r="1584" spans="1:18">
      <c r="A1584" t="s">
        <v>1315</v>
      </c>
      <c r="B1584" t="s">
        <v>1194</v>
      </c>
      <c r="C1584" s="1" t="s">
        <v>1326</v>
      </c>
      <c r="D1584">
        <v>7</v>
      </c>
      <c r="E1584">
        <f t="shared" si="18"/>
        <v>129.87012987012986</v>
      </c>
      <c r="F1584">
        <v>100</v>
      </c>
      <c r="G1584">
        <v>77</v>
      </c>
      <c r="H1584" t="s">
        <v>1320</v>
      </c>
      <c r="I1584" t="s">
        <v>1318</v>
      </c>
      <c r="J1584">
        <v>4</v>
      </c>
    </row>
    <row r="1585" spans="1:17">
      <c r="A1585" t="s">
        <v>1315</v>
      </c>
      <c r="B1585" t="s">
        <v>1194</v>
      </c>
      <c r="C1585" s="1" t="s">
        <v>1326</v>
      </c>
      <c r="D1585">
        <v>14</v>
      </c>
      <c r="E1585">
        <f t="shared" si="18"/>
        <v>112.98701298701299</v>
      </c>
      <c r="F1585">
        <v>87</v>
      </c>
      <c r="G1585">
        <v>77</v>
      </c>
      <c r="H1585" t="s">
        <v>1320</v>
      </c>
      <c r="I1585" t="s">
        <v>1318</v>
      </c>
      <c r="J1585">
        <v>4</v>
      </c>
    </row>
    <row r="1586" spans="1:17">
      <c r="A1586" t="s">
        <v>1315</v>
      </c>
      <c r="B1586" t="s">
        <v>1194</v>
      </c>
      <c r="C1586" s="1" t="s">
        <v>1326</v>
      </c>
      <c r="D1586">
        <v>21</v>
      </c>
      <c r="E1586">
        <f t="shared" si="18"/>
        <v>66.233766233766232</v>
      </c>
      <c r="F1586">
        <v>51</v>
      </c>
      <c r="G1586">
        <v>77</v>
      </c>
      <c r="H1586" t="s">
        <v>1320</v>
      </c>
      <c r="I1586" t="s">
        <v>1318</v>
      </c>
      <c r="J1586">
        <v>4</v>
      </c>
    </row>
    <row r="1587" spans="1:17">
      <c r="A1587" t="s">
        <v>1315</v>
      </c>
      <c r="B1587" t="s">
        <v>1194</v>
      </c>
      <c r="C1587" s="1" t="s">
        <v>1326</v>
      </c>
      <c r="D1587">
        <v>0</v>
      </c>
      <c r="E1587">
        <f t="shared" si="18"/>
        <v>100</v>
      </c>
      <c r="F1587">
        <v>83</v>
      </c>
      <c r="G1587">
        <v>83</v>
      </c>
      <c r="H1587" t="s">
        <v>1320</v>
      </c>
      <c r="I1587" t="s">
        <v>1319</v>
      </c>
      <c r="J1587">
        <v>4</v>
      </c>
      <c r="K1587" s="2" t="s">
        <v>1586</v>
      </c>
      <c r="L1587" s="2" t="s">
        <v>1676</v>
      </c>
      <c r="M1587" s="2"/>
      <c r="N1587" s="2">
        <v>-2.5571000000000002</v>
      </c>
      <c r="O1587" s="2">
        <v>0.71</v>
      </c>
      <c r="Q1587" t="s">
        <v>190</v>
      </c>
    </row>
    <row r="1588" spans="1:17">
      <c r="A1588" t="s">
        <v>1315</v>
      </c>
      <c r="B1588" t="s">
        <v>1194</v>
      </c>
      <c r="C1588" s="1" t="s">
        <v>1326</v>
      </c>
      <c r="D1588">
        <v>7</v>
      </c>
      <c r="E1588">
        <f t="shared" si="18"/>
        <v>66.265060240963862</v>
      </c>
      <c r="F1588">
        <v>55</v>
      </c>
      <c r="G1588">
        <v>83</v>
      </c>
      <c r="H1588" t="s">
        <v>1320</v>
      </c>
      <c r="I1588" t="s">
        <v>1319</v>
      </c>
      <c r="J1588">
        <v>4</v>
      </c>
    </row>
    <row r="1589" spans="1:17">
      <c r="A1589" t="s">
        <v>1315</v>
      </c>
      <c r="B1589" t="s">
        <v>1194</v>
      </c>
      <c r="C1589" s="1" t="s">
        <v>1326</v>
      </c>
      <c r="D1589">
        <v>14</v>
      </c>
      <c r="E1589">
        <f t="shared" si="18"/>
        <v>74.698795180722882</v>
      </c>
      <c r="F1589">
        <v>62</v>
      </c>
      <c r="G1589">
        <v>83</v>
      </c>
      <c r="H1589" t="s">
        <v>1320</v>
      </c>
      <c r="I1589" t="s">
        <v>1319</v>
      </c>
      <c r="J1589">
        <v>4</v>
      </c>
    </row>
    <row r="1590" spans="1:17">
      <c r="A1590" t="s">
        <v>1315</v>
      </c>
      <c r="B1590" t="s">
        <v>1194</v>
      </c>
      <c r="C1590" s="1" t="s">
        <v>1326</v>
      </c>
      <c r="D1590">
        <v>21</v>
      </c>
      <c r="E1590">
        <f t="shared" si="18"/>
        <v>25.301204819277107</v>
      </c>
      <c r="F1590">
        <v>21</v>
      </c>
      <c r="G1590">
        <v>83</v>
      </c>
      <c r="H1590" t="s">
        <v>1320</v>
      </c>
      <c r="I1590" t="s">
        <v>1319</v>
      </c>
      <c r="J1590">
        <v>4</v>
      </c>
    </row>
    <row r="1591" spans="1:17">
      <c r="A1591" t="s">
        <v>1324</v>
      </c>
      <c r="B1591" t="s">
        <v>1194</v>
      </c>
      <c r="C1591" s="1" t="s">
        <v>1325</v>
      </c>
      <c r="D1591">
        <v>0</v>
      </c>
      <c r="E1591">
        <v>100</v>
      </c>
      <c r="F1591">
        <v>100</v>
      </c>
      <c r="G1591">
        <v>100</v>
      </c>
      <c r="H1591" t="s">
        <v>1156</v>
      </c>
      <c r="I1591" t="s">
        <v>1327</v>
      </c>
      <c r="J1591">
        <v>3</v>
      </c>
      <c r="K1591" s="1" t="s">
        <v>1385</v>
      </c>
      <c r="L1591" s="1" t="s">
        <v>1677</v>
      </c>
      <c r="M1591" s="1">
        <v>6.7500000000000004E-2</v>
      </c>
      <c r="N1591" s="1"/>
      <c r="O1591" s="1">
        <v>0.94</v>
      </c>
      <c r="P1591">
        <v>10</v>
      </c>
      <c r="Q1591" t="s">
        <v>190</v>
      </c>
    </row>
    <row r="1592" spans="1:17">
      <c r="A1592" t="s">
        <v>1324</v>
      </c>
      <c r="B1592" t="s">
        <v>1194</v>
      </c>
      <c r="C1592" s="1" t="s">
        <v>1325</v>
      </c>
      <c r="D1592">
        <v>8</v>
      </c>
      <c r="E1592">
        <v>73</v>
      </c>
      <c r="F1592">
        <v>73</v>
      </c>
      <c r="G1592">
        <v>100</v>
      </c>
      <c r="H1592" t="s">
        <v>1156</v>
      </c>
      <c r="I1592" t="s">
        <v>1327</v>
      </c>
      <c r="J1592">
        <v>3</v>
      </c>
    </row>
    <row r="1593" spans="1:17">
      <c r="A1593" t="s">
        <v>1324</v>
      </c>
      <c r="B1593" t="s">
        <v>1194</v>
      </c>
      <c r="C1593" s="1" t="s">
        <v>1325</v>
      </c>
      <c r="D1593">
        <v>15</v>
      </c>
      <c r="E1593">
        <v>69</v>
      </c>
      <c r="F1593">
        <v>69</v>
      </c>
      <c r="G1593">
        <v>100</v>
      </c>
      <c r="H1593" t="s">
        <v>1156</v>
      </c>
      <c r="I1593" t="s">
        <v>1327</v>
      </c>
      <c r="J1593">
        <v>3</v>
      </c>
    </row>
    <row r="1594" spans="1:17">
      <c r="A1594" t="s">
        <v>1324</v>
      </c>
      <c r="B1594" t="s">
        <v>1194</v>
      </c>
      <c r="C1594" s="1" t="s">
        <v>1325</v>
      </c>
      <c r="D1594">
        <v>20</v>
      </c>
      <c r="E1594">
        <v>62</v>
      </c>
      <c r="F1594">
        <v>62</v>
      </c>
      <c r="G1594">
        <v>100</v>
      </c>
      <c r="H1594" t="s">
        <v>1156</v>
      </c>
      <c r="I1594" t="s">
        <v>1327</v>
      </c>
      <c r="J1594">
        <v>3</v>
      </c>
    </row>
    <row r="1595" spans="1:17">
      <c r="A1595" t="s">
        <v>1324</v>
      </c>
      <c r="B1595" t="s">
        <v>1194</v>
      </c>
      <c r="C1595" s="1" t="s">
        <v>1325</v>
      </c>
      <c r="D1595">
        <v>29</v>
      </c>
      <c r="E1595">
        <v>52</v>
      </c>
      <c r="F1595">
        <v>52</v>
      </c>
      <c r="G1595">
        <v>100</v>
      </c>
      <c r="H1595" t="s">
        <v>1156</v>
      </c>
      <c r="I1595" t="s">
        <v>1327</v>
      </c>
      <c r="J1595">
        <v>3</v>
      </c>
    </row>
    <row r="1596" spans="1:17">
      <c r="A1596" t="s">
        <v>1324</v>
      </c>
      <c r="B1596" t="s">
        <v>1194</v>
      </c>
      <c r="C1596" s="1" t="s">
        <v>1325</v>
      </c>
      <c r="D1596">
        <v>0</v>
      </c>
      <c r="E1596">
        <v>100</v>
      </c>
      <c r="F1596">
        <v>100</v>
      </c>
      <c r="G1596">
        <v>100</v>
      </c>
      <c r="H1596" t="s">
        <v>1156</v>
      </c>
      <c r="I1596" t="s">
        <v>1328</v>
      </c>
      <c r="J1596">
        <v>3</v>
      </c>
      <c r="K1596" s="1" t="s">
        <v>1385</v>
      </c>
      <c r="L1596" s="1" t="s">
        <v>1678</v>
      </c>
      <c r="M1596" s="1">
        <v>0.29499999999999998</v>
      </c>
      <c r="N1596" s="1"/>
      <c r="O1596" s="1">
        <v>0.97</v>
      </c>
      <c r="P1596">
        <v>2.2000000000000002</v>
      </c>
      <c r="Q1596" t="s">
        <v>190</v>
      </c>
    </row>
    <row r="1597" spans="1:17">
      <c r="A1597" t="s">
        <v>1324</v>
      </c>
      <c r="B1597" t="s">
        <v>1194</v>
      </c>
      <c r="C1597" s="1" t="s">
        <v>1325</v>
      </c>
      <c r="D1597">
        <v>8</v>
      </c>
      <c r="E1597">
        <v>66</v>
      </c>
      <c r="F1597">
        <v>66</v>
      </c>
      <c r="G1597">
        <v>100</v>
      </c>
      <c r="H1597" t="s">
        <v>1156</v>
      </c>
      <c r="I1597" t="s">
        <v>1328</v>
      </c>
      <c r="J1597">
        <v>3</v>
      </c>
    </row>
    <row r="1598" spans="1:17">
      <c r="A1598" t="s">
        <v>1324</v>
      </c>
      <c r="B1598" t="s">
        <v>1194</v>
      </c>
      <c r="C1598" s="1" t="s">
        <v>1325</v>
      </c>
      <c r="D1598">
        <v>15</v>
      </c>
      <c r="E1598">
        <v>65</v>
      </c>
      <c r="F1598">
        <v>65</v>
      </c>
      <c r="G1598">
        <v>100</v>
      </c>
      <c r="H1598" t="s">
        <v>1156</v>
      </c>
      <c r="I1598" t="s">
        <v>1328</v>
      </c>
      <c r="J1598">
        <v>3</v>
      </c>
    </row>
    <row r="1599" spans="1:17">
      <c r="A1599" t="s">
        <v>1324</v>
      </c>
      <c r="B1599" t="s">
        <v>1194</v>
      </c>
      <c r="C1599" s="1" t="s">
        <v>1325</v>
      </c>
      <c r="D1599">
        <v>20</v>
      </c>
      <c r="E1599">
        <v>65</v>
      </c>
      <c r="F1599">
        <v>65</v>
      </c>
      <c r="G1599">
        <v>100</v>
      </c>
      <c r="H1599" t="s">
        <v>1156</v>
      </c>
      <c r="I1599" t="s">
        <v>1328</v>
      </c>
      <c r="J1599">
        <v>3</v>
      </c>
    </row>
    <row r="1600" spans="1:17">
      <c r="A1600" t="s">
        <v>1324</v>
      </c>
      <c r="B1600" t="s">
        <v>1194</v>
      </c>
      <c r="C1600" s="1" t="s">
        <v>1325</v>
      </c>
      <c r="D1600">
        <v>29</v>
      </c>
      <c r="E1600">
        <v>60</v>
      </c>
      <c r="F1600">
        <v>60</v>
      </c>
      <c r="G1600">
        <v>100</v>
      </c>
      <c r="H1600" t="s">
        <v>1156</v>
      </c>
      <c r="I1600" t="s">
        <v>1328</v>
      </c>
      <c r="J1600">
        <v>3</v>
      </c>
    </row>
    <row r="1601" spans="1:17">
      <c r="A1601" t="s">
        <v>1324</v>
      </c>
      <c r="B1601" t="s">
        <v>1194</v>
      </c>
      <c r="C1601" s="1" t="s">
        <v>1325</v>
      </c>
      <c r="D1601">
        <v>0</v>
      </c>
      <c r="E1601">
        <v>100</v>
      </c>
      <c r="F1601">
        <v>100</v>
      </c>
      <c r="G1601">
        <v>100</v>
      </c>
      <c r="H1601" t="s">
        <v>1156</v>
      </c>
      <c r="I1601" t="s">
        <v>1329</v>
      </c>
      <c r="J1601">
        <v>3</v>
      </c>
      <c r="K1601" s="1" t="s">
        <v>1385</v>
      </c>
      <c r="L1601" s="1" t="s">
        <v>1679</v>
      </c>
      <c r="M1601" s="1">
        <v>0.29239999999999999</v>
      </c>
      <c r="N1601" s="1"/>
      <c r="O1601" s="1">
        <v>0.88</v>
      </c>
      <c r="P1601">
        <v>2.4</v>
      </c>
      <c r="Q1601" t="s">
        <v>190</v>
      </c>
    </row>
    <row r="1602" spans="1:17">
      <c r="A1602" t="s">
        <v>1324</v>
      </c>
      <c r="B1602" t="s">
        <v>1194</v>
      </c>
      <c r="C1602" s="1" t="s">
        <v>1325</v>
      </c>
      <c r="D1602">
        <v>8</v>
      </c>
      <c r="E1602">
        <v>68</v>
      </c>
      <c r="F1602">
        <v>68</v>
      </c>
      <c r="G1602">
        <v>100</v>
      </c>
      <c r="H1602" t="s">
        <v>1156</v>
      </c>
      <c r="I1602" t="s">
        <v>1329</v>
      </c>
      <c r="J1602">
        <v>3</v>
      </c>
    </row>
    <row r="1603" spans="1:17">
      <c r="A1603" t="s">
        <v>1324</v>
      </c>
      <c r="B1603" t="s">
        <v>1194</v>
      </c>
      <c r="C1603" s="1" t="s">
        <v>1325</v>
      </c>
      <c r="D1603">
        <v>15</v>
      </c>
      <c r="E1603">
        <v>70</v>
      </c>
      <c r="F1603">
        <v>70</v>
      </c>
      <c r="G1603">
        <v>100</v>
      </c>
      <c r="H1603" t="s">
        <v>1156</v>
      </c>
      <c r="I1603" t="s">
        <v>1329</v>
      </c>
      <c r="J1603">
        <v>3</v>
      </c>
    </row>
    <row r="1604" spans="1:17">
      <c r="A1604" t="s">
        <v>1324</v>
      </c>
      <c r="B1604" t="s">
        <v>1194</v>
      </c>
      <c r="C1604" s="1" t="s">
        <v>1325</v>
      </c>
      <c r="D1604">
        <v>20</v>
      </c>
      <c r="E1604">
        <v>69</v>
      </c>
      <c r="F1604">
        <v>69</v>
      </c>
      <c r="G1604">
        <v>100</v>
      </c>
      <c r="H1604" t="s">
        <v>1156</v>
      </c>
      <c r="I1604" t="s">
        <v>1329</v>
      </c>
      <c r="J1604">
        <v>3</v>
      </c>
    </row>
    <row r="1605" spans="1:17">
      <c r="A1605" t="s">
        <v>1324</v>
      </c>
      <c r="B1605" t="s">
        <v>1194</v>
      </c>
      <c r="C1605" s="1" t="s">
        <v>1325</v>
      </c>
      <c r="D1605">
        <v>29</v>
      </c>
      <c r="E1605">
        <v>60</v>
      </c>
      <c r="F1605">
        <v>60</v>
      </c>
      <c r="G1605">
        <v>100</v>
      </c>
      <c r="H1605" t="s">
        <v>1156</v>
      </c>
      <c r="I1605" t="s">
        <v>1329</v>
      </c>
      <c r="J1605">
        <v>3</v>
      </c>
    </row>
    <row r="1606" spans="1:17">
      <c r="A1606" t="s">
        <v>1324</v>
      </c>
      <c r="B1606" t="s">
        <v>1194</v>
      </c>
      <c r="C1606" s="1" t="s">
        <v>1325</v>
      </c>
      <c r="D1606">
        <v>0</v>
      </c>
      <c r="E1606">
        <v>100</v>
      </c>
      <c r="F1606">
        <v>100</v>
      </c>
      <c r="G1606">
        <v>100</v>
      </c>
      <c r="H1606" t="s">
        <v>1156</v>
      </c>
      <c r="I1606" t="s">
        <v>1330</v>
      </c>
      <c r="J1606">
        <v>3</v>
      </c>
      <c r="K1606" s="1" t="s">
        <v>1385</v>
      </c>
      <c r="L1606" s="1" t="s">
        <v>1680</v>
      </c>
      <c r="M1606" s="1">
        <v>6.7500000000000004E-2</v>
      </c>
      <c r="N1606" s="1"/>
      <c r="O1606" s="1">
        <v>0.95</v>
      </c>
      <c r="P1606">
        <v>10</v>
      </c>
      <c r="Q1606" t="s">
        <v>190</v>
      </c>
    </row>
    <row r="1607" spans="1:17">
      <c r="A1607" t="s">
        <v>1324</v>
      </c>
      <c r="B1607" t="s">
        <v>1194</v>
      </c>
      <c r="C1607" s="1" t="s">
        <v>1325</v>
      </c>
      <c r="D1607">
        <v>8</v>
      </c>
      <c r="E1607">
        <v>74</v>
      </c>
      <c r="F1607">
        <v>74</v>
      </c>
      <c r="G1607">
        <v>100</v>
      </c>
      <c r="H1607" t="s">
        <v>1156</v>
      </c>
      <c r="I1607" t="s">
        <v>1330</v>
      </c>
      <c r="J1607">
        <v>3</v>
      </c>
    </row>
    <row r="1608" spans="1:17">
      <c r="A1608" t="s">
        <v>1324</v>
      </c>
      <c r="B1608" t="s">
        <v>1194</v>
      </c>
      <c r="C1608" s="1" t="s">
        <v>1325</v>
      </c>
      <c r="D1608">
        <v>15</v>
      </c>
      <c r="E1608">
        <v>69</v>
      </c>
      <c r="F1608">
        <v>69</v>
      </c>
      <c r="G1608">
        <v>100</v>
      </c>
      <c r="H1608" t="s">
        <v>1156</v>
      </c>
      <c r="I1608" t="s">
        <v>1330</v>
      </c>
      <c r="J1608">
        <v>3</v>
      </c>
    </row>
    <row r="1609" spans="1:17">
      <c r="A1609" t="s">
        <v>1324</v>
      </c>
      <c r="B1609" t="s">
        <v>1194</v>
      </c>
      <c r="C1609" s="1" t="s">
        <v>1325</v>
      </c>
      <c r="D1609">
        <v>20</v>
      </c>
      <c r="E1609">
        <v>63</v>
      </c>
      <c r="F1609">
        <v>63</v>
      </c>
      <c r="G1609">
        <v>100</v>
      </c>
      <c r="H1609" t="s">
        <v>1156</v>
      </c>
      <c r="I1609" t="s">
        <v>1330</v>
      </c>
      <c r="J1609">
        <v>3</v>
      </c>
    </row>
    <row r="1610" spans="1:17">
      <c r="A1610" t="s">
        <v>1324</v>
      </c>
      <c r="B1610" t="s">
        <v>1194</v>
      </c>
      <c r="C1610" s="1" t="s">
        <v>1325</v>
      </c>
      <c r="D1610">
        <v>29</v>
      </c>
      <c r="E1610">
        <v>53</v>
      </c>
      <c r="F1610">
        <v>53</v>
      </c>
      <c r="G1610">
        <v>100</v>
      </c>
      <c r="H1610" t="s">
        <v>1156</v>
      </c>
      <c r="I1610" t="s">
        <v>1330</v>
      </c>
      <c r="J1610">
        <v>3</v>
      </c>
    </row>
    <row r="1611" spans="1:17">
      <c r="A1611" t="s">
        <v>1324</v>
      </c>
      <c r="B1611" t="s">
        <v>1194</v>
      </c>
      <c r="C1611" s="1" t="s">
        <v>448</v>
      </c>
      <c r="D1611">
        <v>0</v>
      </c>
      <c r="E1611">
        <v>100</v>
      </c>
      <c r="F1611">
        <v>100</v>
      </c>
      <c r="G1611">
        <v>100</v>
      </c>
      <c r="H1611" t="s">
        <v>1156</v>
      </c>
      <c r="I1611" t="s">
        <v>1327</v>
      </c>
      <c r="J1611">
        <v>3</v>
      </c>
      <c r="K1611" t="s">
        <v>1387</v>
      </c>
      <c r="Q1611" t="s">
        <v>190</v>
      </c>
    </row>
    <row r="1612" spans="1:17">
      <c r="A1612" t="s">
        <v>1324</v>
      </c>
      <c r="B1612" t="s">
        <v>1194</v>
      </c>
      <c r="C1612" s="1" t="s">
        <v>448</v>
      </c>
      <c r="D1612">
        <v>8</v>
      </c>
      <c r="E1612">
        <v>92</v>
      </c>
      <c r="F1612">
        <v>92</v>
      </c>
      <c r="G1612">
        <v>100</v>
      </c>
      <c r="H1612" t="s">
        <v>1156</v>
      </c>
      <c r="I1612" t="s">
        <v>1327</v>
      </c>
      <c r="J1612">
        <v>3</v>
      </c>
    </row>
    <row r="1613" spans="1:17">
      <c r="A1613" t="s">
        <v>1324</v>
      </c>
      <c r="B1613" t="s">
        <v>1194</v>
      </c>
      <c r="C1613" s="1" t="s">
        <v>448</v>
      </c>
      <c r="D1613">
        <v>15</v>
      </c>
      <c r="E1613">
        <v>101</v>
      </c>
      <c r="F1613">
        <v>101</v>
      </c>
      <c r="G1613">
        <v>100</v>
      </c>
      <c r="H1613" t="s">
        <v>1156</v>
      </c>
      <c r="I1613" t="s">
        <v>1327</v>
      </c>
      <c r="J1613">
        <v>3</v>
      </c>
    </row>
    <row r="1614" spans="1:17">
      <c r="A1614" t="s">
        <v>1324</v>
      </c>
      <c r="B1614" t="s">
        <v>1194</v>
      </c>
      <c r="C1614" s="1" t="s">
        <v>448</v>
      </c>
      <c r="D1614">
        <v>20</v>
      </c>
      <c r="E1614">
        <v>110</v>
      </c>
      <c r="F1614">
        <v>110</v>
      </c>
      <c r="G1614">
        <v>100</v>
      </c>
      <c r="H1614" t="s">
        <v>1156</v>
      </c>
      <c r="I1614" t="s">
        <v>1327</v>
      </c>
      <c r="J1614">
        <v>3</v>
      </c>
    </row>
    <row r="1615" spans="1:17">
      <c r="A1615" t="s">
        <v>1324</v>
      </c>
      <c r="B1615" t="s">
        <v>1194</v>
      </c>
      <c r="C1615" s="1" t="s">
        <v>448</v>
      </c>
      <c r="D1615">
        <v>29</v>
      </c>
      <c r="E1615">
        <v>115</v>
      </c>
      <c r="F1615">
        <v>115</v>
      </c>
      <c r="G1615">
        <v>100</v>
      </c>
      <c r="H1615" t="s">
        <v>1156</v>
      </c>
      <c r="I1615" t="s">
        <v>1327</v>
      </c>
      <c r="J1615">
        <v>3</v>
      </c>
    </row>
    <row r="1616" spans="1:17">
      <c r="A1616" t="s">
        <v>1324</v>
      </c>
      <c r="B1616" t="s">
        <v>1194</v>
      </c>
      <c r="C1616" s="1" t="s">
        <v>448</v>
      </c>
      <c r="D1616">
        <v>0</v>
      </c>
      <c r="E1616">
        <v>100</v>
      </c>
      <c r="F1616">
        <v>100</v>
      </c>
      <c r="G1616">
        <v>100</v>
      </c>
      <c r="H1616" t="s">
        <v>1156</v>
      </c>
      <c r="I1616" t="s">
        <v>1328</v>
      </c>
      <c r="J1616">
        <v>3</v>
      </c>
      <c r="K1616" t="s">
        <v>1387</v>
      </c>
      <c r="Q1616" t="s">
        <v>190</v>
      </c>
    </row>
    <row r="1617" spans="1:17">
      <c r="A1617" t="s">
        <v>1324</v>
      </c>
      <c r="B1617" t="s">
        <v>1194</v>
      </c>
      <c r="C1617" s="1" t="s">
        <v>448</v>
      </c>
      <c r="D1617">
        <v>8</v>
      </c>
      <c r="E1617">
        <v>103</v>
      </c>
      <c r="F1617">
        <v>103</v>
      </c>
      <c r="G1617">
        <v>100</v>
      </c>
      <c r="H1617" t="s">
        <v>1156</v>
      </c>
      <c r="I1617" t="s">
        <v>1328</v>
      </c>
      <c r="J1617">
        <v>3</v>
      </c>
    </row>
    <row r="1618" spans="1:17">
      <c r="A1618" t="s">
        <v>1324</v>
      </c>
      <c r="B1618" t="s">
        <v>1194</v>
      </c>
      <c r="C1618" s="1" t="s">
        <v>448</v>
      </c>
      <c r="D1618">
        <v>15</v>
      </c>
      <c r="E1618">
        <v>111</v>
      </c>
      <c r="F1618">
        <v>111</v>
      </c>
      <c r="G1618">
        <v>100</v>
      </c>
      <c r="H1618" t="s">
        <v>1156</v>
      </c>
      <c r="I1618" t="s">
        <v>1328</v>
      </c>
      <c r="J1618">
        <v>3</v>
      </c>
    </row>
    <row r="1619" spans="1:17">
      <c r="A1619" t="s">
        <v>1324</v>
      </c>
      <c r="B1619" t="s">
        <v>1194</v>
      </c>
      <c r="C1619" s="1" t="s">
        <v>448</v>
      </c>
      <c r="D1619">
        <v>20</v>
      </c>
      <c r="E1619">
        <v>118</v>
      </c>
      <c r="F1619">
        <v>118</v>
      </c>
      <c r="G1619">
        <v>100</v>
      </c>
      <c r="H1619" t="s">
        <v>1156</v>
      </c>
      <c r="I1619" t="s">
        <v>1328</v>
      </c>
      <c r="J1619">
        <v>3</v>
      </c>
    </row>
    <row r="1620" spans="1:17">
      <c r="A1620" t="s">
        <v>1324</v>
      </c>
      <c r="B1620" t="s">
        <v>1194</v>
      </c>
      <c r="C1620" s="1" t="s">
        <v>448</v>
      </c>
      <c r="D1620">
        <v>29</v>
      </c>
      <c r="E1620">
        <v>122</v>
      </c>
      <c r="F1620">
        <v>122</v>
      </c>
      <c r="G1620">
        <v>100</v>
      </c>
      <c r="H1620" t="s">
        <v>1156</v>
      </c>
      <c r="I1620" t="s">
        <v>1328</v>
      </c>
      <c r="J1620">
        <v>3</v>
      </c>
    </row>
    <row r="1621" spans="1:17">
      <c r="A1621" t="s">
        <v>1324</v>
      </c>
      <c r="B1621" t="s">
        <v>1194</v>
      </c>
      <c r="C1621" s="1" t="s">
        <v>448</v>
      </c>
      <c r="D1621">
        <v>0</v>
      </c>
      <c r="E1621">
        <v>100</v>
      </c>
      <c r="F1621">
        <v>100</v>
      </c>
      <c r="G1621">
        <v>100</v>
      </c>
      <c r="H1621" t="s">
        <v>1156</v>
      </c>
      <c r="I1621" t="s">
        <v>1329</v>
      </c>
      <c r="J1621">
        <v>3</v>
      </c>
      <c r="K1621" t="s">
        <v>1387</v>
      </c>
      <c r="Q1621" t="s">
        <v>190</v>
      </c>
    </row>
    <row r="1622" spans="1:17">
      <c r="A1622" t="s">
        <v>1324</v>
      </c>
      <c r="B1622" t="s">
        <v>1194</v>
      </c>
      <c r="C1622" s="1" t="s">
        <v>448</v>
      </c>
      <c r="D1622">
        <v>8</v>
      </c>
      <c r="E1622">
        <v>93</v>
      </c>
      <c r="F1622">
        <v>93</v>
      </c>
      <c r="G1622">
        <v>100</v>
      </c>
      <c r="H1622" t="s">
        <v>1156</v>
      </c>
      <c r="I1622" t="s">
        <v>1329</v>
      </c>
      <c r="J1622">
        <v>3</v>
      </c>
    </row>
    <row r="1623" spans="1:17">
      <c r="A1623" t="s">
        <v>1324</v>
      </c>
      <c r="B1623" t="s">
        <v>1194</v>
      </c>
      <c r="C1623" s="1" t="s">
        <v>448</v>
      </c>
      <c r="D1623">
        <v>15</v>
      </c>
      <c r="E1623">
        <v>101</v>
      </c>
      <c r="F1623">
        <v>101</v>
      </c>
      <c r="G1623">
        <v>100</v>
      </c>
      <c r="H1623" t="s">
        <v>1156</v>
      </c>
      <c r="I1623" t="s">
        <v>1329</v>
      </c>
      <c r="J1623">
        <v>3</v>
      </c>
    </row>
    <row r="1624" spans="1:17">
      <c r="A1624" t="s">
        <v>1324</v>
      </c>
      <c r="B1624" t="s">
        <v>1194</v>
      </c>
      <c r="C1624" s="1" t="s">
        <v>448</v>
      </c>
      <c r="D1624">
        <v>20</v>
      </c>
      <c r="E1624">
        <v>109</v>
      </c>
      <c r="F1624">
        <v>109</v>
      </c>
      <c r="G1624">
        <v>100</v>
      </c>
      <c r="H1624" t="s">
        <v>1156</v>
      </c>
      <c r="I1624" t="s">
        <v>1329</v>
      </c>
      <c r="J1624">
        <v>3</v>
      </c>
    </row>
    <row r="1625" spans="1:17">
      <c r="A1625" t="s">
        <v>1324</v>
      </c>
      <c r="B1625" t="s">
        <v>1194</v>
      </c>
      <c r="C1625" s="1" t="s">
        <v>448</v>
      </c>
      <c r="D1625">
        <v>29</v>
      </c>
      <c r="E1625">
        <v>111</v>
      </c>
      <c r="F1625">
        <v>111</v>
      </c>
      <c r="G1625">
        <v>100</v>
      </c>
      <c r="H1625" t="s">
        <v>1156</v>
      </c>
      <c r="I1625" t="s">
        <v>1329</v>
      </c>
      <c r="J1625">
        <v>3</v>
      </c>
    </row>
    <row r="1626" spans="1:17">
      <c r="A1626" t="s">
        <v>1324</v>
      </c>
      <c r="B1626" t="s">
        <v>1194</v>
      </c>
      <c r="C1626" s="1" t="s">
        <v>448</v>
      </c>
      <c r="D1626">
        <v>0</v>
      </c>
      <c r="E1626">
        <v>100</v>
      </c>
      <c r="F1626">
        <v>100</v>
      </c>
      <c r="G1626">
        <v>100</v>
      </c>
      <c r="H1626" t="s">
        <v>1156</v>
      </c>
      <c r="I1626" t="s">
        <v>1330</v>
      </c>
      <c r="J1626">
        <v>3</v>
      </c>
      <c r="K1626" t="s">
        <v>1387</v>
      </c>
      <c r="Q1626" t="s">
        <v>190</v>
      </c>
    </row>
    <row r="1627" spans="1:17">
      <c r="A1627" t="s">
        <v>1324</v>
      </c>
      <c r="B1627" t="s">
        <v>1194</v>
      </c>
      <c r="C1627" s="1" t="s">
        <v>448</v>
      </c>
      <c r="D1627">
        <v>8</v>
      </c>
      <c r="E1627">
        <v>93</v>
      </c>
      <c r="F1627">
        <v>93</v>
      </c>
      <c r="G1627">
        <v>100</v>
      </c>
      <c r="H1627" t="s">
        <v>1156</v>
      </c>
      <c r="I1627" t="s">
        <v>1330</v>
      </c>
      <c r="J1627">
        <v>3</v>
      </c>
    </row>
    <row r="1628" spans="1:17">
      <c r="A1628" t="s">
        <v>1324</v>
      </c>
      <c r="B1628" t="s">
        <v>1194</v>
      </c>
      <c r="C1628" s="1" t="s">
        <v>448</v>
      </c>
      <c r="D1628">
        <v>15</v>
      </c>
      <c r="E1628">
        <v>101</v>
      </c>
      <c r="F1628">
        <v>101</v>
      </c>
      <c r="G1628">
        <v>100</v>
      </c>
      <c r="H1628" t="s">
        <v>1156</v>
      </c>
      <c r="I1628" t="s">
        <v>1330</v>
      </c>
      <c r="J1628">
        <v>3</v>
      </c>
    </row>
    <row r="1629" spans="1:17">
      <c r="A1629" t="s">
        <v>1324</v>
      </c>
      <c r="B1629" t="s">
        <v>1194</v>
      </c>
      <c r="C1629" s="1" t="s">
        <v>448</v>
      </c>
      <c r="D1629">
        <v>20</v>
      </c>
      <c r="E1629">
        <v>110</v>
      </c>
      <c r="F1629">
        <v>110</v>
      </c>
      <c r="G1629">
        <v>100</v>
      </c>
      <c r="H1629" t="s">
        <v>1156</v>
      </c>
      <c r="I1629" t="s">
        <v>1330</v>
      </c>
      <c r="J1629">
        <v>3</v>
      </c>
    </row>
    <row r="1630" spans="1:17">
      <c r="A1630" t="s">
        <v>1324</v>
      </c>
      <c r="B1630" t="s">
        <v>1194</v>
      </c>
      <c r="C1630" s="1" t="s">
        <v>448</v>
      </c>
      <c r="D1630">
        <v>29</v>
      </c>
      <c r="E1630">
        <v>115</v>
      </c>
      <c r="F1630">
        <v>115</v>
      </c>
      <c r="G1630">
        <v>100</v>
      </c>
      <c r="H1630" t="s">
        <v>1156</v>
      </c>
      <c r="I1630" t="s">
        <v>1330</v>
      </c>
      <c r="J1630">
        <v>3</v>
      </c>
    </row>
    <row r="1631" spans="1:17">
      <c r="A1631" t="s">
        <v>1324</v>
      </c>
      <c r="B1631" t="s">
        <v>1194</v>
      </c>
      <c r="C1631" s="1" t="s">
        <v>1325</v>
      </c>
      <c r="D1631">
        <v>0</v>
      </c>
      <c r="E1631">
        <v>100</v>
      </c>
      <c r="F1631">
        <v>100</v>
      </c>
      <c r="G1631">
        <v>100</v>
      </c>
      <c r="H1631" t="s">
        <v>1156</v>
      </c>
      <c r="I1631" t="s">
        <v>1331</v>
      </c>
      <c r="J1631">
        <v>3</v>
      </c>
      <c r="K1631" s="9" t="s">
        <v>1564</v>
      </c>
      <c r="L1631" s="9" t="s">
        <v>1681</v>
      </c>
      <c r="M1631" s="9">
        <v>4.0599999999999997E-2</v>
      </c>
      <c r="N1631" s="9"/>
      <c r="O1631" s="9">
        <v>0.99</v>
      </c>
      <c r="Q1631" t="s">
        <v>190</v>
      </c>
    </row>
    <row r="1632" spans="1:17">
      <c r="A1632" t="s">
        <v>1324</v>
      </c>
      <c r="B1632" t="s">
        <v>1194</v>
      </c>
      <c r="C1632" s="1" t="s">
        <v>1325</v>
      </c>
      <c r="D1632">
        <v>7</v>
      </c>
      <c r="E1632">
        <v>77</v>
      </c>
      <c r="F1632">
        <v>77</v>
      </c>
      <c r="G1632">
        <v>100</v>
      </c>
      <c r="H1632" t="s">
        <v>1156</v>
      </c>
      <c r="I1632" t="s">
        <v>1331</v>
      </c>
      <c r="J1632">
        <v>3</v>
      </c>
      <c r="K1632" s="1" t="s">
        <v>1385</v>
      </c>
      <c r="L1632" s="1" t="s">
        <v>1682</v>
      </c>
      <c r="M1632" s="1">
        <v>3.4700000000000002E-2</v>
      </c>
      <c r="N1632" s="1"/>
      <c r="O1632" s="1">
        <v>0.99</v>
      </c>
    </row>
    <row r="1633" spans="1:17">
      <c r="A1633" t="s">
        <v>1324</v>
      </c>
      <c r="B1633" t="s">
        <v>1194</v>
      </c>
      <c r="C1633" s="1" t="s">
        <v>1325</v>
      </c>
      <c r="D1633">
        <v>15</v>
      </c>
      <c r="E1633">
        <v>58</v>
      </c>
      <c r="F1633">
        <v>58</v>
      </c>
      <c r="G1633">
        <v>100</v>
      </c>
      <c r="H1633" t="s">
        <v>1156</v>
      </c>
      <c r="I1633" t="s">
        <v>1331</v>
      </c>
      <c r="J1633">
        <v>3</v>
      </c>
    </row>
    <row r="1634" spans="1:17">
      <c r="A1634" t="s">
        <v>1324</v>
      </c>
      <c r="B1634" t="s">
        <v>1194</v>
      </c>
      <c r="C1634" s="1" t="s">
        <v>1325</v>
      </c>
      <c r="D1634">
        <v>20</v>
      </c>
      <c r="E1634">
        <v>42</v>
      </c>
      <c r="F1634">
        <v>42</v>
      </c>
      <c r="G1634">
        <v>100</v>
      </c>
      <c r="H1634" t="s">
        <v>1156</v>
      </c>
      <c r="I1634" t="s">
        <v>1331</v>
      </c>
      <c r="J1634">
        <v>3</v>
      </c>
    </row>
    <row r="1635" spans="1:17">
      <c r="A1635" t="s">
        <v>1324</v>
      </c>
      <c r="B1635" t="s">
        <v>1194</v>
      </c>
      <c r="C1635" s="1" t="s">
        <v>1325</v>
      </c>
      <c r="D1635">
        <v>30</v>
      </c>
      <c r="E1635">
        <v>32</v>
      </c>
      <c r="F1635">
        <v>32</v>
      </c>
      <c r="G1635">
        <v>100</v>
      </c>
      <c r="H1635" t="s">
        <v>1156</v>
      </c>
      <c r="I1635" t="s">
        <v>1331</v>
      </c>
      <c r="J1635">
        <v>3</v>
      </c>
    </row>
    <row r="1636" spans="1:17">
      <c r="A1636" t="s">
        <v>1324</v>
      </c>
      <c r="B1636" t="s">
        <v>1194</v>
      </c>
      <c r="C1636" s="1" t="s">
        <v>1325</v>
      </c>
      <c r="D1636">
        <v>70</v>
      </c>
      <c r="E1636">
        <v>1</v>
      </c>
      <c r="F1636">
        <v>1</v>
      </c>
      <c r="G1636">
        <v>100</v>
      </c>
      <c r="H1636" t="s">
        <v>1156</v>
      </c>
      <c r="I1636" t="s">
        <v>1331</v>
      </c>
      <c r="J1636">
        <v>3</v>
      </c>
    </row>
    <row r="1637" spans="1:17">
      <c r="A1637" t="s">
        <v>1324</v>
      </c>
      <c r="B1637" t="s">
        <v>1194</v>
      </c>
      <c r="C1637" s="1" t="s">
        <v>1325</v>
      </c>
      <c r="D1637">
        <v>0</v>
      </c>
      <c r="E1637">
        <v>100</v>
      </c>
      <c r="F1637">
        <v>100</v>
      </c>
      <c r="G1637">
        <v>100</v>
      </c>
      <c r="H1637" t="s">
        <v>1156</v>
      </c>
      <c r="I1637" t="s">
        <v>1332</v>
      </c>
      <c r="J1637">
        <v>3</v>
      </c>
      <c r="K1637" s="9" t="s">
        <v>1564</v>
      </c>
      <c r="L1637" s="9" t="s">
        <v>1683</v>
      </c>
      <c r="M1637" s="9">
        <v>4.0399999999999998E-2</v>
      </c>
      <c r="N1637" s="9"/>
      <c r="O1637" s="9">
        <v>0.99</v>
      </c>
      <c r="Q1637" t="s">
        <v>190</v>
      </c>
    </row>
    <row r="1638" spans="1:17">
      <c r="A1638" t="s">
        <v>1324</v>
      </c>
      <c r="B1638" t="s">
        <v>1194</v>
      </c>
      <c r="C1638" s="1" t="s">
        <v>1325</v>
      </c>
      <c r="D1638">
        <v>7</v>
      </c>
      <c r="E1638">
        <v>77</v>
      </c>
      <c r="F1638">
        <v>77</v>
      </c>
      <c r="G1638">
        <v>100</v>
      </c>
      <c r="H1638" t="s">
        <v>1156</v>
      </c>
      <c r="I1638" t="s">
        <v>1332</v>
      </c>
      <c r="J1638">
        <v>3</v>
      </c>
      <c r="K1638" s="1" t="s">
        <v>1385</v>
      </c>
      <c r="L1638" s="1" t="s">
        <v>1684</v>
      </c>
      <c r="M1638" s="1">
        <v>3.3500000000000002E-2</v>
      </c>
      <c r="N1638" s="1"/>
      <c r="O1638" s="1">
        <v>0.99</v>
      </c>
    </row>
    <row r="1639" spans="1:17">
      <c r="A1639" t="s">
        <v>1324</v>
      </c>
      <c r="B1639" t="s">
        <v>1194</v>
      </c>
      <c r="C1639" s="1" t="s">
        <v>1325</v>
      </c>
      <c r="D1639">
        <v>15</v>
      </c>
      <c r="E1639">
        <v>58</v>
      </c>
      <c r="F1639">
        <v>58</v>
      </c>
      <c r="G1639">
        <v>100</v>
      </c>
      <c r="H1639" t="s">
        <v>1156</v>
      </c>
      <c r="I1639" t="s">
        <v>1332</v>
      </c>
      <c r="J1639">
        <v>3</v>
      </c>
    </row>
    <row r="1640" spans="1:17">
      <c r="A1640" t="s">
        <v>1324</v>
      </c>
      <c r="B1640" t="s">
        <v>1194</v>
      </c>
      <c r="C1640" s="1" t="s">
        <v>1325</v>
      </c>
      <c r="D1640">
        <v>20</v>
      </c>
      <c r="E1640">
        <v>42</v>
      </c>
      <c r="F1640">
        <v>42</v>
      </c>
      <c r="G1640">
        <v>100</v>
      </c>
      <c r="H1640" t="s">
        <v>1156</v>
      </c>
      <c r="I1640" t="s">
        <v>1332</v>
      </c>
      <c r="J1640">
        <v>3</v>
      </c>
    </row>
    <row r="1641" spans="1:17">
      <c r="A1641" t="s">
        <v>1324</v>
      </c>
      <c r="B1641" t="s">
        <v>1194</v>
      </c>
      <c r="C1641" s="1" t="s">
        <v>1325</v>
      </c>
      <c r="D1641">
        <v>30</v>
      </c>
      <c r="E1641">
        <v>33</v>
      </c>
      <c r="F1641">
        <v>33</v>
      </c>
      <c r="G1641">
        <v>100</v>
      </c>
      <c r="H1641" t="s">
        <v>1156</v>
      </c>
      <c r="I1641" t="s">
        <v>1332</v>
      </c>
      <c r="J1641">
        <v>3</v>
      </c>
    </row>
    <row r="1642" spans="1:17">
      <c r="A1642" t="s">
        <v>1324</v>
      </c>
      <c r="B1642" t="s">
        <v>1194</v>
      </c>
      <c r="C1642" s="1" t="s">
        <v>1325</v>
      </c>
      <c r="D1642">
        <v>70</v>
      </c>
      <c r="E1642">
        <v>0</v>
      </c>
      <c r="F1642">
        <v>0</v>
      </c>
      <c r="G1642">
        <v>100</v>
      </c>
      <c r="H1642" t="s">
        <v>1156</v>
      </c>
      <c r="I1642" t="s">
        <v>1332</v>
      </c>
      <c r="J1642">
        <v>3</v>
      </c>
    </row>
    <row r="1643" spans="1:17">
      <c r="A1643" t="s">
        <v>1324</v>
      </c>
      <c r="B1643" t="s">
        <v>1194</v>
      </c>
      <c r="C1643" s="1" t="s">
        <v>1325</v>
      </c>
      <c r="D1643">
        <v>0</v>
      </c>
      <c r="E1643">
        <v>100</v>
      </c>
      <c r="F1643">
        <v>100</v>
      </c>
      <c r="G1643">
        <v>100</v>
      </c>
      <c r="H1643" t="s">
        <v>1156</v>
      </c>
      <c r="I1643" t="s">
        <v>1333</v>
      </c>
      <c r="J1643">
        <v>3</v>
      </c>
      <c r="K1643" s="9" t="s">
        <v>1685</v>
      </c>
      <c r="L1643" s="9" t="s">
        <v>1686</v>
      </c>
      <c r="O1643">
        <v>0.995</v>
      </c>
      <c r="Q1643" t="s">
        <v>190</v>
      </c>
    </row>
    <row r="1644" spans="1:17">
      <c r="A1644" t="s">
        <v>1324</v>
      </c>
      <c r="B1644" t="s">
        <v>1194</v>
      </c>
      <c r="C1644" s="1" t="s">
        <v>1325</v>
      </c>
      <c r="D1644">
        <v>7</v>
      </c>
      <c r="E1644">
        <v>82</v>
      </c>
      <c r="F1644">
        <v>82</v>
      </c>
      <c r="G1644">
        <v>100</v>
      </c>
      <c r="H1644" t="s">
        <v>1156</v>
      </c>
      <c r="I1644" t="s">
        <v>1333</v>
      </c>
      <c r="J1644">
        <v>3</v>
      </c>
      <c r="K1644" s="2" t="s">
        <v>1687</v>
      </c>
      <c r="L1644" s="2" t="s">
        <v>1690</v>
      </c>
      <c r="M1644" s="2">
        <v>6.3600000000000004E-2</v>
      </c>
      <c r="N1644" s="2"/>
      <c r="O1644" s="2">
        <v>0.97</v>
      </c>
      <c r="P1644">
        <v>7.7</v>
      </c>
    </row>
    <row r="1645" spans="1:17">
      <c r="A1645" t="s">
        <v>1324</v>
      </c>
      <c r="B1645" t="s">
        <v>1194</v>
      </c>
      <c r="C1645" s="1" t="s">
        <v>1325</v>
      </c>
      <c r="D1645">
        <v>15</v>
      </c>
      <c r="E1645">
        <v>56</v>
      </c>
      <c r="F1645">
        <v>56</v>
      </c>
      <c r="G1645">
        <v>100</v>
      </c>
      <c r="H1645" t="s">
        <v>1156</v>
      </c>
      <c r="I1645" t="s">
        <v>1333</v>
      </c>
      <c r="J1645">
        <v>3</v>
      </c>
      <c r="K1645" s="9" t="s">
        <v>2250</v>
      </c>
      <c r="L1645" s="9" t="s">
        <v>2357</v>
      </c>
      <c r="M1645" s="9"/>
      <c r="N1645" s="9"/>
      <c r="O1645" s="9">
        <v>0.96499999999999997</v>
      </c>
    </row>
    <row r="1646" spans="1:17">
      <c r="A1646" t="s">
        <v>1324</v>
      </c>
      <c r="B1646" t="s">
        <v>1194</v>
      </c>
      <c r="C1646" s="1" t="s">
        <v>1325</v>
      </c>
      <c r="D1646">
        <v>20</v>
      </c>
      <c r="E1646">
        <v>32</v>
      </c>
      <c r="F1646">
        <v>32</v>
      </c>
      <c r="G1646">
        <v>100</v>
      </c>
      <c r="H1646" t="s">
        <v>1156</v>
      </c>
      <c r="I1646" t="s">
        <v>1333</v>
      </c>
      <c r="J1646">
        <v>3</v>
      </c>
    </row>
    <row r="1647" spans="1:17">
      <c r="A1647" t="s">
        <v>1324</v>
      </c>
      <c r="B1647" t="s">
        <v>1194</v>
      </c>
      <c r="C1647" s="1" t="s">
        <v>1325</v>
      </c>
      <c r="D1647">
        <v>30</v>
      </c>
      <c r="E1647">
        <v>14</v>
      </c>
      <c r="F1647">
        <v>14</v>
      </c>
      <c r="G1647">
        <v>100</v>
      </c>
      <c r="H1647" t="s">
        <v>1156</v>
      </c>
      <c r="I1647" t="s">
        <v>1333</v>
      </c>
      <c r="J1647">
        <v>3</v>
      </c>
    </row>
    <row r="1648" spans="1:17">
      <c r="A1648" t="s">
        <v>1324</v>
      </c>
      <c r="B1648" t="s">
        <v>1194</v>
      </c>
      <c r="C1648" s="1" t="s">
        <v>1325</v>
      </c>
      <c r="D1648">
        <v>70</v>
      </c>
      <c r="E1648">
        <v>0</v>
      </c>
      <c r="F1648">
        <v>0</v>
      </c>
      <c r="G1648">
        <v>100</v>
      </c>
      <c r="H1648" t="s">
        <v>1156</v>
      </c>
      <c r="I1648" t="s">
        <v>1333</v>
      </c>
      <c r="J1648">
        <v>3</v>
      </c>
    </row>
    <row r="1649" spans="1:17">
      <c r="A1649" t="s">
        <v>1324</v>
      </c>
      <c r="B1649" t="s">
        <v>1194</v>
      </c>
      <c r="C1649" s="1" t="s">
        <v>1325</v>
      </c>
      <c r="D1649">
        <v>0</v>
      </c>
      <c r="E1649">
        <v>100</v>
      </c>
      <c r="F1649">
        <v>100</v>
      </c>
      <c r="G1649">
        <v>100</v>
      </c>
      <c r="H1649" t="s">
        <v>1156</v>
      </c>
      <c r="I1649" t="s">
        <v>1334</v>
      </c>
      <c r="J1649">
        <v>3</v>
      </c>
      <c r="K1649" t="s">
        <v>1399</v>
      </c>
      <c r="L1649" t="s">
        <v>1688</v>
      </c>
      <c r="O1649">
        <v>0.99</v>
      </c>
      <c r="Q1649" t="s">
        <v>190</v>
      </c>
    </row>
    <row r="1650" spans="1:17">
      <c r="A1650" t="s">
        <v>1324</v>
      </c>
      <c r="B1650" t="s">
        <v>1194</v>
      </c>
      <c r="C1650" s="1" t="s">
        <v>1325</v>
      </c>
      <c r="D1650">
        <v>7</v>
      </c>
      <c r="E1650">
        <v>85</v>
      </c>
      <c r="F1650">
        <v>85</v>
      </c>
      <c r="G1650">
        <v>100</v>
      </c>
      <c r="H1650" t="s">
        <v>1156</v>
      </c>
      <c r="I1650" t="s">
        <v>1334</v>
      </c>
      <c r="J1650">
        <v>3</v>
      </c>
      <c r="K1650" s="2" t="s">
        <v>1687</v>
      </c>
      <c r="L1650" s="2" t="s">
        <v>1689</v>
      </c>
      <c r="M1650" s="2">
        <v>3.5499999999999997E-2</v>
      </c>
      <c r="N1650" s="2"/>
      <c r="O1650" s="2">
        <v>0.99</v>
      </c>
      <c r="P1650">
        <v>12.8</v>
      </c>
    </row>
    <row r="1651" spans="1:17">
      <c r="A1651" t="s">
        <v>1324</v>
      </c>
      <c r="B1651" t="s">
        <v>1194</v>
      </c>
      <c r="C1651" s="1" t="s">
        <v>1325</v>
      </c>
      <c r="D1651">
        <v>15</v>
      </c>
      <c r="E1651">
        <v>64</v>
      </c>
      <c r="F1651">
        <v>64</v>
      </c>
      <c r="G1651">
        <v>100</v>
      </c>
      <c r="H1651" t="s">
        <v>1156</v>
      </c>
      <c r="I1651" t="s">
        <v>1334</v>
      </c>
      <c r="J1651">
        <v>3</v>
      </c>
      <c r="K1651" s="9" t="s">
        <v>2208</v>
      </c>
      <c r="L1651" s="9" t="s">
        <v>2358</v>
      </c>
      <c r="M1651" s="9">
        <v>3.7600000000000001E-2</v>
      </c>
      <c r="N1651" s="9"/>
      <c r="O1651" s="9">
        <v>0.98</v>
      </c>
    </row>
    <row r="1652" spans="1:17">
      <c r="A1652" t="s">
        <v>1324</v>
      </c>
      <c r="B1652" t="s">
        <v>1194</v>
      </c>
      <c r="C1652" s="1" t="s">
        <v>1325</v>
      </c>
      <c r="D1652">
        <v>20</v>
      </c>
      <c r="E1652">
        <v>46</v>
      </c>
      <c r="F1652">
        <v>46</v>
      </c>
      <c r="G1652">
        <v>100</v>
      </c>
      <c r="H1652" t="s">
        <v>1156</v>
      </c>
      <c r="I1652" t="s">
        <v>1334</v>
      </c>
      <c r="J1652">
        <v>3</v>
      </c>
    </row>
    <row r="1653" spans="1:17">
      <c r="A1653" t="s">
        <v>1324</v>
      </c>
      <c r="B1653" t="s">
        <v>1194</v>
      </c>
      <c r="C1653" s="1" t="s">
        <v>1325</v>
      </c>
      <c r="D1653">
        <v>30</v>
      </c>
      <c r="E1653">
        <v>34</v>
      </c>
      <c r="F1653">
        <v>34</v>
      </c>
      <c r="G1653">
        <v>100</v>
      </c>
      <c r="H1653" t="s">
        <v>1156</v>
      </c>
      <c r="I1653" t="s">
        <v>1334</v>
      </c>
      <c r="J1653">
        <v>3</v>
      </c>
    </row>
    <row r="1654" spans="1:17">
      <c r="A1654" t="s">
        <v>1324</v>
      </c>
      <c r="B1654" t="s">
        <v>1194</v>
      </c>
      <c r="C1654" s="1" t="s">
        <v>1325</v>
      </c>
      <c r="D1654">
        <v>70</v>
      </c>
      <c r="E1654">
        <v>0</v>
      </c>
      <c r="F1654">
        <v>0</v>
      </c>
      <c r="G1654">
        <v>100</v>
      </c>
      <c r="H1654" t="s">
        <v>1156</v>
      </c>
      <c r="I1654" t="s">
        <v>1334</v>
      </c>
      <c r="J1654">
        <v>3</v>
      </c>
    </row>
    <row r="1655" spans="1:17">
      <c r="A1655" t="s">
        <v>1324</v>
      </c>
      <c r="B1655" t="s">
        <v>1194</v>
      </c>
      <c r="C1655" s="1" t="s">
        <v>448</v>
      </c>
      <c r="D1655">
        <v>0</v>
      </c>
      <c r="E1655">
        <v>100</v>
      </c>
      <c r="F1655">
        <v>100</v>
      </c>
      <c r="G1655">
        <v>100</v>
      </c>
      <c r="H1655" t="s">
        <v>1156</v>
      </c>
      <c r="I1655" t="s">
        <v>1331</v>
      </c>
      <c r="J1655">
        <v>3</v>
      </c>
      <c r="K1655" s="9" t="s">
        <v>1430</v>
      </c>
      <c r="L1655" s="9" t="s">
        <v>2427</v>
      </c>
      <c r="O1655">
        <v>0.98699999999999999</v>
      </c>
      <c r="Q1655" t="s">
        <v>190</v>
      </c>
    </row>
    <row r="1656" spans="1:17">
      <c r="A1656" t="s">
        <v>1324</v>
      </c>
      <c r="B1656" t="s">
        <v>1194</v>
      </c>
      <c r="C1656" s="1" t="s">
        <v>448</v>
      </c>
      <c r="D1656">
        <v>7</v>
      </c>
      <c r="E1656">
        <v>110</v>
      </c>
      <c r="F1656">
        <v>110</v>
      </c>
      <c r="G1656">
        <v>100</v>
      </c>
      <c r="H1656" t="s">
        <v>1156</v>
      </c>
      <c r="I1656" t="s">
        <v>1331</v>
      </c>
      <c r="J1656">
        <v>3</v>
      </c>
      <c r="K1656" s="2" t="s">
        <v>1687</v>
      </c>
      <c r="L1656" s="2" t="s">
        <v>1691</v>
      </c>
      <c r="M1656" s="2">
        <v>3.1899999999999998E-2</v>
      </c>
      <c r="N1656" s="2"/>
      <c r="O1656" s="2">
        <v>0.93</v>
      </c>
      <c r="P1656">
        <v>20.7</v>
      </c>
    </row>
    <row r="1657" spans="1:17">
      <c r="A1657" t="s">
        <v>1324</v>
      </c>
      <c r="B1657" t="s">
        <v>1194</v>
      </c>
      <c r="C1657" s="1" t="s">
        <v>448</v>
      </c>
      <c r="D1657">
        <v>15</v>
      </c>
      <c r="E1657">
        <v>96</v>
      </c>
      <c r="F1657">
        <v>96</v>
      </c>
      <c r="G1657">
        <v>100</v>
      </c>
      <c r="H1657" t="s">
        <v>1156</v>
      </c>
      <c r="I1657" t="s">
        <v>1331</v>
      </c>
      <c r="J1657">
        <v>3</v>
      </c>
      <c r="K1657" s="9" t="s">
        <v>2208</v>
      </c>
      <c r="L1657" s="9" t="s">
        <v>2359</v>
      </c>
      <c r="M1657" s="9"/>
      <c r="N1657" s="9"/>
      <c r="O1657" s="9">
        <v>0.85</v>
      </c>
    </row>
    <row r="1658" spans="1:17">
      <c r="A1658" t="s">
        <v>1324</v>
      </c>
      <c r="B1658" t="s">
        <v>1194</v>
      </c>
      <c r="C1658" s="1" t="s">
        <v>448</v>
      </c>
      <c r="D1658">
        <v>20</v>
      </c>
      <c r="E1658">
        <v>73</v>
      </c>
      <c r="F1658">
        <v>73</v>
      </c>
      <c r="G1658">
        <v>100</v>
      </c>
      <c r="H1658" t="s">
        <v>1156</v>
      </c>
      <c r="I1658" t="s">
        <v>1331</v>
      </c>
      <c r="J1658">
        <v>3</v>
      </c>
    </row>
    <row r="1659" spans="1:17">
      <c r="A1659" t="s">
        <v>1324</v>
      </c>
      <c r="B1659" t="s">
        <v>1194</v>
      </c>
      <c r="C1659" s="1" t="s">
        <v>448</v>
      </c>
      <c r="D1659">
        <v>30</v>
      </c>
      <c r="E1659">
        <v>35</v>
      </c>
      <c r="F1659">
        <v>35</v>
      </c>
      <c r="G1659">
        <v>100</v>
      </c>
      <c r="H1659" t="s">
        <v>1156</v>
      </c>
      <c r="I1659" t="s">
        <v>1331</v>
      </c>
      <c r="J1659">
        <v>3</v>
      </c>
    </row>
    <row r="1660" spans="1:17">
      <c r="A1660" t="s">
        <v>1324</v>
      </c>
      <c r="B1660" t="s">
        <v>1194</v>
      </c>
      <c r="C1660" s="1" t="s">
        <v>448</v>
      </c>
      <c r="D1660">
        <v>70</v>
      </c>
      <c r="E1660">
        <v>0</v>
      </c>
      <c r="F1660">
        <v>0</v>
      </c>
      <c r="G1660">
        <v>100</v>
      </c>
      <c r="H1660" t="s">
        <v>1156</v>
      </c>
      <c r="I1660" t="s">
        <v>1331</v>
      </c>
      <c r="J1660">
        <v>3</v>
      </c>
    </row>
    <row r="1661" spans="1:17">
      <c r="A1661" t="s">
        <v>1324</v>
      </c>
      <c r="B1661" t="s">
        <v>1194</v>
      </c>
      <c r="C1661" s="1" t="s">
        <v>448</v>
      </c>
      <c r="D1661">
        <v>0</v>
      </c>
      <c r="E1661">
        <v>100</v>
      </c>
      <c r="F1661">
        <v>100</v>
      </c>
      <c r="G1661">
        <v>100</v>
      </c>
      <c r="H1661" t="s">
        <v>1156</v>
      </c>
      <c r="I1661" t="s">
        <v>1332</v>
      </c>
      <c r="J1661">
        <v>3</v>
      </c>
      <c r="K1661" t="s">
        <v>1430</v>
      </c>
      <c r="L1661" t="s">
        <v>1692</v>
      </c>
      <c r="O1661">
        <v>0.98</v>
      </c>
      <c r="Q1661" t="s">
        <v>190</v>
      </c>
    </row>
    <row r="1662" spans="1:17">
      <c r="A1662" t="s">
        <v>1324</v>
      </c>
      <c r="B1662" t="s">
        <v>1194</v>
      </c>
      <c r="C1662" s="1" t="s">
        <v>448</v>
      </c>
      <c r="D1662">
        <v>7</v>
      </c>
      <c r="E1662">
        <v>112</v>
      </c>
      <c r="F1662">
        <v>112</v>
      </c>
      <c r="G1662">
        <v>100</v>
      </c>
      <c r="H1662" t="s">
        <v>1156</v>
      </c>
      <c r="I1662" t="s">
        <v>1332</v>
      </c>
      <c r="J1662">
        <v>3</v>
      </c>
      <c r="K1662" s="2" t="s">
        <v>2428</v>
      </c>
      <c r="L1662" s="2" t="s">
        <v>2429</v>
      </c>
      <c r="M1662" s="2"/>
      <c r="N1662" s="2"/>
      <c r="O1662" s="2">
        <v>0.82499999999999996</v>
      </c>
    </row>
    <row r="1663" spans="1:17">
      <c r="A1663" t="s">
        <v>1324</v>
      </c>
      <c r="B1663" t="s">
        <v>1194</v>
      </c>
      <c r="C1663" s="1" t="s">
        <v>448</v>
      </c>
      <c r="D1663">
        <v>15</v>
      </c>
      <c r="E1663">
        <v>96</v>
      </c>
      <c r="F1663">
        <v>96</v>
      </c>
      <c r="G1663">
        <v>100</v>
      </c>
      <c r="H1663" t="s">
        <v>1156</v>
      </c>
      <c r="I1663" t="s">
        <v>1332</v>
      </c>
      <c r="J1663">
        <v>3</v>
      </c>
    </row>
    <row r="1664" spans="1:17">
      <c r="A1664" t="s">
        <v>1324</v>
      </c>
      <c r="B1664" t="s">
        <v>1194</v>
      </c>
      <c r="C1664" s="1" t="s">
        <v>448</v>
      </c>
      <c r="D1664">
        <v>20</v>
      </c>
      <c r="E1664">
        <v>62</v>
      </c>
      <c r="F1664">
        <v>62</v>
      </c>
      <c r="G1664">
        <v>100</v>
      </c>
      <c r="H1664" t="s">
        <v>1156</v>
      </c>
      <c r="I1664" t="s">
        <v>1332</v>
      </c>
      <c r="J1664">
        <v>3</v>
      </c>
    </row>
    <row r="1665" spans="1:18">
      <c r="A1665" t="s">
        <v>1324</v>
      </c>
      <c r="B1665" t="s">
        <v>1194</v>
      </c>
      <c r="C1665" s="1" t="s">
        <v>448</v>
      </c>
      <c r="D1665">
        <v>30</v>
      </c>
      <c r="E1665">
        <v>12</v>
      </c>
      <c r="F1665">
        <v>12</v>
      </c>
      <c r="G1665">
        <v>100</v>
      </c>
      <c r="H1665" t="s">
        <v>1156</v>
      </c>
      <c r="I1665" t="s">
        <v>1332</v>
      </c>
      <c r="J1665">
        <v>3</v>
      </c>
    </row>
    <row r="1666" spans="1:18">
      <c r="A1666" t="s">
        <v>1324</v>
      </c>
      <c r="B1666" t="s">
        <v>1194</v>
      </c>
      <c r="C1666" s="1" t="s">
        <v>448</v>
      </c>
      <c r="D1666">
        <v>70</v>
      </c>
      <c r="E1666">
        <v>0</v>
      </c>
      <c r="F1666">
        <v>0</v>
      </c>
      <c r="G1666">
        <v>100</v>
      </c>
      <c r="H1666" t="s">
        <v>1156</v>
      </c>
      <c r="I1666" t="s">
        <v>1332</v>
      </c>
      <c r="J1666">
        <v>3</v>
      </c>
    </row>
    <row r="1667" spans="1:18">
      <c r="A1667" t="s">
        <v>1324</v>
      </c>
      <c r="B1667" t="s">
        <v>1194</v>
      </c>
      <c r="C1667" s="1" t="s">
        <v>448</v>
      </c>
      <c r="D1667">
        <v>0</v>
      </c>
      <c r="E1667">
        <v>100</v>
      </c>
      <c r="F1667">
        <v>100</v>
      </c>
      <c r="G1667">
        <v>100</v>
      </c>
      <c r="H1667" t="s">
        <v>1156</v>
      </c>
      <c r="I1667" t="s">
        <v>1333</v>
      </c>
      <c r="J1667">
        <v>3</v>
      </c>
      <c r="K1667" t="s">
        <v>1430</v>
      </c>
      <c r="L1667" t="s">
        <v>1693</v>
      </c>
      <c r="O1667">
        <v>0.98</v>
      </c>
      <c r="Q1667" t="s">
        <v>190</v>
      </c>
    </row>
    <row r="1668" spans="1:18">
      <c r="A1668" t="s">
        <v>1324</v>
      </c>
      <c r="B1668" t="s">
        <v>1194</v>
      </c>
      <c r="C1668" s="1" t="s">
        <v>448</v>
      </c>
      <c r="D1668">
        <v>7</v>
      </c>
      <c r="E1668">
        <v>109</v>
      </c>
      <c r="F1668">
        <v>109</v>
      </c>
      <c r="G1668">
        <v>100</v>
      </c>
      <c r="H1668" t="s">
        <v>1156</v>
      </c>
      <c r="I1668" t="s">
        <v>1333</v>
      </c>
      <c r="J1668">
        <v>3</v>
      </c>
      <c r="K1668" s="2" t="s">
        <v>1385</v>
      </c>
      <c r="L1668" t="s">
        <v>2430</v>
      </c>
      <c r="O1668">
        <v>0.876</v>
      </c>
    </row>
    <row r="1669" spans="1:18">
      <c r="A1669" t="s">
        <v>1324</v>
      </c>
      <c r="B1669" t="s">
        <v>1194</v>
      </c>
      <c r="C1669" s="1" t="s">
        <v>448</v>
      </c>
      <c r="D1669">
        <v>15</v>
      </c>
      <c r="E1669">
        <v>96</v>
      </c>
      <c r="F1669">
        <v>96</v>
      </c>
      <c r="G1669">
        <v>100</v>
      </c>
      <c r="H1669" t="s">
        <v>1156</v>
      </c>
      <c r="I1669" t="s">
        <v>1333</v>
      </c>
      <c r="J1669">
        <v>3</v>
      </c>
    </row>
    <row r="1670" spans="1:18">
      <c r="A1670" t="s">
        <v>1324</v>
      </c>
      <c r="B1670" t="s">
        <v>1194</v>
      </c>
      <c r="C1670" s="1" t="s">
        <v>448</v>
      </c>
      <c r="D1670">
        <v>20</v>
      </c>
      <c r="E1670">
        <v>68</v>
      </c>
      <c r="F1670">
        <v>68</v>
      </c>
      <c r="G1670">
        <v>100</v>
      </c>
      <c r="H1670" t="s">
        <v>1156</v>
      </c>
      <c r="I1670" t="s">
        <v>1333</v>
      </c>
      <c r="J1670">
        <v>3</v>
      </c>
    </row>
    <row r="1671" spans="1:18">
      <c r="A1671" t="s">
        <v>1324</v>
      </c>
      <c r="B1671" t="s">
        <v>1194</v>
      </c>
      <c r="C1671" s="1" t="s">
        <v>448</v>
      </c>
      <c r="D1671">
        <v>30</v>
      </c>
      <c r="E1671">
        <v>26</v>
      </c>
      <c r="F1671">
        <v>26</v>
      </c>
      <c r="G1671">
        <v>100</v>
      </c>
      <c r="H1671" t="s">
        <v>1156</v>
      </c>
      <c r="I1671" t="s">
        <v>1333</v>
      </c>
      <c r="J1671">
        <v>3</v>
      </c>
    </row>
    <row r="1672" spans="1:18">
      <c r="A1672" t="s">
        <v>1324</v>
      </c>
      <c r="B1672" t="s">
        <v>1194</v>
      </c>
      <c r="C1672" s="1" t="s">
        <v>448</v>
      </c>
      <c r="D1672">
        <v>70</v>
      </c>
      <c r="E1672">
        <v>0</v>
      </c>
      <c r="F1672">
        <v>0</v>
      </c>
      <c r="G1672">
        <v>100</v>
      </c>
      <c r="H1672" t="s">
        <v>1156</v>
      </c>
      <c r="I1672" t="s">
        <v>1333</v>
      </c>
      <c r="J1672">
        <v>3</v>
      </c>
    </row>
    <row r="1673" spans="1:18">
      <c r="A1673" t="s">
        <v>1324</v>
      </c>
      <c r="B1673" t="s">
        <v>1194</v>
      </c>
      <c r="C1673" s="1" t="s">
        <v>448</v>
      </c>
      <c r="D1673">
        <v>0</v>
      </c>
      <c r="E1673">
        <v>100</v>
      </c>
      <c r="F1673">
        <v>100</v>
      </c>
      <c r="G1673">
        <v>100</v>
      </c>
      <c r="H1673" t="s">
        <v>1156</v>
      </c>
      <c r="I1673" t="s">
        <v>1334</v>
      </c>
      <c r="J1673">
        <v>3</v>
      </c>
      <c r="K1673" t="s">
        <v>1430</v>
      </c>
      <c r="L1673" t="s">
        <v>1694</v>
      </c>
      <c r="O1673">
        <v>0.98</v>
      </c>
      <c r="Q1673" t="s">
        <v>190</v>
      </c>
    </row>
    <row r="1674" spans="1:18">
      <c r="A1674" t="s">
        <v>1324</v>
      </c>
      <c r="B1674" t="s">
        <v>1194</v>
      </c>
      <c r="C1674" s="1" t="s">
        <v>448</v>
      </c>
      <c r="D1674">
        <v>7</v>
      </c>
      <c r="E1674">
        <v>111</v>
      </c>
      <c r="F1674">
        <v>111</v>
      </c>
      <c r="G1674">
        <v>100</v>
      </c>
      <c r="H1674" t="s">
        <v>1156</v>
      </c>
      <c r="I1674" t="s">
        <v>1334</v>
      </c>
      <c r="J1674">
        <v>3</v>
      </c>
      <c r="K1674" s="2" t="s">
        <v>1385</v>
      </c>
      <c r="L1674" t="s">
        <v>2431</v>
      </c>
      <c r="O1674">
        <v>0.879</v>
      </c>
    </row>
    <row r="1675" spans="1:18">
      <c r="A1675" t="s">
        <v>1324</v>
      </c>
      <c r="B1675" t="s">
        <v>1194</v>
      </c>
      <c r="C1675" s="1" t="s">
        <v>448</v>
      </c>
      <c r="D1675">
        <v>15</v>
      </c>
      <c r="E1675">
        <v>98</v>
      </c>
      <c r="F1675">
        <v>98</v>
      </c>
      <c r="G1675">
        <v>100</v>
      </c>
      <c r="H1675" t="s">
        <v>1156</v>
      </c>
      <c r="I1675" t="s">
        <v>1334</v>
      </c>
      <c r="J1675">
        <v>3</v>
      </c>
    </row>
    <row r="1676" spans="1:18">
      <c r="A1676" t="s">
        <v>1324</v>
      </c>
      <c r="B1676" t="s">
        <v>1194</v>
      </c>
      <c r="C1676" s="1" t="s">
        <v>448</v>
      </c>
      <c r="D1676">
        <v>20</v>
      </c>
      <c r="E1676">
        <v>72</v>
      </c>
      <c r="F1676">
        <v>72</v>
      </c>
      <c r="G1676">
        <v>100</v>
      </c>
      <c r="H1676" t="s">
        <v>1156</v>
      </c>
      <c r="I1676" t="s">
        <v>1334</v>
      </c>
      <c r="J1676">
        <v>3</v>
      </c>
    </row>
    <row r="1677" spans="1:18">
      <c r="A1677" t="s">
        <v>1324</v>
      </c>
      <c r="B1677" t="s">
        <v>1194</v>
      </c>
      <c r="C1677" s="1" t="s">
        <v>448</v>
      </c>
      <c r="D1677">
        <v>30</v>
      </c>
      <c r="E1677">
        <v>30</v>
      </c>
      <c r="F1677">
        <v>30</v>
      </c>
      <c r="G1677">
        <v>100</v>
      </c>
      <c r="H1677" t="s">
        <v>1156</v>
      </c>
      <c r="I1677" t="s">
        <v>1334</v>
      </c>
      <c r="J1677">
        <v>3</v>
      </c>
    </row>
    <row r="1678" spans="1:18">
      <c r="A1678" t="s">
        <v>1324</v>
      </c>
      <c r="B1678" t="s">
        <v>1194</v>
      </c>
      <c r="C1678" s="1" t="s">
        <v>448</v>
      </c>
      <c r="D1678">
        <v>70</v>
      </c>
      <c r="E1678">
        <v>0</v>
      </c>
      <c r="F1678">
        <v>0</v>
      </c>
      <c r="G1678">
        <v>100</v>
      </c>
      <c r="H1678" t="s">
        <v>1156</v>
      </c>
      <c r="I1678" t="s">
        <v>1334</v>
      </c>
      <c r="J1678">
        <v>3</v>
      </c>
    </row>
    <row r="1679" spans="1:18">
      <c r="A1679" t="s">
        <v>1183</v>
      </c>
      <c r="B1679" t="s">
        <v>1194</v>
      </c>
      <c r="C1679" s="1" t="s">
        <v>273</v>
      </c>
      <c r="D1679">
        <v>0</v>
      </c>
      <c r="E1679">
        <v>100</v>
      </c>
      <c r="F1679">
        <v>100</v>
      </c>
      <c r="G1679">
        <v>100</v>
      </c>
      <c r="H1679" t="s">
        <v>428</v>
      </c>
      <c r="I1679" s="1" t="s">
        <v>273</v>
      </c>
      <c r="J1679">
        <v>3</v>
      </c>
      <c r="K1679" t="s">
        <v>1394</v>
      </c>
      <c r="L1679" t="s">
        <v>1695</v>
      </c>
      <c r="M1679">
        <v>1.7100000000000001E-2</v>
      </c>
      <c r="O1679">
        <v>0.95</v>
      </c>
      <c r="Q1679" t="s">
        <v>1354</v>
      </c>
      <c r="R1679" t="s">
        <v>1353</v>
      </c>
    </row>
    <row r="1680" spans="1:18">
      <c r="A1680" t="s">
        <v>1183</v>
      </c>
      <c r="B1680" t="s">
        <v>1194</v>
      </c>
      <c r="C1680" s="1" t="s">
        <v>273</v>
      </c>
      <c r="D1680">
        <v>7</v>
      </c>
      <c r="E1680">
        <v>86</v>
      </c>
      <c r="F1680">
        <v>86</v>
      </c>
      <c r="G1680">
        <v>100</v>
      </c>
      <c r="H1680" t="s">
        <v>428</v>
      </c>
      <c r="I1680" s="1" t="s">
        <v>273</v>
      </c>
      <c r="J1680">
        <v>3</v>
      </c>
    </row>
    <row r="1681" spans="1:18">
      <c r="A1681" t="s">
        <v>1183</v>
      </c>
      <c r="B1681" t="s">
        <v>1194</v>
      </c>
      <c r="C1681" s="1" t="s">
        <v>273</v>
      </c>
      <c r="D1681">
        <v>16</v>
      </c>
      <c r="E1681">
        <v>84</v>
      </c>
      <c r="F1681">
        <v>84</v>
      </c>
      <c r="G1681">
        <v>100</v>
      </c>
      <c r="H1681" t="s">
        <v>428</v>
      </c>
      <c r="I1681" s="1" t="s">
        <v>273</v>
      </c>
      <c r="J1681">
        <v>3</v>
      </c>
    </row>
    <row r="1682" spans="1:18">
      <c r="A1682" t="s">
        <v>1183</v>
      </c>
      <c r="B1682" t="s">
        <v>1194</v>
      </c>
      <c r="C1682" s="1" t="s">
        <v>273</v>
      </c>
      <c r="D1682">
        <v>45</v>
      </c>
      <c r="E1682">
        <v>67</v>
      </c>
      <c r="F1682">
        <v>67</v>
      </c>
      <c r="G1682">
        <v>100</v>
      </c>
      <c r="H1682" t="s">
        <v>428</v>
      </c>
      <c r="I1682" s="1" t="s">
        <v>273</v>
      </c>
      <c r="J1682">
        <v>3</v>
      </c>
    </row>
    <row r="1683" spans="1:18">
      <c r="A1683" t="s">
        <v>1183</v>
      </c>
      <c r="B1683" t="s">
        <v>1194</v>
      </c>
      <c r="C1683" s="1" t="s">
        <v>273</v>
      </c>
      <c r="D1683">
        <v>80</v>
      </c>
      <c r="E1683">
        <v>14</v>
      </c>
      <c r="F1683">
        <v>14</v>
      </c>
      <c r="G1683">
        <v>100</v>
      </c>
      <c r="H1683" t="s">
        <v>428</v>
      </c>
      <c r="I1683" s="1" t="s">
        <v>273</v>
      </c>
      <c r="J1683">
        <v>3</v>
      </c>
    </row>
    <row r="1684" spans="1:18">
      <c r="A1684" t="s">
        <v>1183</v>
      </c>
      <c r="B1684" t="s">
        <v>1194</v>
      </c>
      <c r="C1684" s="1" t="s">
        <v>273</v>
      </c>
      <c r="D1684">
        <v>126</v>
      </c>
      <c r="E1684">
        <v>4</v>
      </c>
      <c r="F1684">
        <v>4</v>
      </c>
      <c r="G1684">
        <v>100</v>
      </c>
      <c r="H1684" t="s">
        <v>428</v>
      </c>
      <c r="I1684" s="1" t="s">
        <v>273</v>
      </c>
      <c r="J1684">
        <v>3</v>
      </c>
    </row>
    <row r="1685" spans="1:18">
      <c r="A1685" t="s">
        <v>1183</v>
      </c>
      <c r="B1685" t="s">
        <v>1194</v>
      </c>
      <c r="C1685" s="1" t="s">
        <v>273</v>
      </c>
      <c r="D1685">
        <v>166</v>
      </c>
      <c r="E1685">
        <v>1</v>
      </c>
      <c r="F1685">
        <v>1</v>
      </c>
      <c r="G1685">
        <v>100</v>
      </c>
      <c r="H1685" t="s">
        <v>428</v>
      </c>
      <c r="I1685" s="1" t="s">
        <v>273</v>
      </c>
      <c r="J1685">
        <v>3</v>
      </c>
    </row>
    <row r="1686" spans="1:18">
      <c r="A1686" t="s">
        <v>1183</v>
      </c>
      <c r="B1686" t="s">
        <v>1194</v>
      </c>
      <c r="C1686" s="1" t="s">
        <v>273</v>
      </c>
      <c r="D1686">
        <v>218</v>
      </c>
      <c r="E1686">
        <v>0</v>
      </c>
      <c r="F1686">
        <v>0</v>
      </c>
      <c r="G1686">
        <v>100</v>
      </c>
      <c r="H1686" t="s">
        <v>428</v>
      </c>
      <c r="I1686" s="1" t="s">
        <v>273</v>
      </c>
      <c r="J1686">
        <v>3</v>
      </c>
    </row>
    <row r="1687" spans="1:18">
      <c r="A1687" t="s">
        <v>1183</v>
      </c>
      <c r="B1687" t="s">
        <v>1194</v>
      </c>
      <c r="C1687" s="1" t="s">
        <v>273</v>
      </c>
      <c r="D1687">
        <v>275</v>
      </c>
      <c r="E1687">
        <v>0</v>
      </c>
      <c r="F1687">
        <v>0</v>
      </c>
      <c r="G1687">
        <v>100</v>
      </c>
      <c r="H1687" t="s">
        <v>428</v>
      </c>
      <c r="I1687" s="1" t="s">
        <v>273</v>
      </c>
      <c r="J1687">
        <v>3</v>
      </c>
    </row>
    <row r="1688" spans="1:18">
      <c r="A1688" t="s">
        <v>1183</v>
      </c>
      <c r="B1688" t="s">
        <v>1194</v>
      </c>
      <c r="C1688" s="1" t="s">
        <v>273</v>
      </c>
      <c r="D1688">
        <v>416</v>
      </c>
      <c r="E1688">
        <v>0</v>
      </c>
      <c r="F1688">
        <v>0</v>
      </c>
      <c r="G1688">
        <v>100</v>
      </c>
      <c r="H1688" t="s">
        <v>428</v>
      </c>
      <c r="I1688" s="1" t="s">
        <v>273</v>
      </c>
      <c r="J1688">
        <v>3</v>
      </c>
    </row>
    <row r="1689" spans="1:18">
      <c r="A1689" t="s">
        <v>1183</v>
      </c>
      <c r="B1689" t="s">
        <v>1194</v>
      </c>
      <c r="C1689" t="s">
        <v>1348</v>
      </c>
      <c r="D1689">
        <v>0</v>
      </c>
      <c r="E1689">
        <v>100</v>
      </c>
      <c r="F1689">
        <v>100</v>
      </c>
      <c r="G1689">
        <v>100</v>
      </c>
      <c r="H1689" t="s">
        <v>428</v>
      </c>
      <c r="I1689" t="s">
        <v>1348</v>
      </c>
      <c r="J1689">
        <v>3</v>
      </c>
      <c r="K1689" s="1" t="s">
        <v>1385</v>
      </c>
      <c r="L1689" s="1" t="s">
        <v>1696</v>
      </c>
      <c r="M1689" s="1">
        <v>1.89E-2</v>
      </c>
      <c r="N1689" s="1"/>
      <c r="O1689" s="1">
        <v>0.86</v>
      </c>
      <c r="P1689">
        <v>15</v>
      </c>
      <c r="Q1689" t="s">
        <v>1355</v>
      </c>
      <c r="R1689" t="s">
        <v>1356</v>
      </c>
    </row>
    <row r="1690" spans="1:18">
      <c r="A1690" t="s">
        <v>1183</v>
      </c>
      <c r="B1690" t="s">
        <v>1194</v>
      </c>
      <c r="C1690" t="s">
        <v>1348</v>
      </c>
      <c r="D1690">
        <v>7</v>
      </c>
      <c r="E1690">
        <v>101</v>
      </c>
      <c r="F1690">
        <v>101</v>
      </c>
      <c r="G1690">
        <v>100</v>
      </c>
      <c r="H1690" t="s">
        <v>428</v>
      </c>
      <c r="I1690" t="s">
        <v>1348</v>
      </c>
      <c r="J1690">
        <v>3</v>
      </c>
    </row>
    <row r="1691" spans="1:18">
      <c r="A1691" t="s">
        <v>1183</v>
      </c>
      <c r="B1691" t="s">
        <v>1194</v>
      </c>
      <c r="C1691" t="s">
        <v>1348</v>
      </c>
      <c r="D1691">
        <v>16</v>
      </c>
      <c r="E1691">
        <v>86</v>
      </c>
      <c r="F1691">
        <v>86</v>
      </c>
      <c r="G1691">
        <v>100</v>
      </c>
      <c r="H1691" t="s">
        <v>428</v>
      </c>
      <c r="I1691" t="s">
        <v>1348</v>
      </c>
      <c r="J1691">
        <v>3</v>
      </c>
    </row>
    <row r="1692" spans="1:18">
      <c r="A1692" t="s">
        <v>1183</v>
      </c>
      <c r="B1692" t="s">
        <v>1194</v>
      </c>
      <c r="C1692" t="s">
        <v>1348</v>
      </c>
      <c r="D1692">
        <v>45</v>
      </c>
      <c r="E1692">
        <v>84</v>
      </c>
      <c r="F1692">
        <v>84</v>
      </c>
      <c r="G1692">
        <v>100</v>
      </c>
      <c r="H1692" t="s">
        <v>428</v>
      </c>
      <c r="I1692" t="s">
        <v>1348</v>
      </c>
      <c r="J1692">
        <v>3</v>
      </c>
    </row>
    <row r="1693" spans="1:18">
      <c r="A1693" t="s">
        <v>1183</v>
      </c>
      <c r="B1693" t="s">
        <v>1194</v>
      </c>
      <c r="C1693" t="s">
        <v>1348</v>
      </c>
      <c r="D1693">
        <v>80</v>
      </c>
      <c r="E1693">
        <v>76</v>
      </c>
      <c r="F1693">
        <v>76</v>
      </c>
      <c r="G1693">
        <v>100</v>
      </c>
      <c r="H1693" t="s">
        <v>428</v>
      </c>
      <c r="I1693" t="s">
        <v>1348</v>
      </c>
      <c r="J1693">
        <v>3</v>
      </c>
    </row>
    <row r="1694" spans="1:18">
      <c r="A1694" t="s">
        <v>1183</v>
      </c>
      <c r="B1694" t="s">
        <v>1194</v>
      </c>
      <c r="C1694" t="s">
        <v>1348</v>
      </c>
      <c r="D1694">
        <v>16</v>
      </c>
      <c r="E1694">
        <v>69</v>
      </c>
      <c r="F1694">
        <v>69</v>
      </c>
      <c r="G1694">
        <v>100</v>
      </c>
      <c r="H1694" t="s">
        <v>428</v>
      </c>
      <c r="I1694" t="s">
        <v>1348</v>
      </c>
      <c r="J1694">
        <v>3</v>
      </c>
    </row>
    <row r="1695" spans="1:18">
      <c r="A1695" t="s">
        <v>1183</v>
      </c>
      <c r="B1695" t="s">
        <v>1194</v>
      </c>
      <c r="C1695" t="s">
        <v>1348</v>
      </c>
      <c r="D1695">
        <v>166</v>
      </c>
      <c r="E1695">
        <v>68</v>
      </c>
      <c r="F1695">
        <v>68</v>
      </c>
      <c r="G1695">
        <v>100</v>
      </c>
      <c r="H1695" t="s">
        <v>428</v>
      </c>
      <c r="I1695" t="s">
        <v>1348</v>
      </c>
      <c r="J1695">
        <v>3</v>
      </c>
    </row>
    <row r="1696" spans="1:18">
      <c r="A1696" t="s">
        <v>1183</v>
      </c>
      <c r="B1696" t="s">
        <v>1194</v>
      </c>
      <c r="C1696" t="s">
        <v>1348</v>
      </c>
      <c r="D1696">
        <v>218</v>
      </c>
      <c r="E1696">
        <v>75</v>
      </c>
      <c r="F1696">
        <v>75</v>
      </c>
      <c r="G1696">
        <v>100</v>
      </c>
      <c r="H1696" t="s">
        <v>428</v>
      </c>
      <c r="I1696" t="s">
        <v>1348</v>
      </c>
      <c r="J1696">
        <v>3</v>
      </c>
    </row>
    <row r="1697" spans="1:18">
      <c r="A1697" t="s">
        <v>1183</v>
      </c>
      <c r="B1697" t="s">
        <v>1194</v>
      </c>
      <c r="C1697" t="s">
        <v>1348</v>
      </c>
      <c r="D1697">
        <v>275</v>
      </c>
      <c r="E1697">
        <v>72</v>
      </c>
      <c r="F1697">
        <v>72</v>
      </c>
      <c r="G1697">
        <v>100</v>
      </c>
      <c r="H1697" t="s">
        <v>428</v>
      </c>
      <c r="I1697" t="s">
        <v>1348</v>
      </c>
      <c r="J1697">
        <v>3</v>
      </c>
    </row>
    <row r="1698" spans="1:18">
      <c r="A1698" t="s">
        <v>1183</v>
      </c>
      <c r="B1698" t="s">
        <v>1194</v>
      </c>
      <c r="C1698" t="s">
        <v>1348</v>
      </c>
      <c r="D1698">
        <v>416</v>
      </c>
      <c r="E1698">
        <v>61</v>
      </c>
      <c r="F1698">
        <v>61</v>
      </c>
      <c r="G1698">
        <v>100</v>
      </c>
      <c r="H1698" t="s">
        <v>428</v>
      </c>
      <c r="I1698" t="s">
        <v>1348</v>
      </c>
      <c r="J1698">
        <v>3</v>
      </c>
    </row>
    <row r="1699" spans="1:18">
      <c r="A1699" t="s">
        <v>1357</v>
      </c>
      <c r="B1699" t="s">
        <v>3208</v>
      </c>
      <c r="C1699" t="s">
        <v>702</v>
      </c>
      <c r="D1699">
        <v>0</v>
      </c>
      <c r="E1699">
        <v>100</v>
      </c>
      <c r="F1699">
        <v>100</v>
      </c>
      <c r="G1699">
        <v>100</v>
      </c>
      <c r="H1699" t="s">
        <v>946</v>
      </c>
      <c r="I1699" t="s">
        <v>1358</v>
      </c>
      <c r="J1699">
        <v>3</v>
      </c>
      <c r="K1699" s="1" t="s">
        <v>1385</v>
      </c>
      <c r="L1699" s="1" t="s">
        <v>1697</v>
      </c>
      <c r="M1699" s="1">
        <v>1.2800000000000001E-2</v>
      </c>
      <c r="N1699" s="1"/>
      <c r="O1699" s="1">
        <v>0.98</v>
      </c>
      <c r="P1699">
        <v>45</v>
      </c>
      <c r="Q1699" t="s">
        <v>1361</v>
      </c>
    </row>
    <row r="1700" spans="1:18">
      <c r="A1700" t="s">
        <v>1357</v>
      </c>
      <c r="B1700" t="s">
        <v>3208</v>
      </c>
      <c r="C1700" t="s">
        <v>702</v>
      </c>
      <c r="D1700">
        <v>7</v>
      </c>
      <c r="E1700">
        <v>84</v>
      </c>
      <c r="F1700">
        <v>84</v>
      </c>
      <c r="G1700">
        <v>100</v>
      </c>
      <c r="H1700" t="s">
        <v>946</v>
      </c>
      <c r="I1700" t="s">
        <v>1358</v>
      </c>
      <c r="J1700">
        <v>3</v>
      </c>
      <c r="Q1700" t="s">
        <v>1363</v>
      </c>
      <c r="R1700" t="s">
        <v>1362</v>
      </c>
    </row>
    <row r="1701" spans="1:18">
      <c r="A1701" t="s">
        <v>1357</v>
      </c>
      <c r="B1701" t="s">
        <v>3208</v>
      </c>
      <c r="C1701" t="s">
        <v>702</v>
      </c>
      <c r="D1701">
        <v>14</v>
      </c>
      <c r="E1701">
        <v>80</v>
      </c>
      <c r="F1701">
        <v>80</v>
      </c>
      <c r="G1701">
        <v>100</v>
      </c>
      <c r="H1701" t="s">
        <v>946</v>
      </c>
      <c r="I1701" t="s">
        <v>1358</v>
      </c>
      <c r="J1701">
        <v>3</v>
      </c>
      <c r="Q1701" t="s">
        <v>1368</v>
      </c>
    </row>
    <row r="1702" spans="1:18">
      <c r="A1702" t="s">
        <v>1357</v>
      </c>
      <c r="B1702" t="s">
        <v>3208</v>
      </c>
      <c r="C1702" t="s">
        <v>702</v>
      </c>
      <c r="D1702">
        <v>28</v>
      </c>
      <c r="E1702">
        <v>65</v>
      </c>
      <c r="F1702">
        <v>65</v>
      </c>
      <c r="G1702">
        <v>100</v>
      </c>
      <c r="H1702" t="s">
        <v>946</v>
      </c>
      <c r="I1702" t="s">
        <v>1358</v>
      </c>
      <c r="J1702">
        <v>3</v>
      </c>
    </row>
    <row r="1703" spans="1:18">
      <c r="A1703" t="s">
        <v>1357</v>
      </c>
      <c r="B1703" t="s">
        <v>3208</v>
      </c>
      <c r="C1703" t="s">
        <v>702</v>
      </c>
      <c r="D1703">
        <v>42</v>
      </c>
      <c r="E1703">
        <v>60</v>
      </c>
      <c r="F1703">
        <v>60</v>
      </c>
      <c r="G1703">
        <v>100</v>
      </c>
      <c r="H1703" t="s">
        <v>946</v>
      </c>
      <c r="I1703" t="s">
        <v>1358</v>
      </c>
      <c r="J1703">
        <v>3</v>
      </c>
    </row>
    <row r="1704" spans="1:18">
      <c r="A1704" t="s">
        <v>1357</v>
      </c>
      <c r="B1704" t="s">
        <v>3208</v>
      </c>
      <c r="C1704" t="s">
        <v>702</v>
      </c>
      <c r="D1704">
        <v>60</v>
      </c>
      <c r="E1704">
        <v>34</v>
      </c>
      <c r="F1704">
        <v>34</v>
      </c>
      <c r="G1704">
        <v>100</v>
      </c>
      <c r="H1704" t="s">
        <v>946</v>
      </c>
      <c r="I1704" t="s">
        <v>1358</v>
      </c>
      <c r="J1704">
        <v>3</v>
      </c>
    </row>
    <row r="1705" spans="1:18">
      <c r="A1705" t="s">
        <v>1357</v>
      </c>
      <c r="B1705" t="s">
        <v>3208</v>
      </c>
      <c r="C1705" t="s">
        <v>702</v>
      </c>
      <c r="D1705">
        <v>90</v>
      </c>
      <c r="E1705">
        <v>23</v>
      </c>
      <c r="F1705">
        <v>23</v>
      </c>
      <c r="G1705">
        <v>100</v>
      </c>
      <c r="H1705" t="s">
        <v>946</v>
      </c>
      <c r="I1705" t="s">
        <v>1358</v>
      </c>
      <c r="J1705">
        <v>3</v>
      </c>
    </row>
    <row r="1706" spans="1:18">
      <c r="A1706" t="s">
        <v>1357</v>
      </c>
      <c r="B1706" t="s">
        <v>3208</v>
      </c>
      <c r="C1706" t="s">
        <v>702</v>
      </c>
      <c r="D1706">
        <v>120</v>
      </c>
      <c r="E1706">
        <v>14</v>
      </c>
      <c r="F1706">
        <v>14</v>
      </c>
      <c r="G1706">
        <v>100</v>
      </c>
      <c r="H1706" t="s">
        <v>946</v>
      </c>
      <c r="I1706" t="s">
        <v>1358</v>
      </c>
      <c r="J1706">
        <v>3</v>
      </c>
    </row>
    <row r="1707" spans="1:18">
      <c r="A1707" t="s">
        <v>1357</v>
      </c>
      <c r="B1707" t="s">
        <v>3208</v>
      </c>
      <c r="C1707" t="s">
        <v>702</v>
      </c>
      <c r="D1707">
        <v>0</v>
      </c>
      <c r="E1707">
        <v>100</v>
      </c>
      <c r="F1707">
        <v>100</v>
      </c>
      <c r="G1707">
        <v>100</v>
      </c>
      <c r="H1707" t="s">
        <v>946</v>
      </c>
      <c r="I1707" t="s">
        <v>1359</v>
      </c>
      <c r="J1707">
        <v>3</v>
      </c>
      <c r="K1707" s="1" t="s">
        <v>1385</v>
      </c>
      <c r="L1707" s="1" t="s">
        <v>1698</v>
      </c>
      <c r="M1707" s="1">
        <v>3.6299999999999999E-2</v>
      </c>
      <c r="N1707" s="1"/>
      <c r="O1707" s="1">
        <v>0.93</v>
      </c>
      <c r="P1707">
        <v>20.100000000000001</v>
      </c>
      <c r="Q1707" t="s">
        <v>1364</v>
      </c>
      <c r="R1707" t="s">
        <v>1366</v>
      </c>
    </row>
    <row r="1708" spans="1:18">
      <c r="A1708" t="s">
        <v>1357</v>
      </c>
      <c r="B1708" t="s">
        <v>3208</v>
      </c>
      <c r="C1708" t="s">
        <v>702</v>
      </c>
      <c r="D1708">
        <v>7</v>
      </c>
      <c r="E1708">
        <v>96</v>
      </c>
      <c r="F1708">
        <v>96</v>
      </c>
      <c r="G1708">
        <v>100</v>
      </c>
      <c r="H1708" t="s">
        <v>946</v>
      </c>
      <c r="I1708" t="s">
        <v>1359</v>
      </c>
      <c r="J1708">
        <v>3</v>
      </c>
      <c r="Q1708" t="s">
        <v>1369</v>
      </c>
    </row>
    <row r="1709" spans="1:18">
      <c r="A1709" t="s">
        <v>1357</v>
      </c>
      <c r="B1709" t="s">
        <v>3208</v>
      </c>
      <c r="C1709" t="s">
        <v>702</v>
      </c>
      <c r="D1709">
        <v>14</v>
      </c>
      <c r="E1709">
        <v>72</v>
      </c>
      <c r="F1709">
        <v>72</v>
      </c>
      <c r="G1709">
        <v>100</v>
      </c>
      <c r="H1709" t="s">
        <v>946</v>
      </c>
      <c r="I1709" t="s">
        <v>1359</v>
      </c>
      <c r="J1709">
        <v>3</v>
      </c>
    </row>
    <row r="1710" spans="1:18">
      <c r="A1710" t="s">
        <v>1357</v>
      </c>
      <c r="B1710" t="s">
        <v>3208</v>
      </c>
      <c r="C1710" t="s">
        <v>702</v>
      </c>
      <c r="D1710">
        <v>23</v>
      </c>
      <c r="E1710">
        <v>52</v>
      </c>
      <c r="F1710">
        <v>52</v>
      </c>
      <c r="G1710">
        <v>100</v>
      </c>
      <c r="H1710" t="s">
        <v>946</v>
      </c>
      <c r="I1710" t="s">
        <v>1359</v>
      </c>
      <c r="J1710">
        <v>3</v>
      </c>
    </row>
    <row r="1711" spans="1:18">
      <c r="A1711" t="s">
        <v>1357</v>
      </c>
      <c r="B1711" t="s">
        <v>3208</v>
      </c>
      <c r="C1711" t="s">
        <v>702</v>
      </c>
      <c r="D1711">
        <v>28</v>
      </c>
      <c r="E1711">
        <v>22</v>
      </c>
      <c r="F1711">
        <v>22</v>
      </c>
      <c r="G1711">
        <v>100</v>
      </c>
      <c r="H1711" t="s">
        <v>946</v>
      </c>
      <c r="I1711" t="s">
        <v>1359</v>
      </c>
      <c r="J1711">
        <v>3</v>
      </c>
    </row>
    <row r="1712" spans="1:18">
      <c r="A1712" t="s">
        <v>1357</v>
      </c>
      <c r="B1712" t="s">
        <v>3208</v>
      </c>
      <c r="C1712" t="s">
        <v>702</v>
      </c>
      <c r="D1712">
        <v>34</v>
      </c>
      <c r="E1712">
        <v>22</v>
      </c>
      <c r="F1712">
        <v>22</v>
      </c>
      <c r="G1712">
        <v>100</v>
      </c>
      <c r="H1712" t="s">
        <v>946</v>
      </c>
      <c r="I1712" t="s">
        <v>1359</v>
      </c>
      <c r="J1712">
        <v>3</v>
      </c>
    </row>
    <row r="1713" spans="1:18">
      <c r="A1713" t="s">
        <v>1357</v>
      </c>
      <c r="B1713" t="s">
        <v>3208</v>
      </c>
      <c r="C1713" t="s">
        <v>702</v>
      </c>
      <c r="D1713">
        <v>42</v>
      </c>
      <c r="E1713">
        <v>29</v>
      </c>
      <c r="F1713">
        <v>29</v>
      </c>
      <c r="G1713">
        <v>100</v>
      </c>
      <c r="H1713" t="s">
        <v>946</v>
      </c>
      <c r="I1713" t="s">
        <v>1359</v>
      </c>
      <c r="J1713">
        <v>3</v>
      </c>
    </row>
    <row r="1714" spans="1:18">
      <c r="A1714" t="s">
        <v>1357</v>
      </c>
      <c r="B1714" t="s">
        <v>3208</v>
      </c>
      <c r="C1714" t="s">
        <v>702</v>
      </c>
      <c r="D1714">
        <v>59</v>
      </c>
      <c r="E1714">
        <v>14</v>
      </c>
      <c r="F1714">
        <v>14</v>
      </c>
      <c r="G1714">
        <v>100</v>
      </c>
      <c r="H1714" t="s">
        <v>946</v>
      </c>
      <c r="I1714" t="s">
        <v>1359</v>
      </c>
      <c r="J1714">
        <v>3</v>
      </c>
    </row>
    <row r="1715" spans="1:18">
      <c r="A1715" t="s">
        <v>1357</v>
      </c>
      <c r="B1715" t="s">
        <v>3208</v>
      </c>
      <c r="C1715" t="s">
        <v>702</v>
      </c>
      <c r="D1715">
        <v>89</v>
      </c>
      <c r="E1715">
        <v>2</v>
      </c>
      <c r="F1715">
        <v>2</v>
      </c>
      <c r="G1715">
        <v>100</v>
      </c>
      <c r="H1715" t="s">
        <v>946</v>
      </c>
      <c r="I1715" t="s">
        <v>1359</v>
      </c>
      <c r="J1715">
        <v>3</v>
      </c>
    </row>
    <row r="1716" spans="1:18">
      <c r="A1716" t="s">
        <v>1357</v>
      </c>
      <c r="B1716" t="s">
        <v>3208</v>
      </c>
      <c r="C1716" t="s">
        <v>702</v>
      </c>
      <c r="D1716">
        <v>119</v>
      </c>
      <c r="E1716">
        <v>2</v>
      </c>
      <c r="F1716">
        <v>2</v>
      </c>
      <c r="G1716">
        <v>100</v>
      </c>
      <c r="H1716" t="s">
        <v>946</v>
      </c>
      <c r="I1716" t="s">
        <v>1359</v>
      </c>
      <c r="J1716">
        <v>3</v>
      </c>
    </row>
    <row r="1717" spans="1:18">
      <c r="A1717" t="s">
        <v>1357</v>
      </c>
      <c r="B1717" t="s">
        <v>3208</v>
      </c>
      <c r="C1717" t="s">
        <v>702</v>
      </c>
      <c r="D1717">
        <v>0</v>
      </c>
      <c r="E1717">
        <v>100</v>
      </c>
      <c r="F1717">
        <v>100</v>
      </c>
      <c r="G1717">
        <v>100</v>
      </c>
      <c r="H1717" t="s">
        <v>946</v>
      </c>
      <c r="I1717" t="s">
        <v>1360</v>
      </c>
      <c r="J1717">
        <v>3</v>
      </c>
      <c r="K1717" s="1" t="s">
        <v>1385</v>
      </c>
      <c r="L1717" s="1" t="s">
        <v>1699</v>
      </c>
      <c r="M1717" s="1">
        <v>8.4000000000000005E-2</v>
      </c>
      <c r="N1717" s="1"/>
      <c r="O1717" s="1">
        <v>0.98</v>
      </c>
      <c r="P1717">
        <v>8.1</v>
      </c>
      <c r="Q1717" t="s">
        <v>1365</v>
      </c>
      <c r="R1717" t="s">
        <v>1367</v>
      </c>
    </row>
    <row r="1718" spans="1:18">
      <c r="A1718" t="s">
        <v>1357</v>
      </c>
      <c r="B1718" t="s">
        <v>3208</v>
      </c>
      <c r="C1718" t="s">
        <v>702</v>
      </c>
      <c r="D1718">
        <v>4</v>
      </c>
      <c r="E1718">
        <v>65</v>
      </c>
      <c r="F1718">
        <v>65</v>
      </c>
      <c r="G1718">
        <v>100</v>
      </c>
      <c r="H1718" t="s">
        <v>946</v>
      </c>
      <c r="I1718" t="s">
        <v>1360</v>
      </c>
      <c r="J1718">
        <v>3</v>
      </c>
      <c r="Q1718" t="s">
        <v>1370</v>
      </c>
    </row>
    <row r="1719" spans="1:18">
      <c r="A1719" t="s">
        <v>1357</v>
      </c>
      <c r="B1719" t="s">
        <v>3208</v>
      </c>
      <c r="C1719" t="s">
        <v>702</v>
      </c>
      <c r="D1719">
        <v>7</v>
      </c>
      <c r="E1719">
        <v>58</v>
      </c>
      <c r="F1719">
        <v>58</v>
      </c>
      <c r="G1719">
        <v>100</v>
      </c>
      <c r="H1719" t="s">
        <v>946</v>
      </c>
      <c r="I1719" t="s">
        <v>1360</v>
      </c>
      <c r="J1719">
        <v>3</v>
      </c>
    </row>
    <row r="1720" spans="1:18">
      <c r="A1720" t="s">
        <v>1357</v>
      </c>
      <c r="B1720" t="s">
        <v>3208</v>
      </c>
      <c r="C1720" t="s">
        <v>702</v>
      </c>
      <c r="D1720">
        <v>14</v>
      </c>
      <c r="E1720">
        <v>35</v>
      </c>
      <c r="F1720">
        <v>35</v>
      </c>
      <c r="G1720">
        <v>100</v>
      </c>
      <c r="H1720" t="s">
        <v>946</v>
      </c>
      <c r="I1720" t="s">
        <v>1360</v>
      </c>
      <c r="J1720">
        <v>3</v>
      </c>
    </row>
    <row r="1721" spans="1:18">
      <c r="A1721" t="s">
        <v>1357</v>
      </c>
      <c r="B1721" t="s">
        <v>3208</v>
      </c>
      <c r="C1721" t="s">
        <v>702</v>
      </c>
      <c r="D1721">
        <v>21</v>
      </c>
      <c r="E1721">
        <v>19</v>
      </c>
      <c r="F1721">
        <v>19</v>
      </c>
      <c r="G1721">
        <v>100</v>
      </c>
      <c r="H1721" t="s">
        <v>946</v>
      </c>
      <c r="I1721" t="s">
        <v>1360</v>
      </c>
      <c r="J1721">
        <v>3</v>
      </c>
    </row>
    <row r="1722" spans="1:18">
      <c r="A1722" t="s">
        <v>1357</v>
      </c>
      <c r="B1722" t="s">
        <v>3208</v>
      </c>
      <c r="C1722" t="s">
        <v>702</v>
      </c>
      <c r="D1722">
        <v>28</v>
      </c>
      <c r="E1722">
        <v>8</v>
      </c>
      <c r="F1722">
        <v>8</v>
      </c>
      <c r="G1722">
        <v>100</v>
      </c>
      <c r="H1722" t="s">
        <v>946</v>
      </c>
      <c r="I1722" t="s">
        <v>1360</v>
      </c>
      <c r="J1722">
        <v>3</v>
      </c>
    </row>
    <row r="1723" spans="1:18">
      <c r="A1723" t="s">
        <v>1357</v>
      </c>
      <c r="B1723" t="s">
        <v>3208</v>
      </c>
      <c r="C1723" t="s">
        <v>702</v>
      </c>
      <c r="D1723">
        <v>34</v>
      </c>
      <c r="E1723">
        <v>2</v>
      </c>
      <c r="F1723">
        <v>2</v>
      </c>
      <c r="G1723">
        <v>100</v>
      </c>
      <c r="H1723" t="s">
        <v>946</v>
      </c>
      <c r="I1723" t="s">
        <v>1360</v>
      </c>
      <c r="J1723">
        <v>3</v>
      </c>
    </row>
    <row r="1724" spans="1:18">
      <c r="A1724" t="s">
        <v>1357</v>
      </c>
      <c r="B1724" t="s">
        <v>3208</v>
      </c>
      <c r="C1724" t="s">
        <v>702</v>
      </c>
      <c r="D1724">
        <v>42</v>
      </c>
      <c r="E1724">
        <v>4</v>
      </c>
      <c r="F1724">
        <v>4</v>
      </c>
      <c r="G1724">
        <v>100</v>
      </c>
      <c r="H1724" t="s">
        <v>946</v>
      </c>
      <c r="I1724" t="s">
        <v>1360</v>
      </c>
      <c r="J1724">
        <v>3</v>
      </c>
    </row>
    <row r="1725" spans="1:18">
      <c r="A1725" t="s">
        <v>1357</v>
      </c>
      <c r="B1725" t="s">
        <v>3208</v>
      </c>
      <c r="C1725" t="s">
        <v>702</v>
      </c>
      <c r="D1725">
        <v>50</v>
      </c>
      <c r="E1725">
        <v>9</v>
      </c>
      <c r="F1725">
        <v>9</v>
      </c>
      <c r="G1725">
        <v>100</v>
      </c>
      <c r="H1725" t="s">
        <v>946</v>
      </c>
      <c r="I1725" t="s">
        <v>1360</v>
      </c>
      <c r="J1725">
        <v>3</v>
      </c>
    </row>
    <row r="1726" spans="1:18">
      <c r="A1726" t="s">
        <v>1357</v>
      </c>
      <c r="B1726" t="s">
        <v>3208</v>
      </c>
      <c r="C1726" t="s">
        <v>702</v>
      </c>
      <c r="D1726">
        <v>89</v>
      </c>
      <c r="E1726">
        <v>0.5</v>
      </c>
      <c r="F1726">
        <v>0.5</v>
      </c>
      <c r="G1726">
        <v>100</v>
      </c>
      <c r="H1726" t="s">
        <v>946</v>
      </c>
      <c r="I1726" t="s">
        <v>1360</v>
      </c>
      <c r="J1726">
        <v>3</v>
      </c>
    </row>
    <row r="1727" spans="1:18" ht="16">
      <c r="A1727" t="s">
        <v>1182</v>
      </c>
      <c r="B1727" t="s">
        <v>186</v>
      </c>
      <c r="C1727" t="s">
        <v>1271</v>
      </c>
      <c r="D1727">
        <v>0</v>
      </c>
      <c r="E1727">
        <f t="shared" ref="E1727:E1756" si="19">F1727/G1727*100</f>
        <v>100</v>
      </c>
      <c r="F1727" s="18">
        <v>5.87</v>
      </c>
      <c r="G1727">
        <v>5.87</v>
      </c>
      <c r="H1727" t="s">
        <v>1717</v>
      </c>
      <c r="I1727" t="s">
        <v>1871</v>
      </c>
      <c r="J1727">
        <v>3</v>
      </c>
      <c r="K1727" t="s">
        <v>2232</v>
      </c>
      <c r="Q1727" t="s">
        <v>190</v>
      </c>
    </row>
    <row r="1728" spans="1:18" ht="16">
      <c r="A1728" t="s">
        <v>1182</v>
      </c>
      <c r="B1728" t="s">
        <v>186</v>
      </c>
      <c r="C1728" t="s">
        <v>1271</v>
      </c>
      <c r="D1728">
        <v>14</v>
      </c>
      <c r="E1728">
        <f t="shared" si="19"/>
        <v>461.66950596252133</v>
      </c>
      <c r="F1728" s="18">
        <v>27.1</v>
      </c>
      <c r="G1728">
        <v>5.87</v>
      </c>
      <c r="H1728" t="s">
        <v>1717</v>
      </c>
      <c r="I1728" t="s">
        <v>1871</v>
      </c>
      <c r="J1728">
        <v>3</v>
      </c>
      <c r="K1728" t="s">
        <v>2253</v>
      </c>
      <c r="L1728" t="s">
        <v>2254</v>
      </c>
      <c r="O1728">
        <v>0.69599999999999995</v>
      </c>
      <c r="P1728" t="s">
        <v>190</v>
      </c>
    </row>
    <row r="1729" spans="1:17" ht="16">
      <c r="A1729" t="s">
        <v>1182</v>
      </c>
      <c r="B1729" t="s">
        <v>186</v>
      </c>
      <c r="C1729" t="s">
        <v>1271</v>
      </c>
      <c r="D1729">
        <v>28</v>
      </c>
      <c r="E1729">
        <f t="shared" si="19"/>
        <v>255.7069846678024</v>
      </c>
      <c r="F1729" s="18">
        <v>15.01</v>
      </c>
      <c r="G1729">
        <v>5.87</v>
      </c>
      <c r="H1729" t="s">
        <v>1717</v>
      </c>
      <c r="I1729" t="s">
        <v>1871</v>
      </c>
      <c r="J1729">
        <v>3</v>
      </c>
    </row>
    <row r="1730" spans="1:17" ht="16">
      <c r="A1730" t="s">
        <v>1182</v>
      </c>
      <c r="B1730" t="s">
        <v>186</v>
      </c>
      <c r="C1730" t="s">
        <v>1271</v>
      </c>
      <c r="D1730">
        <v>56</v>
      </c>
      <c r="E1730">
        <f t="shared" si="19"/>
        <v>375.12776831345826</v>
      </c>
      <c r="F1730" s="18">
        <v>22.02</v>
      </c>
      <c r="G1730">
        <v>5.87</v>
      </c>
      <c r="H1730" t="s">
        <v>1717</v>
      </c>
      <c r="I1730" t="s">
        <v>1871</v>
      </c>
      <c r="J1730">
        <v>3</v>
      </c>
      <c r="K1730" t="s">
        <v>2276</v>
      </c>
      <c r="L1730" t="e">
        <f>AVERAGE(#REF!)</f>
        <v>#REF!</v>
      </c>
    </row>
    <row r="1731" spans="1:17" ht="16">
      <c r="A1731" t="s">
        <v>1182</v>
      </c>
      <c r="B1731" t="s">
        <v>186</v>
      </c>
      <c r="C1731" t="s">
        <v>1271</v>
      </c>
      <c r="D1731">
        <v>112</v>
      </c>
      <c r="E1731">
        <f t="shared" si="19"/>
        <v>84.872231686541738</v>
      </c>
      <c r="F1731" s="18">
        <v>4.9820000000000002</v>
      </c>
      <c r="G1731">
        <v>5.87</v>
      </c>
      <c r="H1731" t="s">
        <v>1717</v>
      </c>
      <c r="I1731" t="s">
        <v>1871</v>
      </c>
      <c r="J1731">
        <v>3</v>
      </c>
    </row>
    <row r="1732" spans="1:17" ht="16">
      <c r="A1732" t="s">
        <v>1182</v>
      </c>
      <c r="B1732" t="s">
        <v>186</v>
      </c>
      <c r="C1732" t="s">
        <v>1271</v>
      </c>
      <c r="D1732">
        <v>168</v>
      </c>
      <c r="E1732">
        <f t="shared" si="19"/>
        <v>55.144804088586028</v>
      </c>
      <c r="F1732" s="18">
        <v>3.2370000000000001</v>
      </c>
      <c r="G1732">
        <v>5.87</v>
      </c>
      <c r="H1732" t="s">
        <v>1717</v>
      </c>
      <c r="I1732" t="s">
        <v>1871</v>
      </c>
      <c r="J1732">
        <v>3</v>
      </c>
    </row>
    <row r="1733" spans="1:17" ht="16">
      <c r="A1733" t="s">
        <v>1872</v>
      </c>
      <c r="B1733" t="s">
        <v>186</v>
      </c>
      <c r="C1733" t="s">
        <v>279</v>
      </c>
      <c r="D1733">
        <v>0</v>
      </c>
      <c r="E1733">
        <f t="shared" si="19"/>
        <v>100</v>
      </c>
      <c r="F1733" s="18">
        <v>733.28600826327602</v>
      </c>
      <c r="G1733" s="18">
        <v>733.28600826327602</v>
      </c>
      <c r="H1733" t="s">
        <v>1873</v>
      </c>
      <c r="I1733" t="s">
        <v>194</v>
      </c>
      <c r="J1733">
        <v>3</v>
      </c>
      <c r="K1733" t="s">
        <v>181</v>
      </c>
      <c r="L1733" t="s">
        <v>2300</v>
      </c>
      <c r="O1733">
        <v>0.99399999999999999</v>
      </c>
      <c r="Q1733" t="s">
        <v>190</v>
      </c>
    </row>
    <row r="1734" spans="1:17" ht="16">
      <c r="A1734" t="s">
        <v>1872</v>
      </c>
      <c r="B1734" t="s">
        <v>186</v>
      </c>
      <c r="C1734" t="s">
        <v>279</v>
      </c>
      <c r="D1734">
        <v>4</v>
      </c>
      <c r="E1734">
        <f t="shared" si="19"/>
        <v>74.949692717680961</v>
      </c>
      <c r="F1734" s="18">
        <v>549.59560993507398</v>
      </c>
      <c r="G1734" s="18">
        <v>733.28600826327602</v>
      </c>
      <c r="H1734" t="s">
        <v>1873</v>
      </c>
      <c r="I1734" t="s">
        <v>194</v>
      </c>
      <c r="J1734">
        <v>3</v>
      </c>
    </row>
    <row r="1735" spans="1:17" ht="16">
      <c r="A1735" t="s">
        <v>1872</v>
      </c>
      <c r="B1735" t="s">
        <v>186</v>
      </c>
      <c r="C1735" t="s">
        <v>279</v>
      </c>
      <c r="D1735">
        <v>8</v>
      </c>
      <c r="E1735">
        <f t="shared" si="19"/>
        <v>44.289443628650623</v>
      </c>
      <c r="F1735" s="18">
        <v>324.76829326654598</v>
      </c>
      <c r="G1735" s="18">
        <v>733.28600826327602</v>
      </c>
      <c r="H1735" t="s">
        <v>1873</v>
      </c>
      <c r="I1735" t="s">
        <v>194</v>
      </c>
      <c r="J1735">
        <v>3</v>
      </c>
    </row>
    <row r="1736" spans="1:17" ht="16">
      <c r="A1736" t="s">
        <v>1872</v>
      </c>
      <c r="B1736" t="s">
        <v>186</v>
      </c>
      <c r="C1736" t="s">
        <v>279</v>
      </c>
      <c r="D1736">
        <v>12</v>
      </c>
      <c r="E1736">
        <f t="shared" si="19"/>
        <v>24.615217273073352</v>
      </c>
      <c r="F1736" s="18">
        <v>180.49994416705201</v>
      </c>
      <c r="G1736" s="18">
        <v>733.28600826327602</v>
      </c>
      <c r="H1736" t="s">
        <v>1873</v>
      </c>
      <c r="I1736" t="s">
        <v>194</v>
      </c>
      <c r="J1736">
        <v>3</v>
      </c>
    </row>
    <row r="1737" spans="1:17" ht="16">
      <c r="A1737" t="s">
        <v>1872</v>
      </c>
      <c r="B1737" t="s">
        <v>186</v>
      </c>
      <c r="C1737" t="s">
        <v>437</v>
      </c>
      <c r="D1737">
        <v>0</v>
      </c>
      <c r="E1737">
        <f t="shared" si="19"/>
        <v>100</v>
      </c>
      <c r="F1737" s="18">
        <v>314.99532883256001</v>
      </c>
      <c r="G1737" s="18">
        <v>314.99532883256001</v>
      </c>
      <c r="H1737" t="s">
        <v>1873</v>
      </c>
      <c r="I1737" t="s">
        <v>194</v>
      </c>
      <c r="J1737">
        <v>3</v>
      </c>
      <c r="K1737" t="s">
        <v>2566</v>
      </c>
      <c r="O1737">
        <v>0.94599999999999995</v>
      </c>
      <c r="Q1737" t="s">
        <v>190</v>
      </c>
    </row>
    <row r="1738" spans="1:17" ht="16">
      <c r="A1738" t="s">
        <v>1872</v>
      </c>
      <c r="B1738" t="s">
        <v>186</v>
      </c>
      <c r="C1738" t="s">
        <v>437</v>
      </c>
      <c r="D1738">
        <v>4</v>
      </c>
      <c r="E1738">
        <f t="shared" si="19"/>
        <v>184.97481813094595</v>
      </c>
      <c r="F1738" s="18">
        <v>582.66203662900296</v>
      </c>
      <c r="G1738" s="18">
        <v>314.99532883256001</v>
      </c>
      <c r="H1738" t="s">
        <v>1873</v>
      </c>
      <c r="I1738" t="s">
        <v>194</v>
      </c>
      <c r="J1738">
        <v>3</v>
      </c>
      <c r="K1738" t="s">
        <v>181</v>
      </c>
      <c r="L1738" t="s">
        <v>2299</v>
      </c>
    </row>
    <row r="1739" spans="1:17" ht="16">
      <c r="A1739" t="s">
        <v>1872</v>
      </c>
      <c r="B1739" t="s">
        <v>186</v>
      </c>
      <c r="C1739" t="s">
        <v>437</v>
      </c>
      <c r="D1739">
        <v>8</v>
      </c>
      <c r="E1739">
        <f t="shared" si="19"/>
        <v>206.52630106323468</v>
      </c>
      <c r="F1739" s="18">
        <v>650.54820115985899</v>
      </c>
      <c r="G1739" s="18">
        <v>314.99532883256001</v>
      </c>
      <c r="H1739" t="s">
        <v>1873</v>
      </c>
      <c r="I1739" t="s">
        <v>194</v>
      </c>
      <c r="J1739">
        <v>3</v>
      </c>
    </row>
    <row r="1740" spans="1:17" ht="16">
      <c r="A1740" t="s">
        <v>1872</v>
      </c>
      <c r="B1740" t="s">
        <v>186</v>
      </c>
      <c r="C1740" t="s">
        <v>437</v>
      </c>
      <c r="D1740">
        <v>12</v>
      </c>
      <c r="E1740">
        <f t="shared" si="19"/>
        <v>259.00251818690577</v>
      </c>
      <c r="F1740" s="18">
        <v>815.84583384745497</v>
      </c>
      <c r="G1740" s="18">
        <v>314.99532883256001</v>
      </c>
      <c r="H1740" t="s">
        <v>1873</v>
      </c>
      <c r="I1740" t="s">
        <v>194</v>
      </c>
      <c r="J1740">
        <v>3</v>
      </c>
    </row>
    <row r="1741" spans="1:17" ht="16">
      <c r="A1741" t="s">
        <v>1823</v>
      </c>
      <c r="B1741" t="s">
        <v>1194</v>
      </c>
      <c r="C1741" t="s">
        <v>1885</v>
      </c>
      <c r="D1741">
        <v>0</v>
      </c>
      <c r="E1741">
        <f t="shared" si="19"/>
        <v>100</v>
      </c>
      <c r="F1741" s="18">
        <v>1</v>
      </c>
      <c r="G1741" s="18">
        <v>1</v>
      </c>
      <c r="H1741" t="s">
        <v>1888</v>
      </c>
      <c r="I1741" t="s">
        <v>1886</v>
      </c>
      <c r="J1741">
        <v>3</v>
      </c>
      <c r="K1741" s="19" t="s">
        <v>1893</v>
      </c>
      <c r="L1741" s="18" t="s">
        <v>2204</v>
      </c>
      <c r="M1741">
        <v>2.8000000000000001E-2</v>
      </c>
      <c r="O1741">
        <v>0.96309999999999996</v>
      </c>
      <c r="P1741">
        <v>27.53</v>
      </c>
      <c r="Q1741" t="s">
        <v>1890</v>
      </c>
    </row>
    <row r="1742" spans="1:17" ht="16">
      <c r="A1742" t="s">
        <v>1823</v>
      </c>
      <c r="B1742" t="s">
        <v>1194</v>
      </c>
      <c r="C1742" t="s">
        <v>1885</v>
      </c>
      <c r="D1742">
        <v>1</v>
      </c>
      <c r="E1742">
        <f t="shared" si="19"/>
        <v>89.151032135588508</v>
      </c>
      <c r="F1742" s="18">
        <v>0.89151032135588504</v>
      </c>
      <c r="G1742" s="18">
        <v>1</v>
      </c>
      <c r="H1742" t="s">
        <v>1888</v>
      </c>
      <c r="I1742" t="s">
        <v>1886</v>
      </c>
      <c r="J1742">
        <v>3</v>
      </c>
      <c r="L1742" s="18"/>
      <c r="Q1742" t="s">
        <v>1889</v>
      </c>
    </row>
    <row r="1743" spans="1:17" ht="16">
      <c r="A1743" t="s">
        <v>1823</v>
      </c>
      <c r="B1743" t="s">
        <v>1194</v>
      </c>
      <c r="C1743" t="s">
        <v>1885</v>
      </c>
      <c r="D1743">
        <v>3</v>
      </c>
      <c r="E1743">
        <f t="shared" si="19"/>
        <v>81.967984128884396</v>
      </c>
      <c r="F1743" s="18">
        <v>0.81967984128884397</v>
      </c>
      <c r="G1743" s="18">
        <v>1</v>
      </c>
      <c r="H1743" t="s">
        <v>1888</v>
      </c>
      <c r="I1743" t="s">
        <v>1886</v>
      </c>
      <c r="J1743">
        <v>3</v>
      </c>
      <c r="K1743" s="19"/>
      <c r="L1743" s="18"/>
    </row>
    <row r="1744" spans="1:17" ht="16">
      <c r="A1744" t="s">
        <v>1823</v>
      </c>
      <c r="B1744" t="s">
        <v>1194</v>
      </c>
      <c r="C1744" t="s">
        <v>1885</v>
      </c>
      <c r="D1744">
        <v>7</v>
      </c>
      <c r="E1744">
        <f t="shared" si="19"/>
        <v>78.296078397838201</v>
      </c>
      <c r="F1744" s="18">
        <v>0.78296078397838198</v>
      </c>
      <c r="G1744" s="18">
        <v>1</v>
      </c>
      <c r="H1744" t="s">
        <v>1888</v>
      </c>
      <c r="I1744" t="s">
        <v>1886</v>
      </c>
      <c r="J1744">
        <v>3</v>
      </c>
      <c r="K1744" s="19"/>
      <c r="L1744" s="18"/>
    </row>
    <row r="1745" spans="1:17" ht="16">
      <c r="A1745" t="s">
        <v>1823</v>
      </c>
      <c r="B1745" t="s">
        <v>1194</v>
      </c>
      <c r="C1745" t="s">
        <v>1885</v>
      </c>
      <c r="D1745">
        <v>16</v>
      </c>
      <c r="E1745">
        <f t="shared" si="19"/>
        <v>54.664705580544201</v>
      </c>
      <c r="F1745" s="18">
        <v>0.54664705580544204</v>
      </c>
      <c r="G1745" s="18">
        <v>1</v>
      </c>
      <c r="H1745" t="s">
        <v>1888</v>
      </c>
      <c r="I1745" t="s">
        <v>1886</v>
      </c>
      <c r="J1745">
        <v>3</v>
      </c>
      <c r="K1745" s="19"/>
      <c r="L1745" s="18"/>
    </row>
    <row r="1746" spans="1:17" ht="16">
      <c r="A1746" t="s">
        <v>1823</v>
      </c>
      <c r="B1746" t="s">
        <v>1194</v>
      </c>
      <c r="C1746" t="s">
        <v>1885</v>
      </c>
      <c r="D1746">
        <v>22</v>
      </c>
      <c r="E1746">
        <f t="shared" si="19"/>
        <v>45.303654803235801</v>
      </c>
      <c r="F1746" s="18">
        <v>0.45303654803235799</v>
      </c>
      <c r="G1746" s="18">
        <v>1</v>
      </c>
      <c r="H1746" t="s">
        <v>1888</v>
      </c>
      <c r="I1746" t="s">
        <v>1886</v>
      </c>
      <c r="J1746">
        <v>3</v>
      </c>
      <c r="K1746" s="19"/>
      <c r="L1746" s="18"/>
    </row>
    <row r="1747" spans="1:17" ht="16">
      <c r="A1747" t="s">
        <v>1823</v>
      </c>
      <c r="B1747" t="s">
        <v>1194</v>
      </c>
      <c r="C1747" t="s">
        <v>1885</v>
      </c>
      <c r="D1747">
        <v>30</v>
      </c>
      <c r="E1747">
        <f t="shared" si="19"/>
        <v>43.588274529253802</v>
      </c>
      <c r="F1747" s="18">
        <v>0.43588274529253801</v>
      </c>
      <c r="G1747" s="18">
        <v>1</v>
      </c>
      <c r="H1747" t="s">
        <v>1888</v>
      </c>
      <c r="I1747" t="s">
        <v>1886</v>
      </c>
      <c r="J1747">
        <v>3</v>
      </c>
      <c r="K1747" s="19"/>
      <c r="L1747" s="18"/>
    </row>
    <row r="1748" spans="1:17" ht="16">
      <c r="A1748" t="s">
        <v>1823</v>
      </c>
      <c r="B1748" t="s">
        <v>1194</v>
      </c>
      <c r="C1748" t="s">
        <v>1885</v>
      </c>
      <c r="D1748">
        <v>45</v>
      </c>
      <c r="E1748">
        <f t="shared" si="19"/>
        <v>32.209129311966599</v>
      </c>
      <c r="F1748" s="18">
        <v>0.322091293119666</v>
      </c>
      <c r="G1748" s="18">
        <v>1</v>
      </c>
      <c r="H1748" t="s">
        <v>1888</v>
      </c>
      <c r="I1748" t="s">
        <v>1886</v>
      </c>
      <c r="J1748">
        <v>3</v>
      </c>
      <c r="K1748" s="19"/>
      <c r="L1748" s="18"/>
    </row>
    <row r="1749" spans="1:17" ht="16">
      <c r="A1749" t="s">
        <v>1823</v>
      </c>
      <c r="B1749" t="s">
        <v>1194</v>
      </c>
      <c r="C1749" t="s">
        <v>1885</v>
      </c>
      <c r="D1749">
        <v>0</v>
      </c>
      <c r="E1749">
        <f t="shared" si="19"/>
        <v>100</v>
      </c>
      <c r="F1749" s="18">
        <v>1</v>
      </c>
      <c r="G1749" s="18">
        <v>1</v>
      </c>
      <c r="H1749" t="s">
        <v>1888</v>
      </c>
      <c r="I1749" t="s">
        <v>1887</v>
      </c>
      <c r="J1749">
        <v>3</v>
      </c>
      <c r="K1749" t="s">
        <v>2203</v>
      </c>
      <c r="L1749" t="s">
        <v>2205</v>
      </c>
      <c r="O1749">
        <v>0.97270000000000001</v>
      </c>
      <c r="Q1749" t="s">
        <v>1891</v>
      </c>
    </row>
    <row r="1750" spans="1:17" ht="16">
      <c r="A1750" t="s">
        <v>1823</v>
      </c>
      <c r="B1750" t="s">
        <v>1194</v>
      </c>
      <c r="C1750" t="s">
        <v>1885</v>
      </c>
      <c r="D1750">
        <v>1</v>
      </c>
      <c r="E1750">
        <f t="shared" si="19"/>
        <v>88.203553898513803</v>
      </c>
      <c r="F1750" s="18">
        <v>0.88203553898513798</v>
      </c>
      <c r="G1750" s="18">
        <v>1</v>
      </c>
      <c r="H1750" t="s">
        <v>1888</v>
      </c>
      <c r="I1750" t="s">
        <v>1887</v>
      </c>
      <c r="J1750">
        <v>3</v>
      </c>
      <c r="K1750" s="10" t="s">
        <v>2206</v>
      </c>
      <c r="L1750" s="9" t="s">
        <v>2350</v>
      </c>
      <c r="M1750" s="9">
        <v>0.25940000000000002</v>
      </c>
      <c r="N1750" s="9"/>
      <c r="O1750" s="9">
        <v>0.89929999999999999</v>
      </c>
      <c r="Q1750" t="s">
        <v>1892</v>
      </c>
    </row>
    <row r="1751" spans="1:17" ht="16">
      <c r="A1751" t="s">
        <v>1823</v>
      </c>
      <c r="B1751" t="s">
        <v>1194</v>
      </c>
      <c r="C1751" t="s">
        <v>1885</v>
      </c>
      <c r="D1751">
        <v>3</v>
      </c>
      <c r="E1751">
        <f t="shared" si="19"/>
        <v>87.54767320552061</v>
      </c>
      <c r="F1751" s="18">
        <v>0.87547673205520604</v>
      </c>
      <c r="G1751" s="18">
        <v>1</v>
      </c>
      <c r="H1751" t="s">
        <v>1888</v>
      </c>
      <c r="I1751" t="s">
        <v>1887</v>
      </c>
      <c r="J1751">
        <v>3</v>
      </c>
    </row>
    <row r="1752" spans="1:17" ht="16">
      <c r="A1752" t="s">
        <v>1823</v>
      </c>
      <c r="B1752" t="s">
        <v>1194</v>
      </c>
      <c r="C1752" t="s">
        <v>1885</v>
      </c>
      <c r="D1752">
        <v>7</v>
      </c>
      <c r="E1752">
        <f t="shared" si="19"/>
        <v>82.962494227907797</v>
      </c>
      <c r="F1752" s="18">
        <v>0.82962494227907801</v>
      </c>
      <c r="G1752" s="18">
        <v>1</v>
      </c>
      <c r="H1752" t="s">
        <v>1888</v>
      </c>
      <c r="I1752" t="s">
        <v>1887</v>
      </c>
      <c r="J1752">
        <v>3</v>
      </c>
    </row>
    <row r="1753" spans="1:17" ht="16">
      <c r="A1753" t="s">
        <v>1823</v>
      </c>
      <c r="B1753" t="s">
        <v>1194</v>
      </c>
      <c r="C1753" t="s">
        <v>1885</v>
      </c>
      <c r="D1753">
        <v>16</v>
      </c>
      <c r="E1753">
        <f t="shared" si="19"/>
        <v>79.677960014366107</v>
      </c>
      <c r="F1753" s="18">
        <v>0.796779600143661</v>
      </c>
      <c r="G1753" s="18">
        <v>1</v>
      </c>
      <c r="H1753" t="s">
        <v>1888</v>
      </c>
      <c r="I1753" t="s">
        <v>1887</v>
      </c>
      <c r="J1753">
        <v>3</v>
      </c>
    </row>
    <row r="1754" spans="1:17" ht="16">
      <c r="A1754" t="s">
        <v>1823</v>
      </c>
      <c r="B1754" t="s">
        <v>1194</v>
      </c>
      <c r="C1754" t="s">
        <v>1885</v>
      </c>
      <c r="D1754">
        <v>22</v>
      </c>
      <c r="E1754">
        <f t="shared" si="19"/>
        <v>79.591592413333103</v>
      </c>
      <c r="F1754" s="18">
        <v>0.79591592413333101</v>
      </c>
      <c r="G1754" s="18">
        <v>1</v>
      </c>
      <c r="H1754" t="s">
        <v>1888</v>
      </c>
      <c r="I1754" t="s">
        <v>1887</v>
      </c>
      <c r="J1754">
        <v>3</v>
      </c>
    </row>
    <row r="1755" spans="1:17" ht="16">
      <c r="A1755" t="s">
        <v>1823</v>
      </c>
      <c r="B1755" t="s">
        <v>1194</v>
      </c>
      <c r="C1755" t="s">
        <v>1885</v>
      </c>
      <c r="D1755">
        <v>30</v>
      </c>
      <c r="E1755">
        <f t="shared" si="19"/>
        <v>77.033059123326098</v>
      </c>
      <c r="F1755" s="18">
        <v>0.77033059123326098</v>
      </c>
      <c r="G1755" s="18">
        <v>1</v>
      </c>
      <c r="H1755" t="s">
        <v>1888</v>
      </c>
      <c r="I1755" t="s">
        <v>1887</v>
      </c>
      <c r="J1755">
        <v>3</v>
      </c>
    </row>
    <row r="1756" spans="1:17" ht="16">
      <c r="A1756" t="s">
        <v>1823</v>
      </c>
      <c r="B1756" t="s">
        <v>1194</v>
      </c>
      <c r="C1756" t="s">
        <v>1885</v>
      </c>
      <c r="D1756">
        <v>45</v>
      </c>
      <c r="E1756">
        <f t="shared" si="19"/>
        <v>75.357869713191093</v>
      </c>
      <c r="F1756" s="18">
        <v>0.75357869713191095</v>
      </c>
      <c r="G1756" s="18">
        <v>1</v>
      </c>
      <c r="H1756" t="s">
        <v>1888</v>
      </c>
      <c r="I1756" t="s">
        <v>1887</v>
      </c>
      <c r="J1756">
        <v>3</v>
      </c>
    </row>
    <row r="1757" spans="1:17" ht="16">
      <c r="A1757" t="s">
        <v>1953</v>
      </c>
      <c r="B1757" t="s">
        <v>1194</v>
      </c>
      <c r="C1757" t="s">
        <v>611</v>
      </c>
      <c r="D1757">
        <v>0</v>
      </c>
      <c r="F1757" s="18">
        <v>100</v>
      </c>
      <c r="G1757" s="18">
        <v>100</v>
      </c>
      <c r="H1757" t="s">
        <v>428</v>
      </c>
      <c r="I1757" t="s">
        <v>1954</v>
      </c>
      <c r="J1757">
        <v>3</v>
      </c>
      <c r="K1757" t="s">
        <v>181</v>
      </c>
      <c r="L1757" t="s">
        <v>2207</v>
      </c>
      <c r="N1757">
        <v>-0.65269999999999995</v>
      </c>
      <c r="O1757">
        <v>0.96789999999999998</v>
      </c>
    </row>
    <row r="1758" spans="1:17" ht="16">
      <c r="A1758" t="s">
        <v>1953</v>
      </c>
      <c r="B1758" t="s">
        <v>1194</v>
      </c>
      <c r="C1758" t="s">
        <v>611</v>
      </c>
      <c r="D1758">
        <v>10</v>
      </c>
      <c r="F1758">
        <f>100-11.28</f>
        <v>88.72</v>
      </c>
      <c r="G1758" s="18">
        <v>100</v>
      </c>
      <c r="H1758" t="s">
        <v>428</v>
      </c>
      <c r="I1758" t="s">
        <v>1954</v>
      </c>
      <c r="J1758">
        <v>3</v>
      </c>
    </row>
    <row r="1759" spans="1:17" ht="16">
      <c r="A1759" t="s">
        <v>1953</v>
      </c>
      <c r="B1759" t="s">
        <v>1194</v>
      </c>
      <c r="C1759" t="s">
        <v>611</v>
      </c>
      <c r="D1759">
        <v>21</v>
      </c>
      <c r="F1759">
        <f>100-19.44</f>
        <v>80.56</v>
      </c>
      <c r="G1759" s="18">
        <v>100</v>
      </c>
      <c r="H1759" t="s">
        <v>428</v>
      </c>
      <c r="I1759" t="s">
        <v>1954</v>
      </c>
      <c r="J1759">
        <v>3</v>
      </c>
    </row>
    <row r="1760" spans="1:17" ht="16">
      <c r="A1760" t="s">
        <v>1953</v>
      </c>
      <c r="B1760" t="s">
        <v>1194</v>
      </c>
      <c r="C1760" t="s">
        <v>611</v>
      </c>
      <c r="D1760">
        <v>52</v>
      </c>
      <c r="F1760">
        <f>100-35.53</f>
        <v>64.47</v>
      </c>
      <c r="G1760" s="18">
        <v>100</v>
      </c>
      <c r="H1760" t="s">
        <v>428</v>
      </c>
      <c r="I1760" t="s">
        <v>1954</v>
      </c>
      <c r="J1760">
        <v>3</v>
      </c>
    </row>
    <row r="1761" spans="1:15" ht="16">
      <c r="A1761" t="s">
        <v>1953</v>
      </c>
      <c r="B1761" t="s">
        <v>1194</v>
      </c>
      <c r="C1761" t="s">
        <v>611</v>
      </c>
      <c r="D1761">
        <v>0</v>
      </c>
      <c r="F1761" s="18">
        <v>100</v>
      </c>
      <c r="G1761" s="18">
        <v>100</v>
      </c>
      <c r="H1761" t="s">
        <v>428</v>
      </c>
      <c r="I1761" t="s">
        <v>1955</v>
      </c>
      <c r="J1761">
        <v>3</v>
      </c>
      <c r="K1761" t="s">
        <v>181</v>
      </c>
      <c r="L1761" t="s">
        <v>2212</v>
      </c>
      <c r="O1761">
        <v>0.99429999999999996</v>
      </c>
    </row>
    <row r="1762" spans="1:15" ht="16">
      <c r="A1762" t="s">
        <v>1953</v>
      </c>
      <c r="B1762" t="s">
        <v>1194</v>
      </c>
      <c r="C1762" t="s">
        <v>611</v>
      </c>
      <c r="D1762">
        <v>10</v>
      </c>
      <c r="F1762">
        <f>100-19.86</f>
        <v>80.14</v>
      </c>
      <c r="G1762" s="18">
        <v>100</v>
      </c>
      <c r="H1762" t="s">
        <v>428</v>
      </c>
      <c r="I1762" t="s">
        <v>1955</v>
      </c>
      <c r="J1762">
        <v>3</v>
      </c>
    </row>
    <row r="1763" spans="1:15" ht="16">
      <c r="A1763" t="s">
        <v>1953</v>
      </c>
      <c r="B1763" t="s">
        <v>1194</v>
      </c>
      <c r="C1763" t="s">
        <v>611</v>
      </c>
      <c r="D1763">
        <v>21</v>
      </c>
      <c r="F1763">
        <f>100-48.36</f>
        <v>51.64</v>
      </c>
      <c r="G1763" s="18">
        <v>100</v>
      </c>
      <c r="H1763" t="s">
        <v>428</v>
      </c>
      <c r="I1763" t="s">
        <v>1955</v>
      </c>
      <c r="J1763">
        <v>3</v>
      </c>
    </row>
    <row r="1764" spans="1:15" ht="16">
      <c r="A1764" t="s">
        <v>1953</v>
      </c>
      <c r="B1764" t="s">
        <v>1194</v>
      </c>
      <c r="C1764" t="s">
        <v>611</v>
      </c>
      <c r="D1764">
        <v>0</v>
      </c>
      <c r="F1764" s="18">
        <v>100</v>
      </c>
      <c r="G1764" s="18">
        <v>100</v>
      </c>
      <c r="H1764" t="s">
        <v>428</v>
      </c>
      <c r="I1764" t="s">
        <v>1956</v>
      </c>
      <c r="J1764">
        <v>3</v>
      </c>
      <c r="K1764" t="s">
        <v>181</v>
      </c>
      <c r="L1764" t="s">
        <v>2213</v>
      </c>
      <c r="O1764">
        <v>0.95369999999999999</v>
      </c>
    </row>
    <row r="1765" spans="1:15" ht="16">
      <c r="A1765" t="s">
        <v>1953</v>
      </c>
      <c r="B1765" t="s">
        <v>1194</v>
      </c>
      <c r="C1765" t="s">
        <v>611</v>
      </c>
      <c r="D1765">
        <v>10</v>
      </c>
      <c r="F1765">
        <f>100-29.54</f>
        <v>70.460000000000008</v>
      </c>
      <c r="G1765" s="18">
        <v>100</v>
      </c>
      <c r="H1765" t="s">
        <v>428</v>
      </c>
      <c r="I1765" t="s">
        <v>1956</v>
      </c>
      <c r="J1765">
        <v>3</v>
      </c>
    </row>
    <row r="1766" spans="1:15" ht="16">
      <c r="A1766" t="s">
        <v>1953</v>
      </c>
      <c r="B1766" t="s">
        <v>1194</v>
      </c>
      <c r="C1766" t="s">
        <v>611</v>
      </c>
      <c r="D1766">
        <v>21</v>
      </c>
      <c r="F1766">
        <f>100-44.36</f>
        <v>55.64</v>
      </c>
      <c r="G1766" s="18">
        <v>100</v>
      </c>
      <c r="H1766" t="s">
        <v>428</v>
      </c>
      <c r="I1766" t="s">
        <v>1956</v>
      </c>
      <c r="J1766">
        <v>3</v>
      </c>
    </row>
    <row r="1767" spans="1:15" ht="16">
      <c r="A1767" t="s">
        <v>1953</v>
      </c>
      <c r="B1767" t="s">
        <v>1194</v>
      </c>
      <c r="C1767" t="s">
        <v>611</v>
      </c>
      <c r="D1767">
        <v>0</v>
      </c>
      <c r="E1767" s="18">
        <v>100</v>
      </c>
      <c r="F1767" s="18">
        <v>100</v>
      </c>
      <c r="G1767" s="18">
        <v>100</v>
      </c>
      <c r="H1767" t="s">
        <v>428</v>
      </c>
      <c r="I1767" t="s">
        <v>1957</v>
      </c>
      <c r="J1767">
        <v>3</v>
      </c>
    </row>
    <row r="1768" spans="1:15" ht="16">
      <c r="A1768" t="s">
        <v>1953</v>
      </c>
      <c r="B1768" t="s">
        <v>1194</v>
      </c>
      <c r="C1768" t="s">
        <v>611</v>
      </c>
      <c r="D1768">
        <v>21</v>
      </c>
      <c r="E1768">
        <f>100-43.97</f>
        <v>56.03</v>
      </c>
      <c r="F1768">
        <f>100-43.97</f>
        <v>56.03</v>
      </c>
      <c r="G1768" s="18">
        <v>100</v>
      </c>
      <c r="H1768" t="s">
        <v>428</v>
      </c>
      <c r="I1768" t="s">
        <v>1957</v>
      </c>
      <c r="J1768">
        <v>3</v>
      </c>
    </row>
    <row r="1769" spans="1:15" ht="16">
      <c r="A1769" t="s">
        <v>1953</v>
      </c>
      <c r="B1769" t="s">
        <v>1194</v>
      </c>
      <c r="C1769" t="s">
        <v>611</v>
      </c>
      <c r="D1769">
        <v>0</v>
      </c>
      <c r="F1769" s="18">
        <v>100</v>
      </c>
      <c r="G1769" s="18">
        <v>100</v>
      </c>
      <c r="H1769" t="s">
        <v>428</v>
      </c>
      <c r="I1769" t="s">
        <v>1958</v>
      </c>
      <c r="J1769">
        <v>3</v>
      </c>
      <c r="K1769" t="s">
        <v>181</v>
      </c>
      <c r="L1769" t="s">
        <v>2214</v>
      </c>
      <c r="O1769">
        <v>0.99280000000000002</v>
      </c>
    </row>
    <row r="1770" spans="1:15" ht="16">
      <c r="A1770" t="s">
        <v>1953</v>
      </c>
      <c r="B1770" t="s">
        <v>1194</v>
      </c>
      <c r="C1770" t="s">
        <v>611</v>
      </c>
      <c r="D1770">
        <v>10</v>
      </c>
      <c r="F1770">
        <f>100-15.94</f>
        <v>84.06</v>
      </c>
      <c r="G1770" s="18">
        <v>100</v>
      </c>
      <c r="H1770" t="s">
        <v>428</v>
      </c>
      <c r="I1770" t="s">
        <v>1958</v>
      </c>
      <c r="J1770">
        <v>3</v>
      </c>
    </row>
    <row r="1771" spans="1:15" ht="16">
      <c r="A1771" t="s">
        <v>1953</v>
      </c>
      <c r="B1771" t="s">
        <v>1194</v>
      </c>
      <c r="C1771" t="s">
        <v>611</v>
      </c>
      <c r="D1771">
        <v>21</v>
      </c>
      <c r="F1771">
        <f>100-39.63</f>
        <v>60.37</v>
      </c>
      <c r="G1771" s="18">
        <v>100</v>
      </c>
      <c r="H1771" t="s">
        <v>428</v>
      </c>
      <c r="I1771" t="s">
        <v>1958</v>
      </c>
      <c r="J1771">
        <v>3</v>
      </c>
    </row>
    <row r="1772" spans="1:15" ht="16">
      <c r="A1772" t="s">
        <v>1953</v>
      </c>
      <c r="B1772" t="s">
        <v>1194</v>
      </c>
      <c r="C1772" t="s">
        <v>611</v>
      </c>
      <c r="D1772">
        <v>0</v>
      </c>
      <c r="F1772" s="18">
        <v>100</v>
      </c>
      <c r="G1772" s="18">
        <v>100</v>
      </c>
      <c r="H1772" t="s">
        <v>428</v>
      </c>
      <c r="I1772" t="s">
        <v>1959</v>
      </c>
      <c r="J1772">
        <v>3</v>
      </c>
      <c r="K1772" t="s">
        <v>181</v>
      </c>
      <c r="L1772" t="s">
        <v>2215</v>
      </c>
      <c r="O1772">
        <v>0.99860000000000004</v>
      </c>
    </row>
    <row r="1773" spans="1:15" ht="16">
      <c r="A1773" t="s">
        <v>1953</v>
      </c>
      <c r="B1773" t="s">
        <v>1194</v>
      </c>
      <c r="C1773" t="s">
        <v>611</v>
      </c>
      <c r="D1773">
        <v>10</v>
      </c>
      <c r="F1773">
        <f>100-22.63</f>
        <v>77.37</v>
      </c>
      <c r="G1773" s="18">
        <v>100</v>
      </c>
      <c r="H1773" t="s">
        <v>428</v>
      </c>
      <c r="I1773" t="s">
        <v>1959</v>
      </c>
      <c r="J1773">
        <v>3</v>
      </c>
    </row>
    <row r="1774" spans="1:15" ht="16">
      <c r="A1774" t="s">
        <v>1953</v>
      </c>
      <c r="B1774" t="s">
        <v>1194</v>
      </c>
      <c r="C1774" t="s">
        <v>611</v>
      </c>
      <c r="D1774">
        <v>21</v>
      </c>
      <c r="F1774">
        <f>100-51.03</f>
        <v>48.97</v>
      </c>
      <c r="G1774" s="18">
        <v>100</v>
      </c>
      <c r="H1774" t="s">
        <v>428</v>
      </c>
      <c r="I1774" t="s">
        <v>1959</v>
      </c>
      <c r="J1774">
        <v>3</v>
      </c>
    </row>
    <row r="1775" spans="1:15" ht="16">
      <c r="A1775" t="s">
        <v>1953</v>
      </c>
      <c r="B1775" t="s">
        <v>1194</v>
      </c>
      <c r="C1775" t="s">
        <v>611</v>
      </c>
      <c r="D1775">
        <v>0</v>
      </c>
      <c r="F1775" s="18">
        <v>100</v>
      </c>
      <c r="G1775" s="18">
        <v>100</v>
      </c>
      <c r="H1775" t="s">
        <v>428</v>
      </c>
      <c r="I1775" t="s">
        <v>1960</v>
      </c>
      <c r="J1775">
        <v>3</v>
      </c>
      <c r="K1775" t="s">
        <v>181</v>
      </c>
      <c r="L1775" t="s">
        <v>2216</v>
      </c>
      <c r="O1775">
        <v>0.88660000000000005</v>
      </c>
    </row>
    <row r="1776" spans="1:15" ht="16">
      <c r="A1776" t="s">
        <v>1953</v>
      </c>
      <c r="B1776" t="s">
        <v>1194</v>
      </c>
      <c r="C1776" t="s">
        <v>611</v>
      </c>
      <c r="D1776">
        <v>10</v>
      </c>
      <c r="F1776">
        <f>100-21.6</f>
        <v>78.400000000000006</v>
      </c>
      <c r="G1776" s="18">
        <v>100</v>
      </c>
      <c r="H1776" t="s">
        <v>428</v>
      </c>
      <c r="I1776" t="s">
        <v>1960</v>
      </c>
      <c r="J1776">
        <v>3</v>
      </c>
    </row>
    <row r="1777" spans="1:17" ht="16">
      <c r="A1777" t="s">
        <v>1953</v>
      </c>
      <c r="B1777" t="s">
        <v>1194</v>
      </c>
      <c r="C1777" t="s">
        <v>611</v>
      </c>
      <c r="D1777">
        <v>21</v>
      </c>
      <c r="F1777">
        <f>100-29.76</f>
        <v>70.239999999999995</v>
      </c>
      <c r="G1777" s="18">
        <v>100</v>
      </c>
      <c r="H1777" t="s">
        <v>428</v>
      </c>
      <c r="I1777" t="s">
        <v>1960</v>
      </c>
      <c r="J1777">
        <v>3</v>
      </c>
    </row>
    <row r="1778" spans="1:17" ht="16">
      <c r="A1778" t="s">
        <v>1953</v>
      </c>
      <c r="B1778" t="s">
        <v>1194</v>
      </c>
      <c r="C1778" t="s">
        <v>611</v>
      </c>
      <c r="D1778">
        <v>52</v>
      </c>
      <c r="F1778">
        <f>100-46.71</f>
        <v>53.29</v>
      </c>
      <c r="G1778" s="18">
        <v>100</v>
      </c>
      <c r="H1778" t="s">
        <v>428</v>
      </c>
      <c r="I1778" t="s">
        <v>1960</v>
      </c>
      <c r="J1778">
        <v>3</v>
      </c>
    </row>
    <row r="1779" spans="1:17" ht="16">
      <c r="A1779" t="s">
        <v>1968</v>
      </c>
      <c r="B1779" t="s">
        <v>1194</v>
      </c>
      <c r="C1779" t="s">
        <v>1885</v>
      </c>
      <c r="D1779">
        <v>0</v>
      </c>
      <c r="E1779">
        <f t="shared" ref="E1779:E1788" si="20">F1779/G1779*100</f>
        <v>100</v>
      </c>
      <c r="F1779">
        <v>1</v>
      </c>
      <c r="G1779" s="18">
        <v>1</v>
      </c>
      <c r="H1779" t="s">
        <v>1969</v>
      </c>
      <c r="J1779">
        <v>1</v>
      </c>
      <c r="K1779" t="s">
        <v>2208</v>
      </c>
      <c r="L1779" t="s">
        <v>2210</v>
      </c>
      <c r="M1779">
        <v>2.5999999999999999E-2</v>
      </c>
      <c r="O1779">
        <v>0.91320000000000001</v>
      </c>
      <c r="Q1779" t="s">
        <v>2209</v>
      </c>
    </row>
    <row r="1780" spans="1:17" ht="16">
      <c r="A1780" t="s">
        <v>1968</v>
      </c>
      <c r="B1780" t="s">
        <v>1194</v>
      </c>
      <c r="C1780" t="s">
        <v>1885</v>
      </c>
      <c r="D1780">
        <v>0.5</v>
      </c>
      <c r="E1780">
        <f t="shared" si="20"/>
        <v>88</v>
      </c>
      <c r="F1780">
        <v>0.88</v>
      </c>
      <c r="G1780" s="18">
        <v>1</v>
      </c>
      <c r="H1780" t="s">
        <v>1969</v>
      </c>
      <c r="J1780">
        <v>1</v>
      </c>
      <c r="K1780" s="9" t="s">
        <v>2211</v>
      </c>
      <c r="L1780" s="9" t="s">
        <v>2432</v>
      </c>
      <c r="M1780" s="9">
        <v>4.4200000000000003E-2</v>
      </c>
      <c r="N1780" s="9"/>
      <c r="O1780" s="9">
        <v>0.92159999999999997</v>
      </c>
      <c r="Q1780" t="s">
        <v>1970</v>
      </c>
    </row>
    <row r="1781" spans="1:17" ht="16">
      <c r="A1781" t="s">
        <v>1968</v>
      </c>
      <c r="B1781" t="s">
        <v>1194</v>
      </c>
      <c r="C1781" t="s">
        <v>1885</v>
      </c>
      <c r="D1781">
        <v>1</v>
      </c>
      <c r="E1781">
        <f t="shared" si="20"/>
        <v>75.960000000000008</v>
      </c>
      <c r="F1781">
        <v>0.75960000000000005</v>
      </c>
      <c r="G1781" s="18">
        <v>1</v>
      </c>
      <c r="H1781" t="s">
        <v>1969</v>
      </c>
      <c r="J1781">
        <v>1</v>
      </c>
    </row>
    <row r="1782" spans="1:17" ht="16">
      <c r="A1782" t="s">
        <v>1968</v>
      </c>
      <c r="B1782" t="s">
        <v>1194</v>
      </c>
      <c r="C1782" t="s">
        <v>1885</v>
      </c>
      <c r="D1782">
        <v>3</v>
      </c>
      <c r="E1782">
        <f t="shared" si="20"/>
        <v>69.97</v>
      </c>
      <c r="F1782">
        <v>0.69969999999999999</v>
      </c>
      <c r="G1782" s="18">
        <v>1</v>
      </c>
      <c r="H1782" t="s">
        <v>1969</v>
      </c>
      <c r="J1782">
        <v>1</v>
      </c>
    </row>
    <row r="1783" spans="1:17" ht="16">
      <c r="A1783" t="s">
        <v>1968</v>
      </c>
      <c r="B1783" t="s">
        <v>1194</v>
      </c>
      <c r="C1783" t="s">
        <v>1885</v>
      </c>
      <c r="D1783">
        <v>6</v>
      </c>
      <c r="E1783">
        <f t="shared" si="20"/>
        <v>61.687000000000005</v>
      </c>
      <c r="F1783">
        <v>0.61687000000000003</v>
      </c>
      <c r="G1783" s="18">
        <v>1</v>
      </c>
      <c r="H1783" t="s">
        <v>1969</v>
      </c>
      <c r="J1783">
        <v>1</v>
      </c>
    </row>
    <row r="1784" spans="1:17" ht="16">
      <c r="A1784" t="s">
        <v>1968</v>
      </c>
      <c r="B1784" t="s">
        <v>1194</v>
      </c>
      <c r="C1784" t="s">
        <v>1885</v>
      </c>
      <c r="D1784">
        <v>10</v>
      </c>
      <c r="E1784">
        <f t="shared" si="20"/>
        <v>61.51</v>
      </c>
      <c r="F1784">
        <v>0.61509999999999998</v>
      </c>
      <c r="G1784" s="18">
        <v>1</v>
      </c>
      <c r="H1784" t="s">
        <v>1969</v>
      </c>
      <c r="J1784">
        <v>1</v>
      </c>
    </row>
    <row r="1785" spans="1:17" ht="16">
      <c r="A1785" t="s">
        <v>1968</v>
      </c>
      <c r="B1785" t="s">
        <v>1194</v>
      </c>
      <c r="C1785" t="s">
        <v>1885</v>
      </c>
      <c r="D1785">
        <v>20</v>
      </c>
      <c r="E1785">
        <f t="shared" si="20"/>
        <v>51.690000000000005</v>
      </c>
      <c r="F1785">
        <v>0.51690000000000003</v>
      </c>
      <c r="G1785" s="18">
        <v>1</v>
      </c>
      <c r="H1785" t="s">
        <v>1969</v>
      </c>
      <c r="J1785">
        <v>1</v>
      </c>
    </row>
    <row r="1786" spans="1:17" ht="16">
      <c r="A1786" t="s">
        <v>1968</v>
      </c>
      <c r="B1786" t="s">
        <v>1194</v>
      </c>
      <c r="C1786" t="s">
        <v>1885</v>
      </c>
      <c r="D1786">
        <v>30</v>
      </c>
      <c r="E1786">
        <f t="shared" si="20"/>
        <v>40.39</v>
      </c>
      <c r="F1786">
        <v>0.40389999999999998</v>
      </c>
      <c r="G1786" s="18">
        <v>1</v>
      </c>
      <c r="H1786" t="s">
        <v>1969</v>
      </c>
      <c r="J1786">
        <v>1</v>
      </c>
    </row>
    <row r="1787" spans="1:17" ht="16">
      <c r="A1787" t="s">
        <v>1968</v>
      </c>
      <c r="B1787" t="s">
        <v>1194</v>
      </c>
      <c r="C1787" t="s">
        <v>1885</v>
      </c>
      <c r="D1787">
        <v>45</v>
      </c>
      <c r="E1787">
        <f t="shared" si="20"/>
        <v>29.25</v>
      </c>
      <c r="F1787">
        <v>0.29249999999999998</v>
      </c>
      <c r="G1787" s="18">
        <v>1</v>
      </c>
      <c r="H1787" t="s">
        <v>1969</v>
      </c>
      <c r="J1787">
        <v>1</v>
      </c>
    </row>
    <row r="1788" spans="1:17" ht="16">
      <c r="A1788" t="s">
        <v>1968</v>
      </c>
      <c r="B1788" t="s">
        <v>1194</v>
      </c>
      <c r="C1788" t="s">
        <v>1885</v>
      </c>
      <c r="D1788">
        <v>60</v>
      </c>
      <c r="E1788">
        <f t="shared" si="20"/>
        <v>18.649999999999999</v>
      </c>
      <c r="F1788">
        <v>0.1865</v>
      </c>
      <c r="G1788" s="18">
        <v>1</v>
      </c>
      <c r="H1788" t="s">
        <v>1969</v>
      </c>
      <c r="J1788">
        <v>1</v>
      </c>
    </row>
    <row r="1789" spans="1:17" ht="16">
      <c r="A1789" t="s">
        <v>1981</v>
      </c>
      <c r="B1789" t="s">
        <v>1194</v>
      </c>
      <c r="C1789" t="s">
        <v>437</v>
      </c>
      <c r="D1789">
        <v>0</v>
      </c>
      <c r="E1789">
        <v>100</v>
      </c>
      <c r="F1789">
        <v>100</v>
      </c>
      <c r="G1789" s="18">
        <v>100</v>
      </c>
      <c r="H1789" t="s">
        <v>428</v>
      </c>
      <c r="I1789" t="s">
        <v>194</v>
      </c>
      <c r="J1789">
        <v>3</v>
      </c>
      <c r="K1789" t="s">
        <v>2217</v>
      </c>
      <c r="L1789" t="s">
        <v>2218</v>
      </c>
      <c r="M1789">
        <v>0.21640000000000001</v>
      </c>
      <c r="O1789">
        <v>0.99909999999999999</v>
      </c>
    </row>
    <row r="1790" spans="1:17" ht="16">
      <c r="A1790" t="s">
        <v>1981</v>
      </c>
      <c r="B1790" t="s">
        <v>1194</v>
      </c>
      <c r="C1790" t="s">
        <v>437</v>
      </c>
      <c r="D1790">
        <v>7</v>
      </c>
      <c r="E1790">
        <v>25.67</v>
      </c>
      <c r="F1790">
        <v>25.67</v>
      </c>
      <c r="G1790" s="18">
        <v>100</v>
      </c>
      <c r="H1790" t="s">
        <v>428</v>
      </c>
      <c r="I1790" t="s">
        <v>194</v>
      </c>
      <c r="J1790">
        <v>3</v>
      </c>
    </row>
    <row r="1791" spans="1:17" ht="16">
      <c r="A1791" t="s">
        <v>1981</v>
      </c>
      <c r="B1791" t="s">
        <v>1194</v>
      </c>
      <c r="C1791" t="s">
        <v>437</v>
      </c>
      <c r="D1791">
        <v>14</v>
      </c>
      <c r="E1791">
        <v>12.09</v>
      </c>
      <c r="F1791">
        <v>12.09</v>
      </c>
      <c r="G1791" s="18">
        <v>100</v>
      </c>
      <c r="H1791" t="s">
        <v>428</v>
      </c>
      <c r="I1791" t="s">
        <v>194</v>
      </c>
      <c r="J1791">
        <v>3</v>
      </c>
    </row>
    <row r="1792" spans="1:17" ht="16">
      <c r="A1792" t="s">
        <v>1981</v>
      </c>
      <c r="B1792" t="s">
        <v>1194</v>
      </c>
      <c r="C1792" t="s">
        <v>437</v>
      </c>
      <c r="D1792">
        <v>21</v>
      </c>
      <c r="E1792">
        <v>7.3529999999999998</v>
      </c>
      <c r="F1792">
        <v>7.3529999999999998</v>
      </c>
      <c r="G1792" s="18">
        <v>100</v>
      </c>
      <c r="H1792" t="s">
        <v>428</v>
      </c>
      <c r="I1792" t="s">
        <v>194</v>
      </c>
      <c r="J1792">
        <v>3</v>
      </c>
    </row>
    <row r="1793" spans="1:15" ht="16">
      <c r="A1793" t="s">
        <v>1981</v>
      </c>
      <c r="B1793" t="s">
        <v>1194</v>
      </c>
      <c r="C1793" t="s">
        <v>437</v>
      </c>
      <c r="D1793">
        <v>28</v>
      </c>
      <c r="E1793">
        <v>5.9119999999999999</v>
      </c>
      <c r="F1793">
        <v>5.9119999999999999</v>
      </c>
      <c r="G1793" s="18">
        <v>100</v>
      </c>
      <c r="H1793" t="s">
        <v>428</v>
      </c>
      <c r="I1793" t="s">
        <v>194</v>
      </c>
      <c r="J1793">
        <v>3</v>
      </c>
    </row>
    <row r="1794" spans="1:15" ht="16">
      <c r="A1794" t="s">
        <v>1981</v>
      </c>
      <c r="B1794" t="s">
        <v>1194</v>
      </c>
      <c r="C1794" t="s">
        <v>437</v>
      </c>
      <c r="D1794">
        <v>35</v>
      </c>
      <c r="E1794">
        <v>5.7050000000000001</v>
      </c>
      <c r="F1794">
        <v>5.7050000000000001</v>
      </c>
      <c r="G1794" s="18">
        <v>100</v>
      </c>
      <c r="H1794" t="s">
        <v>428</v>
      </c>
      <c r="I1794" t="s">
        <v>194</v>
      </c>
      <c r="J1794">
        <v>3</v>
      </c>
    </row>
    <row r="1795" spans="1:15" ht="16">
      <c r="A1795" t="s">
        <v>1981</v>
      </c>
      <c r="B1795" t="s">
        <v>1194</v>
      </c>
      <c r="C1795" t="s">
        <v>437</v>
      </c>
      <c r="D1795">
        <v>42</v>
      </c>
      <c r="E1795">
        <v>5.7030000000000003</v>
      </c>
      <c r="F1795">
        <v>5.7030000000000003</v>
      </c>
      <c r="G1795" s="18">
        <v>100</v>
      </c>
      <c r="H1795" t="s">
        <v>428</v>
      </c>
      <c r="I1795" t="s">
        <v>194</v>
      </c>
      <c r="J1795">
        <v>3</v>
      </c>
    </row>
    <row r="1796" spans="1:15" ht="16">
      <c r="A1796" t="s">
        <v>1981</v>
      </c>
      <c r="B1796" t="s">
        <v>1194</v>
      </c>
      <c r="C1796" t="s">
        <v>437</v>
      </c>
      <c r="D1796">
        <v>49</v>
      </c>
      <c r="E1796">
        <v>6.5030000000000001</v>
      </c>
      <c r="F1796">
        <v>6.5030000000000001</v>
      </c>
      <c r="G1796" s="18">
        <v>100</v>
      </c>
      <c r="H1796" t="s">
        <v>428</v>
      </c>
      <c r="I1796" t="s">
        <v>194</v>
      </c>
      <c r="J1796">
        <v>3</v>
      </c>
    </row>
    <row r="1797" spans="1:15" ht="16">
      <c r="A1797" t="s">
        <v>1981</v>
      </c>
      <c r="B1797" t="s">
        <v>1194</v>
      </c>
      <c r="C1797" t="s">
        <v>437</v>
      </c>
      <c r="D1797">
        <v>56</v>
      </c>
      <c r="E1797">
        <v>6.0019999999999998</v>
      </c>
      <c r="F1797">
        <v>6.0019999999999998</v>
      </c>
      <c r="G1797" s="18">
        <v>100</v>
      </c>
      <c r="H1797" t="s">
        <v>428</v>
      </c>
      <c r="I1797" t="s">
        <v>194</v>
      </c>
      <c r="J1797">
        <v>3</v>
      </c>
    </row>
    <row r="1798" spans="1:15" ht="16">
      <c r="A1798" t="s">
        <v>1981</v>
      </c>
      <c r="B1798" t="s">
        <v>1194</v>
      </c>
      <c r="C1798" t="s">
        <v>437</v>
      </c>
      <c r="D1798">
        <v>63</v>
      </c>
      <c r="E1798">
        <v>4.1920000000000002</v>
      </c>
      <c r="F1798">
        <v>4.1920000000000002</v>
      </c>
      <c r="G1798" s="18">
        <v>100</v>
      </c>
      <c r="H1798" t="s">
        <v>428</v>
      </c>
      <c r="I1798" t="s">
        <v>194</v>
      </c>
      <c r="J1798">
        <v>3</v>
      </c>
    </row>
    <row r="1799" spans="1:15" ht="16">
      <c r="A1799" t="s">
        <v>1981</v>
      </c>
      <c r="B1799" t="s">
        <v>1194</v>
      </c>
      <c r="C1799" t="s">
        <v>437</v>
      </c>
      <c r="D1799">
        <v>70</v>
      </c>
      <c r="E1799">
        <v>5.3940000000000001</v>
      </c>
      <c r="F1799">
        <v>5.3940000000000001</v>
      </c>
      <c r="G1799" s="18">
        <v>100</v>
      </c>
      <c r="H1799" t="s">
        <v>428</v>
      </c>
      <c r="I1799" t="s">
        <v>194</v>
      </c>
      <c r="J1799">
        <v>3</v>
      </c>
    </row>
    <row r="1800" spans="1:15" ht="16">
      <c r="A1800" t="s">
        <v>1981</v>
      </c>
      <c r="B1800" t="s">
        <v>1194</v>
      </c>
      <c r="C1800" t="s">
        <v>445</v>
      </c>
      <c r="D1800">
        <v>0</v>
      </c>
      <c r="E1800">
        <v>100</v>
      </c>
      <c r="F1800">
        <v>100</v>
      </c>
      <c r="G1800" s="18">
        <v>100</v>
      </c>
      <c r="H1800" t="s">
        <v>428</v>
      </c>
      <c r="I1800" t="s">
        <v>194</v>
      </c>
      <c r="J1800">
        <v>3</v>
      </c>
      <c r="K1800" t="s">
        <v>2217</v>
      </c>
      <c r="L1800" t="s">
        <v>2219</v>
      </c>
      <c r="M1800">
        <v>0.13389999999999999</v>
      </c>
      <c r="O1800">
        <v>0.99639999999999995</v>
      </c>
    </row>
    <row r="1801" spans="1:15" ht="16">
      <c r="A1801" t="s">
        <v>1981</v>
      </c>
      <c r="B1801" t="s">
        <v>1194</v>
      </c>
      <c r="C1801" t="s">
        <v>445</v>
      </c>
      <c r="D1801">
        <v>7</v>
      </c>
      <c r="E1801">
        <v>51.25</v>
      </c>
      <c r="F1801">
        <v>51.25</v>
      </c>
      <c r="G1801" s="18">
        <v>100</v>
      </c>
      <c r="H1801" t="s">
        <v>428</v>
      </c>
      <c r="I1801" t="s">
        <v>194</v>
      </c>
      <c r="J1801">
        <v>3</v>
      </c>
    </row>
    <row r="1802" spans="1:15" ht="16">
      <c r="A1802" t="s">
        <v>1981</v>
      </c>
      <c r="B1802" t="s">
        <v>1194</v>
      </c>
      <c r="C1802" t="s">
        <v>445</v>
      </c>
      <c r="D1802">
        <v>14</v>
      </c>
      <c r="E1802">
        <v>34.33</v>
      </c>
      <c r="F1802">
        <v>34.33</v>
      </c>
      <c r="G1802" s="18">
        <v>100</v>
      </c>
      <c r="H1802" t="s">
        <v>428</v>
      </c>
      <c r="I1802" t="s">
        <v>194</v>
      </c>
      <c r="J1802">
        <v>3</v>
      </c>
    </row>
    <row r="1803" spans="1:15" ht="16">
      <c r="A1803" t="s">
        <v>1981</v>
      </c>
      <c r="B1803" t="s">
        <v>1194</v>
      </c>
      <c r="C1803" t="s">
        <v>445</v>
      </c>
      <c r="D1803">
        <v>21</v>
      </c>
      <c r="E1803">
        <v>29.31</v>
      </c>
      <c r="F1803">
        <v>29.31</v>
      </c>
      <c r="G1803" s="18">
        <v>100</v>
      </c>
      <c r="H1803" t="s">
        <v>428</v>
      </c>
      <c r="I1803" t="s">
        <v>194</v>
      </c>
      <c r="J1803">
        <v>3</v>
      </c>
    </row>
    <row r="1804" spans="1:15" ht="16">
      <c r="A1804" t="s">
        <v>1981</v>
      </c>
      <c r="B1804" t="s">
        <v>1194</v>
      </c>
      <c r="C1804" t="s">
        <v>445</v>
      </c>
      <c r="D1804">
        <v>28</v>
      </c>
      <c r="E1804">
        <v>25.92</v>
      </c>
      <c r="F1804">
        <v>25.92</v>
      </c>
      <c r="G1804" s="18">
        <v>100</v>
      </c>
      <c r="H1804" t="s">
        <v>428</v>
      </c>
      <c r="I1804" t="s">
        <v>194</v>
      </c>
      <c r="J1804">
        <v>3</v>
      </c>
    </row>
    <row r="1805" spans="1:15" ht="16">
      <c r="A1805" t="s">
        <v>1981</v>
      </c>
      <c r="B1805" t="s">
        <v>1194</v>
      </c>
      <c r="C1805" t="s">
        <v>445</v>
      </c>
      <c r="D1805">
        <v>35</v>
      </c>
      <c r="E1805">
        <v>25.17</v>
      </c>
      <c r="F1805">
        <v>25.17</v>
      </c>
      <c r="G1805" s="18">
        <v>100</v>
      </c>
      <c r="H1805" t="s">
        <v>428</v>
      </c>
      <c r="I1805" t="s">
        <v>194</v>
      </c>
      <c r="J1805">
        <v>3</v>
      </c>
    </row>
    <row r="1806" spans="1:15" ht="16">
      <c r="A1806" t="s">
        <v>1981</v>
      </c>
      <c r="B1806" t="s">
        <v>1194</v>
      </c>
      <c r="C1806" t="s">
        <v>445</v>
      </c>
      <c r="D1806">
        <v>42</v>
      </c>
      <c r="E1806">
        <v>21.45</v>
      </c>
      <c r="F1806">
        <v>21.45</v>
      </c>
      <c r="G1806" s="18">
        <v>100</v>
      </c>
      <c r="H1806" t="s">
        <v>428</v>
      </c>
      <c r="I1806" t="s">
        <v>194</v>
      </c>
      <c r="J1806">
        <v>3</v>
      </c>
    </row>
    <row r="1807" spans="1:15" ht="16">
      <c r="A1807" t="s">
        <v>1981</v>
      </c>
      <c r="B1807" t="s">
        <v>1194</v>
      </c>
      <c r="C1807" t="s">
        <v>445</v>
      </c>
      <c r="D1807">
        <v>49</v>
      </c>
      <c r="E1807">
        <v>22.19</v>
      </c>
      <c r="F1807">
        <v>22.19</v>
      </c>
      <c r="G1807" s="18">
        <v>100</v>
      </c>
      <c r="H1807" t="s">
        <v>428</v>
      </c>
      <c r="I1807" t="s">
        <v>194</v>
      </c>
      <c r="J1807">
        <v>3</v>
      </c>
    </row>
    <row r="1808" spans="1:15" ht="16">
      <c r="A1808" t="s">
        <v>1981</v>
      </c>
      <c r="B1808" t="s">
        <v>1194</v>
      </c>
      <c r="C1808" t="s">
        <v>445</v>
      </c>
      <c r="D1808">
        <v>56</v>
      </c>
      <c r="E1808">
        <v>22.86</v>
      </c>
      <c r="F1808">
        <v>22.86</v>
      </c>
      <c r="G1808" s="18">
        <v>100</v>
      </c>
      <c r="H1808" t="s">
        <v>428</v>
      </c>
      <c r="I1808" t="s">
        <v>194</v>
      </c>
      <c r="J1808">
        <v>3</v>
      </c>
    </row>
    <row r="1809" spans="1:15" ht="16">
      <c r="A1809" t="s">
        <v>1981</v>
      </c>
      <c r="B1809" t="s">
        <v>1194</v>
      </c>
      <c r="C1809" t="s">
        <v>445</v>
      </c>
      <c r="D1809">
        <v>63</v>
      </c>
      <c r="E1809">
        <v>21.48</v>
      </c>
      <c r="F1809">
        <v>21.48</v>
      </c>
      <c r="G1809" s="18">
        <v>100</v>
      </c>
      <c r="H1809" t="s">
        <v>428</v>
      </c>
      <c r="I1809" t="s">
        <v>194</v>
      </c>
      <c r="J1809">
        <v>3</v>
      </c>
    </row>
    <row r="1810" spans="1:15" ht="16">
      <c r="A1810" t="s">
        <v>1981</v>
      </c>
      <c r="B1810" t="s">
        <v>1194</v>
      </c>
      <c r="C1810" t="s">
        <v>445</v>
      </c>
      <c r="D1810">
        <v>70</v>
      </c>
      <c r="E1810">
        <v>20.62</v>
      </c>
      <c r="F1810">
        <v>20.62</v>
      </c>
      <c r="G1810" s="18">
        <v>100</v>
      </c>
      <c r="H1810" t="s">
        <v>428</v>
      </c>
      <c r="I1810" t="s">
        <v>194</v>
      </c>
      <c r="J1810">
        <v>3</v>
      </c>
    </row>
    <row r="1811" spans="1:15" ht="16">
      <c r="A1811" t="s">
        <v>1981</v>
      </c>
      <c r="B1811" t="s">
        <v>1194</v>
      </c>
      <c r="C1811" t="s">
        <v>1977</v>
      </c>
      <c r="D1811">
        <v>0</v>
      </c>
      <c r="E1811">
        <v>100</v>
      </c>
      <c r="F1811">
        <v>100</v>
      </c>
      <c r="G1811" s="18">
        <v>100</v>
      </c>
      <c r="H1811" t="s">
        <v>428</v>
      </c>
      <c r="I1811" t="s">
        <v>194</v>
      </c>
      <c r="J1811">
        <v>3</v>
      </c>
      <c r="K1811" t="s">
        <v>2217</v>
      </c>
      <c r="L1811" t="s">
        <v>2220</v>
      </c>
      <c r="O1811">
        <v>0.996</v>
      </c>
    </row>
    <row r="1812" spans="1:15" ht="16">
      <c r="A1812" t="s">
        <v>1981</v>
      </c>
      <c r="B1812" t="s">
        <v>1194</v>
      </c>
      <c r="C1812" t="s">
        <v>1977</v>
      </c>
      <c r="D1812">
        <v>7</v>
      </c>
      <c r="E1812">
        <v>25.59</v>
      </c>
      <c r="F1812">
        <v>25.59</v>
      </c>
      <c r="G1812" s="18">
        <v>100</v>
      </c>
      <c r="H1812" t="s">
        <v>428</v>
      </c>
      <c r="I1812" t="s">
        <v>194</v>
      </c>
      <c r="J1812">
        <v>3</v>
      </c>
    </row>
    <row r="1813" spans="1:15" ht="16">
      <c r="A1813" t="s">
        <v>1981</v>
      </c>
      <c r="B1813" t="s">
        <v>1194</v>
      </c>
      <c r="C1813" t="s">
        <v>1977</v>
      </c>
      <c r="D1813">
        <v>14</v>
      </c>
      <c r="E1813">
        <v>12.06</v>
      </c>
      <c r="F1813">
        <v>12.06</v>
      </c>
      <c r="G1813" s="18">
        <v>100</v>
      </c>
      <c r="H1813" t="s">
        <v>428</v>
      </c>
      <c r="I1813" t="s">
        <v>194</v>
      </c>
      <c r="J1813">
        <v>3</v>
      </c>
    </row>
    <row r="1814" spans="1:15" ht="16">
      <c r="A1814" t="s">
        <v>1981</v>
      </c>
      <c r="B1814" t="s">
        <v>1194</v>
      </c>
      <c r="C1814" t="s">
        <v>1977</v>
      </c>
      <c r="D1814">
        <v>21</v>
      </c>
      <c r="E1814">
        <v>1.42</v>
      </c>
      <c r="F1814">
        <v>1.42</v>
      </c>
      <c r="G1814" s="18">
        <v>100</v>
      </c>
      <c r="H1814" t="s">
        <v>428</v>
      </c>
      <c r="I1814" t="s">
        <v>194</v>
      </c>
      <c r="J1814">
        <v>3</v>
      </c>
    </row>
    <row r="1815" spans="1:15" ht="16">
      <c r="A1815" t="s">
        <v>1981</v>
      </c>
      <c r="B1815" t="s">
        <v>1194</v>
      </c>
      <c r="C1815" t="s">
        <v>1977</v>
      </c>
      <c r="D1815">
        <v>28</v>
      </c>
      <c r="E1815">
        <v>1.25</v>
      </c>
      <c r="F1815">
        <v>1.25</v>
      </c>
      <c r="G1815" s="18">
        <v>100</v>
      </c>
      <c r="H1815" t="s">
        <v>428</v>
      </c>
      <c r="I1815" t="s">
        <v>194</v>
      </c>
      <c r="J1815">
        <v>3</v>
      </c>
    </row>
    <row r="1816" spans="1:15" ht="16">
      <c r="A1816" t="s">
        <v>1981</v>
      </c>
      <c r="B1816" t="s">
        <v>1194</v>
      </c>
      <c r="C1816" t="s">
        <v>1977</v>
      </c>
      <c r="D1816">
        <v>35</v>
      </c>
      <c r="E1816">
        <v>5.66</v>
      </c>
      <c r="F1816">
        <v>5.66</v>
      </c>
      <c r="G1816" s="18">
        <v>100</v>
      </c>
      <c r="H1816" t="s">
        <v>428</v>
      </c>
      <c r="I1816" t="s">
        <v>194</v>
      </c>
      <c r="J1816">
        <v>3</v>
      </c>
    </row>
    <row r="1817" spans="1:15" ht="16">
      <c r="A1817" t="s">
        <v>1981</v>
      </c>
      <c r="B1817" t="s">
        <v>1194</v>
      </c>
      <c r="C1817" t="s">
        <v>1977</v>
      </c>
      <c r="D1817">
        <v>42</v>
      </c>
      <c r="E1817">
        <v>1.36</v>
      </c>
      <c r="F1817">
        <v>1.36</v>
      </c>
      <c r="G1817" s="18">
        <v>100</v>
      </c>
      <c r="H1817" t="s">
        <v>428</v>
      </c>
      <c r="I1817" t="s">
        <v>194</v>
      </c>
      <c r="J1817">
        <v>3</v>
      </c>
    </row>
    <row r="1818" spans="1:15" ht="16">
      <c r="A1818" t="s">
        <v>1981</v>
      </c>
      <c r="B1818" t="s">
        <v>1194</v>
      </c>
      <c r="C1818" t="s">
        <v>1977</v>
      </c>
      <c r="D1818">
        <v>49</v>
      </c>
      <c r="E1818">
        <v>2.17</v>
      </c>
      <c r="F1818">
        <v>2.17</v>
      </c>
      <c r="G1818" s="18">
        <v>100</v>
      </c>
      <c r="H1818" t="s">
        <v>428</v>
      </c>
      <c r="I1818" t="s">
        <v>194</v>
      </c>
      <c r="J1818">
        <v>3</v>
      </c>
    </row>
    <row r="1819" spans="1:15" ht="16">
      <c r="A1819" t="s">
        <v>1981</v>
      </c>
      <c r="B1819" t="s">
        <v>1194</v>
      </c>
      <c r="C1819" t="s">
        <v>1977</v>
      </c>
      <c r="D1819">
        <v>56</v>
      </c>
      <c r="E1819">
        <v>0.40699999999999997</v>
      </c>
      <c r="F1819">
        <v>0.40699999999999997</v>
      </c>
      <c r="G1819" s="18">
        <v>100</v>
      </c>
      <c r="H1819" t="s">
        <v>428</v>
      </c>
      <c r="I1819" t="s">
        <v>194</v>
      </c>
      <c r="J1819">
        <v>3</v>
      </c>
    </row>
    <row r="1820" spans="1:15" ht="16">
      <c r="A1820" t="s">
        <v>1981</v>
      </c>
      <c r="B1820" t="s">
        <v>1194</v>
      </c>
      <c r="C1820" t="s">
        <v>1977</v>
      </c>
      <c r="D1820">
        <v>63</v>
      </c>
      <c r="E1820">
        <v>2.56</v>
      </c>
      <c r="F1820">
        <v>2.56</v>
      </c>
      <c r="G1820" s="18">
        <v>100</v>
      </c>
      <c r="H1820" t="s">
        <v>428</v>
      </c>
      <c r="I1820" t="s">
        <v>194</v>
      </c>
      <c r="J1820">
        <v>3</v>
      </c>
    </row>
    <row r="1821" spans="1:15" ht="16">
      <c r="A1821" t="s">
        <v>1981</v>
      </c>
      <c r="B1821" t="s">
        <v>1194</v>
      </c>
      <c r="C1821" t="s">
        <v>1977</v>
      </c>
      <c r="D1821">
        <v>70</v>
      </c>
      <c r="E1821">
        <v>1.28</v>
      </c>
      <c r="F1821">
        <v>1.28</v>
      </c>
      <c r="G1821" s="18">
        <v>100</v>
      </c>
      <c r="H1821" t="s">
        <v>428</v>
      </c>
      <c r="I1821" t="s">
        <v>194</v>
      </c>
      <c r="J1821">
        <v>3</v>
      </c>
      <c r="K1821" t="s">
        <v>2208</v>
      </c>
      <c r="L1821" t="s">
        <v>2221</v>
      </c>
      <c r="M1821">
        <v>9.7500000000000003E-2</v>
      </c>
      <c r="O1821">
        <v>0.79469999999999996</v>
      </c>
    </row>
    <row r="1822" spans="1:15" ht="16">
      <c r="A1822" t="s">
        <v>1998</v>
      </c>
      <c r="B1822" t="s">
        <v>1194</v>
      </c>
      <c r="C1822" t="s">
        <v>2002</v>
      </c>
      <c r="D1822">
        <v>0</v>
      </c>
      <c r="E1822">
        <v>100</v>
      </c>
      <c r="F1822">
        <v>100</v>
      </c>
      <c r="G1822" s="18">
        <v>100</v>
      </c>
      <c r="H1822" t="s">
        <v>428</v>
      </c>
      <c r="I1822" t="s">
        <v>2004</v>
      </c>
      <c r="J1822">
        <v>3</v>
      </c>
    </row>
    <row r="1823" spans="1:15" ht="16">
      <c r="A1823" t="s">
        <v>1998</v>
      </c>
      <c r="B1823" t="s">
        <v>1194</v>
      </c>
      <c r="C1823" t="s">
        <v>2002</v>
      </c>
      <c r="D1823">
        <v>1</v>
      </c>
      <c r="E1823">
        <v>56.02</v>
      </c>
      <c r="F1823">
        <v>56.02</v>
      </c>
      <c r="G1823" s="18">
        <v>100</v>
      </c>
      <c r="H1823" t="s">
        <v>428</v>
      </c>
      <c r="I1823" t="s">
        <v>2004</v>
      </c>
      <c r="J1823">
        <v>3</v>
      </c>
    </row>
    <row r="1824" spans="1:15" ht="16">
      <c r="A1824" t="s">
        <v>1998</v>
      </c>
      <c r="B1824" t="s">
        <v>1194</v>
      </c>
      <c r="C1824" t="s">
        <v>2002</v>
      </c>
      <c r="D1824">
        <v>3</v>
      </c>
      <c r="E1824">
        <v>54.82</v>
      </c>
      <c r="F1824">
        <v>54.82</v>
      </c>
      <c r="G1824" s="18">
        <v>100</v>
      </c>
      <c r="H1824" t="s">
        <v>428</v>
      </c>
      <c r="I1824" t="s">
        <v>2004</v>
      </c>
      <c r="J1824">
        <v>3</v>
      </c>
    </row>
    <row r="1825" spans="1:15" ht="16">
      <c r="A1825" t="s">
        <v>1998</v>
      </c>
      <c r="B1825" t="s">
        <v>1194</v>
      </c>
      <c r="C1825" t="s">
        <v>2002</v>
      </c>
      <c r="D1825">
        <v>6</v>
      </c>
      <c r="E1825">
        <v>51.2</v>
      </c>
      <c r="F1825">
        <v>51.2</v>
      </c>
      <c r="G1825" s="18">
        <v>100</v>
      </c>
      <c r="H1825" t="s">
        <v>428</v>
      </c>
      <c r="I1825" t="s">
        <v>2004</v>
      </c>
      <c r="J1825">
        <v>3</v>
      </c>
    </row>
    <row r="1826" spans="1:15" ht="16">
      <c r="A1826" t="s">
        <v>1998</v>
      </c>
      <c r="B1826" t="s">
        <v>1194</v>
      </c>
      <c r="C1826" t="s">
        <v>2002</v>
      </c>
      <c r="D1826">
        <v>10</v>
      </c>
      <c r="E1826">
        <v>37.35</v>
      </c>
      <c r="F1826">
        <v>37.35</v>
      </c>
      <c r="G1826" s="18">
        <v>100</v>
      </c>
      <c r="H1826" t="s">
        <v>428</v>
      </c>
      <c r="I1826" t="s">
        <v>2004</v>
      </c>
      <c r="J1826">
        <v>3</v>
      </c>
    </row>
    <row r="1827" spans="1:15" ht="16">
      <c r="A1827" t="s">
        <v>1998</v>
      </c>
      <c r="B1827" t="s">
        <v>1194</v>
      </c>
      <c r="C1827" t="s">
        <v>2002</v>
      </c>
      <c r="D1827">
        <v>15</v>
      </c>
      <c r="E1827">
        <v>16.62</v>
      </c>
      <c r="F1827">
        <v>16.62</v>
      </c>
      <c r="G1827" s="18">
        <v>100</v>
      </c>
      <c r="H1827" t="s">
        <v>428</v>
      </c>
      <c r="I1827" t="s">
        <v>2004</v>
      </c>
      <c r="J1827">
        <v>3</v>
      </c>
    </row>
    <row r="1828" spans="1:15" ht="16">
      <c r="A1828" t="s">
        <v>1998</v>
      </c>
      <c r="B1828" t="s">
        <v>1194</v>
      </c>
      <c r="C1828" t="s">
        <v>2002</v>
      </c>
      <c r="D1828">
        <v>0</v>
      </c>
      <c r="E1828">
        <v>100</v>
      </c>
      <c r="F1828">
        <v>100</v>
      </c>
      <c r="G1828" s="18">
        <v>100</v>
      </c>
      <c r="H1828" t="s">
        <v>428</v>
      </c>
      <c r="I1828" t="s">
        <v>2005</v>
      </c>
      <c r="J1828">
        <v>3</v>
      </c>
      <c r="K1828" t="s">
        <v>181</v>
      </c>
      <c r="L1828" t="s">
        <v>2222</v>
      </c>
      <c r="O1828">
        <v>0.82850000000000001</v>
      </c>
    </row>
    <row r="1829" spans="1:15" ht="16">
      <c r="A1829" t="s">
        <v>1998</v>
      </c>
      <c r="B1829" t="s">
        <v>1194</v>
      </c>
      <c r="C1829" t="s">
        <v>2002</v>
      </c>
      <c r="D1829">
        <v>1</v>
      </c>
      <c r="E1829">
        <v>64.459999999999994</v>
      </c>
      <c r="F1829">
        <v>64.459999999999994</v>
      </c>
      <c r="G1829" s="18">
        <v>100</v>
      </c>
      <c r="H1829" t="s">
        <v>428</v>
      </c>
      <c r="I1829" t="s">
        <v>2005</v>
      </c>
      <c r="J1829">
        <v>3</v>
      </c>
    </row>
    <row r="1830" spans="1:15" ht="16">
      <c r="A1830" t="s">
        <v>1998</v>
      </c>
      <c r="B1830" t="s">
        <v>1194</v>
      </c>
      <c r="C1830" t="s">
        <v>2002</v>
      </c>
      <c r="D1830">
        <v>3</v>
      </c>
      <c r="E1830">
        <v>59.04</v>
      </c>
      <c r="F1830">
        <v>59.04</v>
      </c>
      <c r="G1830" s="18">
        <v>100</v>
      </c>
      <c r="H1830" t="s">
        <v>428</v>
      </c>
      <c r="I1830" t="s">
        <v>2005</v>
      </c>
      <c r="J1830">
        <v>3</v>
      </c>
    </row>
    <row r="1831" spans="1:15" ht="16">
      <c r="A1831" t="s">
        <v>1998</v>
      </c>
      <c r="B1831" t="s">
        <v>1194</v>
      </c>
      <c r="C1831" t="s">
        <v>2002</v>
      </c>
      <c r="D1831">
        <v>6</v>
      </c>
      <c r="E1831">
        <v>56.02</v>
      </c>
      <c r="F1831">
        <v>56.02</v>
      </c>
      <c r="G1831" s="18">
        <v>100</v>
      </c>
      <c r="H1831" t="s">
        <v>428</v>
      </c>
      <c r="I1831" t="s">
        <v>2005</v>
      </c>
      <c r="J1831">
        <v>3</v>
      </c>
    </row>
    <row r="1832" spans="1:15" ht="16">
      <c r="A1832" t="s">
        <v>1998</v>
      </c>
      <c r="B1832" t="s">
        <v>1194</v>
      </c>
      <c r="C1832" t="s">
        <v>2002</v>
      </c>
      <c r="D1832">
        <v>10</v>
      </c>
      <c r="E1832">
        <v>40.96</v>
      </c>
      <c r="F1832">
        <v>40.96</v>
      </c>
      <c r="G1832" s="18">
        <v>100</v>
      </c>
      <c r="H1832" t="s">
        <v>428</v>
      </c>
      <c r="I1832" t="s">
        <v>2005</v>
      </c>
      <c r="J1832">
        <v>3</v>
      </c>
    </row>
    <row r="1833" spans="1:15" ht="16">
      <c r="A1833" t="s">
        <v>1998</v>
      </c>
      <c r="B1833" t="s">
        <v>1194</v>
      </c>
      <c r="C1833" t="s">
        <v>2002</v>
      </c>
      <c r="D1833">
        <v>15</v>
      </c>
      <c r="E1833">
        <v>19.88</v>
      </c>
      <c r="F1833">
        <v>19.88</v>
      </c>
      <c r="G1833" s="18">
        <v>100</v>
      </c>
      <c r="H1833" t="s">
        <v>428</v>
      </c>
      <c r="I1833" t="s">
        <v>2005</v>
      </c>
      <c r="J1833">
        <v>3</v>
      </c>
    </row>
    <row r="1834" spans="1:15" ht="16">
      <c r="A1834" t="s">
        <v>1998</v>
      </c>
      <c r="B1834" t="s">
        <v>1194</v>
      </c>
      <c r="C1834" t="s">
        <v>2003</v>
      </c>
      <c r="D1834">
        <v>0</v>
      </c>
      <c r="E1834">
        <v>100</v>
      </c>
      <c r="F1834">
        <v>100</v>
      </c>
      <c r="G1834" s="18">
        <v>100</v>
      </c>
      <c r="H1834" t="s">
        <v>428</v>
      </c>
      <c r="I1834" t="s">
        <v>2004</v>
      </c>
      <c r="J1834">
        <v>3</v>
      </c>
      <c r="K1834" t="s">
        <v>2208</v>
      </c>
      <c r="L1834" t="s">
        <v>2223</v>
      </c>
      <c r="M1834">
        <v>0.11269999999999999</v>
      </c>
      <c r="O1834">
        <v>0.84289999999999998</v>
      </c>
    </row>
    <row r="1835" spans="1:15" ht="16">
      <c r="A1835" t="s">
        <v>1998</v>
      </c>
      <c r="B1835" t="s">
        <v>1194</v>
      </c>
      <c r="C1835" t="s">
        <v>2003</v>
      </c>
      <c r="D1835">
        <v>1</v>
      </c>
      <c r="E1835">
        <v>57.23</v>
      </c>
      <c r="F1835">
        <v>57.23</v>
      </c>
      <c r="G1835" s="18">
        <v>100</v>
      </c>
      <c r="H1835" t="s">
        <v>428</v>
      </c>
      <c r="I1835" t="s">
        <v>2004</v>
      </c>
      <c r="J1835">
        <v>3</v>
      </c>
    </row>
    <row r="1836" spans="1:15" ht="16">
      <c r="A1836" t="s">
        <v>1998</v>
      </c>
      <c r="B1836" t="s">
        <v>1194</v>
      </c>
      <c r="C1836" t="s">
        <v>2003</v>
      </c>
      <c r="D1836">
        <v>3</v>
      </c>
      <c r="E1836">
        <v>54.22</v>
      </c>
      <c r="F1836">
        <v>54.22</v>
      </c>
      <c r="G1836" s="18">
        <v>100</v>
      </c>
      <c r="H1836" t="s">
        <v>428</v>
      </c>
      <c r="I1836" t="s">
        <v>2004</v>
      </c>
      <c r="J1836">
        <v>3</v>
      </c>
    </row>
    <row r="1837" spans="1:15" ht="16">
      <c r="A1837" t="s">
        <v>1998</v>
      </c>
      <c r="B1837" t="s">
        <v>1194</v>
      </c>
      <c r="C1837" t="s">
        <v>2003</v>
      </c>
      <c r="D1837">
        <v>6</v>
      </c>
      <c r="E1837">
        <v>45.78</v>
      </c>
      <c r="F1837">
        <v>45.78</v>
      </c>
      <c r="G1837" s="18">
        <v>100</v>
      </c>
      <c r="H1837" t="s">
        <v>428</v>
      </c>
      <c r="I1837" t="s">
        <v>2004</v>
      </c>
      <c r="J1837">
        <v>3</v>
      </c>
    </row>
    <row r="1838" spans="1:15" ht="16">
      <c r="A1838" t="s">
        <v>1998</v>
      </c>
      <c r="B1838" t="s">
        <v>1194</v>
      </c>
      <c r="C1838" t="s">
        <v>2003</v>
      </c>
      <c r="D1838">
        <v>10</v>
      </c>
      <c r="E1838">
        <v>31.33</v>
      </c>
      <c r="F1838">
        <v>31.33</v>
      </c>
      <c r="G1838" s="18">
        <v>100</v>
      </c>
      <c r="H1838" t="s">
        <v>428</v>
      </c>
      <c r="I1838" t="s">
        <v>2004</v>
      </c>
      <c r="J1838">
        <v>3</v>
      </c>
    </row>
    <row r="1839" spans="1:15" ht="16">
      <c r="A1839" t="s">
        <v>1998</v>
      </c>
      <c r="B1839" t="s">
        <v>1194</v>
      </c>
      <c r="C1839" t="s">
        <v>2003</v>
      </c>
      <c r="D1839">
        <v>15</v>
      </c>
      <c r="E1839">
        <v>16.829999999999998</v>
      </c>
      <c r="F1839">
        <v>16.829999999999998</v>
      </c>
      <c r="G1839" s="18">
        <v>100</v>
      </c>
      <c r="H1839" t="s">
        <v>428</v>
      </c>
      <c r="I1839" t="s">
        <v>2004</v>
      </c>
      <c r="J1839">
        <v>3</v>
      </c>
    </row>
    <row r="1840" spans="1:15" ht="16">
      <c r="A1840" t="s">
        <v>1998</v>
      </c>
      <c r="B1840" t="s">
        <v>1194</v>
      </c>
      <c r="C1840" t="s">
        <v>2003</v>
      </c>
      <c r="D1840">
        <v>0</v>
      </c>
      <c r="E1840">
        <v>100</v>
      </c>
      <c r="F1840">
        <v>100</v>
      </c>
      <c r="G1840" s="18">
        <v>100</v>
      </c>
      <c r="H1840" t="s">
        <v>428</v>
      </c>
      <c r="I1840" t="s">
        <v>2005</v>
      </c>
      <c r="J1840">
        <v>3</v>
      </c>
      <c r="K1840" t="s">
        <v>2224</v>
      </c>
      <c r="L1840" t="s">
        <v>2225</v>
      </c>
      <c r="M1840">
        <v>1.1923999999999999</v>
      </c>
      <c r="O1840">
        <v>0.88819999999999999</v>
      </c>
    </row>
    <row r="1841" spans="1:15" ht="16">
      <c r="A1841" t="s">
        <v>1998</v>
      </c>
      <c r="B1841" t="s">
        <v>1194</v>
      </c>
      <c r="C1841" t="s">
        <v>2003</v>
      </c>
      <c r="D1841">
        <v>1</v>
      </c>
      <c r="E1841">
        <v>49.4</v>
      </c>
      <c r="F1841">
        <v>49.4</v>
      </c>
      <c r="G1841" s="18">
        <v>100</v>
      </c>
      <c r="H1841" t="s">
        <v>428</v>
      </c>
      <c r="I1841" t="s">
        <v>2005</v>
      </c>
      <c r="J1841">
        <v>3</v>
      </c>
    </row>
    <row r="1842" spans="1:15" ht="16">
      <c r="A1842" t="s">
        <v>1998</v>
      </c>
      <c r="B1842" t="s">
        <v>1194</v>
      </c>
      <c r="C1842" t="s">
        <v>2003</v>
      </c>
      <c r="D1842">
        <v>3</v>
      </c>
      <c r="E1842">
        <v>46.38</v>
      </c>
      <c r="F1842">
        <v>46.38</v>
      </c>
      <c r="G1842" s="18">
        <v>100</v>
      </c>
      <c r="H1842" t="s">
        <v>428</v>
      </c>
      <c r="I1842" t="s">
        <v>2005</v>
      </c>
      <c r="J1842">
        <v>3</v>
      </c>
    </row>
    <row r="1843" spans="1:15" ht="16">
      <c r="A1843" t="s">
        <v>1998</v>
      </c>
      <c r="B1843" t="s">
        <v>1194</v>
      </c>
      <c r="C1843" t="s">
        <v>2003</v>
      </c>
      <c r="D1843">
        <v>6</v>
      </c>
      <c r="E1843">
        <v>40.36</v>
      </c>
      <c r="F1843">
        <v>40.36</v>
      </c>
      <c r="G1843" s="18">
        <v>100</v>
      </c>
      <c r="H1843" t="s">
        <v>428</v>
      </c>
      <c r="I1843" t="s">
        <v>2005</v>
      </c>
      <c r="J1843">
        <v>3</v>
      </c>
    </row>
    <row r="1844" spans="1:15" ht="16">
      <c r="A1844" t="s">
        <v>1998</v>
      </c>
      <c r="B1844" t="s">
        <v>1194</v>
      </c>
      <c r="C1844" t="s">
        <v>2003</v>
      </c>
      <c r="D1844">
        <v>10</v>
      </c>
      <c r="E1844">
        <v>30.72</v>
      </c>
      <c r="F1844">
        <v>30.72</v>
      </c>
      <c r="G1844" s="18">
        <v>100</v>
      </c>
      <c r="H1844" t="s">
        <v>428</v>
      </c>
      <c r="I1844" t="s">
        <v>2005</v>
      </c>
      <c r="J1844">
        <v>3</v>
      </c>
    </row>
    <row r="1845" spans="1:15" ht="16">
      <c r="A1845" t="s">
        <v>1998</v>
      </c>
      <c r="B1845" t="s">
        <v>1194</v>
      </c>
      <c r="C1845" t="s">
        <v>2003</v>
      </c>
      <c r="D1845">
        <v>15</v>
      </c>
      <c r="E1845">
        <v>17.45</v>
      </c>
      <c r="F1845">
        <v>17.45</v>
      </c>
      <c r="G1845" s="18">
        <v>100</v>
      </c>
      <c r="H1845" t="s">
        <v>428</v>
      </c>
      <c r="I1845" t="s">
        <v>2005</v>
      </c>
      <c r="J1845">
        <v>3</v>
      </c>
    </row>
    <row r="1846" spans="1:15" ht="16">
      <c r="A1846" t="s">
        <v>1998</v>
      </c>
      <c r="B1846" t="s">
        <v>1194</v>
      </c>
      <c r="C1846" t="s">
        <v>2002</v>
      </c>
      <c r="D1846">
        <v>0</v>
      </c>
      <c r="E1846">
        <v>100</v>
      </c>
      <c r="F1846">
        <v>100</v>
      </c>
      <c r="G1846" s="18">
        <v>100</v>
      </c>
      <c r="H1846" t="s">
        <v>428</v>
      </c>
      <c r="I1846" t="s">
        <v>2006</v>
      </c>
      <c r="J1846">
        <v>3</v>
      </c>
      <c r="K1846" t="s">
        <v>2208</v>
      </c>
      <c r="L1846" t="s">
        <v>2226</v>
      </c>
      <c r="M1846">
        <v>9.2999999999999999E-2</v>
      </c>
      <c r="O1846">
        <v>0.98909999999999998</v>
      </c>
    </row>
    <row r="1847" spans="1:15" ht="16">
      <c r="A1847" t="s">
        <v>1998</v>
      </c>
      <c r="B1847" t="s">
        <v>1194</v>
      </c>
      <c r="C1847" t="s">
        <v>2002</v>
      </c>
      <c r="D1847">
        <v>7</v>
      </c>
      <c r="E1847">
        <v>45.45</v>
      </c>
      <c r="F1847">
        <v>45.45</v>
      </c>
      <c r="G1847" s="18">
        <v>100</v>
      </c>
      <c r="H1847" t="s">
        <v>428</v>
      </c>
      <c r="I1847" t="s">
        <v>2006</v>
      </c>
      <c r="J1847">
        <v>3</v>
      </c>
    </row>
    <row r="1848" spans="1:15" ht="16">
      <c r="A1848" t="s">
        <v>1998</v>
      </c>
      <c r="B1848" t="s">
        <v>1194</v>
      </c>
      <c r="C1848" t="s">
        <v>2002</v>
      </c>
      <c r="D1848">
        <v>14</v>
      </c>
      <c r="E1848">
        <v>26.62</v>
      </c>
      <c r="F1848">
        <v>26.62</v>
      </c>
      <c r="G1848" s="18">
        <v>100</v>
      </c>
      <c r="H1848" t="s">
        <v>428</v>
      </c>
      <c r="I1848" t="s">
        <v>2006</v>
      </c>
      <c r="J1848">
        <v>3</v>
      </c>
    </row>
    <row r="1849" spans="1:15" ht="16">
      <c r="A1849" t="s">
        <v>1998</v>
      </c>
      <c r="B1849" t="s">
        <v>1194</v>
      </c>
      <c r="C1849" t="s">
        <v>2002</v>
      </c>
      <c r="D1849">
        <v>21</v>
      </c>
      <c r="E1849">
        <v>17.53</v>
      </c>
      <c r="F1849">
        <v>17.53</v>
      </c>
      <c r="G1849" s="18">
        <v>100</v>
      </c>
      <c r="H1849" t="s">
        <v>428</v>
      </c>
      <c r="I1849" t="s">
        <v>2006</v>
      </c>
      <c r="J1849">
        <v>3</v>
      </c>
    </row>
    <row r="1850" spans="1:15" ht="16">
      <c r="A1850" t="s">
        <v>1998</v>
      </c>
      <c r="B1850" t="s">
        <v>1194</v>
      </c>
      <c r="C1850" t="s">
        <v>2002</v>
      </c>
      <c r="D1850">
        <v>28</v>
      </c>
      <c r="E1850">
        <v>9.74</v>
      </c>
      <c r="F1850">
        <v>9.74</v>
      </c>
      <c r="G1850" s="18">
        <v>100</v>
      </c>
      <c r="H1850" t="s">
        <v>428</v>
      </c>
      <c r="I1850" t="s">
        <v>2006</v>
      </c>
      <c r="J1850">
        <v>3</v>
      </c>
    </row>
    <row r="1851" spans="1:15" ht="16">
      <c r="A1851" t="s">
        <v>1998</v>
      </c>
      <c r="B1851" t="s">
        <v>1194</v>
      </c>
      <c r="C1851" t="s">
        <v>2002</v>
      </c>
      <c r="D1851">
        <v>35</v>
      </c>
      <c r="E1851">
        <v>7.14</v>
      </c>
      <c r="F1851">
        <v>7.14</v>
      </c>
      <c r="G1851" s="18">
        <v>100</v>
      </c>
      <c r="H1851" t="s">
        <v>428</v>
      </c>
      <c r="I1851" t="s">
        <v>2006</v>
      </c>
      <c r="J1851">
        <v>3</v>
      </c>
    </row>
    <row r="1852" spans="1:15" ht="16">
      <c r="A1852" t="s">
        <v>1998</v>
      </c>
      <c r="B1852" t="s">
        <v>1194</v>
      </c>
      <c r="C1852" t="s">
        <v>2002</v>
      </c>
      <c r="D1852">
        <v>0</v>
      </c>
      <c r="E1852">
        <v>100</v>
      </c>
      <c r="F1852">
        <v>100</v>
      </c>
      <c r="G1852" s="18">
        <v>100</v>
      </c>
      <c r="H1852" t="s">
        <v>428</v>
      </c>
      <c r="I1852" t="s">
        <v>2007</v>
      </c>
      <c r="J1852">
        <v>3</v>
      </c>
      <c r="K1852" t="s">
        <v>2208</v>
      </c>
      <c r="L1852" t="s">
        <v>2227</v>
      </c>
      <c r="M1852">
        <v>7.8E-2</v>
      </c>
      <c r="O1852">
        <v>0.98219999999999996</v>
      </c>
    </row>
    <row r="1853" spans="1:15" ht="16">
      <c r="A1853" t="s">
        <v>1998</v>
      </c>
      <c r="B1853" t="s">
        <v>1194</v>
      </c>
      <c r="C1853" t="s">
        <v>2002</v>
      </c>
      <c r="D1853">
        <v>7</v>
      </c>
      <c r="E1853">
        <v>52.59</v>
      </c>
      <c r="F1853">
        <v>52.59</v>
      </c>
      <c r="G1853" s="18">
        <v>100</v>
      </c>
      <c r="H1853" t="s">
        <v>428</v>
      </c>
      <c r="I1853" t="s">
        <v>2007</v>
      </c>
      <c r="J1853">
        <v>3</v>
      </c>
    </row>
    <row r="1854" spans="1:15" ht="16">
      <c r="A1854" t="s">
        <v>1998</v>
      </c>
      <c r="B1854" t="s">
        <v>1194</v>
      </c>
      <c r="C1854" t="s">
        <v>2002</v>
      </c>
      <c r="D1854">
        <v>14</v>
      </c>
      <c r="E1854">
        <v>33.119999999999997</v>
      </c>
      <c r="F1854">
        <v>33.119999999999997</v>
      </c>
      <c r="G1854" s="18">
        <v>100</v>
      </c>
      <c r="H1854" t="s">
        <v>428</v>
      </c>
      <c r="I1854" t="s">
        <v>2007</v>
      </c>
      <c r="J1854">
        <v>3</v>
      </c>
    </row>
    <row r="1855" spans="1:15" ht="16">
      <c r="A1855" t="s">
        <v>1998</v>
      </c>
      <c r="B1855" t="s">
        <v>1194</v>
      </c>
      <c r="C1855" t="s">
        <v>2002</v>
      </c>
      <c r="D1855">
        <v>21</v>
      </c>
      <c r="E1855">
        <v>21.43</v>
      </c>
      <c r="F1855">
        <v>21.43</v>
      </c>
      <c r="G1855" s="18">
        <v>100</v>
      </c>
      <c r="H1855" t="s">
        <v>428</v>
      </c>
      <c r="I1855" t="s">
        <v>2007</v>
      </c>
      <c r="J1855">
        <v>3</v>
      </c>
    </row>
    <row r="1856" spans="1:15" ht="16">
      <c r="A1856" t="s">
        <v>1998</v>
      </c>
      <c r="B1856" t="s">
        <v>1194</v>
      </c>
      <c r="C1856" t="s">
        <v>2002</v>
      </c>
      <c r="D1856">
        <v>28</v>
      </c>
      <c r="E1856">
        <v>7.15</v>
      </c>
      <c r="F1856">
        <v>7.15</v>
      </c>
      <c r="G1856" s="18">
        <v>100</v>
      </c>
      <c r="H1856" t="s">
        <v>428</v>
      </c>
      <c r="I1856" t="s">
        <v>2007</v>
      </c>
      <c r="J1856">
        <v>3</v>
      </c>
    </row>
    <row r="1857" spans="1:15" ht="16">
      <c r="A1857" t="s">
        <v>1998</v>
      </c>
      <c r="B1857" t="s">
        <v>1194</v>
      </c>
      <c r="C1857" t="s">
        <v>2002</v>
      </c>
      <c r="D1857">
        <v>35</v>
      </c>
      <c r="E1857">
        <v>14.29</v>
      </c>
      <c r="F1857">
        <v>14.29</v>
      </c>
      <c r="G1857" s="18">
        <v>100</v>
      </c>
      <c r="H1857" t="s">
        <v>428</v>
      </c>
      <c r="I1857" t="s">
        <v>2007</v>
      </c>
      <c r="J1857">
        <v>3</v>
      </c>
    </row>
    <row r="1858" spans="1:15" ht="16">
      <c r="A1858" t="s">
        <v>1998</v>
      </c>
      <c r="B1858" t="s">
        <v>1194</v>
      </c>
      <c r="C1858" t="s">
        <v>2003</v>
      </c>
      <c r="D1858">
        <v>0</v>
      </c>
      <c r="E1858">
        <v>100</v>
      </c>
      <c r="F1858">
        <v>100</v>
      </c>
      <c r="G1858" s="18">
        <v>100</v>
      </c>
      <c r="H1858" t="s">
        <v>428</v>
      </c>
      <c r="I1858" t="s">
        <v>2006</v>
      </c>
      <c r="J1858">
        <v>3</v>
      </c>
      <c r="K1858" t="s">
        <v>2208</v>
      </c>
      <c r="L1858" t="s">
        <v>2228</v>
      </c>
      <c r="M1858">
        <v>7.2400000000000006E-2</v>
      </c>
      <c r="O1858">
        <v>0.99</v>
      </c>
    </row>
    <row r="1859" spans="1:15" ht="16">
      <c r="A1859" t="s">
        <v>1998</v>
      </c>
      <c r="B1859" t="s">
        <v>1194</v>
      </c>
      <c r="C1859" t="s">
        <v>2003</v>
      </c>
      <c r="D1859">
        <v>7</v>
      </c>
      <c r="E1859">
        <v>53.89</v>
      </c>
      <c r="F1859">
        <v>53.89</v>
      </c>
      <c r="G1859" s="18">
        <v>100</v>
      </c>
      <c r="H1859" t="s">
        <v>428</v>
      </c>
      <c r="I1859" t="s">
        <v>2006</v>
      </c>
      <c r="J1859">
        <v>3</v>
      </c>
    </row>
    <row r="1860" spans="1:15" ht="16">
      <c r="A1860" t="s">
        <v>1998</v>
      </c>
      <c r="B1860" t="s">
        <v>1194</v>
      </c>
      <c r="C1860" t="s">
        <v>2003</v>
      </c>
      <c r="D1860">
        <v>14</v>
      </c>
      <c r="E1860">
        <v>38.96</v>
      </c>
      <c r="F1860">
        <v>38.96</v>
      </c>
      <c r="G1860" s="18">
        <v>100</v>
      </c>
      <c r="H1860" t="s">
        <v>428</v>
      </c>
      <c r="I1860" t="s">
        <v>2006</v>
      </c>
      <c r="J1860">
        <v>3</v>
      </c>
    </row>
    <row r="1861" spans="1:15" ht="16">
      <c r="A1861" t="s">
        <v>1998</v>
      </c>
      <c r="B1861" t="s">
        <v>1194</v>
      </c>
      <c r="C1861" t="s">
        <v>2003</v>
      </c>
      <c r="D1861">
        <v>21</v>
      </c>
      <c r="E1861">
        <v>22.08</v>
      </c>
      <c r="F1861">
        <v>22.08</v>
      </c>
      <c r="G1861" s="18">
        <v>100</v>
      </c>
      <c r="H1861" t="s">
        <v>428</v>
      </c>
      <c r="I1861" t="s">
        <v>2006</v>
      </c>
      <c r="J1861">
        <v>3</v>
      </c>
    </row>
    <row r="1862" spans="1:15" ht="16">
      <c r="A1862" t="s">
        <v>1998</v>
      </c>
      <c r="B1862" t="s">
        <v>1194</v>
      </c>
      <c r="C1862" t="s">
        <v>2003</v>
      </c>
      <c r="D1862">
        <v>28</v>
      </c>
      <c r="E1862">
        <v>11.7</v>
      </c>
      <c r="F1862">
        <v>11.7</v>
      </c>
      <c r="G1862" s="18">
        <v>100</v>
      </c>
      <c r="H1862" t="s">
        <v>428</v>
      </c>
      <c r="I1862" t="s">
        <v>2006</v>
      </c>
      <c r="J1862">
        <v>3</v>
      </c>
    </row>
    <row r="1863" spans="1:15" ht="16">
      <c r="A1863" t="s">
        <v>1998</v>
      </c>
      <c r="B1863" t="s">
        <v>1194</v>
      </c>
      <c r="C1863" t="s">
        <v>2003</v>
      </c>
      <c r="D1863">
        <v>35</v>
      </c>
      <c r="E1863">
        <v>10.39</v>
      </c>
      <c r="F1863">
        <v>10.39</v>
      </c>
      <c r="G1863" s="18">
        <v>100</v>
      </c>
      <c r="H1863" t="s">
        <v>428</v>
      </c>
      <c r="I1863" t="s">
        <v>2006</v>
      </c>
      <c r="J1863">
        <v>3</v>
      </c>
    </row>
    <row r="1864" spans="1:15" ht="16">
      <c r="A1864" t="s">
        <v>1998</v>
      </c>
      <c r="B1864" t="s">
        <v>1194</v>
      </c>
      <c r="C1864" t="s">
        <v>2003</v>
      </c>
      <c r="D1864">
        <v>0</v>
      </c>
      <c r="E1864">
        <v>100</v>
      </c>
      <c r="F1864">
        <v>100</v>
      </c>
      <c r="G1864" s="18">
        <v>100</v>
      </c>
      <c r="H1864" t="s">
        <v>428</v>
      </c>
      <c r="I1864" t="s">
        <v>2007</v>
      </c>
      <c r="J1864">
        <v>3</v>
      </c>
      <c r="K1864" t="s">
        <v>2208</v>
      </c>
      <c r="L1864" t="s">
        <v>2229</v>
      </c>
      <c r="M1864">
        <v>7.4700000000000003E-2</v>
      </c>
      <c r="O1864">
        <v>0.98899999999999999</v>
      </c>
    </row>
    <row r="1865" spans="1:15" ht="16">
      <c r="A1865" t="s">
        <v>1998</v>
      </c>
      <c r="B1865" t="s">
        <v>1194</v>
      </c>
      <c r="C1865" t="s">
        <v>2003</v>
      </c>
      <c r="D1865">
        <v>7</v>
      </c>
      <c r="E1865">
        <v>51.94</v>
      </c>
      <c r="F1865">
        <v>51.94</v>
      </c>
      <c r="G1865" s="18">
        <v>100</v>
      </c>
      <c r="H1865" t="s">
        <v>428</v>
      </c>
      <c r="I1865" t="s">
        <v>2007</v>
      </c>
      <c r="J1865">
        <v>3</v>
      </c>
    </row>
    <row r="1866" spans="1:15" ht="16">
      <c r="A1866" t="s">
        <v>1998</v>
      </c>
      <c r="B1866" t="s">
        <v>1194</v>
      </c>
      <c r="C1866" t="s">
        <v>2003</v>
      </c>
      <c r="D1866">
        <v>14</v>
      </c>
      <c r="E1866">
        <v>36.36</v>
      </c>
      <c r="F1866">
        <v>36.36</v>
      </c>
      <c r="G1866" s="18">
        <v>100</v>
      </c>
      <c r="H1866" t="s">
        <v>428</v>
      </c>
      <c r="I1866" t="s">
        <v>2007</v>
      </c>
      <c r="J1866">
        <v>3</v>
      </c>
    </row>
    <row r="1867" spans="1:15" ht="16">
      <c r="A1867" t="s">
        <v>1998</v>
      </c>
      <c r="B1867" t="s">
        <v>1194</v>
      </c>
      <c r="C1867" t="s">
        <v>2003</v>
      </c>
      <c r="D1867">
        <v>21</v>
      </c>
      <c r="E1867">
        <v>24.02</v>
      </c>
      <c r="F1867">
        <v>24.02</v>
      </c>
      <c r="G1867" s="18">
        <v>100</v>
      </c>
      <c r="H1867" t="s">
        <v>428</v>
      </c>
      <c r="I1867" t="s">
        <v>2007</v>
      </c>
      <c r="J1867">
        <v>3</v>
      </c>
    </row>
    <row r="1868" spans="1:15" ht="16">
      <c r="A1868" t="s">
        <v>1998</v>
      </c>
      <c r="B1868" t="s">
        <v>1194</v>
      </c>
      <c r="C1868" t="s">
        <v>2003</v>
      </c>
      <c r="D1868">
        <v>28</v>
      </c>
      <c r="E1868">
        <v>11.03</v>
      </c>
      <c r="F1868">
        <v>11.03</v>
      </c>
      <c r="G1868" s="18">
        <v>100</v>
      </c>
      <c r="H1868" t="s">
        <v>428</v>
      </c>
      <c r="I1868" t="s">
        <v>2007</v>
      </c>
      <c r="J1868">
        <v>3</v>
      </c>
    </row>
    <row r="1869" spans="1:15" ht="16">
      <c r="A1869" t="s">
        <v>1998</v>
      </c>
      <c r="B1869" t="s">
        <v>1194</v>
      </c>
      <c r="C1869" t="s">
        <v>2003</v>
      </c>
      <c r="D1869">
        <v>35</v>
      </c>
      <c r="E1869">
        <v>8.44</v>
      </c>
      <c r="F1869">
        <v>8.44</v>
      </c>
      <c r="G1869" s="18">
        <v>100</v>
      </c>
      <c r="H1869" t="s">
        <v>428</v>
      </c>
      <c r="I1869" t="s">
        <v>2007</v>
      </c>
      <c r="J1869">
        <v>3</v>
      </c>
    </row>
    <row r="1870" spans="1:15" ht="16">
      <c r="A1870" t="s">
        <v>2012</v>
      </c>
      <c r="B1870" t="s">
        <v>1194</v>
      </c>
      <c r="C1870" t="s">
        <v>260</v>
      </c>
      <c r="D1870">
        <v>0</v>
      </c>
      <c r="E1870" s="18">
        <v>100</v>
      </c>
      <c r="F1870" s="18">
        <v>100</v>
      </c>
      <c r="G1870" s="18">
        <v>100</v>
      </c>
      <c r="H1870" t="s">
        <v>428</v>
      </c>
      <c r="I1870" t="s">
        <v>194</v>
      </c>
      <c r="J1870">
        <v>3</v>
      </c>
      <c r="K1870" t="s">
        <v>2128</v>
      </c>
    </row>
    <row r="1871" spans="1:15" ht="16">
      <c r="A1871" t="s">
        <v>2012</v>
      </c>
      <c r="B1871" t="s">
        <v>1194</v>
      </c>
      <c r="C1871" t="s">
        <v>260</v>
      </c>
      <c r="D1871">
        <v>20</v>
      </c>
      <c r="E1871">
        <v>95.534589830000002</v>
      </c>
      <c r="F1871">
        <v>95.534589830000002</v>
      </c>
      <c r="G1871" s="18">
        <v>100</v>
      </c>
      <c r="H1871" t="s">
        <v>428</v>
      </c>
      <c r="I1871" t="s">
        <v>194</v>
      </c>
      <c r="J1871">
        <v>3</v>
      </c>
    </row>
    <row r="1872" spans="1:15" ht="16">
      <c r="A1872" t="s">
        <v>2012</v>
      </c>
      <c r="B1872" t="s">
        <v>1194</v>
      </c>
      <c r="C1872" t="s">
        <v>260</v>
      </c>
      <c r="D1872">
        <v>32</v>
      </c>
      <c r="E1872">
        <v>99.271560309999998</v>
      </c>
      <c r="F1872">
        <v>99.271560309999998</v>
      </c>
      <c r="G1872" s="18">
        <v>100</v>
      </c>
      <c r="H1872" t="s">
        <v>428</v>
      </c>
      <c r="I1872" t="s">
        <v>194</v>
      </c>
      <c r="J1872">
        <v>3</v>
      </c>
    </row>
    <row r="1873" spans="1:15" ht="16">
      <c r="A1873" t="s">
        <v>2012</v>
      </c>
      <c r="B1873" t="s">
        <v>1194</v>
      </c>
      <c r="C1873" t="s">
        <v>260</v>
      </c>
      <c r="D1873">
        <v>39</v>
      </c>
      <c r="E1873">
        <v>95.460369909999997</v>
      </c>
      <c r="F1873">
        <v>95.460369909999997</v>
      </c>
      <c r="G1873" s="18">
        <v>100</v>
      </c>
      <c r="H1873" t="s">
        <v>428</v>
      </c>
      <c r="I1873" t="s">
        <v>194</v>
      </c>
      <c r="J1873">
        <v>3</v>
      </c>
    </row>
    <row r="1874" spans="1:15" ht="16">
      <c r="A1874" t="s">
        <v>2012</v>
      </c>
      <c r="B1874" t="s">
        <v>1194</v>
      </c>
      <c r="C1874" t="s">
        <v>260</v>
      </c>
      <c r="D1874">
        <v>46</v>
      </c>
      <c r="E1874">
        <v>97.100761621666663</v>
      </c>
      <c r="F1874">
        <v>97.100761621666663</v>
      </c>
      <c r="G1874" s="18">
        <v>100</v>
      </c>
      <c r="H1874" t="s">
        <v>428</v>
      </c>
      <c r="I1874" t="s">
        <v>194</v>
      </c>
      <c r="J1874">
        <v>3</v>
      </c>
    </row>
    <row r="1875" spans="1:15" ht="16">
      <c r="A1875" t="s">
        <v>2012</v>
      </c>
      <c r="B1875" t="s">
        <v>1194</v>
      </c>
      <c r="C1875" t="s">
        <v>226</v>
      </c>
      <c r="D1875">
        <v>0</v>
      </c>
      <c r="E1875">
        <v>100</v>
      </c>
      <c r="F1875">
        <v>100</v>
      </c>
      <c r="G1875" s="18">
        <v>100</v>
      </c>
      <c r="H1875" t="s">
        <v>428</v>
      </c>
      <c r="I1875" t="s">
        <v>194</v>
      </c>
      <c r="J1875">
        <v>3</v>
      </c>
      <c r="K1875" t="s">
        <v>181</v>
      </c>
      <c r="L1875" t="s">
        <v>2230</v>
      </c>
      <c r="O1875">
        <v>0.76370000000000005</v>
      </c>
    </row>
    <row r="1876" spans="1:15" ht="16">
      <c r="A1876" t="s">
        <v>2012</v>
      </c>
      <c r="B1876" t="s">
        <v>1194</v>
      </c>
      <c r="C1876" t="s">
        <v>226</v>
      </c>
      <c r="D1876">
        <v>20</v>
      </c>
      <c r="E1876">
        <v>91.130835383333348</v>
      </c>
      <c r="F1876">
        <v>91.130835383333348</v>
      </c>
      <c r="G1876" s="18">
        <v>100</v>
      </c>
      <c r="H1876" t="s">
        <v>428</v>
      </c>
      <c r="I1876" t="s">
        <v>194</v>
      </c>
      <c r="J1876">
        <v>3</v>
      </c>
    </row>
    <row r="1877" spans="1:15" ht="16">
      <c r="A1877" t="s">
        <v>2012</v>
      </c>
      <c r="B1877" t="s">
        <v>1194</v>
      </c>
      <c r="C1877" t="s">
        <v>226</v>
      </c>
      <c r="D1877">
        <v>32</v>
      </c>
      <c r="E1877">
        <v>89.637946549999995</v>
      </c>
      <c r="F1877">
        <v>89.637946549999995</v>
      </c>
      <c r="G1877" s="18">
        <v>100</v>
      </c>
      <c r="H1877" t="s">
        <v>428</v>
      </c>
      <c r="I1877" t="s">
        <v>194</v>
      </c>
      <c r="J1877">
        <v>3</v>
      </c>
    </row>
    <row r="1878" spans="1:15" ht="16">
      <c r="A1878" t="s">
        <v>2012</v>
      </c>
      <c r="B1878" t="s">
        <v>1194</v>
      </c>
      <c r="C1878" t="s">
        <v>226</v>
      </c>
      <c r="D1878">
        <v>39</v>
      </c>
      <c r="E1878">
        <v>92.02473342833332</v>
      </c>
      <c r="F1878">
        <v>92.02473342833332</v>
      </c>
      <c r="G1878" s="18">
        <v>100</v>
      </c>
      <c r="H1878" t="s">
        <v>428</v>
      </c>
      <c r="I1878" t="s">
        <v>194</v>
      </c>
      <c r="J1878">
        <v>3</v>
      </c>
    </row>
    <row r="1879" spans="1:15" ht="16">
      <c r="A1879" t="s">
        <v>2012</v>
      </c>
      <c r="B1879" t="s">
        <v>1194</v>
      </c>
      <c r="C1879" t="s">
        <v>226</v>
      </c>
      <c r="D1879">
        <v>46</v>
      </c>
      <c r="E1879">
        <v>88.822863080000005</v>
      </c>
      <c r="F1879">
        <v>88.822863080000005</v>
      </c>
      <c r="G1879" s="18">
        <v>100</v>
      </c>
      <c r="H1879" t="s">
        <v>428</v>
      </c>
      <c r="I1879" t="s">
        <v>194</v>
      </c>
      <c r="J1879">
        <v>3</v>
      </c>
    </row>
    <row r="1880" spans="1:15" ht="16">
      <c r="A1880" t="s">
        <v>2012</v>
      </c>
      <c r="B1880" t="s">
        <v>1194</v>
      </c>
      <c r="C1880" t="s">
        <v>261</v>
      </c>
      <c r="D1880">
        <v>0</v>
      </c>
      <c r="E1880">
        <v>100</v>
      </c>
      <c r="F1880">
        <v>100</v>
      </c>
      <c r="G1880" s="18">
        <v>100</v>
      </c>
      <c r="H1880" t="s">
        <v>428</v>
      </c>
      <c r="I1880" t="s">
        <v>194</v>
      </c>
      <c r="J1880">
        <v>3</v>
      </c>
      <c r="K1880" t="s">
        <v>181</v>
      </c>
      <c r="L1880" t="s">
        <v>2231</v>
      </c>
      <c r="O1880">
        <v>0.76680000000000004</v>
      </c>
    </row>
    <row r="1881" spans="1:15" ht="16">
      <c r="A1881" t="s">
        <v>2012</v>
      </c>
      <c r="B1881" t="s">
        <v>1194</v>
      </c>
      <c r="C1881" t="s">
        <v>261</v>
      </c>
      <c r="D1881">
        <v>20</v>
      </c>
      <c r="E1881">
        <v>98.972572220000004</v>
      </c>
      <c r="F1881">
        <v>98.972572220000004</v>
      </c>
      <c r="G1881" s="18">
        <v>100</v>
      </c>
      <c r="H1881" t="s">
        <v>428</v>
      </c>
      <c r="I1881" t="s">
        <v>194</v>
      </c>
      <c r="J1881">
        <v>3</v>
      </c>
    </row>
    <row r="1882" spans="1:15" ht="16">
      <c r="A1882" t="s">
        <v>2012</v>
      </c>
      <c r="B1882" t="s">
        <v>1194</v>
      </c>
      <c r="C1882" t="s">
        <v>261</v>
      </c>
      <c r="D1882">
        <v>32</v>
      </c>
      <c r="E1882">
        <v>69.281520153333332</v>
      </c>
      <c r="F1882">
        <v>69.281520153333332</v>
      </c>
      <c r="G1882" s="18">
        <v>100</v>
      </c>
      <c r="H1882" t="s">
        <v>428</v>
      </c>
      <c r="I1882" t="s">
        <v>194</v>
      </c>
      <c r="J1882">
        <v>3</v>
      </c>
    </row>
    <row r="1883" spans="1:15" ht="16">
      <c r="A1883" t="s">
        <v>2012</v>
      </c>
      <c r="B1883" t="s">
        <v>1194</v>
      </c>
      <c r="C1883" t="s">
        <v>261</v>
      </c>
      <c r="D1883">
        <v>39</v>
      </c>
      <c r="E1883">
        <v>68.652760683777785</v>
      </c>
      <c r="F1883">
        <v>68.652760683777785</v>
      </c>
      <c r="G1883" s="18">
        <v>100</v>
      </c>
      <c r="H1883" t="s">
        <v>428</v>
      </c>
      <c r="I1883" t="s">
        <v>194</v>
      </c>
      <c r="J1883">
        <v>3</v>
      </c>
    </row>
    <row r="1884" spans="1:15" ht="16">
      <c r="A1884" t="s">
        <v>2012</v>
      </c>
      <c r="B1884" t="s">
        <v>1194</v>
      </c>
      <c r="C1884" t="s">
        <v>262</v>
      </c>
      <c r="D1884">
        <v>0</v>
      </c>
      <c r="E1884">
        <v>100</v>
      </c>
      <c r="F1884">
        <v>100</v>
      </c>
      <c r="G1884" s="18">
        <v>100</v>
      </c>
      <c r="H1884" t="s">
        <v>428</v>
      </c>
      <c r="I1884" t="s">
        <v>194</v>
      </c>
      <c r="J1884">
        <v>3</v>
      </c>
      <c r="K1884" t="s">
        <v>181</v>
      </c>
      <c r="L1884" t="s">
        <v>2233</v>
      </c>
      <c r="O1884">
        <v>0.52210000000000001</v>
      </c>
    </row>
    <row r="1885" spans="1:15" ht="16">
      <c r="A1885" t="s">
        <v>2012</v>
      </c>
      <c r="B1885" t="s">
        <v>1194</v>
      </c>
      <c r="C1885" t="s">
        <v>262</v>
      </c>
      <c r="D1885">
        <v>20</v>
      </c>
      <c r="E1885">
        <v>93.108794970000005</v>
      </c>
      <c r="F1885">
        <v>93.108794970000005</v>
      </c>
      <c r="G1885" s="18">
        <v>100</v>
      </c>
      <c r="H1885" t="s">
        <v>428</v>
      </c>
      <c r="I1885" t="s">
        <v>194</v>
      </c>
      <c r="J1885">
        <v>3</v>
      </c>
    </row>
    <row r="1886" spans="1:15" ht="16">
      <c r="A1886" t="s">
        <v>2012</v>
      </c>
      <c r="B1886" t="s">
        <v>1194</v>
      </c>
      <c r="C1886" t="s">
        <v>262</v>
      </c>
      <c r="D1886">
        <v>32</v>
      </c>
      <c r="E1886">
        <v>14.944563526666665</v>
      </c>
      <c r="F1886">
        <v>14.944563526666665</v>
      </c>
      <c r="G1886" s="18">
        <v>100</v>
      </c>
      <c r="H1886" t="s">
        <v>428</v>
      </c>
      <c r="I1886" t="s">
        <v>194</v>
      </c>
      <c r="J1886">
        <v>3</v>
      </c>
    </row>
    <row r="1887" spans="1:15" ht="16">
      <c r="A1887" t="s">
        <v>2012</v>
      </c>
      <c r="B1887" t="s">
        <v>1194</v>
      </c>
      <c r="C1887" t="s">
        <v>262</v>
      </c>
      <c r="D1887">
        <v>39</v>
      </c>
      <c r="E1887">
        <v>79.764126465166669</v>
      </c>
      <c r="F1887">
        <v>79.764126465166669</v>
      </c>
      <c r="G1887" s="18">
        <v>100</v>
      </c>
      <c r="H1887" t="s">
        <v>428</v>
      </c>
      <c r="I1887" t="s">
        <v>194</v>
      </c>
      <c r="J1887">
        <v>3</v>
      </c>
    </row>
    <row r="1888" spans="1:15" ht="16">
      <c r="A1888" t="s">
        <v>2012</v>
      </c>
      <c r="B1888" t="s">
        <v>1194</v>
      </c>
      <c r="C1888" t="s">
        <v>262</v>
      </c>
      <c r="D1888">
        <v>46</v>
      </c>
      <c r="E1888">
        <v>0</v>
      </c>
      <c r="F1888">
        <v>0</v>
      </c>
      <c r="G1888" s="18">
        <v>100</v>
      </c>
      <c r="H1888" t="s">
        <v>428</v>
      </c>
      <c r="I1888" t="s">
        <v>194</v>
      </c>
      <c r="J1888">
        <v>3</v>
      </c>
    </row>
    <row r="1889" spans="1:15" ht="16">
      <c r="A1889" t="s">
        <v>2019</v>
      </c>
      <c r="B1889" t="s">
        <v>2719</v>
      </c>
      <c r="C1889" t="s">
        <v>261</v>
      </c>
      <c r="D1889">
        <v>0</v>
      </c>
      <c r="E1889">
        <v>100</v>
      </c>
      <c r="F1889">
        <v>100</v>
      </c>
      <c r="G1889" s="18">
        <v>100</v>
      </c>
      <c r="H1889" t="s">
        <v>428</v>
      </c>
      <c r="I1889" t="s">
        <v>2020</v>
      </c>
      <c r="J1889">
        <v>3</v>
      </c>
      <c r="K1889" t="s">
        <v>2211</v>
      </c>
      <c r="L1889" t="s">
        <v>2234</v>
      </c>
      <c r="O1889">
        <v>0.91220000000000001</v>
      </c>
    </row>
    <row r="1890" spans="1:15" ht="16">
      <c r="A1890" t="s">
        <v>2019</v>
      </c>
      <c r="B1890" t="s">
        <v>2719</v>
      </c>
      <c r="C1890" t="s">
        <v>261</v>
      </c>
      <c r="D1890">
        <v>2</v>
      </c>
      <c r="E1890">
        <v>91.49</v>
      </c>
      <c r="F1890">
        <v>91.49</v>
      </c>
      <c r="G1890" s="18">
        <v>100</v>
      </c>
      <c r="H1890" t="s">
        <v>428</v>
      </c>
      <c r="I1890" t="s">
        <v>2020</v>
      </c>
      <c r="J1890">
        <v>3</v>
      </c>
    </row>
    <row r="1891" spans="1:15" ht="16">
      <c r="A1891" t="s">
        <v>2019</v>
      </c>
      <c r="B1891" t="s">
        <v>2719</v>
      </c>
      <c r="C1891" t="s">
        <v>261</v>
      </c>
      <c r="D1891">
        <v>3</v>
      </c>
      <c r="E1891">
        <v>85</v>
      </c>
      <c r="F1891">
        <v>85</v>
      </c>
      <c r="G1891" s="18">
        <v>100</v>
      </c>
      <c r="H1891" t="s">
        <v>428</v>
      </c>
      <c r="I1891" t="s">
        <v>2020</v>
      </c>
      <c r="J1891">
        <v>3</v>
      </c>
    </row>
    <row r="1892" spans="1:15" ht="16">
      <c r="A1892" t="s">
        <v>2019</v>
      </c>
      <c r="B1892" t="s">
        <v>2719</v>
      </c>
      <c r="C1892" t="s">
        <v>261</v>
      </c>
      <c r="D1892">
        <v>4</v>
      </c>
      <c r="E1892">
        <v>81.12</v>
      </c>
      <c r="F1892">
        <v>81.12</v>
      </c>
      <c r="G1892" s="18">
        <v>100</v>
      </c>
      <c r="H1892" t="s">
        <v>428</v>
      </c>
      <c r="I1892" t="s">
        <v>2020</v>
      </c>
      <c r="J1892">
        <v>3</v>
      </c>
    </row>
    <row r="1893" spans="1:15" ht="16">
      <c r="A1893" t="s">
        <v>2019</v>
      </c>
      <c r="B1893" t="s">
        <v>2719</v>
      </c>
      <c r="C1893" t="s">
        <v>261</v>
      </c>
      <c r="D1893">
        <v>5</v>
      </c>
      <c r="E1893">
        <v>76.150000000000006</v>
      </c>
      <c r="F1893">
        <v>76.150000000000006</v>
      </c>
      <c r="G1893" s="18">
        <v>100</v>
      </c>
      <c r="H1893" t="s">
        <v>428</v>
      </c>
      <c r="I1893" t="s">
        <v>2020</v>
      </c>
      <c r="J1893">
        <v>3</v>
      </c>
    </row>
    <row r="1894" spans="1:15" ht="16">
      <c r="A1894" t="s">
        <v>2019</v>
      </c>
      <c r="B1894" t="s">
        <v>2719</v>
      </c>
      <c r="C1894" t="s">
        <v>261</v>
      </c>
      <c r="D1894">
        <v>7</v>
      </c>
      <c r="E1894">
        <v>72.58</v>
      </c>
      <c r="F1894">
        <v>72.58</v>
      </c>
      <c r="G1894" s="18">
        <v>100</v>
      </c>
      <c r="H1894" t="s">
        <v>428</v>
      </c>
      <c r="I1894" t="s">
        <v>2020</v>
      </c>
      <c r="J1894">
        <v>3</v>
      </c>
    </row>
    <row r="1895" spans="1:15" ht="16">
      <c r="A1895" t="s">
        <v>2019</v>
      </c>
      <c r="B1895" t="s">
        <v>2719</v>
      </c>
      <c r="C1895" t="s">
        <v>261</v>
      </c>
      <c r="D1895">
        <v>11</v>
      </c>
      <c r="E1895">
        <v>76.040000000000006</v>
      </c>
      <c r="F1895">
        <v>76.040000000000006</v>
      </c>
      <c r="G1895" s="18">
        <v>100</v>
      </c>
      <c r="H1895" t="s">
        <v>428</v>
      </c>
      <c r="I1895" t="s">
        <v>2020</v>
      </c>
      <c r="J1895">
        <v>3</v>
      </c>
    </row>
    <row r="1896" spans="1:15" ht="16">
      <c r="A1896" t="s">
        <v>2019</v>
      </c>
      <c r="B1896" t="s">
        <v>2719</v>
      </c>
      <c r="C1896" t="s">
        <v>261</v>
      </c>
      <c r="D1896">
        <v>15</v>
      </c>
      <c r="E1896">
        <v>71.39</v>
      </c>
      <c r="F1896">
        <v>71.39</v>
      </c>
      <c r="G1896" s="18">
        <v>100</v>
      </c>
      <c r="H1896" t="s">
        <v>428</v>
      </c>
      <c r="I1896" t="s">
        <v>2020</v>
      </c>
      <c r="J1896">
        <v>3</v>
      </c>
    </row>
    <row r="1897" spans="1:15" ht="16">
      <c r="A1897" t="s">
        <v>2019</v>
      </c>
      <c r="B1897" t="s">
        <v>2719</v>
      </c>
      <c r="C1897" t="s">
        <v>261</v>
      </c>
      <c r="D1897">
        <v>20</v>
      </c>
      <c r="E1897">
        <v>69.67</v>
      </c>
      <c r="F1897">
        <v>69.67</v>
      </c>
      <c r="G1897" s="18">
        <v>100</v>
      </c>
      <c r="H1897" t="s">
        <v>428</v>
      </c>
      <c r="I1897" t="s">
        <v>2020</v>
      </c>
      <c r="J1897">
        <v>3</v>
      </c>
    </row>
    <row r="1898" spans="1:15" ht="16">
      <c r="A1898" t="s">
        <v>2019</v>
      </c>
      <c r="B1898" t="s">
        <v>2719</v>
      </c>
      <c r="C1898" t="s">
        <v>261</v>
      </c>
      <c r="D1898">
        <v>36</v>
      </c>
      <c r="E1898">
        <v>60.59</v>
      </c>
      <c r="F1898">
        <v>60.59</v>
      </c>
      <c r="G1898" s="18">
        <v>100</v>
      </c>
      <c r="H1898" t="s">
        <v>428</v>
      </c>
      <c r="I1898" t="s">
        <v>2020</v>
      </c>
      <c r="J1898">
        <v>3</v>
      </c>
    </row>
    <row r="1899" spans="1:15" ht="16">
      <c r="A1899" t="s">
        <v>2019</v>
      </c>
      <c r="B1899" t="s">
        <v>2719</v>
      </c>
      <c r="C1899" t="s">
        <v>261</v>
      </c>
      <c r="D1899">
        <v>0</v>
      </c>
      <c r="E1899">
        <v>100</v>
      </c>
      <c r="F1899">
        <v>100</v>
      </c>
      <c r="G1899" s="18">
        <v>100</v>
      </c>
      <c r="H1899" t="s">
        <v>428</v>
      </c>
      <c r="I1899" t="s">
        <v>2021</v>
      </c>
      <c r="J1899">
        <v>3</v>
      </c>
      <c r="K1899" t="s">
        <v>2211</v>
      </c>
      <c r="L1899" t="s">
        <v>2235</v>
      </c>
      <c r="O1899">
        <v>0.97299999999999998</v>
      </c>
    </row>
    <row r="1900" spans="1:15" ht="16">
      <c r="A1900" t="s">
        <v>2019</v>
      </c>
      <c r="B1900" t="s">
        <v>2719</v>
      </c>
      <c r="C1900" t="s">
        <v>261</v>
      </c>
      <c r="D1900">
        <v>2</v>
      </c>
      <c r="E1900">
        <v>98.84</v>
      </c>
      <c r="F1900">
        <v>98.84</v>
      </c>
      <c r="G1900" s="18">
        <v>100</v>
      </c>
      <c r="H1900" t="s">
        <v>428</v>
      </c>
      <c r="I1900" t="s">
        <v>2021</v>
      </c>
      <c r="J1900">
        <v>3</v>
      </c>
    </row>
    <row r="1901" spans="1:15" ht="16">
      <c r="A1901" t="s">
        <v>2019</v>
      </c>
      <c r="B1901" t="s">
        <v>2719</v>
      </c>
      <c r="C1901" t="s">
        <v>261</v>
      </c>
      <c r="D1901">
        <v>3</v>
      </c>
      <c r="E1901">
        <v>94.84</v>
      </c>
      <c r="F1901">
        <v>94.84</v>
      </c>
      <c r="G1901" s="18">
        <v>100</v>
      </c>
      <c r="H1901" t="s">
        <v>428</v>
      </c>
      <c r="I1901" t="s">
        <v>2021</v>
      </c>
      <c r="J1901">
        <v>3</v>
      </c>
    </row>
    <row r="1902" spans="1:15" ht="16">
      <c r="A1902" t="s">
        <v>2019</v>
      </c>
      <c r="B1902" t="s">
        <v>2719</v>
      </c>
      <c r="C1902" t="s">
        <v>261</v>
      </c>
      <c r="D1902">
        <v>4</v>
      </c>
      <c r="E1902">
        <v>93.65</v>
      </c>
      <c r="F1902">
        <v>93.65</v>
      </c>
      <c r="G1902" s="18">
        <v>100</v>
      </c>
      <c r="H1902" t="s">
        <v>428</v>
      </c>
      <c r="I1902" t="s">
        <v>2021</v>
      </c>
      <c r="J1902">
        <v>3</v>
      </c>
    </row>
    <row r="1903" spans="1:15" ht="16">
      <c r="A1903" t="s">
        <v>2019</v>
      </c>
      <c r="B1903" t="s">
        <v>2719</v>
      </c>
      <c r="C1903" t="s">
        <v>261</v>
      </c>
      <c r="D1903">
        <v>5</v>
      </c>
      <c r="E1903">
        <v>90.52</v>
      </c>
      <c r="F1903">
        <v>90.52</v>
      </c>
      <c r="G1903" s="18">
        <v>100</v>
      </c>
      <c r="H1903" t="s">
        <v>428</v>
      </c>
      <c r="I1903" t="s">
        <v>2021</v>
      </c>
      <c r="J1903">
        <v>3</v>
      </c>
    </row>
    <row r="1904" spans="1:15" ht="16">
      <c r="A1904" t="s">
        <v>2019</v>
      </c>
      <c r="B1904" t="s">
        <v>2719</v>
      </c>
      <c r="C1904" t="s">
        <v>261</v>
      </c>
      <c r="D1904">
        <v>7</v>
      </c>
      <c r="E1904">
        <v>90.195999999999998</v>
      </c>
      <c r="F1904">
        <v>90.195999999999998</v>
      </c>
      <c r="G1904" s="18">
        <v>100</v>
      </c>
      <c r="H1904" t="s">
        <v>428</v>
      </c>
      <c r="I1904" t="s">
        <v>2021</v>
      </c>
      <c r="J1904">
        <v>3</v>
      </c>
    </row>
    <row r="1905" spans="1:15" ht="16">
      <c r="A1905" t="s">
        <v>2019</v>
      </c>
      <c r="B1905" t="s">
        <v>2719</v>
      </c>
      <c r="C1905" t="s">
        <v>261</v>
      </c>
      <c r="D1905">
        <v>11</v>
      </c>
      <c r="E1905">
        <v>88.25</v>
      </c>
      <c r="F1905">
        <v>88.25</v>
      </c>
      <c r="G1905" s="18">
        <v>100</v>
      </c>
      <c r="H1905" t="s">
        <v>428</v>
      </c>
      <c r="I1905" t="s">
        <v>2021</v>
      </c>
      <c r="J1905">
        <v>3</v>
      </c>
    </row>
    <row r="1906" spans="1:15" ht="16">
      <c r="A1906" t="s">
        <v>2019</v>
      </c>
      <c r="B1906" t="s">
        <v>2719</v>
      </c>
      <c r="C1906" t="s">
        <v>261</v>
      </c>
      <c r="D1906">
        <v>15</v>
      </c>
      <c r="E1906">
        <v>84.04</v>
      </c>
      <c r="F1906">
        <v>84.04</v>
      </c>
      <c r="G1906" s="18">
        <v>100</v>
      </c>
      <c r="H1906" t="s">
        <v>428</v>
      </c>
      <c r="I1906" t="s">
        <v>2021</v>
      </c>
      <c r="J1906">
        <v>3</v>
      </c>
    </row>
    <row r="1907" spans="1:15" ht="16">
      <c r="A1907" t="s">
        <v>2019</v>
      </c>
      <c r="B1907" t="s">
        <v>2719</v>
      </c>
      <c r="C1907" t="s">
        <v>261</v>
      </c>
      <c r="D1907">
        <v>20</v>
      </c>
      <c r="E1907">
        <v>77.23</v>
      </c>
      <c r="F1907">
        <v>77.23</v>
      </c>
      <c r="G1907" s="18" t="s">
        <v>2252</v>
      </c>
      <c r="H1907" t="s">
        <v>428</v>
      </c>
      <c r="I1907" t="s">
        <v>2021</v>
      </c>
      <c r="J1907">
        <v>3</v>
      </c>
    </row>
    <row r="1908" spans="1:15" ht="16">
      <c r="A1908" t="s">
        <v>2019</v>
      </c>
      <c r="B1908" t="s">
        <v>2719</v>
      </c>
      <c r="C1908" t="s">
        <v>261</v>
      </c>
      <c r="D1908">
        <v>36</v>
      </c>
      <c r="E1908">
        <v>72.260000000000005</v>
      </c>
      <c r="F1908">
        <v>72.260000000000005</v>
      </c>
      <c r="G1908" s="18">
        <v>100</v>
      </c>
      <c r="H1908" t="s">
        <v>428</v>
      </c>
      <c r="I1908" t="s">
        <v>2021</v>
      </c>
      <c r="J1908">
        <v>3</v>
      </c>
    </row>
    <row r="1909" spans="1:15" ht="16">
      <c r="A1909" t="s">
        <v>2039</v>
      </c>
      <c r="B1909" t="s">
        <v>1194</v>
      </c>
      <c r="C1909" t="s">
        <v>448</v>
      </c>
      <c r="D1909">
        <v>0</v>
      </c>
      <c r="E1909">
        <v>100</v>
      </c>
      <c r="F1909">
        <v>100</v>
      </c>
      <c r="G1909" s="18">
        <v>100</v>
      </c>
      <c r="H1909" t="s">
        <v>428</v>
      </c>
      <c r="I1909" t="s">
        <v>2040</v>
      </c>
      <c r="J1909">
        <v>3</v>
      </c>
      <c r="K1909" t="s">
        <v>2208</v>
      </c>
      <c r="L1909" t="s">
        <v>2236</v>
      </c>
      <c r="M1909">
        <v>5.5800000000000002E-2</v>
      </c>
      <c r="O1909">
        <v>0.98680000000000001</v>
      </c>
    </row>
    <row r="1910" spans="1:15" ht="16">
      <c r="A1910" t="s">
        <v>2039</v>
      </c>
      <c r="B1910" t="s">
        <v>1194</v>
      </c>
      <c r="C1910" t="s">
        <v>448</v>
      </c>
      <c r="D1910">
        <v>30</v>
      </c>
      <c r="E1910">
        <v>24.18</v>
      </c>
      <c r="F1910">
        <v>24.18</v>
      </c>
      <c r="G1910" s="18">
        <v>100</v>
      </c>
      <c r="H1910" t="s">
        <v>428</v>
      </c>
      <c r="I1910" t="s">
        <v>2040</v>
      </c>
      <c r="J1910">
        <v>3</v>
      </c>
    </row>
    <row r="1911" spans="1:15" ht="16">
      <c r="A1911" t="s">
        <v>2039</v>
      </c>
      <c r="B1911" t="s">
        <v>1194</v>
      </c>
      <c r="C1911" t="s">
        <v>448</v>
      </c>
      <c r="D1911">
        <v>48</v>
      </c>
      <c r="E1911">
        <v>0</v>
      </c>
      <c r="F1911">
        <v>0</v>
      </c>
      <c r="G1911" s="18">
        <v>100</v>
      </c>
      <c r="H1911" t="s">
        <v>428</v>
      </c>
      <c r="I1911" t="s">
        <v>2040</v>
      </c>
      <c r="J1911">
        <v>3</v>
      </c>
    </row>
    <row r="1912" spans="1:15" ht="16">
      <c r="A1912" t="s">
        <v>2039</v>
      </c>
      <c r="B1912" t="s">
        <v>1194</v>
      </c>
      <c r="C1912" t="s">
        <v>448</v>
      </c>
      <c r="D1912">
        <v>60</v>
      </c>
      <c r="E1912">
        <v>0</v>
      </c>
      <c r="F1912">
        <v>0</v>
      </c>
      <c r="G1912" s="18">
        <v>100</v>
      </c>
      <c r="H1912" t="s">
        <v>428</v>
      </c>
      <c r="I1912" t="s">
        <v>2040</v>
      </c>
      <c r="J1912">
        <v>3</v>
      </c>
    </row>
    <row r="1913" spans="1:15" ht="16">
      <c r="A1913" t="s">
        <v>2039</v>
      </c>
      <c r="B1913" t="s">
        <v>1194</v>
      </c>
      <c r="C1913" t="s">
        <v>448</v>
      </c>
      <c r="D1913">
        <v>0</v>
      </c>
      <c r="E1913">
        <v>100</v>
      </c>
      <c r="F1913">
        <v>100</v>
      </c>
      <c r="G1913" s="18">
        <v>100</v>
      </c>
      <c r="H1913" t="s">
        <v>428</v>
      </c>
      <c r="I1913" t="s">
        <v>2041</v>
      </c>
      <c r="J1913">
        <v>3</v>
      </c>
      <c r="K1913" t="s">
        <v>2208</v>
      </c>
      <c r="L1913" t="s">
        <v>2237</v>
      </c>
      <c r="M1913">
        <v>7.8E-2</v>
      </c>
      <c r="O1913">
        <v>0.99419999999999997</v>
      </c>
    </row>
    <row r="1914" spans="1:15" ht="16">
      <c r="A1914" t="s">
        <v>2039</v>
      </c>
      <c r="B1914" t="s">
        <v>1194</v>
      </c>
      <c r="C1914" t="s">
        <v>448</v>
      </c>
      <c r="D1914">
        <v>30</v>
      </c>
      <c r="E1914">
        <v>7.52</v>
      </c>
      <c r="F1914">
        <v>7.52</v>
      </c>
      <c r="G1914" s="18">
        <v>100</v>
      </c>
      <c r="H1914" t="s">
        <v>428</v>
      </c>
      <c r="I1914" t="s">
        <v>2041</v>
      </c>
      <c r="J1914">
        <v>3</v>
      </c>
    </row>
    <row r="1915" spans="1:15" ht="16">
      <c r="A1915" t="s">
        <v>2039</v>
      </c>
      <c r="B1915" t="s">
        <v>1194</v>
      </c>
      <c r="C1915" t="s">
        <v>448</v>
      </c>
      <c r="D1915">
        <v>48</v>
      </c>
      <c r="E1915">
        <v>8.17</v>
      </c>
      <c r="F1915">
        <v>8.17</v>
      </c>
      <c r="G1915" s="18">
        <v>100</v>
      </c>
      <c r="H1915" t="s">
        <v>428</v>
      </c>
      <c r="I1915" t="s">
        <v>2041</v>
      </c>
      <c r="J1915">
        <v>3</v>
      </c>
    </row>
    <row r="1916" spans="1:15" ht="16">
      <c r="A1916" t="s">
        <v>2039</v>
      </c>
      <c r="B1916" t="s">
        <v>1194</v>
      </c>
      <c r="C1916" t="s">
        <v>448</v>
      </c>
      <c r="D1916">
        <v>60</v>
      </c>
      <c r="E1916">
        <v>0</v>
      </c>
      <c r="F1916">
        <v>0</v>
      </c>
      <c r="G1916" s="18">
        <v>100</v>
      </c>
      <c r="H1916" t="s">
        <v>428</v>
      </c>
      <c r="I1916" t="s">
        <v>2041</v>
      </c>
      <c r="J1916">
        <v>3</v>
      </c>
    </row>
    <row r="1917" spans="1:15" ht="16">
      <c r="A1917" t="s">
        <v>2039</v>
      </c>
      <c r="B1917" t="s">
        <v>1194</v>
      </c>
      <c r="C1917" t="s">
        <v>448</v>
      </c>
      <c r="D1917">
        <v>0</v>
      </c>
      <c r="E1917">
        <v>100</v>
      </c>
      <c r="F1917">
        <v>100</v>
      </c>
      <c r="G1917" s="18">
        <v>100</v>
      </c>
      <c r="H1917" t="s">
        <v>428</v>
      </c>
      <c r="I1917" t="s">
        <v>2042</v>
      </c>
      <c r="J1917">
        <v>3</v>
      </c>
      <c r="K1917" t="s">
        <v>2208</v>
      </c>
      <c r="L1917" t="s">
        <v>2238</v>
      </c>
      <c r="M1917">
        <v>1.9300000000000001E-2</v>
      </c>
      <c r="O1917">
        <v>0.92320000000000002</v>
      </c>
    </row>
    <row r="1918" spans="1:15" ht="16">
      <c r="A1918" t="s">
        <v>2039</v>
      </c>
      <c r="B1918" t="s">
        <v>1194</v>
      </c>
      <c r="C1918" t="s">
        <v>448</v>
      </c>
      <c r="D1918">
        <v>30</v>
      </c>
      <c r="E1918">
        <v>68.95</v>
      </c>
      <c r="F1918">
        <v>68.95</v>
      </c>
      <c r="G1918" s="18">
        <v>100</v>
      </c>
      <c r="H1918" t="s">
        <v>428</v>
      </c>
      <c r="I1918" t="s">
        <v>2042</v>
      </c>
      <c r="J1918">
        <v>3</v>
      </c>
    </row>
    <row r="1919" spans="1:15" ht="16">
      <c r="A1919" t="s">
        <v>2039</v>
      </c>
      <c r="B1919" t="s">
        <v>1194</v>
      </c>
      <c r="C1919" t="s">
        <v>448</v>
      </c>
      <c r="D1919">
        <v>60</v>
      </c>
      <c r="E1919">
        <v>36.93</v>
      </c>
      <c r="F1919">
        <v>36.93</v>
      </c>
      <c r="G1919" s="18">
        <v>100</v>
      </c>
      <c r="H1919" t="s">
        <v>428</v>
      </c>
      <c r="I1919" t="s">
        <v>2042</v>
      </c>
      <c r="J1919">
        <v>3</v>
      </c>
    </row>
    <row r="1920" spans="1:15" ht="16">
      <c r="A1920" t="s">
        <v>2039</v>
      </c>
      <c r="B1920" t="s">
        <v>1194</v>
      </c>
      <c r="C1920" t="s">
        <v>448</v>
      </c>
      <c r="D1920">
        <v>95</v>
      </c>
      <c r="E1920">
        <v>0</v>
      </c>
      <c r="F1920">
        <v>0</v>
      </c>
      <c r="G1920" s="18">
        <v>100</v>
      </c>
      <c r="H1920" t="s">
        <v>428</v>
      </c>
      <c r="I1920" t="s">
        <v>2042</v>
      </c>
      <c r="J1920">
        <v>3</v>
      </c>
    </row>
    <row r="1921" spans="1:15" ht="16">
      <c r="A1921" t="s">
        <v>2039</v>
      </c>
      <c r="B1921" t="s">
        <v>1194</v>
      </c>
      <c r="C1921" t="s">
        <v>448</v>
      </c>
      <c r="D1921">
        <v>0</v>
      </c>
      <c r="E1921">
        <v>100</v>
      </c>
      <c r="F1921">
        <v>100</v>
      </c>
      <c r="G1921" s="18">
        <v>100</v>
      </c>
      <c r="H1921" t="s">
        <v>428</v>
      </c>
      <c r="I1921" t="s">
        <v>2043</v>
      </c>
      <c r="J1921">
        <v>3</v>
      </c>
      <c r="K1921" t="s">
        <v>2208</v>
      </c>
      <c r="L1921" t="s">
        <v>2239</v>
      </c>
      <c r="M1921">
        <v>3.1E-2</v>
      </c>
      <c r="O1921">
        <v>0.96709999999999996</v>
      </c>
    </row>
    <row r="1922" spans="1:15" ht="16">
      <c r="A1922" t="s">
        <v>2039</v>
      </c>
      <c r="B1922" t="s">
        <v>1194</v>
      </c>
      <c r="C1922" t="s">
        <v>448</v>
      </c>
      <c r="D1922">
        <v>30</v>
      </c>
      <c r="E1922">
        <v>50.65</v>
      </c>
      <c r="F1922">
        <v>50.65</v>
      </c>
      <c r="G1922" s="18">
        <v>100</v>
      </c>
      <c r="H1922" t="s">
        <v>428</v>
      </c>
      <c r="I1922" t="s">
        <v>2043</v>
      </c>
      <c r="J1922">
        <v>3</v>
      </c>
    </row>
    <row r="1923" spans="1:15" ht="16">
      <c r="A1923" t="s">
        <v>2039</v>
      </c>
      <c r="B1923" t="s">
        <v>1194</v>
      </c>
      <c r="C1923" t="s">
        <v>448</v>
      </c>
      <c r="D1923">
        <v>48</v>
      </c>
      <c r="E1923">
        <v>21.57</v>
      </c>
      <c r="F1923">
        <v>21.57</v>
      </c>
      <c r="G1923" s="18">
        <v>100</v>
      </c>
      <c r="H1923" t="s">
        <v>428</v>
      </c>
      <c r="I1923" t="s">
        <v>2043</v>
      </c>
      <c r="J1923">
        <v>3</v>
      </c>
    </row>
    <row r="1924" spans="1:15" ht="16">
      <c r="A1924" t="s">
        <v>2039</v>
      </c>
      <c r="B1924" t="s">
        <v>1194</v>
      </c>
      <c r="C1924" t="s">
        <v>448</v>
      </c>
      <c r="D1924">
        <v>60</v>
      </c>
      <c r="E1924">
        <v>7.19</v>
      </c>
      <c r="F1924">
        <v>7.19</v>
      </c>
      <c r="G1924" s="18">
        <v>100</v>
      </c>
      <c r="H1924" t="s">
        <v>428</v>
      </c>
      <c r="I1924" t="s">
        <v>2043</v>
      </c>
      <c r="J1924">
        <v>3</v>
      </c>
    </row>
    <row r="1925" spans="1:15" ht="16">
      <c r="A1925" t="s">
        <v>2039</v>
      </c>
      <c r="B1925" t="s">
        <v>1194</v>
      </c>
      <c r="C1925" t="s">
        <v>448</v>
      </c>
      <c r="D1925">
        <v>95</v>
      </c>
      <c r="E1925">
        <v>0</v>
      </c>
      <c r="F1925">
        <v>0</v>
      </c>
      <c r="G1925" s="18">
        <v>100</v>
      </c>
      <c r="H1925" t="s">
        <v>428</v>
      </c>
      <c r="I1925" t="s">
        <v>2043</v>
      </c>
      <c r="J1925">
        <v>3</v>
      </c>
    </row>
    <row r="1926" spans="1:15" ht="16">
      <c r="A1926" t="s">
        <v>2039</v>
      </c>
      <c r="B1926" t="s">
        <v>1194</v>
      </c>
      <c r="C1926" t="s">
        <v>1325</v>
      </c>
      <c r="D1926">
        <v>0</v>
      </c>
      <c r="E1926">
        <v>100</v>
      </c>
      <c r="F1926">
        <v>100</v>
      </c>
      <c r="G1926" s="18">
        <v>100</v>
      </c>
      <c r="H1926" t="s">
        <v>428</v>
      </c>
      <c r="I1926" t="s">
        <v>2171</v>
      </c>
      <c r="J1926">
        <v>3</v>
      </c>
      <c r="K1926" t="s">
        <v>181</v>
      </c>
      <c r="L1926" t="s">
        <v>2240</v>
      </c>
      <c r="O1926">
        <v>0.97119999999999995</v>
      </c>
    </row>
    <row r="1927" spans="1:15" ht="16">
      <c r="A1927" t="s">
        <v>2039</v>
      </c>
      <c r="B1927" t="s">
        <v>1194</v>
      </c>
      <c r="C1927" t="s">
        <v>1325</v>
      </c>
      <c r="D1927">
        <v>9</v>
      </c>
      <c r="E1927">
        <v>89.51</v>
      </c>
      <c r="F1927">
        <v>89.51</v>
      </c>
      <c r="G1927" s="18">
        <v>100</v>
      </c>
      <c r="H1927" t="s">
        <v>428</v>
      </c>
      <c r="I1927" t="s">
        <v>2171</v>
      </c>
      <c r="J1927">
        <v>3</v>
      </c>
    </row>
    <row r="1928" spans="1:15" ht="16">
      <c r="A1928" t="s">
        <v>2039</v>
      </c>
      <c r="B1928" t="s">
        <v>1194</v>
      </c>
      <c r="C1928" t="s">
        <v>1325</v>
      </c>
      <c r="D1928">
        <v>21</v>
      </c>
      <c r="E1928">
        <v>70</v>
      </c>
      <c r="F1928">
        <v>70</v>
      </c>
      <c r="G1928" s="18">
        <v>100</v>
      </c>
      <c r="H1928" t="s">
        <v>428</v>
      </c>
      <c r="I1928" t="s">
        <v>2171</v>
      </c>
      <c r="J1928">
        <v>3</v>
      </c>
    </row>
    <row r="1929" spans="1:15" ht="16">
      <c r="A1929" t="s">
        <v>2039</v>
      </c>
      <c r="B1929" t="s">
        <v>1194</v>
      </c>
      <c r="C1929" t="s">
        <v>1325</v>
      </c>
      <c r="D1929">
        <v>34</v>
      </c>
      <c r="E1929">
        <v>64.510000000000005</v>
      </c>
      <c r="F1929">
        <v>64.510000000000005</v>
      </c>
      <c r="G1929" s="18">
        <v>100</v>
      </c>
      <c r="H1929" t="s">
        <v>428</v>
      </c>
      <c r="I1929" t="s">
        <v>2171</v>
      </c>
      <c r="J1929">
        <v>3</v>
      </c>
    </row>
    <row r="1930" spans="1:15" ht="16">
      <c r="A1930" t="s">
        <v>2039</v>
      </c>
      <c r="B1930" t="s">
        <v>1194</v>
      </c>
      <c r="C1930" t="s">
        <v>1325</v>
      </c>
      <c r="D1930">
        <v>50</v>
      </c>
      <c r="E1930">
        <v>54.51</v>
      </c>
      <c r="F1930">
        <v>54.51</v>
      </c>
      <c r="G1930" s="18">
        <v>100</v>
      </c>
      <c r="H1930" t="s">
        <v>428</v>
      </c>
      <c r="I1930" t="s">
        <v>2171</v>
      </c>
      <c r="J1930">
        <v>3</v>
      </c>
    </row>
    <row r="1931" spans="1:15" ht="16">
      <c r="A1931" t="s">
        <v>2039</v>
      </c>
      <c r="B1931" t="s">
        <v>1194</v>
      </c>
      <c r="C1931" t="s">
        <v>1325</v>
      </c>
      <c r="D1931">
        <v>68</v>
      </c>
      <c r="E1931">
        <v>30</v>
      </c>
      <c r="F1931">
        <v>30</v>
      </c>
      <c r="G1931" s="18">
        <v>100</v>
      </c>
      <c r="H1931" t="s">
        <v>428</v>
      </c>
      <c r="I1931" t="s">
        <v>2171</v>
      </c>
      <c r="J1931">
        <v>3</v>
      </c>
    </row>
    <row r="1932" spans="1:15" ht="16">
      <c r="A1932" t="s">
        <v>2039</v>
      </c>
      <c r="B1932" t="s">
        <v>1194</v>
      </c>
      <c r="C1932" t="s">
        <v>1325</v>
      </c>
      <c r="D1932">
        <v>0</v>
      </c>
      <c r="E1932">
        <v>100</v>
      </c>
      <c r="F1932">
        <v>100</v>
      </c>
      <c r="G1932" s="18">
        <v>100</v>
      </c>
      <c r="H1932" t="s">
        <v>428</v>
      </c>
      <c r="I1932" t="s">
        <v>2170</v>
      </c>
      <c r="J1932">
        <v>3</v>
      </c>
      <c r="K1932" t="s">
        <v>181</v>
      </c>
      <c r="L1932" t="s">
        <v>2241</v>
      </c>
      <c r="O1932">
        <v>0.73819999999999997</v>
      </c>
    </row>
    <row r="1933" spans="1:15" ht="16">
      <c r="A1933" t="s">
        <v>2039</v>
      </c>
      <c r="B1933" t="s">
        <v>1194</v>
      </c>
      <c r="C1933" t="s">
        <v>1325</v>
      </c>
      <c r="D1933">
        <v>9</v>
      </c>
      <c r="E1933">
        <v>68.84</v>
      </c>
      <c r="F1933">
        <v>68.84</v>
      </c>
      <c r="G1933" s="18">
        <v>100</v>
      </c>
      <c r="H1933" t="s">
        <v>428</v>
      </c>
      <c r="I1933" t="s">
        <v>2170</v>
      </c>
      <c r="J1933">
        <v>3</v>
      </c>
    </row>
    <row r="1934" spans="1:15" ht="16">
      <c r="A1934" t="s">
        <v>2039</v>
      </c>
      <c r="B1934" t="s">
        <v>1194</v>
      </c>
      <c r="C1934" t="s">
        <v>1325</v>
      </c>
      <c r="D1934">
        <v>21</v>
      </c>
      <c r="E1934">
        <v>66.22</v>
      </c>
      <c r="F1934">
        <v>66.22</v>
      </c>
      <c r="G1934" s="18">
        <v>100</v>
      </c>
      <c r="H1934" t="s">
        <v>428</v>
      </c>
      <c r="I1934" t="s">
        <v>2170</v>
      </c>
      <c r="J1934">
        <v>3</v>
      </c>
    </row>
    <row r="1935" spans="1:15" ht="16">
      <c r="A1935" t="s">
        <v>2039</v>
      </c>
      <c r="B1935" t="s">
        <v>1194</v>
      </c>
      <c r="C1935" t="s">
        <v>1325</v>
      </c>
      <c r="D1935">
        <v>34</v>
      </c>
      <c r="E1935">
        <v>57.52</v>
      </c>
      <c r="F1935">
        <v>57.52</v>
      </c>
      <c r="G1935" s="18">
        <v>100</v>
      </c>
      <c r="H1935" t="s">
        <v>428</v>
      </c>
      <c r="I1935" t="s">
        <v>2170</v>
      </c>
      <c r="J1935">
        <v>3</v>
      </c>
    </row>
    <row r="1936" spans="1:15" ht="16">
      <c r="A1936" t="s">
        <v>2039</v>
      </c>
      <c r="B1936" t="s">
        <v>1194</v>
      </c>
      <c r="C1936" t="s">
        <v>1325</v>
      </c>
      <c r="D1936">
        <v>50</v>
      </c>
      <c r="E1936">
        <v>65.069999999999993</v>
      </c>
      <c r="F1936">
        <v>65.069999999999993</v>
      </c>
      <c r="G1936" s="18">
        <v>100</v>
      </c>
      <c r="H1936" t="s">
        <v>428</v>
      </c>
      <c r="I1936" t="s">
        <v>2170</v>
      </c>
      <c r="J1936">
        <v>3</v>
      </c>
    </row>
    <row r="1937" spans="1:15" ht="16">
      <c r="A1937" t="s">
        <v>2039</v>
      </c>
      <c r="B1937" t="s">
        <v>1194</v>
      </c>
      <c r="C1937" t="s">
        <v>1325</v>
      </c>
      <c r="D1937">
        <v>68</v>
      </c>
      <c r="E1937">
        <v>35.799999999999997</v>
      </c>
      <c r="F1937">
        <v>35.799999999999997</v>
      </c>
      <c r="G1937" s="18">
        <v>100</v>
      </c>
      <c r="H1937" t="s">
        <v>428</v>
      </c>
      <c r="I1937" t="s">
        <v>2170</v>
      </c>
      <c r="J1937">
        <v>3</v>
      </c>
    </row>
    <row r="1938" spans="1:15" ht="16">
      <c r="A1938" t="s">
        <v>2039</v>
      </c>
      <c r="B1938" t="s">
        <v>1194</v>
      </c>
      <c r="C1938" t="s">
        <v>1325</v>
      </c>
      <c r="D1938">
        <v>0</v>
      </c>
      <c r="E1938">
        <v>100</v>
      </c>
      <c r="F1938">
        <v>100</v>
      </c>
      <c r="G1938" s="18">
        <v>100</v>
      </c>
      <c r="H1938" t="s">
        <v>428</v>
      </c>
      <c r="I1938" t="s">
        <v>2169</v>
      </c>
      <c r="J1938">
        <v>3</v>
      </c>
      <c r="K1938" t="s">
        <v>181</v>
      </c>
      <c r="L1938" t="s">
        <v>2242</v>
      </c>
      <c r="O1938">
        <v>0.88859999999999995</v>
      </c>
    </row>
    <row r="1939" spans="1:15" ht="16">
      <c r="A1939" t="s">
        <v>2039</v>
      </c>
      <c r="B1939" t="s">
        <v>1194</v>
      </c>
      <c r="C1939" t="s">
        <v>1325</v>
      </c>
      <c r="D1939">
        <v>9</v>
      </c>
      <c r="E1939">
        <v>85.44</v>
      </c>
      <c r="F1939">
        <v>85.44</v>
      </c>
      <c r="G1939" s="18">
        <v>100</v>
      </c>
      <c r="H1939" t="s">
        <v>428</v>
      </c>
      <c r="I1939" t="s">
        <v>2169</v>
      </c>
      <c r="J1939">
        <v>3</v>
      </c>
    </row>
    <row r="1940" spans="1:15" ht="16">
      <c r="A1940" t="s">
        <v>2039</v>
      </c>
      <c r="B1940" t="s">
        <v>1194</v>
      </c>
      <c r="C1940" t="s">
        <v>1325</v>
      </c>
      <c r="D1940">
        <v>21</v>
      </c>
      <c r="E1940">
        <v>60.65</v>
      </c>
      <c r="F1940">
        <v>60.65</v>
      </c>
      <c r="G1940" s="18">
        <v>100</v>
      </c>
      <c r="H1940" t="s">
        <v>428</v>
      </c>
      <c r="I1940" t="s">
        <v>2169</v>
      </c>
      <c r="J1940">
        <v>3</v>
      </c>
    </row>
    <row r="1941" spans="1:15" ht="16">
      <c r="A1941" t="s">
        <v>2039</v>
      </c>
      <c r="B1941" t="s">
        <v>1194</v>
      </c>
      <c r="C1941" t="s">
        <v>1325</v>
      </c>
      <c r="D1941">
        <v>34</v>
      </c>
      <c r="E1941">
        <v>65.03</v>
      </c>
      <c r="F1941">
        <v>65.03</v>
      </c>
      <c r="G1941" s="18">
        <v>100</v>
      </c>
      <c r="H1941" t="s">
        <v>428</v>
      </c>
      <c r="I1941" t="s">
        <v>2169</v>
      </c>
      <c r="J1941">
        <v>3</v>
      </c>
    </row>
    <row r="1942" spans="1:15" ht="16">
      <c r="A1942" t="s">
        <v>2039</v>
      </c>
      <c r="B1942" t="s">
        <v>1194</v>
      </c>
      <c r="C1942" t="s">
        <v>1325</v>
      </c>
      <c r="D1942">
        <v>50</v>
      </c>
      <c r="E1942">
        <v>57.65</v>
      </c>
      <c r="F1942">
        <v>57.65</v>
      </c>
      <c r="G1942" s="18">
        <v>100</v>
      </c>
      <c r="H1942" t="s">
        <v>428</v>
      </c>
      <c r="I1942" t="s">
        <v>2169</v>
      </c>
      <c r="J1942">
        <v>3</v>
      </c>
    </row>
    <row r="1943" spans="1:15" ht="16">
      <c r="A1943" t="s">
        <v>2039</v>
      </c>
      <c r="B1943" t="s">
        <v>1194</v>
      </c>
      <c r="C1943" t="s">
        <v>1325</v>
      </c>
      <c r="D1943">
        <v>68</v>
      </c>
      <c r="E1943">
        <v>27.78</v>
      </c>
      <c r="F1943">
        <v>27.78</v>
      </c>
      <c r="G1943" s="18">
        <v>100</v>
      </c>
      <c r="H1943" t="s">
        <v>428</v>
      </c>
      <c r="I1943" t="s">
        <v>2169</v>
      </c>
      <c r="J1943">
        <v>3</v>
      </c>
    </row>
    <row r="1944" spans="1:15" ht="16">
      <c r="A1944" t="s">
        <v>2039</v>
      </c>
      <c r="B1944" t="s">
        <v>1194</v>
      </c>
      <c r="C1944" t="s">
        <v>448</v>
      </c>
      <c r="D1944">
        <v>0</v>
      </c>
      <c r="E1944">
        <v>100</v>
      </c>
      <c r="F1944">
        <v>100</v>
      </c>
      <c r="G1944" s="18">
        <v>100</v>
      </c>
      <c r="H1944" t="s">
        <v>428</v>
      </c>
      <c r="I1944" t="s">
        <v>2171</v>
      </c>
      <c r="J1944">
        <v>3</v>
      </c>
      <c r="K1944" t="s">
        <v>181</v>
      </c>
      <c r="L1944" t="s">
        <v>2243</v>
      </c>
      <c r="O1944">
        <v>0.9667</v>
      </c>
    </row>
    <row r="1945" spans="1:15" ht="16">
      <c r="A1945" t="s">
        <v>2039</v>
      </c>
      <c r="B1945" t="s">
        <v>1194</v>
      </c>
      <c r="C1945" t="s">
        <v>448</v>
      </c>
      <c r="D1945">
        <v>15</v>
      </c>
      <c r="E1945">
        <v>75.91</v>
      </c>
      <c r="F1945">
        <v>75.91</v>
      </c>
      <c r="G1945" s="18">
        <v>100</v>
      </c>
      <c r="H1945" t="s">
        <v>428</v>
      </c>
      <c r="I1945" t="s">
        <v>2171</v>
      </c>
      <c r="J1945">
        <v>3</v>
      </c>
    </row>
    <row r="1946" spans="1:15" ht="16">
      <c r="A1946" t="s">
        <v>2039</v>
      </c>
      <c r="B1946" t="s">
        <v>1194</v>
      </c>
      <c r="C1946" t="s">
        <v>448</v>
      </c>
      <c r="D1946">
        <v>30</v>
      </c>
      <c r="E1946">
        <v>66.36</v>
      </c>
      <c r="F1946">
        <v>66.36</v>
      </c>
      <c r="G1946" s="18">
        <v>100</v>
      </c>
      <c r="H1946" t="s">
        <v>428</v>
      </c>
      <c r="I1946" t="s">
        <v>2171</v>
      </c>
      <c r="J1946">
        <v>3</v>
      </c>
    </row>
    <row r="1947" spans="1:15" ht="16">
      <c r="A1947" t="s">
        <v>2039</v>
      </c>
      <c r="B1947" t="s">
        <v>1194</v>
      </c>
      <c r="C1947" t="s">
        <v>448</v>
      </c>
      <c r="D1947">
        <v>49</v>
      </c>
      <c r="E1947">
        <v>20.91</v>
      </c>
      <c r="F1947">
        <v>20.91</v>
      </c>
      <c r="G1947" s="18">
        <v>100</v>
      </c>
      <c r="H1947" t="s">
        <v>428</v>
      </c>
      <c r="I1947" t="s">
        <v>2171</v>
      </c>
      <c r="J1947">
        <v>3</v>
      </c>
    </row>
    <row r="1948" spans="1:15" ht="16">
      <c r="A1948" t="s">
        <v>2039</v>
      </c>
      <c r="B1948" t="s">
        <v>1194</v>
      </c>
      <c r="C1948" t="s">
        <v>448</v>
      </c>
      <c r="D1948">
        <v>56</v>
      </c>
      <c r="E1948">
        <v>4.55</v>
      </c>
      <c r="F1948">
        <v>4.55</v>
      </c>
      <c r="G1948" s="18">
        <v>100</v>
      </c>
      <c r="H1948" t="s">
        <v>428</v>
      </c>
      <c r="I1948" t="s">
        <v>2171</v>
      </c>
      <c r="J1948">
        <v>3</v>
      </c>
    </row>
    <row r="1949" spans="1:15" ht="16">
      <c r="A1949" t="s">
        <v>2039</v>
      </c>
      <c r="B1949" t="s">
        <v>1194</v>
      </c>
      <c r="C1949" t="s">
        <v>448</v>
      </c>
      <c r="D1949">
        <v>63</v>
      </c>
      <c r="E1949">
        <v>7.63</v>
      </c>
      <c r="F1949">
        <v>7.63</v>
      </c>
      <c r="G1949" s="18">
        <v>100</v>
      </c>
      <c r="H1949" t="s">
        <v>428</v>
      </c>
      <c r="I1949" t="s">
        <v>2171</v>
      </c>
    </row>
    <row r="1950" spans="1:15" ht="16">
      <c r="A1950" t="s">
        <v>2039</v>
      </c>
      <c r="B1950" t="s">
        <v>1194</v>
      </c>
      <c r="C1950" t="s">
        <v>448</v>
      </c>
      <c r="D1950">
        <v>0</v>
      </c>
      <c r="E1950">
        <v>100</v>
      </c>
      <c r="F1950">
        <v>100</v>
      </c>
      <c r="G1950" s="18">
        <v>100</v>
      </c>
      <c r="H1950" t="s">
        <v>428</v>
      </c>
      <c r="I1950" t="s">
        <v>2170</v>
      </c>
      <c r="J1950">
        <v>3</v>
      </c>
      <c r="K1950" t="s">
        <v>181</v>
      </c>
      <c r="L1950" t="s">
        <v>2244</v>
      </c>
      <c r="O1950">
        <v>0.9929</v>
      </c>
    </row>
    <row r="1951" spans="1:15" ht="16">
      <c r="A1951" t="s">
        <v>2039</v>
      </c>
      <c r="B1951" t="s">
        <v>1194</v>
      </c>
      <c r="C1951" t="s">
        <v>448</v>
      </c>
      <c r="D1951">
        <v>15</v>
      </c>
      <c r="E1951">
        <v>70.52</v>
      </c>
      <c r="F1951">
        <v>70.52</v>
      </c>
      <c r="G1951" s="18">
        <v>100</v>
      </c>
      <c r="H1951" t="s">
        <v>428</v>
      </c>
      <c r="I1951" t="s">
        <v>2170</v>
      </c>
      <c r="J1951">
        <v>3</v>
      </c>
    </row>
    <row r="1952" spans="1:15" ht="16">
      <c r="A1952" t="s">
        <v>2039</v>
      </c>
      <c r="B1952" t="s">
        <v>1194</v>
      </c>
      <c r="C1952" t="s">
        <v>448</v>
      </c>
      <c r="D1952">
        <v>30</v>
      </c>
      <c r="E1952">
        <v>56.27</v>
      </c>
      <c r="F1952">
        <v>56.27</v>
      </c>
      <c r="G1952" s="18">
        <v>100</v>
      </c>
      <c r="H1952" t="s">
        <v>428</v>
      </c>
      <c r="I1952" t="s">
        <v>2170</v>
      </c>
      <c r="J1952">
        <v>3</v>
      </c>
    </row>
    <row r="1953" spans="1:15" ht="16">
      <c r="A1953" t="s">
        <v>2039</v>
      </c>
      <c r="B1953" t="s">
        <v>1194</v>
      </c>
      <c r="C1953" t="s">
        <v>448</v>
      </c>
      <c r="D1953">
        <v>49</v>
      </c>
      <c r="E1953">
        <v>23.86</v>
      </c>
      <c r="F1953">
        <v>23.86</v>
      </c>
      <c r="G1953" s="18">
        <v>100</v>
      </c>
      <c r="H1953" t="s">
        <v>428</v>
      </c>
      <c r="I1953" t="s">
        <v>2170</v>
      </c>
      <c r="J1953">
        <v>3</v>
      </c>
    </row>
    <row r="1954" spans="1:15" ht="16">
      <c r="A1954" t="s">
        <v>2039</v>
      </c>
      <c r="B1954" t="s">
        <v>1194</v>
      </c>
      <c r="C1954" t="s">
        <v>448</v>
      </c>
      <c r="D1954">
        <v>56</v>
      </c>
      <c r="E1954">
        <v>9.7200000000000006</v>
      </c>
      <c r="F1954">
        <v>9.7200000000000006</v>
      </c>
      <c r="G1954" s="18">
        <v>100</v>
      </c>
      <c r="H1954" t="s">
        <v>428</v>
      </c>
      <c r="I1954" t="s">
        <v>2170</v>
      </c>
      <c r="J1954">
        <v>3</v>
      </c>
    </row>
    <row r="1955" spans="1:15" ht="16">
      <c r="A1955" t="s">
        <v>2039</v>
      </c>
      <c r="B1955" t="s">
        <v>1194</v>
      </c>
      <c r="C1955" t="s">
        <v>448</v>
      </c>
      <c r="D1955">
        <v>63</v>
      </c>
      <c r="E1955">
        <v>3.16</v>
      </c>
      <c r="F1955">
        <v>3.16</v>
      </c>
      <c r="G1955" s="18">
        <v>100</v>
      </c>
      <c r="H1955" t="s">
        <v>428</v>
      </c>
      <c r="I1955" t="s">
        <v>2170</v>
      </c>
      <c r="J1955">
        <v>3</v>
      </c>
    </row>
    <row r="1956" spans="1:15" ht="16">
      <c r="A1956" t="s">
        <v>2039</v>
      </c>
      <c r="B1956" t="s">
        <v>1194</v>
      </c>
      <c r="C1956" t="s">
        <v>448</v>
      </c>
      <c r="D1956">
        <v>0</v>
      </c>
      <c r="E1956">
        <v>100</v>
      </c>
      <c r="F1956">
        <v>100</v>
      </c>
      <c r="G1956" s="18">
        <v>100</v>
      </c>
      <c r="H1956" t="s">
        <v>428</v>
      </c>
      <c r="I1956" t="s">
        <v>2169</v>
      </c>
      <c r="J1956">
        <v>3</v>
      </c>
      <c r="K1956" t="s">
        <v>181</v>
      </c>
      <c r="L1956" t="s">
        <v>2245</v>
      </c>
      <c r="O1956">
        <v>0.95430000000000004</v>
      </c>
    </row>
    <row r="1957" spans="1:15" ht="16">
      <c r="A1957" t="s">
        <v>2039</v>
      </c>
      <c r="B1957" t="s">
        <v>1194</v>
      </c>
      <c r="C1957" t="s">
        <v>448</v>
      </c>
      <c r="D1957">
        <v>15</v>
      </c>
      <c r="E1957">
        <v>86.41</v>
      </c>
      <c r="F1957">
        <v>86.41</v>
      </c>
      <c r="G1957" s="18">
        <v>100</v>
      </c>
      <c r="H1957" t="s">
        <v>428</v>
      </c>
      <c r="I1957" t="s">
        <v>2169</v>
      </c>
      <c r="J1957">
        <v>3</v>
      </c>
    </row>
    <row r="1958" spans="1:15" ht="16">
      <c r="A1958" t="s">
        <v>2039</v>
      </c>
      <c r="B1958" t="s">
        <v>1194</v>
      </c>
      <c r="C1958" t="s">
        <v>448</v>
      </c>
      <c r="D1958">
        <v>30</v>
      </c>
      <c r="E1958">
        <v>70.260000000000005</v>
      </c>
      <c r="F1958">
        <v>70.260000000000005</v>
      </c>
      <c r="G1958" s="18">
        <v>100</v>
      </c>
      <c r="H1958" t="s">
        <v>428</v>
      </c>
      <c r="I1958" t="s">
        <v>2169</v>
      </c>
      <c r="J1958">
        <v>3</v>
      </c>
    </row>
    <row r="1959" spans="1:15" ht="16">
      <c r="A1959" t="s">
        <v>2039</v>
      </c>
      <c r="B1959" t="s">
        <v>1194</v>
      </c>
      <c r="C1959" t="s">
        <v>448</v>
      </c>
      <c r="D1959">
        <v>49</v>
      </c>
      <c r="E1959">
        <v>19.18</v>
      </c>
      <c r="F1959">
        <v>19.18</v>
      </c>
      <c r="G1959" s="18">
        <v>100</v>
      </c>
      <c r="H1959" t="s">
        <v>428</v>
      </c>
      <c r="I1959" t="s">
        <v>2169</v>
      </c>
      <c r="J1959">
        <v>3</v>
      </c>
    </row>
    <row r="1960" spans="1:15" ht="16">
      <c r="A1960" t="s">
        <v>2039</v>
      </c>
      <c r="B1960" t="s">
        <v>1194</v>
      </c>
      <c r="C1960" t="s">
        <v>448</v>
      </c>
      <c r="D1960">
        <v>56</v>
      </c>
      <c r="E1960">
        <v>3.32</v>
      </c>
      <c r="F1960">
        <v>3.32</v>
      </c>
      <c r="G1960" s="18">
        <v>100</v>
      </c>
      <c r="H1960" t="s">
        <v>428</v>
      </c>
      <c r="I1960" t="s">
        <v>2169</v>
      </c>
      <c r="J1960">
        <v>3</v>
      </c>
    </row>
    <row r="1961" spans="1:15" ht="16">
      <c r="A1961" t="s">
        <v>2039</v>
      </c>
      <c r="B1961" t="s">
        <v>1194</v>
      </c>
      <c r="C1961" t="s">
        <v>448</v>
      </c>
      <c r="D1961">
        <v>63</v>
      </c>
      <c r="E1961">
        <v>7.47</v>
      </c>
      <c r="F1961">
        <v>7.47</v>
      </c>
      <c r="G1961" s="18">
        <v>100</v>
      </c>
      <c r="H1961" t="s">
        <v>428</v>
      </c>
      <c r="I1961" t="s">
        <v>2169</v>
      </c>
      <c r="J1961">
        <v>3</v>
      </c>
    </row>
    <row r="1962" spans="1:15" ht="16">
      <c r="A1962" t="s">
        <v>2046</v>
      </c>
      <c r="B1962" t="s">
        <v>1194</v>
      </c>
      <c r="C1962" t="s">
        <v>619</v>
      </c>
      <c r="D1962">
        <v>0</v>
      </c>
      <c r="E1962">
        <f t="shared" ref="E1962:E2025" si="21">F1962/G1962*100</f>
        <v>100</v>
      </c>
      <c r="F1962">
        <v>3</v>
      </c>
      <c r="G1962" s="18">
        <v>3</v>
      </c>
      <c r="H1962" t="s">
        <v>2048</v>
      </c>
      <c r="I1962" t="s">
        <v>2047</v>
      </c>
      <c r="J1962">
        <v>3</v>
      </c>
      <c r="K1962" t="s">
        <v>2208</v>
      </c>
      <c r="L1962" t="s">
        <v>2246</v>
      </c>
      <c r="M1962">
        <v>9.5500000000000002E-2</v>
      </c>
      <c r="O1962">
        <v>0.99039999999999995</v>
      </c>
    </row>
    <row r="1963" spans="1:15" ht="16">
      <c r="A1963" t="s">
        <v>2046</v>
      </c>
      <c r="B1963" t="s">
        <v>1194</v>
      </c>
      <c r="C1963" t="s">
        <v>619</v>
      </c>
      <c r="D1963">
        <v>3</v>
      </c>
      <c r="E1963">
        <f t="shared" si="21"/>
        <v>68.650000000000006</v>
      </c>
      <c r="F1963">
        <v>2.0594999999999999</v>
      </c>
      <c r="G1963" s="18">
        <v>3</v>
      </c>
      <c r="H1963" t="s">
        <v>2048</v>
      </c>
      <c r="I1963" t="s">
        <v>2047</v>
      </c>
      <c r="J1963">
        <v>3</v>
      </c>
    </row>
    <row r="1964" spans="1:15" ht="16">
      <c r="A1964" t="s">
        <v>2046</v>
      </c>
      <c r="B1964" t="s">
        <v>1194</v>
      </c>
      <c r="C1964" t="s">
        <v>619</v>
      </c>
      <c r="D1964">
        <v>7</v>
      </c>
      <c r="E1964">
        <f t="shared" si="21"/>
        <v>46.046666666666667</v>
      </c>
      <c r="F1964">
        <v>1.3814</v>
      </c>
      <c r="G1964" s="18">
        <v>3</v>
      </c>
      <c r="H1964" t="s">
        <v>2048</v>
      </c>
      <c r="I1964" t="s">
        <v>2047</v>
      </c>
      <c r="J1964">
        <v>3</v>
      </c>
    </row>
    <row r="1965" spans="1:15" ht="16">
      <c r="A1965" t="s">
        <v>2046</v>
      </c>
      <c r="B1965" t="s">
        <v>1194</v>
      </c>
      <c r="C1965" t="s">
        <v>619</v>
      </c>
      <c r="D1965">
        <v>15</v>
      </c>
      <c r="E1965">
        <f t="shared" si="21"/>
        <v>27.296666666666663</v>
      </c>
      <c r="F1965">
        <v>0.81889999999999996</v>
      </c>
      <c r="G1965" s="18">
        <v>3</v>
      </c>
      <c r="H1965" t="s">
        <v>2048</v>
      </c>
      <c r="I1965" t="s">
        <v>2047</v>
      </c>
      <c r="J1965">
        <v>3</v>
      </c>
    </row>
    <row r="1966" spans="1:15" ht="16">
      <c r="A1966" t="s">
        <v>2046</v>
      </c>
      <c r="B1966" t="s">
        <v>1194</v>
      </c>
      <c r="C1966" t="s">
        <v>619</v>
      </c>
      <c r="D1966">
        <v>30</v>
      </c>
      <c r="E1966">
        <f t="shared" si="21"/>
        <v>8.9766666666666666</v>
      </c>
      <c r="F1966">
        <v>0.26929999999999998</v>
      </c>
      <c r="G1966" s="18">
        <v>3</v>
      </c>
      <c r="H1966" t="s">
        <v>2048</v>
      </c>
      <c r="I1966" t="s">
        <v>2047</v>
      </c>
      <c r="J1966">
        <v>3</v>
      </c>
    </row>
    <row r="1967" spans="1:15" ht="16">
      <c r="A1967" t="s">
        <v>2046</v>
      </c>
      <c r="B1967" t="s">
        <v>1194</v>
      </c>
      <c r="C1967" t="s">
        <v>619</v>
      </c>
      <c r="D1967">
        <v>60</v>
      </c>
      <c r="E1967">
        <f t="shared" si="21"/>
        <v>0</v>
      </c>
      <c r="F1967">
        <v>0</v>
      </c>
      <c r="G1967" s="18">
        <v>3</v>
      </c>
      <c r="H1967" t="s">
        <v>2048</v>
      </c>
      <c r="I1967" t="s">
        <v>2047</v>
      </c>
      <c r="J1967">
        <v>3</v>
      </c>
    </row>
    <row r="1968" spans="1:15" ht="16">
      <c r="A1968" t="s">
        <v>2046</v>
      </c>
      <c r="B1968" t="s">
        <v>1194</v>
      </c>
      <c r="C1968" t="s">
        <v>619</v>
      </c>
      <c r="D1968">
        <v>0</v>
      </c>
      <c r="E1968">
        <f t="shared" si="21"/>
        <v>100</v>
      </c>
      <c r="F1968">
        <v>3</v>
      </c>
      <c r="G1968" s="18">
        <v>3</v>
      </c>
      <c r="H1968" t="s">
        <v>2048</v>
      </c>
      <c r="I1968" t="s">
        <v>2049</v>
      </c>
      <c r="J1968">
        <v>3</v>
      </c>
      <c r="K1968" t="s">
        <v>2208</v>
      </c>
      <c r="L1968" t="s">
        <v>2247</v>
      </c>
      <c r="M1968">
        <v>9.4700000000000006E-2</v>
      </c>
      <c r="O1968">
        <v>0.98299999999999998</v>
      </c>
    </row>
    <row r="1969" spans="1:15" ht="16">
      <c r="A1969" t="s">
        <v>2046</v>
      </c>
      <c r="B1969" t="s">
        <v>1194</v>
      </c>
      <c r="C1969" t="s">
        <v>619</v>
      </c>
      <c r="D1969">
        <v>3</v>
      </c>
      <c r="E1969">
        <f t="shared" si="21"/>
        <v>65.25333333333333</v>
      </c>
      <c r="F1969">
        <v>1.9576</v>
      </c>
      <c r="G1969" s="18">
        <v>3</v>
      </c>
      <c r="H1969" t="s">
        <v>2048</v>
      </c>
      <c r="I1969" t="s">
        <v>2049</v>
      </c>
      <c r="J1969">
        <v>3</v>
      </c>
    </row>
    <row r="1970" spans="1:15" ht="16">
      <c r="A1970" t="s">
        <v>2046</v>
      </c>
      <c r="B1970" t="s">
        <v>1194</v>
      </c>
      <c r="C1970" t="s">
        <v>619</v>
      </c>
      <c r="D1970">
        <v>7</v>
      </c>
      <c r="E1970">
        <f t="shared" si="21"/>
        <v>46.626666666666665</v>
      </c>
      <c r="F1970">
        <v>1.3988</v>
      </c>
      <c r="G1970" s="18">
        <v>3</v>
      </c>
      <c r="H1970" t="s">
        <v>2048</v>
      </c>
      <c r="I1970" t="s">
        <v>2049</v>
      </c>
      <c r="J1970">
        <v>3</v>
      </c>
    </row>
    <row r="1971" spans="1:15" ht="16">
      <c r="A1971" t="s">
        <v>2046</v>
      </c>
      <c r="B1971" t="s">
        <v>1194</v>
      </c>
      <c r="C1971" t="s">
        <v>619</v>
      </c>
      <c r="D1971">
        <v>15</v>
      </c>
      <c r="E1971">
        <f t="shared" si="21"/>
        <v>26.576666666666664</v>
      </c>
      <c r="F1971">
        <v>0.79730000000000001</v>
      </c>
      <c r="G1971" s="18">
        <v>3</v>
      </c>
      <c r="H1971" t="s">
        <v>2048</v>
      </c>
      <c r="I1971" t="s">
        <v>2049</v>
      </c>
      <c r="J1971">
        <v>3</v>
      </c>
    </row>
    <row r="1972" spans="1:15" ht="16">
      <c r="A1972" t="s">
        <v>2046</v>
      </c>
      <c r="B1972" t="s">
        <v>1194</v>
      </c>
      <c r="C1972" t="s">
        <v>619</v>
      </c>
      <c r="D1972">
        <v>30</v>
      </c>
      <c r="E1972">
        <f t="shared" si="21"/>
        <v>11.366666666666667</v>
      </c>
      <c r="F1972">
        <v>0.34100000000000003</v>
      </c>
      <c r="G1972" s="18">
        <v>3</v>
      </c>
      <c r="H1972" t="s">
        <v>2048</v>
      </c>
      <c r="I1972" t="s">
        <v>2049</v>
      </c>
      <c r="J1972">
        <v>3</v>
      </c>
    </row>
    <row r="1973" spans="1:15" ht="16">
      <c r="A1973" t="s">
        <v>2046</v>
      </c>
      <c r="B1973" t="s">
        <v>1194</v>
      </c>
      <c r="C1973" t="s">
        <v>619</v>
      </c>
      <c r="D1973">
        <v>60</v>
      </c>
      <c r="E1973">
        <f t="shared" si="21"/>
        <v>0</v>
      </c>
      <c r="F1973">
        <v>0</v>
      </c>
      <c r="G1973" s="18">
        <v>3</v>
      </c>
      <c r="H1973" t="s">
        <v>2048</v>
      </c>
      <c r="I1973" t="s">
        <v>2049</v>
      </c>
      <c r="J1973">
        <v>3</v>
      </c>
    </row>
    <row r="1974" spans="1:15" ht="16">
      <c r="A1974" t="s">
        <v>2046</v>
      </c>
      <c r="B1974" t="s">
        <v>1194</v>
      </c>
      <c r="C1974" t="s">
        <v>619</v>
      </c>
      <c r="D1974">
        <v>0</v>
      </c>
      <c r="E1974">
        <f t="shared" si="21"/>
        <v>100</v>
      </c>
      <c r="F1974">
        <v>3</v>
      </c>
      <c r="G1974" s="18">
        <v>3</v>
      </c>
      <c r="H1974" t="s">
        <v>2048</v>
      </c>
      <c r="I1974" t="s">
        <v>2050</v>
      </c>
      <c r="J1974">
        <v>3</v>
      </c>
      <c r="K1974" t="s">
        <v>2208</v>
      </c>
      <c r="L1974" t="s">
        <v>2248</v>
      </c>
      <c r="M1974">
        <v>8.2900000000000001E-2</v>
      </c>
      <c r="O1974">
        <v>0.98399999999999999</v>
      </c>
    </row>
    <row r="1975" spans="1:15" ht="16">
      <c r="A1975" t="s">
        <v>2046</v>
      </c>
      <c r="B1975" t="s">
        <v>1194</v>
      </c>
      <c r="C1975" t="s">
        <v>619</v>
      </c>
      <c r="D1975">
        <v>3</v>
      </c>
      <c r="E1975">
        <f t="shared" si="21"/>
        <v>67.849999999999994</v>
      </c>
      <c r="F1975">
        <v>2.0354999999999999</v>
      </c>
      <c r="G1975" s="18">
        <v>3</v>
      </c>
      <c r="H1975" t="s">
        <v>2048</v>
      </c>
      <c r="I1975" t="s">
        <v>2050</v>
      </c>
      <c r="J1975">
        <v>3</v>
      </c>
    </row>
    <row r="1976" spans="1:15" ht="16">
      <c r="A1976" t="s">
        <v>2046</v>
      </c>
      <c r="B1976" t="s">
        <v>1194</v>
      </c>
      <c r="C1976" t="s">
        <v>619</v>
      </c>
      <c r="D1976">
        <v>7</v>
      </c>
      <c r="E1976">
        <f t="shared" si="21"/>
        <v>52.106666666666669</v>
      </c>
      <c r="F1976">
        <v>1.5631999999999999</v>
      </c>
      <c r="G1976" s="18">
        <v>3</v>
      </c>
      <c r="H1976" t="s">
        <v>2048</v>
      </c>
      <c r="I1976" t="s">
        <v>2050</v>
      </c>
      <c r="J1976">
        <v>3</v>
      </c>
    </row>
    <row r="1977" spans="1:15" ht="16">
      <c r="A1977" t="s">
        <v>2046</v>
      </c>
      <c r="B1977" t="s">
        <v>1194</v>
      </c>
      <c r="C1977" t="s">
        <v>619</v>
      </c>
      <c r="D1977">
        <v>15</v>
      </c>
      <c r="E1977">
        <f t="shared" si="21"/>
        <v>28.233333333333334</v>
      </c>
      <c r="F1977">
        <v>0.84699999999999998</v>
      </c>
      <c r="G1977" s="18">
        <v>3</v>
      </c>
      <c r="H1977" t="s">
        <v>2048</v>
      </c>
      <c r="I1977" t="s">
        <v>2050</v>
      </c>
      <c r="J1977">
        <v>3</v>
      </c>
    </row>
    <row r="1978" spans="1:15" ht="16">
      <c r="A1978" t="s">
        <v>2046</v>
      </c>
      <c r="B1978" t="s">
        <v>1194</v>
      </c>
      <c r="C1978" t="s">
        <v>619</v>
      </c>
      <c r="D1978">
        <v>30</v>
      </c>
      <c r="E1978">
        <f t="shared" si="21"/>
        <v>14.476666666666668</v>
      </c>
      <c r="F1978">
        <v>0.43430000000000002</v>
      </c>
      <c r="G1978" s="18">
        <v>3</v>
      </c>
      <c r="H1978" t="s">
        <v>2048</v>
      </c>
      <c r="I1978" t="s">
        <v>2050</v>
      </c>
      <c r="J1978">
        <v>3</v>
      </c>
    </row>
    <row r="1979" spans="1:15" ht="16">
      <c r="A1979" t="s">
        <v>2046</v>
      </c>
      <c r="B1979" t="s">
        <v>1194</v>
      </c>
      <c r="C1979" t="s">
        <v>619</v>
      </c>
      <c r="D1979">
        <v>60</v>
      </c>
      <c r="E1979">
        <f t="shared" si="21"/>
        <v>0</v>
      </c>
      <c r="F1979">
        <v>0</v>
      </c>
      <c r="G1979" s="18">
        <v>3</v>
      </c>
      <c r="H1979" t="s">
        <v>2048</v>
      </c>
      <c r="I1979" t="s">
        <v>2050</v>
      </c>
      <c r="J1979">
        <v>3</v>
      </c>
    </row>
    <row r="1980" spans="1:15" ht="16">
      <c r="A1980" t="s">
        <v>2046</v>
      </c>
      <c r="B1980" t="s">
        <v>1194</v>
      </c>
      <c r="C1980" t="s">
        <v>619</v>
      </c>
      <c r="D1980">
        <v>0</v>
      </c>
      <c r="E1980">
        <f t="shared" si="21"/>
        <v>100</v>
      </c>
      <c r="F1980">
        <v>3</v>
      </c>
      <c r="G1980" s="18">
        <v>3</v>
      </c>
      <c r="H1980" t="s">
        <v>2048</v>
      </c>
      <c r="I1980" t="s">
        <v>2051</v>
      </c>
      <c r="J1980">
        <v>3</v>
      </c>
      <c r="K1980" t="s">
        <v>2208</v>
      </c>
      <c r="L1980" t="s">
        <v>2249</v>
      </c>
      <c r="M1980">
        <v>5.7200000000000001E-2</v>
      </c>
      <c r="O1980">
        <v>0.9133</v>
      </c>
    </row>
    <row r="1981" spans="1:15" ht="16">
      <c r="A1981" t="s">
        <v>2046</v>
      </c>
      <c r="B1981" t="s">
        <v>1194</v>
      </c>
      <c r="C1981" t="s">
        <v>619</v>
      </c>
      <c r="D1981">
        <v>3</v>
      </c>
      <c r="E1981">
        <f t="shared" si="21"/>
        <v>65.510000000000005</v>
      </c>
      <c r="F1981">
        <v>1.9653</v>
      </c>
      <c r="G1981" s="18">
        <v>3</v>
      </c>
      <c r="H1981" t="s">
        <v>2048</v>
      </c>
      <c r="I1981" t="s">
        <v>2051</v>
      </c>
      <c r="J1981">
        <v>3</v>
      </c>
    </row>
    <row r="1982" spans="1:15" ht="16">
      <c r="A1982" t="s">
        <v>2046</v>
      </c>
      <c r="B1982" t="s">
        <v>1194</v>
      </c>
      <c r="C1982" t="s">
        <v>619</v>
      </c>
      <c r="D1982">
        <v>7</v>
      </c>
      <c r="E1982">
        <f t="shared" si="21"/>
        <v>48.56</v>
      </c>
      <c r="F1982">
        <v>1.4568000000000001</v>
      </c>
      <c r="G1982" s="18">
        <v>3</v>
      </c>
      <c r="H1982" t="s">
        <v>2048</v>
      </c>
      <c r="I1982" t="s">
        <v>2051</v>
      </c>
      <c r="J1982">
        <v>3</v>
      </c>
    </row>
    <row r="1983" spans="1:15" ht="16">
      <c r="A1983" t="s">
        <v>2046</v>
      </c>
      <c r="B1983" t="s">
        <v>1194</v>
      </c>
      <c r="C1983" t="s">
        <v>619</v>
      </c>
      <c r="D1983">
        <v>15</v>
      </c>
      <c r="E1983">
        <f t="shared" si="21"/>
        <v>38.210000000000008</v>
      </c>
      <c r="F1983">
        <v>1.1463000000000001</v>
      </c>
      <c r="G1983" s="18">
        <v>3</v>
      </c>
      <c r="H1983" t="s">
        <v>2048</v>
      </c>
      <c r="I1983" t="s">
        <v>2051</v>
      </c>
      <c r="J1983">
        <v>3</v>
      </c>
    </row>
    <row r="1984" spans="1:15" ht="16">
      <c r="A1984" t="s">
        <v>2046</v>
      </c>
      <c r="B1984" t="s">
        <v>1194</v>
      </c>
      <c r="C1984" t="s">
        <v>619</v>
      </c>
      <c r="D1984">
        <v>30</v>
      </c>
      <c r="E1984">
        <f t="shared" si="21"/>
        <v>26.83</v>
      </c>
      <c r="F1984">
        <v>0.80489999999999995</v>
      </c>
      <c r="G1984" s="18">
        <v>3</v>
      </c>
      <c r="H1984" t="s">
        <v>2048</v>
      </c>
      <c r="I1984" t="s">
        <v>2051</v>
      </c>
      <c r="J1984">
        <v>3</v>
      </c>
    </row>
    <row r="1985" spans="1:15" ht="16">
      <c r="A1985" t="s">
        <v>2046</v>
      </c>
      <c r="B1985" t="s">
        <v>1194</v>
      </c>
      <c r="C1985" t="s">
        <v>619</v>
      </c>
      <c r="D1985">
        <v>60</v>
      </c>
      <c r="E1985">
        <f t="shared" si="21"/>
        <v>6.206666666666667</v>
      </c>
      <c r="F1985">
        <v>0.1862</v>
      </c>
      <c r="G1985" s="18">
        <v>3</v>
      </c>
      <c r="H1985" t="s">
        <v>2048</v>
      </c>
      <c r="I1985" t="s">
        <v>2051</v>
      </c>
      <c r="J1985">
        <v>3</v>
      </c>
    </row>
    <row r="1986" spans="1:15" ht="16">
      <c r="A1986" t="s">
        <v>2046</v>
      </c>
      <c r="B1986" t="s">
        <v>1194</v>
      </c>
      <c r="C1986" t="s">
        <v>619</v>
      </c>
      <c r="D1986">
        <v>0</v>
      </c>
      <c r="E1986">
        <f t="shared" si="21"/>
        <v>100</v>
      </c>
      <c r="F1986">
        <v>3</v>
      </c>
      <c r="G1986" s="18">
        <v>3</v>
      </c>
      <c r="H1986" t="s">
        <v>2048</v>
      </c>
      <c r="I1986" t="s">
        <v>2052</v>
      </c>
      <c r="J1986">
        <v>3</v>
      </c>
      <c r="K1986" t="s">
        <v>2211</v>
      </c>
      <c r="L1986" t="s">
        <v>2348</v>
      </c>
      <c r="M1986">
        <v>0.1128</v>
      </c>
      <c r="O1986">
        <v>0.80720000000000003</v>
      </c>
    </row>
    <row r="1987" spans="1:15" ht="16">
      <c r="A1987" t="s">
        <v>2046</v>
      </c>
      <c r="B1987" t="s">
        <v>1194</v>
      </c>
      <c r="C1987" t="s">
        <v>619</v>
      </c>
      <c r="D1987">
        <v>3</v>
      </c>
      <c r="E1987">
        <f t="shared" si="21"/>
        <v>67.946666666666673</v>
      </c>
      <c r="F1987">
        <v>2.0384000000000002</v>
      </c>
      <c r="G1987" s="18">
        <v>3</v>
      </c>
      <c r="H1987" t="s">
        <v>2048</v>
      </c>
      <c r="I1987" t="s">
        <v>2052</v>
      </c>
      <c r="J1987">
        <v>3</v>
      </c>
    </row>
    <row r="1988" spans="1:15" ht="16">
      <c r="A1988" t="s">
        <v>2046</v>
      </c>
      <c r="B1988" t="s">
        <v>1194</v>
      </c>
      <c r="C1988" t="s">
        <v>619</v>
      </c>
      <c r="D1988">
        <v>7</v>
      </c>
      <c r="E1988">
        <f t="shared" si="21"/>
        <v>67.796666666666667</v>
      </c>
      <c r="F1988">
        <v>2.0339</v>
      </c>
      <c r="G1988" s="18">
        <v>3</v>
      </c>
      <c r="H1988" t="s">
        <v>2048</v>
      </c>
      <c r="I1988" t="s">
        <v>2052</v>
      </c>
      <c r="J1988">
        <v>3</v>
      </c>
    </row>
    <row r="1989" spans="1:15" ht="16">
      <c r="A1989" t="s">
        <v>2046</v>
      </c>
      <c r="B1989" t="s">
        <v>1194</v>
      </c>
      <c r="C1989" t="s">
        <v>619</v>
      </c>
      <c r="D1989">
        <v>15</v>
      </c>
      <c r="E1989">
        <f t="shared" si="21"/>
        <v>68.646666666666661</v>
      </c>
      <c r="F1989">
        <v>2.0594000000000001</v>
      </c>
      <c r="G1989" s="18">
        <v>3</v>
      </c>
      <c r="H1989" t="s">
        <v>2048</v>
      </c>
      <c r="I1989" t="s">
        <v>2052</v>
      </c>
      <c r="J1989">
        <v>3</v>
      </c>
    </row>
    <row r="1990" spans="1:15" ht="16">
      <c r="A1990" t="s">
        <v>2046</v>
      </c>
      <c r="B1990" t="s">
        <v>1194</v>
      </c>
      <c r="C1990" t="s">
        <v>619</v>
      </c>
      <c r="D1990">
        <v>30</v>
      </c>
      <c r="E1990">
        <f t="shared" si="21"/>
        <v>50.92</v>
      </c>
      <c r="F1990">
        <v>1.5276000000000001</v>
      </c>
      <c r="G1990" s="18">
        <v>3</v>
      </c>
      <c r="H1990" t="s">
        <v>2048</v>
      </c>
      <c r="I1990" t="s">
        <v>2052</v>
      </c>
      <c r="J1990">
        <v>3</v>
      </c>
    </row>
    <row r="1991" spans="1:15" ht="16">
      <c r="A1991" t="s">
        <v>2046</v>
      </c>
      <c r="B1991" t="s">
        <v>1194</v>
      </c>
      <c r="C1991" t="s">
        <v>619</v>
      </c>
      <c r="D1991">
        <v>60</v>
      </c>
      <c r="E1991">
        <f t="shared" si="21"/>
        <v>44.723333333333329</v>
      </c>
      <c r="F1991">
        <v>1.3416999999999999</v>
      </c>
      <c r="G1991" s="18">
        <v>3</v>
      </c>
      <c r="H1991" t="s">
        <v>2048</v>
      </c>
      <c r="I1991" t="s">
        <v>2052</v>
      </c>
      <c r="J1991">
        <v>3</v>
      </c>
    </row>
    <row r="1992" spans="1:15" ht="16">
      <c r="A1992" t="s">
        <v>2057</v>
      </c>
      <c r="B1992" t="s">
        <v>1194</v>
      </c>
      <c r="C1992" t="s">
        <v>2002</v>
      </c>
      <c r="D1992">
        <v>0</v>
      </c>
      <c r="E1992">
        <f t="shared" si="21"/>
        <v>100</v>
      </c>
      <c r="F1992">
        <v>6.61</v>
      </c>
      <c r="G1992" s="18">
        <v>6.61</v>
      </c>
      <c r="H1992" t="s">
        <v>2058</v>
      </c>
      <c r="I1992" t="s">
        <v>187</v>
      </c>
      <c r="J1992">
        <v>1</v>
      </c>
      <c r="K1992" t="s">
        <v>181</v>
      </c>
      <c r="L1992" t="s">
        <v>2296</v>
      </c>
      <c r="O1992">
        <v>0.98370000000000002</v>
      </c>
    </row>
    <row r="1993" spans="1:15" ht="16">
      <c r="A1993" t="s">
        <v>2057</v>
      </c>
      <c r="B1993" t="s">
        <v>1194</v>
      </c>
      <c r="C1993" t="s">
        <v>2002</v>
      </c>
      <c r="D1993">
        <v>20</v>
      </c>
      <c r="E1993">
        <f t="shared" si="21"/>
        <v>102.26928895612708</v>
      </c>
      <c r="F1993">
        <v>6.76</v>
      </c>
      <c r="G1993" s="18">
        <v>6.61</v>
      </c>
      <c r="H1993" t="s">
        <v>2058</v>
      </c>
      <c r="I1993" t="s">
        <v>187</v>
      </c>
      <c r="J1993">
        <v>1</v>
      </c>
    </row>
    <row r="1994" spans="1:15" ht="16">
      <c r="A1994" t="s">
        <v>2057</v>
      </c>
      <c r="B1994" t="s">
        <v>1194</v>
      </c>
      <c r="C1994" t="s">
        <v>2002</v>
      </c>
      <c r="D1994">
        <v>60</v>
      </c>
      <c r="E1994">
        <f t="shared" si="21"/>
        <v>74.886535552193649</v>
      </c>
      <c r="F1994">
        <v>4.95</v>
      </c>
      <c r="G1994" s="18">
        <v>6.61</v>
      </c>
      <c r="H1994" t="s">
        <v>2058</v>
      </c>
      <c r="I1994" t="s">
        <v>187</v>
      </c>
      <c r="J1994">
        <v>1</v>
      </c>
    </row>
    <row r="1995" spans="1:15" ht="16">
      <c r="A1995" t="s">
        <v>2057</v>
      </c>
      <c r="B1995" t="s">
        <v>1194</v>
      </c>
      <c r="C1995" t="s">
        <v>2002</v>
      </c>
      <c r="D1995">
        <v>120</v>
      </c>
      <c r="E1995">
        <f t="shared" si="21"/>
        <v>51.285930408472012</v>
      </c>
      <c r="F1995">
        <v>3.39</v>
      </c>
      <c r="G1995" s="18">
        <v>6.61</v>
      </c>
      <c r="H1995" t="s">
        <v>2058</v>
      </c>
      <c r="I1995" t="s">
        <v>187</v>
      </c>
      <c r="J1995">
        <v>1</v>
      </c>
    </row>
    <row r="1996" spans="1:15" ht="16">
      <c r="A1996" t="s">
        <v>2057</v>
      </c>
      <c r="B1996" t="s">
        <v>1194</v>
      </c>
      <c r="C1996" t="s">
        <v>2002</v>
      </c>
      <c r="D1996">
        <v>180</v>
      </c>
      <c r="E1996">
        <f t="shared" si="21"/>
        <v>20.574886535552196</v>
      </c>
      <c r="F1996">
        <v>1.36</v>
      </c>
      <c r="G1996" s="18">
        <v>6.61</v>
      </c>
      <c r="H1996" t="s">
        <v>2058</v>
      </c>
      <c r="I1996" t="s">
        <v>187</v>
      </c>
      <c r="J1996">
        <v>1</v>
      </c>
    </row>
    <row r="1997" spans="1:15" ht="16">
      <c r="A1997" t="s">
        <v>2057</v>
      </c>
      <c r="B1997" t="s">
        <v>1194</v>
      </c>
      <c r="C1997" t="s">
        <v>2002</v>
      </c>
      <c r="D1997">
        <v>0</v>
      </c>
      <c r="E1997">
        <f t="shared" si="21"/>
        <v>100</v>
      </c>
      <c r="F1997">
        <v>7.6</v>
      </c>
      <c r="G1997" s="18">
        <v>7.6</v>
      </c>
      <c r="H1997" t="s">
        <v>2058</v>
      </c>
      <c r="I1997" t="s">
        <v>2059</v>
      </c>
      <c r="J1997">
        <v>2</v>
      </c>
      <c r="K1997" t="s">
        <v>181</v>
      </c>
      <c r="L1997" t="s">
        <v>2295</v>
      </c>
      <c r="O1997">
        <v>0.92869999999999997</v>
      </c>
    </row>
    <row r="1998" spans="1:15" ht="16">
      <c r="A1998" t="s">
        <v>2057</v>
      </c>
      <c r="B1998" t="s">
        <v>1194</v>
      </c>
      <c r="C1998" t="s">
        <v>2002</v>
      </c>
      <c r="D1998">
        <v>5</v>
      </c>
      <c r="E1998">
        <f t="shared" si="21"/>
        <v>75.526315789473685</v>
      </c>
      <c r="F1998">
        <v>5.74</v>
      </c>
      <c r="G1998" s="18">
        <v>7.6</v>
      </c>
      <c r="H1998" t="s">
        <v>2058</v>
      </c>
      <c r="I1998" t="s">
        <v>2059</v>
      </c>
      <c r="J1998">
        <v>2</v>
      </c>
    </row>
    <row r="1999" spans="1:15" ht="16">
      <c r="A1999" t="s">
        <v>2057</v>
      </c>
      <c r="B1999" t="s">
        <v>1194</v>
      </c>
      <c r="C1999" t="s">
        <v>2002</v>
      </c>
      <c r="D1999">
        <v>20</v>
      </c>
      <c r="E1999">
        <f t="shared" si="21"/>
        <v>70</v>
      </c>
      <c r="F1999">
        <v>5.32</v>
      </c>
      <c r="G1999" s="18">
        <v>7.6</v>
      </c>
      <c r="H1999" t="s">
        <v>2058</v>
      </c>
      <c r="I1999" t="s">
        <v>2059</v>
      </c>
      <c r="J1999">
        <v>2</v>
      </c>
    </row>
    <row r="2000" spans="1:15" ht="16">
      <c r="A2000" t="s">
        <v>2057</v>
      </c>
      <c r="B2000" t="s">
        <v>1194</v>
      </c>
      <c r="C2000" t="s">
        <v>2002</v>
      </c>
      <c r="D2000">
        <v>35</v>
      </c>
      <c r="E2000">
        <f t="shared" si="21"/>
        <v>24.342105263157897</v>
      </c>
      <c r="F2000">
        <v>1.85</v>
      </c>
      <c r="G2000" s="18">
        <v>7.6</v>
      </c>
      <c r="H2000" t="s">
        <v>2058</v>
      </c>
      <c r="I2000" t="s">
        <v>2059</v>
      </c>
      <c r="J2000">
        <v>2</v>
      </c>
    </row>
    <row r="2001" spans="1:15" ht="16">
      <c r="A2001" t="s">
        <v>2057</v>
      </c>
      <c r="B2001" t="s">
        <v>1194</v>
      </c>
      <c r="C2001" t="s">
        <v>2002</v>
      </c>
      <c r="D2001">
        <v>50</v>
      </c>
      <c r="E2001">
        <f t="shared" si="21"/>
        <v>14.868421052631579</v>
      </c>
      <c r="F2001">
        <v>1.1299999999999999</v>
      </c>
      <c r="G2001" s="18">
        <v>7.6</v>
      </c>
      <c r="H2001" t="s">
        <v>2058</v>
      </c>
      <c r="I2001" t="s">
        <v>2059</v>
      </c>
      <c r="J2001">
        <v>2</v>
      </c>
    </row>
    <row r="2002" spans="1:15">
      <c r="A2002" t="s">
        <v>2057</v>
      </c>
      <c r="B2002" t="s">
        <v>1194</v>
      </c>
      <c r="C2002" t="s">
        <v>2002</v>
      </c>
      <c r="D2002">
        <v>0</v>
      </c>
      <c r="E2002">
        <f t="shared" si="21"/>
        <v>100</v>
      </c>
      <c r="F2002">
        <v>7.5</v>
      </c>
      <c r="G2002">
        <v>7.5</v>
      </c>
      <c r="H2002" t="s">
        <v>2058</v>
      </c>
      <c r="I2002" t="s">
        <v>2060</v>
      </c>
      <c r="J2002">
        <v>2</v>
      </c>
      <c r="K2002" t="s">
        <v>2208</v>
      </c>
      <c r="L2002" t="s">
        <v>2298</v>
      </c>
      <c r="M2002">
        <v>3.61E-2</v>
      </c>
      <c r="O2002">
        <v>0.96079999999999999</v>
      </c>
    </row>
    <row r="2003" spans="1:15">
      <c r="A2003" t="s">
        <v>2057</v>
      </c>
      <c r="B2003" t="s">
        <v>1194</v>
      </c>
      <c r="C2003" t="s">
        <v>2002</v>
      </c>
      <c r="D2003">
        <v>5</v>
      </c>
      <c r="E2003">
        <f t="shared" si="21"/>
        <v>79.333333333333329</v>
      </c>
      <c r="F2003">
        <v>5.95</v>
      </c>
      <c r="G2003">
        <v>7.5</v>
      </c>
      <c r="H2003" t="s">
        <v>2058</v>
      </c>
      <c r="I2003" t="s">
        <v>2060</v>
      </c>
      <c r="J2003">
        <v>2</v>
      </c>
    </row>
    <row r="2004" spans="1:15">
      <c r="A2004" t="s">
        <v>2057</v>
      </c>
      <c r="B2004" t="s">
        <v>1194</v>
      </c>
      <c r="C2004" t="s">
        <v>2002</v>
      </c>
      <c r="D2004">
        <v>20</v>
      </c>
      <c r="E2004">
        <f t="shared" si="21"/>
        <v>37.200000000000003</v>
      </c>
      <c r="F2004">
        <v>2.79</v>
      </c>
      <c r="G2004">
        <v>7.5</v>
      </c>
      <c r="H2004" t="s">
        <v>2058</v>
      </c>
      <c r="I2004" t="s">
        <v>2060</v>
      </c>
      <c r="J2004">
        <v>2</v>
      </c>
    </row>
    <row r="2005" spans="1:15">
      <c r="A2005" t="s">
        <v>2057</v>
      </c>
      <c r="B2005" t="s">
        <v>1194</v>
      </c>
      <c r="C2005" t="s">
        <v>2002</v>
      </c>
      <c r="D2005">
        <v>35</v>
      </c>
      <c r="E2005">
        <f t="shared" si="21"/>
        <v>31.2</v>
      </c>
      <c r="F2005">
        <v>2.34</v>
      </c>
      <c r="G2005">
        <v>7.5</v>
      </c>
      <c r="H2005" t="s">
        <v>2058</v>
      </c>
      <c r="I2005" t="s">
        <v>2060</v>
      </c>
      <c r="J2005">
        <v>2</v>
      </c>
    </row>
    <row r="2006" spans="1:15">
      <c r="A2006" t="s">
        <v>2057</v>
      </c>
      <c r="B2006" t="s">
        <v>1194</v>
      </c>
      <c r="C2006" t="s">
        <v>2002</v>
      </c>
      <c r="D2006">
        <v>50</v>
      </c>
      <c r="E2006">
        <f t="shared" si="21"/>
        <v>23.200000000000003</v>
      </c>
      <c r="F2006">
        <v>1.74</v>
      </c>
      <c r="G2006">
        <v>7.5</v>
      </c>
      <c r="H2006" t="s">
        <v>2058</v>
      </c>
      <c r="I2006" t="s">
        <v>2060</v>
      </c>
      <c r="J2006">
        <v>2</v>
      </c>
    </row>
    <row r="2007" spans="1:15">
      <c r="A2007" t="s">
        <v>2069</v>
      </c>
      <c r="B2007" t="s">
        <v>1194</v>
      </c>
      <c r="C2007" t="s">
        <v>2002</v>
      </c>
      <c r="D2007">
        <v>0</v>
      </c>
      <c r="E2007">
        <f t="shared" si="21"/>
        <v>100</v>
      </c>
      <c r="F2007">
        <v>10</v>
      </c>
      <c r="G2007">
        <v>10</v>
      </c>
      <c r="H2007" t="s">
        <v>2070</v>
      </c>
      <c r="I2007" t="s">
        <v>1167</v>
      </c>
      <c r="J2007">
        <v>3</v>
      </c>
      <c r="K2007" t="s">
        <v>2251</v>
      </c>
    </row>
    <row r="2008" spans="1:15">
      <c r="A2008" t="s">
        <v>2069</v>
      </c>
      <c r="B2008" t="s">
        <v>1194</v>
      </c>
      <c r="C2008" t="s">
        <v>2002</v>
      </c>
      <c r="D2008">
        <v>14</v>
      </c>
      <c r="E2008">
        <f t="shared" si="21"/>
        <v>107.4</v>
      </c>
      <c r="F2008">
        <v>10.74</v>
      </c>
      <c r="G2008">
        <v>10</v>
      </c>
      <c r="H2008" t="s">
        <v>2070</v>
      </c>
      <c r="I2008" t="s">
        <v>1167</v>
      </c>
      <c r="J2008">
        <v>3</v>
      </c>
    </row>
    <row r="2009" spans="1:15">
      <c r="A2009" t="s">
        <v>2069</v>
      </c>
      <c r="B2009" t="s">
        <v>1194</v>
      </c>
      <c r="C2009" t="s">
        <v>2002</v>
      </c>
      <c r="D2009">
        <v>28</v>
      </c>
      <c r="E2009">
        <f t="shared" si="21"/>
        <v>86.170000000000016</v>
      </c>
      <c r="F2009">
        <v>8.6170000000000009</v>
      </c>
      <c r="G2009">
        <v>10</v>
      </c>
      <c r="H2009" t="s">
        <v>2070</v>
      </c>
      <c r="I2009" t="s">
        <v>1167</v>
      </c>
      <c r="J2009">
        <v>3</v>
      </c>
    </row>
    <row r="2010" spans="1:15">
      <c r="A2010" t="s">
        <v>2069</v>
      </c>
      <c r="B2010" t="s">
        <v>1194</v>
      </c>
      <c r="C2010" t="s">
        <v>2002</v>
      </c>
      <c r="D2010">
        <v>42</v>
      </c>
      <c r="E2010">
        <f t="shared" si="21"/>
        <v>94.600000000000009</v>
      </c>
      <c r="F2010">
        <v>9.4600000000000009</v>
      </c>
      <c r="G2010">
        <v>10</v>
      </c>
      <c r="H2010" t="s">
        <v>2070</v>
      </c>
      <c r="I2010" t="s">
        <v>1167</v>
      </c>
      <c r="J2010">
        <v>3</v>
      </c>
    </row>
    <row r="2011" spans="1:15">
      <c r="A2011" t="s">
        <v>2069</v>
      </c>
      <c r="B2011" t="s">
        <v>1194</v>
      </c>
      <c r="C2011" t="s">
        <v>2002</v>
      </c>
      <c r="D2011">
        <v>56</v>
      </c>
      <c r="E2011">
        <f t="shared" si="21"/>
        <v>101.2</v>
      </c>
      <c r="F2011">
        <v>10.119999999999999</v>
      </c>
      <c r="G2011">
        <v>10</v>
      </c>
      <c r="H2011" t="s">
        <v>2070</v>
      </c>
      <c r="I2011" t="s">
        <v>1167</v>
      </c>
      <c r="J2011">
        <v>3</v>
      </c>
    </row>
    <row r="2012" spans="1:15">
      <c r="A2012" t="s">
        <v>2069</v>
      </c>
      <c r="B2012" t="s">
        <v>1194</v>
      </c>
      <c r="C2012" t="s">
        <v>2002</v>
      </c>
      <c r="D2012">
        <v>70</v>
      </c>
      <c r="E2012">
        <f t="shared" si="21"/>
        <v>79.86</v>
      </c>
      <c r="F2012">
        <v>7.9859999999999998</v>
      </c>
      <c r="G2012">
        <v>10</v>
      </c>
      <c r="H2012" t="s">
        <v>2070</v>
      </c>
      <c r="I2012" t="s">
        <v>1167</v>
      </c>
      <c r="J2012">
        <v>3</v>
      </c>
    </row>
    <row r="2013" spans="1:15">
      <c r="A2013" t="s">
        <v>2069</v>
      </c>
      <c r="B2013" t="s">
        <v>1194</v>
      </c>
      <c r="C2013" t="s">
        <v>2002</v>
      </c>
      <c r="D2013">
        <v>0</v>
      </c>
      <c r="E2013">
        <f t="shared" si="21"/>
        <v>100</v>
      </c>
      <c r="F2013">
        <v>10</v>
      </c>
      <c r="G2013">
        <v>10</v>
      </c>
      <c r="H2013" t="s">
        <v>2070</v>
      </c>
      <c r="I2013" t="s">
        <v>2071</v>
      </c>
      <c r="J2013">
        <v>3</v>
      </c>
      <c r="K2013" t="s">
        <v>2211</v>
      </c>
      <c r="L2013" t="s">
        <v>2297</v>
      </c>
      <c r="M2013">
        <v>2.9600000000000001E-2</v>
      </c>
      <c r="O2013">
        <v>0.56179999999999997</v>
      </c>
    </row>
    <row r="2014" spans="1:15">
      <c r="A2014" t="s">
        <v>2069</v>
      </c>
      <c r="B2014" t="s">
        <v>1194</v>
      </c>
      <c r="C2014" t="s">
        <v>2002</v>
      </c>
      <c r="D2014">
        <v>14</v>
      </c>
      <c r="E2014">
        <f t="shared" si="21"/>
        <v>112.6</v>
      </c>
      <c r="F2014">
        <v>11.26</v>
      </c>
      <c r="G2014">
        <v>10</v>
      </c>
      <c r="H2014" t="s">
        <v>2070</v>
      </c>
      <c r="I2014" t="s">
        <v>2071</v>
      </c>
      <c r="J2014">
        <v>3</v>
      </c>
      <c r="K2014" t="s">
        <v>2251</v>
      </c>
    </row>
    <row r="2015" spans="1:15">
      <c r="A2015" t="s">
        <v>2069</v>
      </c>
      <c r="B2015" t="s">
        <v>1194</v>
      </c>
      <c r="C2015" t="s">
        <v>2002</v>
      </c>
      <c r="D2015">
        <v>28</v>
      </c>
      <c r="E2015">
        <f t="shared" si="21"/>
        <v>72.039999999999992</v>
      </c>
      <c r="F2015">
        <v>7.2039999999999997</v>
      </c>
      <c r="G2015">
        <v>10</v>
      </c>
      <c r="H2015" t="s">
        <v>2070</v>
      </c>
      <c r="I2015" t="s">
        <v>2071</v>
      </c>
      <c r="J2015">
        <v>3</v>
      </c>
    </row>
    <row r="2016" spans="1:15">
      <c r="A2016" t="s">
        <v>2069</v>
      </c>
      <c r="B2016" t="s">
        <v>1194</v>
      </c>
      <c r="C2016" t="s">
        <v>2002</v>
      </c>
      <c r="D2016">
        <v>42</v>
      </c>
      <c r="E2016">
        <f t="shared" si="21"/>
        <v>72.48</v>
      </c>
      <c r="F2016">
        <v>7.2480000000000002</v>
      </c>
      <c r="G2016">
        <v>10</v>
      </c>
      <c r="H2016" t="s">
        <v>2070</v>
      </c>
      <c r="I2016" t="s">
        <v>2071</v>
      </c>
      <c r="J2016">
        <v>3</v>
      </c>
    </row>
    <row r="2017" spans="1:15">
      <c r="A2017" t="s">
        <v>2069</v>
      </c>
      <c r="B2017" t="s">
        <v>1194</v>
      </c>
      <c r="C2017" t="s">
        <v>2002</v>
      </c>
      <c r="D2017">
        <v>56</v>
      </c>
      <c r="E2017">
        <f t="shared" si="21"/>
        <v>69.789999999999992</v>
      </c>
      <c r="F2017">
        <v>6.9790000000000001</v>
      </c>
      <c r="G2017">
        <v>10</v>
      </c>
      <c r="H2017" t="s">
        <v>2070</v>
      </c>
      <c r="I2017" t="s">
        <v>2071</v>
      </c>
      <c r="J2017">
        <v>3</v>
      </c>
    </row>
    <row r="2018" spans="1:15">
      <c r="A2018" t="s">
        <v>2069</v>
      </c>
      <c r="B2018" t="s">
        <v>1194</v>
      </c>
      <c r="C2018" t="s">
        <v>2002</v>
      </c>
      <c r="D2018">
        <v>70</v>
      </c>
      <c r="E2018">
        <f t="shared" si="21"/>
        <v>79.699999999999989</v>
      </c>
      <c r="F2018">
        <v>7.97</v>
      </c>
      <c r="G2018">
        <v>10</v>
      </c>
      <c r="H2018" t="s">
        <v>2070</v>
      </c>
      <c r="I2018" t="s">
        <v>2071</v>
      </c>
      <c r="J2018">
        <v>3</v>
      </c>
    </row>
    <row r="2019" spans="1:15">
      <c r="A2019" t="s">
        <v>2110</v>
      </c>
      <c r="B2019" t="s">
        <v>184</v>
      </c>
      <c r="C2019" t="s">
        <v>156</v>
      </c>
      <c r="D2019">
        <v>0</v>
      </c>
      <c r="E2019">
        <f t="shared" si="21"/>
        <v>100</v>
      </c>
      <c r="F2019">
        <v>146.09</v>
      </c>
      <c r="G2019">
        <v>146.09</v>
      </c>
      <c r="H2019" t="s">
        <v>2058</v>
      </c>
      <c r="I2019" t="s">
        <v>2111</v>
      </c>
      <c r="J2019">
        <v>1</v>
      </c>
      <c r="K2019" t="s">
        <v>181</v>
      </c>
      <c r="L2019" t="s">
        <v>2294</v>
      </c>
      <c r="O2019">
        <v>0.67659999999999998</v>
      </c>
    </row>
    <row r="2020" spans="1:15">
      <c r="A2020" t="s">
        <v>2110</v>
      </c>
      <c r="B2020" t="s">
        <v>184</v>
      </c>
      <c r="C2020" t="s">
        <v>156</v>
      </c>
      <c r="D2020">
        <v>1</v>
      </c>
      <c r="E2020">
        <f t="shared" si="21"/>
        <v>113.27264015333014</v>
      </c>
      <c r="F2020">
        <v>165.48</v>
      </c>
      <c r="G2020">
        <v>146.09</v>
      </c>
      <c r="H2020" t="s">
        <v>2058</v>
      </c>
      <c r="I2020" t="s">
        <v>2111</v>
      </c>
      <c r="J2020">
        <v>1</v>
      </c>
    </row>
    <row r="2021" spans="1:15">
      <c r="A2021" t="s">
        <v>2110</v>
      </c>
      <c r="B2021" t="s">
        <v>184</v>
      </c>
      <c r="C2021" t="s">
        <v>156</v>
      </c>
      <c r="D2021">
        <v>2</v>
      </c>
      <c r="E2021">
        <f t="shared" si="21"/>
        <v>110.54829214867547</v>
      </c>
      <c r="F2021">
        <v>161.5</v>
      </c>
      <c r="G2021">
        <v>146.09</v>
      </c>
      <c r="H2021" t="s">
        <v>2058</v>
      </c>
      <c r="I2021" t="s">
        <v>2111</v>
      </c>
      <c r="J2021">
        <v>1</v>
      </c>
    </row>
    <row r="2022" spans="1:15">
      <c r="A2022" t="s">
        <v>2110</v>
      </c>
      <c r="B2022" t="s">
        <v>184</v>
      </c>
      <c r="C2022" t="s">
        <v>156</v>
      </c>
      <c r="D2022">
        <v>6</v>
      </c>
      <c r="E2022">
        <f t="shared" si="21"/>
        <v>99.205968923266482</v>
      </c>
      <c r="F2022">
        <v>144.93</v>
      </c>
      <c r="G2022">
        <v>146.09</v>
      </c>
      <c r="H2022" t="s">
        <v>2058</v>
      </c>
      <c r="I2022" t="s">
        <v>2111</v>
      </c>
      <c r="J2022">
        <v>1</v>
      </c>
    </row>
    <row r="2023" spans="1:15">
      <c r="A2023" t="s">
        <v>2110</v>
      </c>
      <c r="B2023" t="s">
        <v>184</v>
      </c>
      <c r="C2023" t="s">
        <v>156</v>
      </c>
      <c r="D2023">
        <v>10</v>
      </c>
      <c r="E2023">
        <f t="shared" si="21"/>
        <v>98.008077212677108</v>
      </c>
      <c r="F2023">
        <v>143.18</v>
      </c>
      <c r="G2023">
        <v>146.09</v>
      </c>
      <c r="H2023" t="s">
        <v>2058</v>
      </c>
      <c r="I2023" t="s">
        <v>2111</v>
      </c>
      <c r="J2023">
        <v>1</v>
      </c>
    </row>
    <row r="2024" spans="1:15">
      <c r="A2024" t="s">
        <v>2110</v>
      </c>
      <c r="B2024" t="s">
        <v>184</v>
      </c>
      <c r="C2024" t="s">
        <v>156</v>
      </c>
      <c r="D2024">
        <v>14</v>
      </c>
      <c r="E2024">
        <f t="shared" si="21"/>
        <v>111.42446437127798</v>
      </c>
      <c r="F2024">
        <v>162.78</v>
      </c>
      <c r="G2024">
        <v>146.09</v>
      </c>
      <c r="H2024" t="s">
        <v>2058</v>
      </c>
      <c r="I2024" t="s">
        <v>2111</v>
      </c>
      <c r="J2024">
        <v>1</v>
      </c>
    </row>
    <row r="2025" spans="1:15">
      <c r="A2025" t="s">
        <v>2110</v>
      </c>
      <c r="B2025" t="s">
        <v>184</v>
      </c>
      <c r="C2025" t="s">
        <v>156</v>
      </c>
      <c r="D2025">
        <v>18</v>
      </c>
      <c r="E2025">
        <f t="shared" si="21"/>
        <v>96.817030597576831</v>
      </c>
      <c r="F2025">
        <v>141.44</v>
      </c>
      <c r="G2025">
        <v>146.09</v>
      </c>
      <c r="H2025" t="s">
        <v>2058</v>
      </c>
      <c r="I2025" t="s">
        <v>2111</v>
      </c>
      <c r="J2025">
        <v>1</v>
      </c>
    </row>
    <row r="2026" spans="1:15">
      <c r="A2026" t="s">
        <v>2110</v>
      </c>
      <c r="B2026" t="s">
        <v>184</v>
      </c>
      <c r="C2026" t="s">
        <v>156</v>
      </c>
      <c r="D2026">
        <v>22</v>
      </c>
      <c r="E2026">
        <f t="shared" ref="E2026:E2038" si="22">F2026/G2026*100</f>
        <v>92.566226298856861</v>
      </c>
      <c r="F2026">
        <v>135.22999999999999</v>
      </c>
      <c r="G2026">
        <v>146.09</v>
      </c>
      <c r="H2026" t="s">
        <v>2058</v>
      </c>
      <c r="I2026" t="s">
        <v>2111</v>
      </c>
      <c r="J2026">
        <v>1</v>
      </c>
    </row>
    <row r="2027" spans="1:15">
      <c r="A2027" t="s">
        <v>2110</v>
      </c>
      <c r="B2027" t="s">
        <v>184</v>
      </c>
      <c r="C2027" t="s">
        <v>156</v>
      </c>
      <c r="D2027">
        <v>26</v>
      </c>
      <c r="E2027">
        <f t="shared" si="22"/>
        <v>81.388185365185848</v>
      </c>
      <c r="F2027">
        <v>118.9</v>
      </c>
      <c r="G2027">
        <v>146.09</v>
      </c>
      <c r="H2027" t="s">
        <v>2058</v>
      </c>
      <c r="I2027" t="s">
        <v>2111</v>
      </c>
      <c r="J2027">
        <v>1</v>
      </c>
    </row>
    <row r="2028" spans="1:15">
      <c r="A2028" t="s">
        <v>2110</v>
      </c>
      <c r="B2028" t="s">
        <v>184</v>
      </c>
      <c r="C2028" t="s">
        <v>156</v>
      </c>
      <c r="D2028">
        <v>30</v>
      </c>
      <c r="E2028">
        <f t="shared" si="22"/>
        <v>70.935724553357517</v>
      </c>
      <c r="F2028">
        <v>103.63</v>
      </c>
      <c r="G2028">
        <v>146.09</v>
      </c>
      <c r="H2028" t="s">
        <v>2058</v>
      </c>
      <c r="I2028" t="s">
        <v>2111</v>
      </c>
      <c r="J2028">
        <v>1</v>
      </c>
    </row>
    <row r="2029" spans="1:15">
      <c r="A2029" t="s">
        <v>2110</v>
      </c>
      <c r="B2029" t="s">
        <v>184</v>
      </c>
      <c r="C2029" t="s">
        <v>156</v>
      </c>
      <c r="D2029">
        <v>0</v>
      </c>
      <c r="E2029">
        <f t="shared" si="22"/>
        <v>100</v>
      </c>
      <c r="F2029">
        <v>168.35</v>
      </c>
      <c r="G2029">
        <v>168.35</v>
      </c>
      <c r="H2029" t="s">
        <v>2058</v>
      </c>
      <c r="I2029" t="s">
        <v>2112</v>
      </c>
      <c r="J2029">
        <v>1</v>
      </c>
      <c r="K2029" t="s">
        <v>2208</v>
      </c>
      <c r="L2029" t="s">
        <v>2293</v>
      </c>
      <c r="M2029">
        <v>8.6900000000000005E-2</v>
      </c>
      <c r="O2029">
        <v>0.96889999999999998</v>
      </c>
    </row>
    <row r="2030" spans="1:15">
      <c r="A2030" t="s">
        <v>2110</v>
      </c>
      <c r="B2030" t="s">
        <v>184</v>
      </c>
      <c r="C2030" t="s">
        <v>156</v>
      </c>
      <c r="D2030">
        <v>1</v>
      </c>
      <c r="E2030">
        <f t="shared" si="22"/>
        <v>95.966735966735968</v>
      </c>
      <c r="F2030">
        <v>161.56</v>
      </c>
      <c r="G2030">
        <v>168.35</v>
      </c>
      <c r="H2030" t="s">
        <v>2058</v>
      </c>
      <c r="I2030" t="s">
        <v>2112</v>
      </c>
      <c r="J2030">
        <v>1</v>
      </c>
    </row>
    <row r="2031" spans="1:15">
      <c r="A2031" t="s">
        <v>2110</v>
      </c>
      <c r="B2031" t="s">
        <v>184</v>
      </c>
      <c r="C2031" t="s">
        <v>156</v>
      </c>
      <c r="D2031">
        <v>2</v>
      </c>
      <c r="E2031">
        <f t="shared" si="22"/>
        <v>98.253638253638258</v>
      </c>
      <c r="F2031">
        <v>165.41</v>
      </c>
      <c r="G2031">
        <v>168.35</v>
      </c>
      <c r="H2031" t="s">
        <v>2058</v>
      </c>
      <c r="I2031" t="s">
        <v>2112</v>
      </c>
      <c r="J2031">
        <v>1</v>
      </c>
    </row>
    <row r="2032" spans="1:15">
      <c r="A2032" t="s">
        <v>2110</v>
      </c>
      <c r="B2032" t="s">
        <v>184</v>
      </c>
      <c r="C2032" t="s">
        <v>156</v>
      </c>
      <c r="D2032">
        <v>6</v>
      </c>
      <c r="E2032">
        <f t="shared" si="22"/>
        <v>76.144936144936153</v>
      </c>
      <c r="F2032">
        <v>128.19</v>
      </c>
      <c r="G2032">
        <v>168.35</v>
      </c>
      <c r="H2032" t="s">
        <v>2058</v>
      </c>
      <c r="I2032" t="s">
        <v>2112</v>
      </c>
      <c r="J2032">
        <v>1</v>
      </c>
    </row>
    <row r="2033" spans="1:15">
      <c r="A2033" t="s">
        <v>2110</v>
      </c>
      <c r="B2033" t="s">
        <v>184</v>
      </c>
      <c r="C2033" t="s">
        <v>156</v>
      </c>
      <c r="D2033">
        <v>10</v>
      </c>
      <c r="E2033">
        <f t="shared" si="22"/>
        <v>51.089991089991095</v>
      </c>
      <c r="F2033">
        <v>86.01</v>
      </c>
      <c r="G2033">
        <v>168.35</v>
      </c>
      <c r="H2033" t="s">
        <v>2058</v>
      </c>
      <c r="I2033" t="s">
        <v>2112</v>
      </c>
      <c r="J2033">
        <v>1</v>
      </c>
    </row>
    <row r="2034" spans="1:15">
      <c r="A2034" t="s">
        <v>2110</v>
      </c>
      <c r="B2034" t="s">
        <v>184</v>
      </c>
      <c r="C2034" t="s">
        <v>156</v>
      </c>
      <c r="D2034">
        <v>14</v>
      </c>
      <c r="E2034">
        <f t="shared" si="22"/>
        <v>31.113751113751114</v>
      </c>
      <c r="F2034">
        <v>52.38</v>
      </c>
      <c r="G2034">
        <v>168.35</v>
      </c>
      <c r="H2034" t="s">
        <v>2058</v>
      </c>
      <c r="I2034" t="s">
        <v>2112</v>
      </c>
      <c r="J2034">
        <v>1</v>
      </c>
    </row>
    <row r="2035" spans="1:15">
      <c r="A2035" t="s">
        <v>2110</v>
      </c>
      <c r="B2035" t="s">
        <v>184</v>
      </c>
      <c r="C2035" t="s">
        <v>156</v>
      </c>
      <c r="D2035">
        <v>18</v>
      </c>
      <c r="E2035">
        <f t="shared" si="22"/>
        <v>14.16097416097416</v>
      </c>
      <c r="F2035">
        <v>23.84</v>
      </c>
      <c r="G2035">
        <v>168.35</v>
      </c>
      <c r="H2035" t="s">
        <v>2058</v>
      </c>
      <c r="I2035" t="s">
        <v>2112</v>
      </c>
      <c r="J2035">
        <v>1</v>
      </c>
    </row>
    <row r="2036" spans="1:15">
      <c r="A2036" t="s">
        <v>2110</v>
      </c>
      <c r="B2036" t="s">
        <v>184</v>
      </c>
      <c r="C2036" t="s">
        <v>156</v>
      </c>
      <c r="D2036">
        <v>22</v>
      </c>
      <c r="E2036">
        <f t="shared" si="22"/>
        <v>9.3495693495693502</v>
      </c>
      <c r="F2036">
        <v>15.74</v>
      </c>
      <c r="G2036">
        <v>168.35</v>
      </c>
      <c r="H2036" t="s">
        <v>2058</v>
      </c>
      <c r="I2036" t="s">
        <v>2112</v>
      </c>
      <c r="J2036">
        <v>1</v>
      </c>
    </row>
    <row r="2037" spans="1:15">
      <c r="A2037" t="s">
        <v>2110</v>
      </c>
      <c r="B2037" t="s">
        <v>184</v>
      </c>
      <c r="C2037" t="s">
        <v>156</v>
      </c>
      <c r="D2037">
        <v>26</v>
      </c>
      <c r="E2037">
        <f t="shared" si="22"/>
        <v>5.5123255123255124</v>
      </c>
      <c r="F2037">
        <v>9.2799999999999994</v>
      </c>
      <c r="G2037">
        <v>168.35</v>
      </c>
      <c r="H2037" t="s">
        <v>2058</v>
      </c>
      <c r="I2037" t="s">
        <v>2112</v>
      </c>
      <c r="J2037">
        <v>1</v>
      </c>
    </row>
    <row r="2038" spans="1:15">
      <c r="A2038" t="s">
        <v>2110</v>
      </c>
      <c r="B2038" t="s">
        <v>184</v>
      </c>
      <c r="C2038" t="s">
        <v>156</v>
      </c>
      <c r="D2038">
        <v>30</v>
      </c>
      <c r="E2038">
        <f t="shared" si="22"/>
        <v>7.6804276804276803</v>
      </c>
      <c r="F2038">
        <v>12.93</v>
      </c>
      <c r="G2038">
        <v>168.35</v>
      </c>
      <c r="H2038" t="s">
        <v>2058</v>
      </c>
      <c r="I2038" t="s">
        <v>2112</v>
      </c>
      <c r="J2038">
        <v>1</v>
      </c>
    </row>
    <row r="2039" spans="1:15">
      <c r="A2039" t="s">
        <v>2265</v>
      </c>
      <c r="B2039" t="s">
        <v>1637</v>
      </c>
      <c r="C2039" t="s">
        <v>261</v>
      </c>
      <c r="D2039">
        <v>0</v>
      </c>
      <c r="E2039">
        <v>100</v>
      </c>
      <c r="H2039" t="s">
        <v>428</v>
      </c>
      <c r="I2039" t="s">
        <v>2257</v>
      </c>
      <c r="J2039">
        <v>3</v>
      </c>
      <c r="K2039" t="s">
        <v>2232</v>
      </c>
    </row>
    <row r="2040" spans="1:15">
      <c r="A2040" t="s">
        <v>2265</v>
      </c>
      <c r="B2040" t="s">
        <v>1637</v>
      </c>
      <c r="C2040" t="s">
        <v>261</v>
      </c>
      <c r="D2040">
        <v>40</v>
      </c>
      <c r="E2040">
        <v>108.45970321998556</v>
      </c>
      <c r="H2040" t="s">
        <v>428</v>
      </c>
      <c r="I2040" t="s">
        <v>2257</v>
      </c>
      <c r="J2040">
        <v>3</v>
      </c>
    </row>
    <row r="2041" spans="1:15">
      <c r="A2041" t="s">
        <v>2265</v>
      </c>
      <c r="B2041" t="s">
        <v>1637</v>
      </c>
      <c r="C2041" t="s">
        <v>261</v>
      </c>
      <c r="D2041">
        <v>99</v>
      </c>
      <c r="E2041">
        <v>46.824768509908871</v>
      </c>
      <c r="H2041" t="s">
        <v>428</v>
      </c>
      <c r="I2041" t="s">
        <v>2257</v>
      </c>
      <c r="J2041">
        <v>3</v>
      </c>
      <c r="K2041" t="e">
        <f>AVERAGE(#REF!)</f>
        <v>#REF!</v>
      </c>
    </row>
    <row r="2042" spans="1:15">
      <c r="A2042" t="s">
        <v>2265</v>
      </c>
      <c r="B2042" t="s">
        <v>1637</v>
      </c>
      <c r="C2042" t="s">
        <v>261</v>
      </c>
      <c r="D2042">
        <v>0</v>
      </c>
      <c r="E2042">
        <v>100</v>
      </c>
      <c r="H2042" t="s">
        <v>428</v>
      </c>
      <c r="I2042" t="s">
        <v>2258</v>
      </c>
      <c r="J2042">
        <v>3</v>
      </c>
      <c r="K2042" t="s">
        <v>181</v>
      </c>
      <c r="L2042" t="s">
        <v>2277</v>
      </c>
      <c r="O2042">
        <v>0.9254</v>
      </c>
    </row>
    <row r="2043" spans="1:15">
      <c r="A2043" t="s">
        <v>2265</v>
      </c>
      <c r="B2043" t="s">
        <v>1637</v>
      </c>
      <c r="C2043" t="s">
        <v>261</v>
      </c>
      <c r="D2043">
        <v>29</v>
      </c>
      <c r="E2043">
        <v>93.169805916293342</v>
      </c>
      <c r="H2043" t="s">
        <v>428</v>
      </c>
      <c r="I2043" t="s">
        <v>2258</v>
      </c>
      <c r="J2043">
        <v>3</v>
      </c>
    </row>
    <row r="2044" spans="1:15">
      <c r="A2044" t="s">
        <v>2265</v>
      </c>
      <c r="B2044" t="s">
        <v>1637</v>
      </c>
      <c r="C2044" t="s">
        <v>261</v>
      </c>
      <c r="D2044">
        <v>61</v>
      </c>
      <c r="E2044">
        <v>69.951496547346537</v>
      </c>
      <c r="H2044" t="s">
        <v>428</v>
      </c>
      <c r="I2044" t="s">
        <v>2258</v>
      </c>
      <c r="J2044">
        <v>3</v>
      </c>
    </row>
    <row r="2045" spans="1:15">
      <c r="A2045" t="s">
        <v>2265</v>
      </c>
      <c r="B2045" t="s">
        <v>1637</v>
      </c>
      <c r="C2045" t="s">
        <v>226</v>
      </c>
      <c r="D2045">
        <v>0</v>
      </c>
      <c r="E2045">
        <v>100</v>
      </c>
      <c r="H2045" t="s">
        <v>428</v>
      </c>
      <c r="I2045" t="s">
        <v>1120</v>
      </c>
      <c r="J2045">
        <v>3</v>
      </c>
      <c r="K2045" t="s">
        <v>2232</v>
      </c>
    </row>
    <row r="2046" spans="1:15">
      <c r="A2046" t="s">
        <v>2265</v>
      </c>
      <c r="B2046" t="s">
        <v>1637</v>
      </c>
      <c r="C2046" t="s">
        <v>226</v>
      </c>
      <c r="D2046">
        <v>28</v>
      </c>
      <c r="E2046">
        <v>94.563855893454402</v>
      </c>
      <c r="H2046" t="s">
        <v>428</v>
      </c>
      <c r="I2046" t="s">
        <v>1120</v>
      </c>
      <c r="J2046">
        <v>3</v>
      </c>
    </row>
    <row r="2047" spans="1:15">
      <c r="A2047" t="s">
        <v>2265</v>
      </c>
      <c r="B2047" t="s">
        <v>1637</v>
      </c>
      <c r="C2047" t="s">
        <v>226</v>
      </c>
      <c r="D2047">
        <v>63</v>
      </c>
      <c r="E2047" s="19">
        <v>104.37730000000001</v>
      </c>
      <c r="H2047" t="s">
        <v>428</v>
      </c>
      <c r="I2047" t="s">
        <v>1120</v>
      </c>
      <c r="J2047">
        <v>3</v>
      </c>
      <c r="K2047" t="e">
        <f>AVERAGE(#REF!)</f>
        <v>#REF!</v>
      </c>
    </row>
    <row r="2048" spans="1:15">
      <c r="A2048" t="s">
        <v>2265</v>
      </c>
      <c r="B2048" t="s">
        <v>1637</v>
      </c>
      <c r="C2048" t="s">
        <v>261</v>
      </c>
      <c r="D2048">
        <v>0</v>
      </c>
      <c r="E2048">
        <v>100</v>
      </c>
      <c r="H2048" t="s">
        <v>428</v>
      </c>
      <c r="I2048" t="s">
        <v>1120</v>
      </c>
      <c r="J2048">
        <v>3</v>
      </c>
      <c r="K2048" t="s">
        <v>181</v>
      </c>
      <c r="L2048" t="s">
        <v>2278</v>
      </c>
      <c r="O2048">
        <v>0.98709999999999998</v>
      </c>
    </row>
    <row r="2049" spans="1:15">
      <c r="A2049" t="s">
        <v>2265</v>
      </c>
      <c r="B2049" t="s">
        <v>1637</v>
      </c>
      <c r="C2049" t="s">
        <v>261</v>
      </c>
      <c r="D2049">
        <v>28</v>
      </c>
      <c r="E2049">
        <v>96.60359355065431</v>
      </c>
      <c r="H2049" t="s">
        <v>428</v>
      </c>
      <c r="I2049" t="s">
        <v>1120</v>
      </c>
      <c r="J2049">
        <v>3</v>
      </c>
    </row>
    <row r="2050" spans="1:15">
      <c r="A2050" t="s">
        <v>2265</v>
      </c>
      <c r="B2050" t="s">
        <v>1637</v>
      </c>
      <c r="C2050" t="s">
        <v>261</v>
      </c>
      <c r="D2050">
        <v>63</v>
      </c>
      <c r="E2050" s="19">
        <v>90.137439999999998</v>
      </c>
      <c r="H2050" t="s">
        <v>428</v>
      </c>
      <c r="I2050" t="s">
        <v>1120</v>
      </c>
      <c r="J2050">
        <v>3</v>
      </c>
    </row>
    <row r="2051" spans="1:15">
      <c r="A2051" t="s">
        <v>2265</v>
      </c>
      <c r="B2051" t="s">
        <v>1637</v>
      </c>
      <c r="C2051" t="s">
        <v>226</v>
      </c>
      <c r="D2051">
        <v>0</v>
      </c>
      <c r="E2051">
        <v>100</v>
      </c>
      <c r="H2051" t="s">
        <v>428</v>
      </c>
      <c r="I2051" t="s">
        <v>310</v>
      </c>
      <c r="J2051">
        <v>3</v>
      </c>
      <c r="K2051" t="s">
        <v>2211</v>
      </c>
      <c r="L2051" t="s">
        <v>2279</v>
      </c>
      <c r="M2051">
        <v>0.6633</v>
      </c>
      <c r="O2051">
        <v>0.97450000000000003</v>
      </c>
    </row>
    <row r="2052" spans="1:15">
      <c r="A2052" t="s">
        <v>2265</v>
      </c>
      <c r="B2052" t="s">
        <v>1637</v>
      </c>
      <c r="C2052" t="s">
        <v>226</v>
      </c>
      <c r="D2052">
        <v>39</v>
      </c>
      <c r="E2052">
        <v>91.070195193700684</v>
      </c>
      <c r="H2052" t="s">
        <v>428</v>
      </c>
      <c r="I2052" t="s">
        <v>310</v>
      </c>
      <c r="J2052">
        <v>3</v>
      </c>
    </row>
    <row r="2053" spans="1:15">
      <c r="A2053" t="s">
        <v>2265</v>
      </c>
      <c r="B2053" t="s">
        <v>1637</v>
      </c>
      <c r="C2053" t="s">
        <v>226</v>
      </c>
      <c r="D2053">
        <v>95</v>
      </c>
      <c r="E2053">
        <v>92.597009854414551</v>
      </c>
      <c r="H2053" t="s">
        <v>428</v>
      </c>
      <c r="I2053" t="s">
        <v>310</v>
      </c>
      <c r="J2053">
        <v>3</v>
      </c>
    </row>
    <row r="2054" spans="1:15">
      <c r="A2054" t="s">
        <v>2265</v>
      </c>
      <c r="B2054" t="s">
        <v>1637</v>
      </c>
      <c r="C2054" t="s">
        <v>261</v>
      </c>
      <c r="D2054">
        <v>0</v>
      </c>
      <c r="E2054">
        <v>100</v>
      </c>
      <c r="H2054" t="s">
        <v>428</v>
      </c>
      <c r="I2054" t="s">
        <v>310</v>
      </c>
      <c r="J2054">
        <v>3</v>
      </c>
      <c r="K2054" t="s">
        <v>181</v>
      </c>
      <c r="L2054" t="s">
        <v>2280</v>
      </c>
      <c r="O2054">
        <v>0.98309999999999997</v>
      </c>
    </row>
    <row r="2055" spans="1:15">
      <c r="A2055" t="s">
        <v>2265</v>
      </c>
      <c r="B2055" t="s">
        <v>1637</v>
      </c>
      <c r="C2055" t="s">
        <v>261</v>
      </c>
      <c r="D2055">
        <v>39</v>
      </c>
      <c r="E2055">
        <v>76.540488970037373</v>
      </c>
      <c r="H2055" t="s">
        <v>428</v>
      </c>
      <c r="I2055" t="s">
        <v>310</v>
      </c>
      <c r="J2055">
        <v>3</v>
      </c>
    </row>
    <row r="2056" spans="1:15">
      <c r="A2056" t="s">
        <v>2265</v>
      </c>
      <c r="B2056" t="s">
        <v>1637</v>
      </c>
      <c r="C2056" t="s">
        <v>261</v>
      </c>
      <c r="D2056">
        <v>95</v>
      </c>
      <c r="E2056">
        <v>55.207682666055462</v>
      </c>
      <c r="H2056" t="s">
        <v>428</v>
      </c>
      <c r="I2056" t="s">
        <v>310</v>
      </c>
      <c r="J2056">
        <v>3</v>
      </c>
    </row>
    <row r="2057" spans="1:15">
      <c r="A2057" t="s">
        <v>2265</v>
      </c>
      <c r="B2057" t="s">
        <v>1637</v>
      </c>
      <c r="C2057" t="s">
        <v>226</v>
      </c>
      <c r="D2057">
        <v>0</v>
      </c>
      <c r="E2057">
        <v>100</v>
      </c>
      <c r="H2057" t="s">
        <v>428</v>
      </c>
      <c r="I2057" t="s">
        <v>2262</v>
      </c>
      <c r="J2057">
        <v>3</v>
      </c>
      <c r="K2057" t="s">
        <v>2232</v>
      </c>
    </row>
    <row r="2058" spans="1:15">
      <c r="A2058" t="s">
        <v>2265</v>
      </c>
      <c r="B2058" t="s">
        <v>1637</v>
      </c>
      <c r="C2058" t="s">
        <v>226</v>
      </c>
      <c r="D2058">
        <v>52</v>
      </c>
      <c r="E2058">
        <v>131.94341268223249</v>
      </c>
      <c r="H2058" t="s">
        <v>428</v>
      </c>
      <c r="I2058" t="s">
        <v>2262</v>
      </c>
      <c r="J2058">
        <v>3</v>
      </c>
    </row>
    <row r="2059" spans="1:15">
      <c r="A2059" t="s">
        <v>2265</v>
      </c>
      <c r="B2059" t="s">
        <v>1637</v>
      </c>
      <c r="C2059" t="s">
        <v>226</v>
      </c>
      <c r="D2059">
        <v>121</v>
      </c>
      <c r="E2059">
        <v>142.84051118220435</v>
      </c>
      <c r="H2059" t="s">
        <v>428</v>
      </c>
      <c r="I2059" t="s">
        <v>2262</v>
      </c>
      <c r="J2059">
        <v>3</v>
      </c>
      <c r="K2059" t="e">
        <f>AVERAGE(#REF!)</f>
        <v>#REF!</v>
      </c>
    </row>
    <row r="2060" spans="1:15">
      <c r="A2060" t="s">
        <v>2265</v>
      </c>
      <c r="B2060" t="s">
        <v>1637</v>
      </c>
      <c r="C2060" t="s">
        <v>261</v>
      </c>
      <c r="D2060">
        <v>0</v>
      </c>
      <c r="E2060">
        <v>100</v>
      </c>
      <c r="H2060" t="s">
        <v>428</v>
      </c>
      <c r="I2060" t="s">
        <v>2262</v>
      </c>
      <c r="J2060">
        <v>3</v>
      </c>
      <c r="K2060" t="s">
        <v>2232</v>
      </c>
      <c r="O2060">
        <v>0.81040000000000001</v>
      </c>
    </row>
    <row r="2061" spans="1:15">
      <c r="A2061" t="s">
        <v>2265</v>
      </c>
      <c r="B2061" t="s">
        <v>1637</v>
      </c>
      <c r="C2061" t="s">
        <v>261</v>
      </c>
      <c r="D2061">
        <v>52</v>
      </c>
      <c r="E2061">
        <v>100.42032613631601</v>
      </c>
      <c r="H2061" t="s">
        <v>428</v>
      </c>
      <c r="I2061" t="s">
        <v>2262</v>
      </c>
      <c r="J2061">
        <v>3</v>
      </c>
      <c r="K2061" t="s">
        <v>181</v>
      </c>
      <c r="L2061" t="s">
        <v>2281</v>
      </c>
    </row>
    <row r="2062" spans="1:15">
      <c r="A2062" t="s">
        <v>2265</v>
      </c>
      <c r="B2062" t="s">
        <v>1637</v>
      </c>
      <c r="C2062" t="s">
        <v>261</v>
      </c>
      <c r="D2062">
        <v>121</v>
      </c>
      <c r="E2062">
        <v>54.192893508199845</v>
      </c>
      <c r="H2062" t="s">
        <v>428</v>
      </c>
      <c r="I2062" t="s">
        <v>2262</v>
      </c>
      <c r="J2062">
        <v>3</v>
      </c>
    </row>
    <row r="2063" spans="1:15">
      <c r="A2063" t="s">
        <v>2265</v>
      </c>
      <c r="B2063" t="s">
        <v>1637</v>
      </c>
      <c r="C2063" t="s">
        <v>261</v>
      </c>
      <c r="D2063">
        <v>0</v>
      </c>
      <c r="E2063">
        <v>100</v>
      </c>
      <c r="H2063" t="s">
        <v>428</v>
      </c>
      <c r="I2063" t="s">
        <v>2266</v>
      </c>
      <c r="J2063">
        <v>3</v>
      </c>
      <c r="K2063" t="s">
        <v>2283</v>
      </c>
      <c r="L2063" t="s">
        <v>2284</v>
      </c>
      <c r="O2063">
        <v>1</v>
      </c>
    </row>
    <row r="2064" spans="1:15">
      <c r="A2064" t="s">
        <v>2265</v>
      </c>
      <c r="B2064" t="s">
        <v>1637</v>
      </c>
      <c r="C2064" t="s">
        <v>261</v>
      </c>
      <c r="D2064">
        <v>48</v>
      </c>
      <c r="E2064">
        <v>92.224999999999994</v>
      </c>
      <c r="H2064" t="s">
        <v>428</v>
      </c>
      <c r="I2064" t="s">
        <v>2266</v>
      </c>
      <c r="J2064">
        <v>3</v>
      </c>
    </row>
    <row r="2065" spans="1:15">
      <c r="A2065" t="s">
        <v>2265</v>
      </c>
      <c r="B2065" t="s">
        <v>1637</v>
      </c>
      <c r="C2065" t="s">
        <v>261</v>
      </c>
      <c r="D2065">
        <v>55</v>
      </c>
      <c r="E2065">
        <v>15.302121212121213</v>
      </c>
      <c r="H2065" t="s">
        <v>428</v>
      </c>
      <c r="I2065" t="s">
        <v>2266</v>
      </c>
      <c r="J2065">
        <v>3</v>
      </c>
      <c r="K2065" t="e">
        <f>AVERAGE(#REF!)</f>
        <v>#REF!</v>
      </c>
    </row>
    <row r="2066" spans="1:15">
      <c r="A2066" t="s">
        <v>2265</v>
      </c>
      <c r="B2066" t="s">
        <v>1637</v>
      </c>
      <c r="C2066" t="s">
        <v>261</v>
      </c>
      <c r="D2066">
        <v>0</v>
      </c>
      <c r="E2066">
        <v>100</v>
      </c>
      <c r="H2066" t="s">
        <v>428</v>
      </c>
      <c r="I2066" t="s">
        <v>2267</v>
      </c>
      <c r="J2066">
        <v>3</v>
      </c>
      <c r="K2066" t="s">
        <v>181</v>
      </c>
      <c r="L2066" t="s">
        <v>2282</v>
      </c>
      <c r="O2066">
        <v>0.81599999999999995</v>
      </c>
    </row>
    <row r="2067" spans="1:15">
      <c r="A2067" t="s">
        <v>2265</v>
      </c>
      <c r="B2067" t="s">
        <v>1637</v>
      </c>
      <c r="C2067" t="s">
        <v>261</v>
      </c>
      <c r="D2067">
        <v>49</v>
      </c>
      <c r="E2067">
        <v>95.925671603593415</v>
      </c>
      <c r="H2067" t="s">
        <v>428</v>
      </c>
      <c r="I2067" t="s">
        <v>2267</v>
      </c>
      <c r="J2067">
        <v>3</v>
      </c>
    </row>
    <row r="2068" spans="1:15">
      <c r="A2068" t="s">
        <v>2265</v>
      </c>
      <c r="B2068" t="s">
        <v>1637</v>
      </c>
      <c r="C2068" t="s">
        <v>261</v>
      </c>
      <c r="D2068">
        <v>51</v>
      </c>
      <c r="E2068">
        <v>91.542783413229557</v>
      </c>
      <c r="H2068" t="s">
        <v>428</v>
      </c>
      <c r="I2068" t="s">
        <v>2267</v>
      </c>
      <c r="J2068">
        <v>3</v>
      </c>
    </row>
    <row r="2069" spans="1:15">
      <c r="A2069" t="s">
        <v>2265</v>
      </c>
      <c r="B2069" t="s">
        <v>1637</v>
      </c>
      <c r="C2069" t="s">
        <v>261</v>
      </c>
      <c r="D2069">
        <v>86</v>
      </c>
      <c r="E2069">
        <v>74.586089517737193</v>
      </c>
      <c r="H2069" t="s">
        <v>428</v>
      </c>
      <c r="I2069" t="s">
        <v>2267</v>
      </c>
      <c r="J2069">
        <v>3</v>
      </c>
    </row>
    <row r="2070" spans="1:15">
      <c r="A2070" t="s">
        <v>2265</v>
      </c>
      <c r="B2070" t="s">
        <v>1637</v>
      </c>
      <c r="C2070" t="s">
        <v>261</v>
      </c>
      <c r="D2070">
        <v>89</v>
      </c>
      <c r="E2070">
        <v>68.010533556280706</v>
      </c>
      <c r="H2070" t="s">
        <v>428</v>
      </c>
      <c r="I2070" t="s">
        <v>2267</v>
      </c>
      <c r="J2070">
        <v>3</v>
      </c>
    </row>
    <row r="2071" spans="1:15">
      <c r="A2071" t="s">
        <v>2265</v>
      </c>
      <c r="B2071" t="s">
        <v>1637</v>
      </c>
      <c r="C2071" t="s">
        <v>226</v>
      </c>
      <c r="D2071">
        <v>0</v>
      </c>
      <c r="E2071">
        <v>100</v>
      </c>
      <c r="H2071" t="s">
        <v>428</v>
      </c>
      <c r="I2071" t="s">
        <v>1121</v>
      </c>
      <c r="J2071">
        <v>3</v>
      </c>
      <c r="K2071" t="s">
        <v>181</v>
      </c>
      <c r="L2071" t="s">
        <v>2285</v>
      </c>
      <c r="O2071">
        <v>0.99929999999999997</v>
      </c>
    </row>
    <row r="2072" spans="1:15">
      <c r="A2072" t="s">
        <v>2265</v>
      </c>
      <c r="B2072" t="s">
        <v>1637</v>
      </c>
      <c r="C2072" t="s">
        <v>226</v>
      </c>
      <c r="D2072">
        <v>32</v>
      </c>
      <c r="E2072">
        <v>0</v>
      </c>
      <c r="H2072" t="s">
        <v>428</v>
      </c>
      <c r="I2072" t="s">
        <v>1121</v>
      </c>
      <c r="J2072">
        <v>3</v>
      </c>
    </row>
    <row r="2073" spans="1:15">
      <c r="A2073" t="s">
        <v>2265</v>
      </c>
      <c r="B2073" t="s">
        <v>1637</v>
      </c>
      <c r="C2073" t="s">
        <v>226</v>
      </c>
      <c r="D2073">
        <v>33</v>
      </c>
      <c r="E2073">
        <v>0</v>
      </c>
      <c r="H2073" t="s">
        <v>428</v>
      </c>
      <c r="I2073" t="s">
        <v>1121</v>
      </c>
      <c r="J2073">
        <v>3</v>
      </c>
    </row>
    <row r="2074" spans="1:15">
      <c r="A2074" t="s">
        <v>2265</v>
      </c>
      <c r="B2074" t="s">
        <v>1637</v>
      </c>
      <c r="C2074" t="s">
        <v>261</v>
      </c>
      <c r="D2074">
        <v>0</v>
      </c>
      <c r="E2074">
        <v>100</v>
      </c>
      <c r="H2074" t="s">
        <v>428</v>
      </c>
      <c r="I2074" t="s">
        <v>1121</v>
      </c>
      <c r="J2074">
        <v>3</v>
      </c>
      <c r="K2074" t="s">
        <v>2208</v>
      </c>
      <c r="L2074" t="s">
        <v>2286</v>
      </c>
      <c r="M2074">
        <v>6.1499999999999999E-2</v>
      </c>
      <c r="O2074">
        <v>0.9456</v>
      </c>
    </row>
    <row r="2075" spans="1:15">
      <c r="A2075" t="s">
        <v>2265</v>
      </c>
      <c r="B2075" t="s">
        <v>1637</v>
      </c>
      <c r="C2075" t="s">
        <v>261</v>
      </c>
      <c r="D2075">
        <v>32</v>
      </c>
      <c r="E2075">
        <v>27.587425332209119</v>
      </c>
      <c r="H2075" t="s">
        <v>428</v>
      </c>
      <c r="I2075" t="s">
        <v>1121</v>
      </c>
      <c r="J2075">
        <v>3</v>
      </c>
    </row>
    <row r="2076" spans="1:15">
      <c r="A2076" t="s">
        <v>2265</v>
      </c>
      <c r="B2076" t="s">
        <v>1637</v>
      </c>
      <c r="C2076" t="s">
        <v>261</v>
      </c>
      <c r="D2076">
        <v>33</v>
      </c>
      <c r="E2076">
        <v>0</v>
      </c>
      <c r="H2076" t="s">
        <v>428</v>
      </c>
      <c r="I2076" t="s">
        <v>1121</v>
      </c>
      <c r="J2076">
        <v>3</v>
      </c>
    </row>
    <row r="2077" spans="1:15">
      <c r="A2077" t="s">
        <v>2265</v>
      </c>
      <c r="B2077" t="s">
        <v>1637</v>
      </c>
      <c r="C2077" t="s">
        <v>261</v>
      </c>
      <c r="D2077">
        <v>60</v>
      </c>
      <c r="E2077">
        <v>0</v>
      </c>
      <c r="H2077" t="s">
        <v>428</v>
      </c>
      <c r="I2077" t="s">
        <v>1121</v>
      </c>
      <c r="J2077">
        <v>3</v>
      </c>
    </row>
    <row r="2078" spans="1:15">
      <c r="A2078" t="s">
        <v>2265</v>
      </c>
      <c r="B2078" t="s">
        <v>1637</v>
      </c>
      <c r="C2078" t="s">
        <v>261</v>
      </c>
      <c r="D2078">
        <v>0</v>
      </c>
      <c r="E2078">
        <v>100</v>
      </c>
      <c r="H2078" t="s">
        <v>428</v>
      </c>
      <c r="I2078" t="s">
        <v>2268</v>
      </c>
      <c r="J2078">
        <v>3</v>
      </c>
      <c r="K2078" t="s">
        <v>2208</v>
      </c>
      <c r="L2078" t="s">
        <v>2287</v>
      </c>
      <c r="M2078">
        <v>7.0900000000000005E-2</v>
      </c>
      <c r="O2078">
        <v>0.99780000000000002</v>
      </c>
    </row>
    <row r="2079" spans="1:15">
      <c r="A2079" t="s">
        <v>2265</v>
      </c>
      <c r="B2079" t="s">
        <v>1637</v>
      </c>
      <c r="C2079" t="s">
        <v>261</v>
      </c>
      <c r="D2079">
        <v>49</v>
      </c>
      <c r="E2079">
        <v>5.8716924063598022</v>
      </c>
      <c r="H2079" t="s">
        <v>428</v>
      </c>
      <c r="I2079" t="s">
        <v>2268</v>
      </c>
      <c r="J2079">
        <v>3</v>
      </c>
    </row>
    <row r="2080" spans="1:15">
      <c r="A2080" t="s">
        <v>2265</v>
      </c>
      <c r="B2080" t="s">
        <v>1637</v>
      </c>
      <c r="C2080" t="s">
        <v>261</v>
      </c>
      <c r="D2080">
        <v>50</v>
      </c>
      <c r="E2080">
        <v>0</v>
      </c>
      <c r="H2080" t="s">
        <v>428</v>
      </c>
      <c r="I2080" t="s">
        <v>2268</v>
      </c>
      <c r="J2080">
        <v>3</v>
      </c>
    </row>
    <row r="2081" spans="1:15">
      <c r="A2081" t="s">
        <v>2265</v>
      </c>
      <c r="B2081" t="s">
        <v>1637</v>
      </c>
      <c r="C2081" t="s">
        <v>261</v>
      </c>
      <c r="D2081">
        <v>84</v>
      </c>
      <c r="E2081">
        <v>0</v>
      </c>
      <c r="H2081" t="s">
        <v>428</v>
      </c>
      <c r="I2081" t="s">
        <v>2268</v>
      </c>
      <c r="J2081">
        <v>3</v>
      </c>
    </row>
    <row r="2082" spans="1:15">
      <c r="A2082" t="s">
        <v>2265</v>
      </c>
      <c r="B2082" t="s">
        <v>1637</v>
      </c>
      <c r="C2082" t="s">
        <v>226</v>
      </c>
      <c r="D2082">
        <v>0</v>
      </c>
      <c r="E2082">
        <v>100</v>
      </c>
      <c r="H2082" t="s">
        <v>428</v>
      </c>
      <c r="I2082" t="s">
        <v>2261</v>
      </c>
      <c r="J2082">
        <v>3</v>
      </c>
      <c r="K2082" t="s">
        <v>181</v>
      </c>
      <c r="L2082" t="s">
        <v>2288</v>
      </c>
      <c r="O2082">
        <v>0.93799999999999994</v>
      </c>
    </row>
    <row r="2083" spans="1:15">
      <c r="A2083" t="s">
        <v>2265</v>
      </c>
      <c r="B2083" t="s">
        <v>1637</v>
      </c>
      <c r="C2083" t="s">
        <v>226</v>
      </c>
      <c r="D2083">
        <v>54</v>
      </c>
      <c r="E2083">
        <v>78.729587777967922</v>
      </c>
      <c r="H2083" t="s">
        <v>428</v>
      </c>
      <c r="I2083" t="s">
        <v>2261</v>
      </c>
      <c r="J2083">
        <v>3</v>
      </c>
    </row>
    <row r="2084" spans="1:15">
      <c r="A2084" t="s">
        <v>2265</v>
      </c>
      <c r="B2084" t="s">
        <v>1637</v>
      </c>
      <c r="C2084" t="s">
        <v>226</v>
      </c>
      <c r="D2084">
        <v>55</v>
      </c>
      <c r="E2084">
        <v>73.809572969139182</v>
      </c>
      <c r="H2084" t="s">
        <v>428</v>
      </c>
      <c r="I2084" t="s">
        <v>2261</v>
      </c>
      <c r="J2084">
        <v>3</v>
      </c>
    </row>
    <row r="2085" spans="1:15">
      <c r="A2085" t="s">
        <v>2265</v>
      </c>
      <c r="B2085" t="s">
        <v>1637</v>
      </c>
      <c r="C2085" t="s">
        <v>226</v>
      </c>
      <c r="D2085">
        <v>56</v>
      </c>
      <c r="E2085">
        <v>67.851016072475375</v>
      </c>
      <c r="H2085" t="s">
        <v>428</v>
      </c>
      <c r="I2085" t="s">
        <v>2261</v>
      </c>
      <c r="J2085">
        <v>3</v>
      </c>
    </row>
    <row r="2086" spans="1:15">
      <c r="A2086" t="s">
        <v>2265</v>
      </c>
      <c r="B2086" t="s">
        <v>1637</v>
      </c>
      <c r="C2086" t="s">
        <v>226</v>
      </c>
      <c r="D2086">
        <v>73</v>
      </c>
      <c r="E2086">
        <v>62.905702890903576</v>
      </c>
      <c r="H2086" t="s">
        <v>428</v>
      </c>
      <c r="I2086" t="s">
        <v>2261</v>
      </c>
      <c r="J2086">
        <v>3</v>
      </c>
    </row>
    <row r="2087" spans="1:15">
      <c r="A2087" t="s">
        <v>2265</v>
      </c>
      <c r="B2087" t="s">
        <v>1637</v>
      </c>
      <c r="C2087" t="s">
        <v>261</v>
      </c>
      <c r="D2087">
        <v>0</v>
      </c>
      <c r="E2087">
        <v>100</v>
      </c>
      <c r="H2087" t="s">
        <v>428</v>
      </c>
      <c r="I2087" t="s">
        <v>2261</v>
      </c>
      <c r="J2087">
        <v>3</v>
      </c>
      <c r="K2087" t="s">
        <v>181</v>
      </c>
      <c r="L2087" t="s">
        <v>2289</v>
      </c>
      <c r="O2087">
        <v>0.62519999999999998</v>
      </c>
    </row>
    <row r="2088" spans="1:15">
      <c r="A2088" t="s">
        <v>2265</v>
      </c>
      <c r="B2088" t="s">
        <v>1637</v>
      </c>
      <c r="C2088" t="s">
        <v>261</v>
      </c>
      <c r="D2088">
        <v>54</v>
      </c>
      <c r="E2088">
        <v>44.553070592603603</v>
      </c>
      <c r="H2088" t="s">
        <v>428</v>
      </c>
      <c r="I2088" t="s">
        <v>2261</v>
      </c>
      <c r="J2088">
        <v>3</v>
      </c>
    </row>
    <row r="2089" spans="1:15">
      <c r="A2089" t="s">
        <v>2265</v>
      </c>
      <c r="B2089" t="s">
        <v>1637</v>
      </c>
      <c r="C2089" t="s">
        <v>261</v>
      </c>
      <c r="D2089">
        <v>55</v>
      </c>
      <c r="E2089">
        <v>77.536169213864071</v>
      </c>
      <c r="H2089" t="s">
        <v>428</v>
      </c>
      <c r="I2089" t="s">
        <v>2261</v>
      </c>
      <c r="J2089">
        <v>3</v>
      </c>
    </row>
    <row r="2090" spans="1:15">
      <c r="A2090" t="s">
        <v>2265</v>
      </c>
      <c r="B2090" t="s">
        <v>1637</v>
      </c>
      <c r="C2090" t="s">
        <v>261</v>
      </c>
      <c r="D2090">
        <v>56</v>
      </c>
      <c r="E2090">
        <v>55.312436108333522</v>
      </c>
      <c r="H2090" t="s">
        <v>428</v>
      </c>
      <c r="I2090" t="s">
        <v>2261</v>
      </c>
      <c r="J2090">
        <v>3</v>
      </c>
    </row>
    <row r="2091" spans="1:15">
      <c r="A2091" t="s">
        <v>2265</v>
      </c>
      <c r="B2091" t="s">
        <v>1637</v>
      </c>
      <c r="C2091" t="s">
        <v>261</v>
      </c>
      <c r="D2091">
        <v>73</v>
      </c>
      <c r="E2091">
        <v>60.358158943883197</v>
      </c>
      <c r="H2091" t="s">
        <v>428</v>
      </c>
      <c r="I2091" t="s">
        <v>2261</v>
      </c>
      <c r="J2091">
        <v>3</v>
      </c>
    </row>
    <row r="2092" spans="1:15">
      <c r="A2092" t="s">
        <v>2265</v>
      </c>
      <c r="B2092" t="s">
        <v>1637</v>
      </c>
      <c r="C2092" t="s">
        <v>261</v>
      </c>
      <c r="D2092">
        <v>0</v>
      </c>
      <c r="E2092">
        <v>100</v>
      </c>
      <c r="H2092" t="s">
        <v>428</v>
      </c>
      <c r="I2092" t="s">
        <v>2260</v>
      </c>
      <c r="J2092">
        <v>3</v>
      </c>
      <c r="K2092" t="s">
        <v>2211</v>
      </c>
      <c r="L2092" t="s">
        <v>2291</v>
      </c>
      <c r="M2092">
        <v>2.81E-2</v>
      </c>
      <c r="O2092">
        <v>1</v>
      </c>
    </row>
    <row r="2093" spans="1:15">
      <c r="A2093" t="s">
        <v>2265</v>
      </c>
      <c r="B2093" t="s">
        <v>1637</v>
      </c>
      <c r="C2093" t="s">
        <v>261</v>
      </c>
      <c r="D2093">
        <v>35</v>
      </c>
      <c r="E2093">
        <v>47.704857724620567</v>
      </c>
      <c r="H2093" t="s">
        <v>428</v>
      </c>
      <c r="I2093" t="s">
        <v>2260</v>
      </c>
      <c r="J2093">
        <v>3</v>
      </c>
    </row>
    <row r="2094" spans="1:15">
      <c r="A2094" t="s">
        <v>2265</v>
      </c>
      <c r="B2094" t="s">
        <v>1637</v>
      </c>
      <c r="C2094" t="s">
        <v>261</v>
      </c>
      <c r="D2094">
        <v>102</v>
      </c>
      <c r="E2094">
        <v>21.25</v>
      </c>
      <c r="H2094" t="s">
        <v>428</v>
      </c>
      <c r="I2094" t="s">
        <v>2260</v>
      </c>
      <c r="J2094">
        <v>3</v>
      </c>
    </row>
    <row r="2095" spans="1:15">
      <c r="A2095" t="s">
        <v>2265</v>
      </c>
      <c r="B2095" t="s">
        <v>1637</v>
      </c>
      <c r="C2095" t="s">
        <v>226</v>
      </c>
      <c r="D2095">
        <v>0</v>
      </c>
      <c r="E2095">
        <v>100</v>
      </c>
      <c r="H2095" t="s">
        <v>428</v>
      </c>
      <c r="I2095" t="s">
        <v>812</v>
      </c>
      <c r="J2095">
        <v>3</v>
      </c>
      <c r="K2095" t="s">
        <v>2211</v>
      </c>
      <c r="L2095" t="s">
        <v>2290</v>
      </c>
      <c r="M2095">
        <v>5.2699999999999997E-2</v>
      </c>
      <c r="O2095">
        <v>1</v>
      </c>
    </row>
    <row r="2096" spans="1:15">
      <c r="A2096" t="s">
        <v>2265</v>
      </c>
      <c r="B2096" t="s">
        <v>1637</v>
      </c>
      <c r="C2096" t="s">
        <v>226</v>
      </c>
      <c r="D2096">
        <v>43</v>
      </c>
      <c r="E2096">
        <v>76.215532889447147</v>
      </c>
      <c r="H2096" t="s">
        <v>428</v>
      </c>
      <c r="I2096" t="s">
        <v>812</v>
      </c>
      <c r="J2096">
        <v>3</v>
      </c>
    </row>
    <row r="2097" spans="1:17">
      <c r="A2097" t="s">
        <v>2265</v>
      </c>
      <c r="B2097" t="s">
        <v>1637</v>
      </c>
      <c r="C2097" t="s">
        <v>226</v>
      </c>
      <c r="D2097">
        <v>72</v>
      </c>
      <c r="E2097">
        <v>74.057005678300229</v>
      </c>
      <c r="H2097" t="s">
        <v>428</v>
      </c>
      <c r="I2097" t="s">
        <v>812</v>
      </c>
      <c r="J2097">
        <v>3</v>
      </c>
    </row>
    <row r="2098" spans="1:17">
      <c r="A2098" t="s">
        <v>2265</v>
      </c>
      <c r="B2098" t="s">
        <v>1637</v>
      </c>
      <c r="C2098" t="s">
        <v>261</v>
      </c>
      <c r="D2098">
        <v>0</v>
      </c>
      <c r="E2098">
        <v>100</v>
      </c>
      <c r="H2098" t="s">
        <v>428</v>
      </c>
      <c r="I2098" t="s">
        <v>812</v>
      </c>
      <c r="J2098">
        <v>3</v>
      </c>
      <c r="K2098" t="s">
        <v>2211</v>
      </c>
      <c r="L2098" t="s">
        <v>2292</v>
      </c>
      <c r="M2098">
        <v>7.1999999999999998E-3</v>
      </c>
      <c r="O2098">
        <v>1</v>
      </c>
    </row>
    <row r="2099" spans="1:17">
      <c r="A2099" t="s">
        <v>2265</v>
      </c>
      <c r="B2099" t="s">
        <v>1637</v>
      </c>
      <c r="C2099" t="s">
        <v>261</v>
      </c>
      <c r="D2099">
        <v>43</v>
      </c>
      <c r="E2099">
        <v>76.873309348152702</v>
      </c>
      <c r="H2099" t="s">
        <v>428</v>
      </c>
      <c r="I2099" t="s">
        <v>812</v>
      </c>
      <c r="J2099">
        <v>3</v>
      </c>
    </row>
    <row r="2100" spans="1:17">
      <c r="A2100" t="s">
        <v>2265</v>
      </c>
      <c r="B2100" t="s">
        <v>1637</v>
      </c>
      <c r="C2100" t="s">
        <v>261</v>
      </c>
      <c r="D2100">
        <v>72</v>
      </c>
      <c r="E2100">
        <v>64.858793608067742</v>
      </c>
      <c r="H2100" t="s">
        <v>428</v>
      </c>
      <c r="I2100" t="s">
        <v>812</v>
      </c>
      <c r="J2100">
        <v>3</v>
      </c>
    </row>
    <row r="2101" spans="1:17">
      <c r="A2101" t="s">
        <v>2433</v>
      </c>
      <c r="B2101" t="s">
        <v>1637</v>
      </c>
      <c r="C2101" t="s">
        <v>611</v>
      </c>
      <c r="K2101" t="s">
        <v>2208</v>
      </c>
      <c r="L2101" t="s">
        <v>2434</v>
      </c>
      <c r="M2101">
        <v>5.8999999999999997E-2</v>
      </c>
      <c r="Q2101" t="s">
        <v>1051</v>
      </c>
    </row>
    <row r="2102" spans="1:17">
      <c r="A2102" t="s">
        <v>2433</v>
      </c>
      <c r="B2102" t="s">
        <v>1637</v>
      </c>
      <c r="C2102" t="s">
        <v>2192</v>
      </c>
      <c r="K2102" t="s">
        <v>181</v>
      </c>
      <c r="L2102" t="s">
        <v>1053</v>
      </c>
      <c r="N2102">
        <v>3.72</v>
      </c>
      <c r="Q2102" t="s">
        <v>1053</v>
      </c>
    </row>
    <row r="2103" spans="1:17">
      <c r="A2103" t="s">
        <v>2433</v>
      </c>
      <c r="B2103" t="s">
        <v>1637</v>
      </c>
      <c r="C2103" t="s">
        <v>1027</v>
      </c>
      <c r="K2103" t="s">
        <v>2435</v>
      </c>
      <c r="Q2103" t="s">
        <v>1052</v>
      </c>
    </row>
    <row r="2104" spans="1:17">
      <c r="A2104" t="s">
        <v>2433</v>
      </c>
      <c r="B2104" t="s">
        <v>1637</v>
      </c>
      <c r="C2104" t="s">
        <v>1030</v>
      </c>
      <c r="K2104" t="s">
        <v>2435</v>
      </c>
      <c r="Q2104" t="s">
        <v>1054</v>
      </c>
    </row>
    <row r="2105" spans="1:17">
      <c r="A2105" t="s">
        <v>2433</v>
      </c>
      <c r="B2105" t="s">
        <v>1637</v>
      </c>
      <c r="C2105" t="s">
        <v>156</v>
      </c>
      <c r="K2105" t="s">
        <v>2208</v>
      </c>
      <c r="M2105">
        <v>0.27700000000000002</v>
      </c>
      <c r="Q2105" t="s">
        <v>1057</v>
      </c>
    </row>
    <row r="2106" spans="1:17">
      <c r="A2106" t="s">
        <v>2433</v>
      </c>
      <c r="B2106" t="s">
        <v>1637</v>
      </c>
      <c r="C2106" t="s">
        <v>1032</v>
      </c>
      <c r="K2106" t="s">
        <v>2208</v>
      </c>
      <c r="M2106">
        <v>0.27700000000000002</v>
      </c>
      <c r="Q2106" t="s">
        <v>1057</v>
      </c>
    </row>
    <row r="2107" spans="1:17">
      <c r="A2107" t="s">
        <v>2433</v>
      </c>
      <c r="B2107" t="s">
        <v>1637</v>
      </c>
      <c r="C2107" t="s">
        <v>506</v>
      </c>
      <c r="K2107" t="s">
        <v>2208</v>
      </c>
      <c r="M2107">
        <v>0.21</v>
      </c>
      <c r="Q2107" t="s">
        <v>1058</v>
      </c>
    </row>
    <row r="2108" spans="1:17">
      <c r="A2108" t="s">
        <v>2433</v>
      </c>
      <c r="B2108" t="s">
        <v>1637</v>
      </c>
      <c r="C2108" t="s">
        <v>506</v>
      </c>
      <c r="K2108" t="s">
        <v>2435</v>
      </c>
      <c r="Q2108" t="s">
        <v>1059</v>
      </c>
    </row>
    <row r="2109" spans="1:17">
      <c r="A2109" t="s">
        <v>2433</v>
      </c>
      <c r="B2109" t="s">
        <v>1637</v>
      </c>
      <c r="C2109" t="s">
        <v>1034</v>
      </c>
      <c r="K2109" t="s">
        <v>2435</v>
      </c>
      <c r="Q2109" t="s">
        <v>1060</v>
      </c>
    </row>
    <row r="2110" spans="1:17">
      <c r="A2110" t="s">
        <v>2433</v>
      </c>
      <c r="B2110" t="s">
        <v>1637</v>
      </c>
      <c r="C2110" t="s">
        <v>2189</v>
      </c>
      <c r="K2110" t="s">
        <v>2435</v>
      </c>
      <c r="Q2110" t="s">
        <v>1056</v>
      </c>
    </row>
    <row r="2111" spans="1:17">
      <c r="A2111" t="s">
        <v>2433</v>
      </c>
      <c r="B2111" t="s">
        <v>1637</v>
      </c>
      <c r="C2111" t="s">
        <v>1025</v>
      </c>
      <c r="K2111" t="s">
        <v>2435</v>
      </c>
      <c r="Q2111" t="s">
        <v>1055</v>
      </c>
    </row>
    <row r="2112" spans="1:17" ht="16">
      <c r="A2112" t="s">
        <v>2715</v>
      </c>
      <c r="B2112" t="s">
        <v>186</v>
      </c>
      <c r="C2112" s="96" t="s">
        <v>2540</v>
      </c>
      <c r="D2112">
        <v>0</v>
      </c>
      <c r="E2112">
        <f t="shared" ref="E2112:E2173" si="23">F2112/G2112*100</f>
        <v>100</v>
      </c>
      <c r="F2112" s="18">
        <v>64.69</v>
      </c>
      <c r="G2112" s="18">
        <v>64.69</v>
      </c>
      <c r="H2112" t="s">
        <v>2705</v>
      </c>
      <c r="J2112">
        <v>3</v>
      </c>
      <c r="K2112" t="s">
        <v>2862</v>
      </c>
      <c r="L2112" t="s">
        <v>2863</v>
      </c>
      <c r="M2112">
        <v>0.1</v>
      </c>
      <c r="O2112">
        <v>0.99919999999999998</v>
      </c>
    </row>
    <row r="2113" spans="1:15" ht="16">
      <c r="A2113" t="s">
        <v>2715</v>
      </c>
      <c r="B2113" t="s">
        <v>186</v>
      </c>
      <c r="C2113" s="96" t="s">
        <v>2540</v>
      </c>
      <c r="D2113">
        <v>2</v>
      </c>
      <c r="E2113">
        <f t="shared" si="23"/>
        <v>83.25861802442418</v>
      </c>
      <c r="F2113" s="18">
        <v>53.86</v>
      </c>
      <c r="G2113" s="18">
        <v>64.69</v>
      </c>
      <c r="H2113" t="s">
        <v>2705</v>
      </c>
      <c r="J2113">
        <v>3</v>
      </c>
    </row>
    <row r="2114" spans="1:15" ht="16">
      <c r="A2114" t="s">
        <v>2715</v>
      </c>
      <c r="B2114" t="s">
        <v>186</v>
      </c>
      <c r="C2114" s="96" t="s">
        <v>2540</v>
      </c>
      <c r="D2114">
        <v>4</v>
      </c>
      <c r="E2114">
        <f t="shared" si="23"/>
        <v>70.211779254908024</v>
      </c>
      <c r="F2114" s="18">
        <v>45.42</v>
      </c>
      <c r="G2114" s="18">
        <v>64.69</v>
      </c>
      <c r="H2114" t="s">
        <v>2705</v>
      </c>
      <c r="J2114">
        <v>3</v>
      </c>
    </row>
    <row r="2115" spans="1:15" ht="16">
      <c r="A2115" t="s">
        <v>2715</v>
      </c>
      <c r="B2115" t="s">
        <v>186</v>
      </c>
      <c r="C2115" s="96" t="s">
        <v>2540</v>
      </c>
      <c r="D2115">
        <v>8</v>
      </c>
      <c r="E2115">
        <f t="shared" si="23"/>
        <v>52.929355387231411</v>
      </c>
      <c r="F2115" s="18">
        <v>34.24</v>
      </c>
      <c r="G2115" s="18">
        <v>64.69</v>
      </c>
      <c r="H2115" t="s">
        <v>2705</v>
      </c>
      <c r="J2115">
        <v>3</v>
      </c>
    </row>
    <row r="2116" spans="1:15" ht="16">
      <c r="A2116" t="s">
        <v>2715</v>
      </c>
      <c r="B2116" t="s">
        <v>186</v>
      </c>
      <c r="C2116" s="96" t="s">
        <v>2540</v>
      </c>
      <c r="D2116">
        <v>16</v>
      </c>
      <c r="E2116">
        <f t="shared" si="23"/>
        <v>33.12722213634256</v>
      </c>
      <c r="F2116" s="18">
        <v>21.43</v>
      </c>
      <c r="G2116" s="18">
        <v>64.69</v>
      </c>
      <c r="H2116" t="s">
        <v>2705</v>
      </c>
      <c r="J2116">
        <v>3</v>
      </c>
    </row>
    <row r="2117" spans="1:15" ht="16">
      <c r="A2117" t="s">
        <v>2715</v>
      </c>
      <c r="B2117" t="s">
        <v>186</v>
      </c>
      <c r="C2117" s="96" t="s">
        <v>2540</v>
      </c>
      <c r="D2117">
        <v>24</v>
      </c>
      <c r="E2117">
        <f t="shared" si="23"/>
        <v>20.497758540732725</v>
      </c>
      <c r="F2117" s="18">
        <v>13.26</v>
      </c>
      <c r="G2117" s="18">
        <v>64.69</v>
      </c>
      <c r="H2117" t="s">
        <v>2705</v>
      </c>
      <c r="J2117">
        <v>3</v>
      </c>
    </row>
    <row r="2118" spans="1:15" ht="16">
      <c r="A2118" t="s">
        <v>2715</v>
      </c>
      <c r="B2118" t="s">
        <v>186</v>
      </c>
      <c r="C2118" s="96" t="s">
        <v>2540</v>
      </c>
      <c r="D2118">
        <v>30</v>
      </c>
      <c r="E2118">
        <f t="shared" si="23"/>
        <v>17.437007265419695</v>
      </c>
      <c r="F2118" s="18">
        <v>11.28</v>
      </c>
      <c r="G2118" s="18">
        <v>64.69</v>
      </c>
      <c r="H2118" t="s">
        <v>2705</v>
      </c>
      <c r="J2118">
        <v>3</v>
      </c>
    </row>
    <row r="2119" spans="1:15" ht="16">
      <c r="A2119" t="s">
        <v>2715</v>
      </c>
      <c r="B2119" t="s">
        <v>186</v>
      </c>
      <c r="C2119" s="96" t="s">
        <v>2540</v>
      </c>
      <c r="D2119">
        <v>45</v>
      </c>
      <c r="E2119">
        <f t="shared" si="23"/>
        <v>15.628381511825628</v>
      </c>
      <c r="F2119" s="18">
        <v>10.11</v>
      </c>
      <c r="G2119" s="18">
        <v>64.69</v>
      </c>
      <c r="H2119" t="s">
        <v>2705</v>
      </c>
      <c r="J2119">
        <v>3</v>
      </c>
    </row>
    <row r="2120" spans="1:15" ht="16">
      <c r="A2120" t="s">
        <v>2715</v>
      </c>
      <c r="B2120" t="s">
        <v>186</v>
      </c>
      <c r="C2120" s="96" t="s">
        <v>2540</v>
      </c>
      <c r="D2120">
        <v>60</v>
      </c>
      <c r="E2120">
        <f t="shared" si="23"/>
        <v>14.478281032617096</v>
      </c>
      <c r="F2120" s="18">
        <v>9.3659999999999997</v>
      </c>
      <c r="G2120" s="18">
        <v>64.69</v>
      </c>
      <c r="H2120" t="s">
        <v>2705</v>
      </c>
      <c r="J2120">
        <v>3</v>
      </c>
    </row>
    <row r="2121" spans="1:15" ht="16">
      <c r="A2121" t="s">
        <v>2715</v>
      </c>
      <c r="B2121" t="s">
        <v>186</v>
      </c>
      <c r="C2121" s="96" t="s">
        <v>2540</v>
      </c>
      <c r="D2121">
        <v>75</v>
      </c>
      <c r="E2121">
        <f t="shared" si="23"/>
        <v>14.215489256453855</v>
      </c>
      <c r="F2121" s="18">
        <v>9.1959999999999997</v>
      </c>
      <c r="G2121" s="18">
        <v>64.69</v>
      </c>
      <c r="H2121" t="s">
        <v>2705</v>
      </c>
      <c r="J2121">
        <v>3</v>
      </c>
    </row>
    <row r="2122" spans="1:15" ht="16">
      <c r="A2122" t="s">
        <v>2715</v>
      </c>
      <c r="B2122" t="s">
        <v>186</v>
      </c>
      <c r="C2122" s="96" t="s">
        <v>2540</v>
      </c>
      <c r="D2122">
        <v>90</v>
      </c>
      <c r="E2122">
        <f t="shared" si="23"/>
        <v>14.300510125212551</v>
      </c>
      <c r="F2122" s="18">
        <v>9.2509999999999994</v>
      </c>
      <c r="G2122" s="18">
        <v>64.69</v>
      </c>
      <c r="H2122" t="s">
        <v>2705</v>
      </c>
      <c r="J2122">
        <v>3</v>
      </c>
    </row>
    <row r="2123" spans="1:15" ht="16">
      <c r="A2123" t="s">
        <v>2715</v>
      </c>
      <c r="B2123" t="s">
        <v>186</v>
      </c>
      <c r="C2123" s="96" t="s">
        <v>2540</v>
      </c>
      <c r="D2123">
        <v>120</v>
      </c>
      <c r="E2123">
        <f t="shared" si="23"/>
        <v>14.094914206214254</v>
      </c>
      <c r="F2123" s="18">
        <v>9.1180000000000003</v>
      </c>
      <c r="G2123" s="18">
        <v>64.69</v>
      </c>
      <c r="H2123" t="s">
        <v>2705</v>
      </c>
      <c r="J2123">
        <v>3</v>
      </c>
    </row>
    <row r="2124" spans="1:15" ht="16">
      <c r="A2124" t="s">
        <v>2708</v>
      </c>
      <c r="B2124" t="s">
        <v>184</v>
      </c>
      <c r="C2124" s="96" t="s">
        <v>2710</v>
      </c>
      <c r="D2124">
        <v>0</v>
      </c>
      <c r="E2124">
        <f t="shared" si="23"/>
        <v>100</v>
      </c>
      <c r="F2124" s="18">
        <v>209.965</v>
      </c>
      <c r="G2124" s="18">
        <v>209.965</v>
      </c>
      <c r="H2124" t="s">
        <v>2709</v>
      </c>
      <c r="I2124" t="s">
        <v>2714</v>
      </c>
      <c r="J2124">
        <v>3</v>
      </c>
      <c r="K2124" t="s">
        <v>2862</v>
      </c>
      <c r="L2124" t="s">
        <v>2864</v>
      </c>
      <c r="M2124">
        <v>0.1152</v>
      </c>
      <c r="O2124">
        <v>0.98960000000000004</v>
      </c>
    </row>
    <row r="2125" spans="1:15" ht="16">
      <c r="A2125" t="s">
        <v>2708</v>
      </c>
      <c r="B2125" t="s">
        <v>184</v>
      </c>
      <c r="C2125" s="96" t="s">
        <v>2710</v>
      </c>
      <c r="D2125">
        <v>1</v>
      </c>
      <c r="E2125">
        <f t="shared" si="23"/>
        <v>97.342890481746963</v>
      </c>
      <c r="F2125" s="18">
        <v>204.386</v>
      </c>
      <c r="G2125" s="18">
        <v>209.965</v>
      </c>
      <c r="H2125" t="s">
        <v>2709</v>
      </c>
      <c r="I2125" t="s">
        <v>2714</v>
      </c>
      <c r="J2125">
        <v>3</v>
      </c>
    </row>
    <row r="2126" spans="1:15" ht="16">
      <c r="A2126" t="s">
        <v>2708</v>
      </c>
      <c r="B2126" t="s">
        <v>184</v>
      </c>
      <c r="C2126" s="96" t="s">
        <v>2710</v>
      </c>
      <c r="D2126">
        <v>3</v>
      </c>
      <c r="E2126">
        <f t="shared" si="23"/>
        <v>96.066963541542634</v>
      </c>
      <c r="F2126" s="18">
        <v>201.70699999999999</v>
      </c>
      <c r="G2126" s="18">
        <v>209.965</v>
      </c>
      <c r="H2126" t="s">
        <v>2709</v>
      </c>
      <c r="I2126" t="s">
        <v>2714</v>
      </c>
      <c r="J2126">
        <v>3</v>
      </c>
    </row>
    <row r="2127" spans="1:15" ht="16">
      <c r="A2127" t="s">
        <v>2708</v>
      </c>
      <c r="B2127" t="s">
        <v>184</v>
      </c>
      <c r="C2127" s="96" t="s">
        <v>2710</v>
      </c>
      <c r="D2127">
        <v>5</v>
      </c>
      <c r="E2127">
        <f t="shared" si="23"/>
        <v>93.256018860286233</v>
      </c>
      <c r="F2127" s="18">
        <v>195.80500000000001</v>
      </c>
      <c r="G2127" s="18">
        <v>209.965</v>
      </c>
      <c r="H2127" t="s">
        <v>2709</v>
      </c>
      <c r="I2127" t="s">
        <v>2714</v>
      </c>
      <c r="J2127">
        <v>3</v>
      </c>
    </row>
    <row r="2128" spans="1:15" ht="16">
      <c r="A2128" t="s">
        <v>2708</v>
      </c>
      <c r="B2128" t="s">
        <v>184</v>
      </c>
      <c r="C2128" s="96" t="s">
        <v>2710</v>
      </c>
      <c r="D2128">
        <v>10</v>
      </c>
      <c r="E2128">
        <f t="shared" si="23"/>
        <v>89.931655275879308</v>
      </c>
      <c r="F2128" s="18">
        <v>188.82499999999999</v>
      </c>
      <c r="G2128" s="18">
        <v>209.965</v>
      </c>
      <c r="H2128" t="s">
        <v>2709</v>
      </c>
      <c r="I2128" t="s">
        <v>2714</v>
      </c>
      <c r="J2128">
        <v>3</v>
      </c>
    </row>
    <row r="2129" spans="1:15" ht="16">
      <c r="A2129" t="s">
        <v>2708</v>
      </c>
      <c r="B2129" t="s">
        <v>184</v>
      </c>
      <c r="C2129" s="96" t="s">
        <v>2710</v>
      </c>
      <c r="D2129">
        <v>20</v>
      </c>
      <c r="E2129">
        <f t="shared" si="23"/>
        <v>88.136117924415984</v>
      </c>
      <c r="F2129" s="18">
        <v>185.05500000000001</v>
      </c>
      <c r="G2129" s="18">
        <v>209.965</v>
      </c>
      <c r="H2129" t="s">
        <v>2709</v>
      </c>
      <c r="I2129" t="s">
        <v>2714</v>
      </c>
      <c r="J2129">
        <v>3</v>
      </c>
    </row>
    <row r="2130" spans="1:15" ht="16">
      <c r="A2130" t="s">
        <v>2708</v>
      </c>
      <c r="B2130" t="s">
        <v>184</v>
      </c>
      <c r="C2130" s="96" t="s">
        <v>2710</v>
      </c>
      <c r="D2130">
        <v>40</v>
      </c>
      <c r="E2130">
        <f t="shared" si="23"/>
        <v>86.693496535136816</v>
      </c>
      <c r="F2130" s="18">
        <v>182.02600000000001</v>
      </c>
      <c r="G2130" s="18">
        <v>209.965</v>
      </c>
      <c r="H2130" t="s">
        <v>2709</v>
      </c>
      <c r="I2130" t="s">
        <v>2714</v>
      </c>
      <c r="J2130">
        <v>3</v>
      </c>
    </row>
    <row r="2131" spans="1:15" ht="16">
      <c r="A2131" t="s">
        <v>2708</v>
      </c>
      <c r="B2131" t="s">
        <v>184</v>
      </c>
      <c r="C2131" s="96" t="s">
        <v>2710</v>
      </c>
      <c r="D2131">
        <v>60</v>
      </c>
      <c r="E2131">
        <f t="shared" si="23"/>
        <v>85.683328173743249</v>
      </c>
      <c r="F2131" s="18">
        <v>179.905</v>
      </c>
      <c r="G2131" s="18">
        <v>209.965</v>
      </c>
      <c r="H2131" t="s">
        <v>2709</v>
      </c>
      <c r="I2131" t="s">
        <v>2714</v>
      </c>
      <c r="J2131">
        <v>3</v>
      </c>
    </row>
    <row r="2132" spans="1:15" ht="16">
      <c r="A2132" t="s">
        <v>2708</v>
      </c>
      <c r="B2132" t="s">
        <v>184</v>
      </c>
      <c r="C2132" s="96" t="s">
        <v>2710</v>
      </c>
      <c r="D2132">
        <v>90</v>
      </c>
      <c r="E2132">
        <f t="shared" si="23"/>
        <v>85.549020074774361</v>
      </c>
      <c r="F2132" s="18">
        <v>179.62299999999999</v>
      </c>
      <c r="G2132" s="18">
        <v>209.965</v>
      </c>
      <c r="H2132" t="s">
        <v>2709</v>
      </c>
      <c r="I2132" t="s">
        <v>2714</v>
      </c>
      <c r="J2132">
        <v>3</v>
      </c>
    </row>
    <row r="2133" spans="1:15" ht="16">
      <c r="A2133" t="s">
        <v>2708</v>
      </c>
      <c r="B2133" t="s">
        <v>184</v>
      </c>
      <c r="C2133" s="96" t="s">
        <v>2710</v>
      </c>
      <c r="D2133">
        <v>0</v>
      </c>
      <c r="E2133">
        <f t="shared" si="23"/>
        <v>100</v>
      </c>
      <c r="F2133" s="18">
        <v>218.10599999999999</v>
      </c>
      <c r="G2133" s="18">
        <v>218.10599999999999</v>
      </c>
      <c r="H2133" t="s">
        <v>2709</v>
      </c>
      <c r="I2133" t="s">
        <v>2717</v>
      </c>
      <c r="J2133">
        <v>3</v>
      </c>
      <c r="K2133" t="s">
        <v>2862</v>
      </c>
      <c r="L2133" t="s">
        <v>2865</v>
      </c>
      <c r="M2133">
        <v>0.1268</v>
      </c>
      <c r="O2133">
        <v>0.99870000000000003</v>
      </c>
    </row>
    <row r="2134" spans="1:15" ht="16">
      <c r="A2134" t="s">
        <v>2708</v>
      </c>
      <c r="B2134" t="s">
        <v>184</v>
      </c>
      <c r="C2134" s="96" t="s">
        <v>2710</v>
      </c>
      <c r="D2134">
        <v>1</v>
      </c>
      <c r="E2134">
        <f t="shared" si="23"/>
        <v>95.835511173466116</v>
      </c>
      <c r="F2134" s="18">
        <v>209.023</v>
      </c>
      <c r="G2134" s="18">
        <v>218.10599999999999</v>
      </c>
      <c r="H2134" t="s">
        <v>2709</v>
      </c>
      <c r="I2134" t="s">
        <v>2717</v>
      </c>
      <c r="J2134">
        <v>3</v>
      </c>
    </row>
    <row r="2135" spans="1:15" ht="16">
      <c r="A2135" t="s">
        <v>2708</v>
      </c>
      <c r="B2135" t="s">
        <v>184</v>
      </c>
      <c r="C2135" s="96" t="s">
        <v>2710</v>
      </c>
      <c r="D2135">
        <v>3</v>
      </c>
      <c r="E2135">
        <f t="shared" si="23"/>
        <v>87.932014708444513</v>
      </c>
      <c r="F2135" s="18">
        <v>191.785</v>
      </c>
      <c r="G2135" s="18">
        <v>218.10599999999999</v>
      </c>
      <c r="H2135" t="s">
        <v>2709</v>
      </c>
      <c r="I2135" t="s">
        <v>2717</v>
      </c>
      <c r="J2135">
        <v>3</v>
      </c>
    </row>
    <row r="2136" spans="1:15" ht="16">
      <c r="A2136" t="s">
        <v>2708</v>
      </c>
      <c r="B2136" t="s">
        <v>184</v>
      </c>
      <c r="C2136" s="96" t="s">
        <v>2710</v>
      </c>
      <c r="D2136">
        <v>5</v>
      </c>
      <c r="E2136">
        <f t="shared" si="23"/>
        <v>79.168844506799445</v>
      </c>
      <c r="F2136" s="18">
        <v>172.672</v>
      </c>
      <c r="G2136" s="18">
        <v>218.10599999999999</v>
      </c>
      <c r="H2136" t="s">
        <v>2709</v>
      </c>
      <c r="I2136" t="s">
        <v>2717</v>
      </c>
      <c r="J2136">
        <v>3</v>
      </c>
    </row>
    <row r="2137" spans="1:15" ht="16">
      <c r="A2137" t="s">
        <v>2708</v>
      </c>
      <c r="B2137" t="s">
        <v>184</v>
      </c>
      <c r="C2137" s="96" t="s">
        <v>2710</v>
      </c>
      <c r="D2137">
        <v>10</v>
      </c>
      <c r="E2137">
        <f t="shared" si="23"/>
        <v>69.671627557242815</v>
      </c>
      <c r="F2137" s="18">
        <v>151.958</v>
      </c>
      <c r="G2137" s="18">
        <v>218.10599999999999</v>
      </c>
      <c r="H2137" t="s">
        <v>2709</v>
      </c>
      <c r="I2137" t="s">
        <v>2717</v>
      </c>
      <c r="J2137">
        <v>3</v>
      </c>
    </row>
    <row r="2138" spans="1:15" ht="16">
      <c r="A2138" t="s">
        <v>2708</v>
      </c>
      <c r="B2138" t="s">
        <v>184</v>
      </c>
      <c r="C2138" s="96" t="s">
        <v>2710</v>
      </c>
      <c r="D2138">
        <v>20</v>
      </c>
      <c r="E2138">
        <f t="shared" si="23"/>
        <v>60.66408076806691</v>
      </c>
      <c r="F2138" s="18">
        <v>132.31200000000001</v>
      </c>
      <c r="G2138" s="18">
        <v>218.10599999999999</v>
      </c>
      <c r="H2138" t="s">
        <v>2709</v>
      </c>
      <c r="I2138" t="s">
        <v>2717</v>
      </c>
      <c r="J2138">
        <v>3</v>
      </c>
    </row>
    <row r="2139" spans="1:15" ht="16">
      <c r="A2139" t="s">
        <v>2708</v>
      </c>
      <c r="B2139" t="s">
        <v>184</v>
      </c>
      <c r="C2139" s="96" t="s">
        <v>2710</v>
      </c>
      <c r="D2139">
        <v>40</v>
      </c>
      <c r="E2139">
        <f t="shared" si="23"/>
        <v>58.058008491284049</v>
      </c>
      <c r="F2139" s="18">
        <v>126.628</v>
      </c>
      <c r="G2139" s="18">
        <v>218.10599999999999</v>
      </c>
      <c r="H2139" t="s">
        <v>2709</v>
      </c>
      <c r="I2139" t="s">
        <v>2717</v>
      </c>
      <c r="J2139">
        <v>3</v>
      </c>
    </row>
    <row r="2140" spans="1:15" ht="16">
      <c r="A2140" t="s">
        <v>2708</v>
      </c>
      <c r="B2140" t="s">
        <v>184</v>
      </c>
      <c r="C2140" s="96" t="s">
        <v>2710</v>
      </c>
      <c r="D2140">
        <v>60</v>
      </c>
      <c r="E2140">
        <f t="shared" si="23"/>
        <v>57.495437998037644</v>
      </c>
      <c r="F2140" s="18">
        <v>125.401</v>
      </c>
      <c r="G2140" s="18">
        <v>218.10599999999999</v>
      </c>
      <c r="H2140" t="s">
        <v>2709</v>
      </c>
      <c r="I2140" t="s">
        <v>2717</v>
      </c>
      <c r="J2140">
        <v>3</v>
      </c>
    </row>
    <row r="2141" spans="1:15" ht="16">
      <c r="A2141" t="s">
        <v>2708</v>
      </c>
      <c r="B2141" t="s">
        <v>184</v>
      </c>
      <c r="C2141" s="96" t="s">
        <v>2710</v>
      </c>
      <c r="D2141">
        <v>90</v>
      </c>
      <c r="E2141">
        <f t="shared" si="23"/>
        <v>56.936076953407976</v>
      </c>
      <c r="F2141" s="18">
        <v>124.181</v>
      </c>
      <c r="G2141" s="18">
        <v>218.10599999999999</v>
      </c>
      <c r="H2141" t="s">
        <v>2709</v>
      </c>
      <c r="I2141" t="s">
        <v>2717</v>
      </c>
      <c r="J2141">
        <v>3</v>
      </c>
    </row>
    <row r="2142" spans="1:15" ht="16">
      <c r="A2142" t="s">
        <v>203</v>
      </c>
      <c r="B2142" t="s">
        <v>186</v>
      </c>
      <c r="C2142" s="96" t="s">
        <v>2710</v>
      </c>
      <c r="D2142">
        <v>0</v>
      </c>
      <c r="E2142">
        <f t="shared" si="23"/>
        <v>100</v>
      </c>
      <c r="F2142" s="18">
        <v>261.54000000000002</v>
      </c>
      <c r="G2142" s="18">
        <v>261.54000000000002</v>
      </c>
      <c r="H2142" t="s">
        <v>390</v>
      </c>
      <c r="I2142" t="s">
        <v>2714</v>
      </c>
      <c r="J2142">
        <v>3</v>
      </c>
      <c r="K2142" t="s">
        <v>2862</v>
      </c>
      <c r="L2142" t="s">
        <v>2866</v>
      </c>
      <c r="M2142">
        <v>8.0799999999999997E-2</v>
      </c>
      <c r="O2142">
        <v>0.97960000000000003</v>
      </c>
    </row>
    <row r="2143" spans="1:15" ht="16">
      <c r="A2143" t="s">
        <v>203</v>
      </c>
      <c r="B2143" t="s">
        <v>186</v>
      </c>
      <c r="C2143" s="96" t="s">
        <v>2710</v>
      </c>
      <c r="D2143">
        <v>1</v>
      </c>
      <c r="E2143">
        <f t="shared" si="23"/>
        <v>98.2144222681043</v>
      </c>
      <c r="F2143" s="18">
        <v>256.87</v>
      </c>
      <c r="G2143" s="18">
        <v>261.54000000000002</v>
      </c>
      <c r="H2143" t="s">
        <v>390</v>
      </c>
      <c r="I2143" t="s">
        <v>2714</v>
      </c>
      <c r="J2143">
        <v>3</v>
      </c>
    </row>
    <row r="2144" spans="1:15" ht="16">
      <c r="A2144" t="s">
        <v>203</v>
      </c>
      <c r="B2144" t="s">
        <v>186</v>
      </c>
      <c r="C2144" s="96" t="s">
        <v>2710</v>
      </c>
      <c r="D2144">
        <v>5</v>
      </c>
      <c r="E2144">
        <f t="shared" si="23"/>
        <v>97.086487726542771</v>
      </c>
      <c r="F2144" s="18">
        <v>253.92</v>
      </c>
      <c r="G2144" s="18">
        <v>261.54000000000002</v>
      </c>
      <c r="H2144" t="s">
        <v>390</v>
      </c>
      <c r="I2144" t="s">
        <v>2714</v>
      </c>
      <c r="J2144">
        <v>3</v>
      </c>
    </row>
    <row r="2145" spans="1:15" ht="16">
      <c r="A2145" t="s">
        <v>203</v>
      </c>
      <c r="B2145" t="s">
        <v>186</v>
      </c>
      <c r="C2145" s="96" t="s">
        <v>2710</v>
      </c>
      <c r="D2145">
        <v>10</v>
      </c>
      <c r="E2145">
        <f t="shared" si="23"/>
        <v>95.34679207769365</v>
      </c>
      <c r="F2145" s="18">
        <v>249.37</v>
      </c>
      <c r="G2145" s="18">
        <v>261.54000000000002</v>
      </c>
      <c r="H2145" t="s">
        <v>390</v>
      </c>
      <c r="I2145" t="s">
        <v>2714</v>
      </c>
      <c r="J2145">
        <v>3</v>
      </c>
    </row>
    <row r="2146" spans="1:15" ht="16">
      <c r="A2146" t="s">
        <v>203</v>
      </c>
      <c r="B2146" t="s">
        <v>186</v>
      </c>
      <c r="C2146" s="96" t="s">
        <v>2710</v>
      </c>
      <c r="D2146">
        <v>15</v>
      </c>
      <c r="E2146">
        <f t="shared" si="23"/>
        <v>93.928271010170519</v>
      </c>
      <c r="F2146" s="18">
        <v>245.66</v>
      </c>
      <c r="G2146" s="18">
        <v>261.54000000000002</v>
      </c>
      <c r="H2146" t="s">
        <v>390</v>
      </c>
      <c r="I2146" t="s">
        <v>2714</v>
      </c>
      <c r="J2146">
        <v>3</v>
      </c>
    </row>
    <row r="2147" spans="1:15" ht="16">
      <c r="A2147" t="s">
        <v>203</v>
      </c>
      <c r="B2147" t="s">
        <v>186</v>
      </c>
      <c r="C2147" s="96" t="s">
        <v>2710</v>
      </c>
      <c r="D2147">
        <v>20</v>
      </c>
      <c r="E2147">
        <f t="shared" si="23"/>
        <v>92.819454003211732</v>
      </c>
      <c r="F2147" s="18">
        <v>242.76</v>
      </c>
      <c r="G2147" s="18">
        <v>261.54000000000002</v>
      </c>
      <c r="H2147" t="s">
        <v>390</v>
      </c>
      <c r="I2147" t="s">
        <v>2714</v>
      </c>
      <c r="J2147">
        <v>3</v>
      </c>
    </row>
    <row r="2148" spans="1:15" ht="16">
      <c r="A2148" t="s">
        <v>203</v>
      </c>
      <c r="B2148" t="s">
        <v>186</v>
      </c>
      <c r="C2148" s="96" t="s">
        <v>2710</v>
      </c>
      <c r="D2148">
        <v>30</v>
      </c>
      <c r="E2148">
        <f t="shared" si="23"/>
        <v>91.62651984400091</v>
      </c>
      <c r="F2148" s="18">
        <v>239.64</v>
      </c>
      <c r="G2148" s="18">
        <v>261.54000000000002</v>
      </c>
      <c r="H2148" t="s">
        <v>390</v>
      </c>
      <c r="I2148" t="s">
        <v>2714</v>
      </c>
      <c r="J2148">
        <v>3</v>
      </c>
    </row>
    <row r="2149" spans="1:15" ht="16">
      <c r="A2149" t="s">
        <v>203</v>
      </c>
      <c r="B2149" t="s">
        <v>186</v>
      </c>
      <c r="C2149" s="96" t="s">
        <v>2710</v>
      </c>
      <c r="D2149">
        <v>45</v>
      </c>
      <c r="E2149">
        <f t="shared" si="23"/>
        <v>92.406515255792613</v>
      </c>
      <c r="F2149" s="18">
        <v>241.68</v>
      </c>
      <c r="G2149" s="18">
        <v>261.54000000000002</v>
      </c>
      <c r="H2149" t="s">
        <v>390</v>
      </c>
      <c r="I2149" t="s">
        <v>2714</v>
      </c>
      <c r="J2149">
        <v>3</v>
      </c>
    </row>
    <row r="2150" spans="1:15" ht="16">
      <c r="A2150" t="s">
        <v>203</v>
      </c>
      <c r="B2150" t="s">
        <v>186</v>
      </c>
      <c r="C2150" s="96" t="s">
        <v>2710</v>
      </c>
      <c r="D2150">
        <v>60</v>
      </c>
      <c r="E2150">
        <f t="shared" si="23"/>
        <v>91.44681501873518</v>
      </c>
      <c r="F2150" s="18">
        <v>239.17</v>
      </c>
      <c r="G2150" s="18">
        <v>261.54000000000002</v>
      </c>
      <c r="H2150" t="s">
        <v>390</v>
      </c>
      <c r="I2150" t="s">
        <v>2714</v>
      </c>
      <c r="J2150">
        <v>3</v>
      </c>
    </row>
    <row r="2151" spans="1:15" ht="16">
      <c r="A2151" t="s">
        <v>203</v>
      </c>
      <c r="B2151" t="s">
        <v>186</v>
      </c>
      <c r="C2151" s="96" t="s">
        <v>2710</v>
      </c>
      <c r="D2151">
        <v>90</v>
      </c>
      <c r="E2151">
        <f t="shared" si="23"/>
        <v>91.293874741913285</v>
      </c>
      <c r="F2151" s="18">
        <v>238.77</v>
      </c>
      <c r="G2151" s="18">
        <v>261.54000000000002</v>
      </c>
      <c r="H2151" t="s">
        <v>390</v>
      </c>
      <c r="I2151" t="s">
        <v>2714</v>
      </c>
      <c r="J2151">
        <v>3</v>
      </c>
    </row>
    <row r="2152" spans="1:15" ht="16">
      <c r="A2152" t="s">
        <v>203</v>
      </c>
      <c r="B2152" t="s">
        <v>186</v>
      </c>
      <c r="C2152" s="96" t="s">
        <v>2710</v>
      </c>
      <c r="D2152">
        <v>0</v>
      </c>
      <c r="E2152">
        <f t="shared" si="23"/>
        <v>100</v>
      </c>
      <c r="F2152" s="18">
        <v>262.73</v>
      </c>
      <c r="G2152" s="18">
        <v>262.73</v>
      </c>
      <c r="H2152" t="s">
        <v>390</v>
      </c>
      <c r="I2152" t="s">
        <v>2717</v>
      </c>
      <c r="J2152">
        <v>3</v>
      </c>
      <c r="K2152" t="s">
        <v>2862</v>
      </c>
      <c r="L2152" t="s">
        <v>2867</v>
      </c>
      <c r="M2152">
        <v>0.1003</v>
      </c>
      <c r="O2152">
        <v>0.99360000000000004</v>
      </c>
    </row>
    <row r="2153" spans="1:15" ht="16">
      <c r="A2153" t="s">
        <v>203</v>
      </c>
      <c r="B2153" t="s">
        <v>186</v>
      </c>
      <c r="C2153" s="96" t="s">
        <v>2710</v>
      </c>
      <c r="D2153">
        <v>1</v>
      </c>
      <c r="E2153">
        <f t="shared" si="23"/>
        <v>97.152970730407645</v>
      </c>
      <c r="F2153" s="18">
        <v>255.25</v>
      </c>
      <c r="G2153" s="18">
        <v>262.73</v>
      </c>
      <c r="H2153" t="s">
        <v>390</v>
      </c>
      <c r="I2153" t="s">
        <v>2717</v>
      </c>
      <c r="J2153">
        <v>3</v>
      </c>
    </row>
    <row r="2154" spans="1:15" ht="16">
      <c r="A2154" t="s">
        <v>203</v>
      </c>
      <c r="B2154" t="s">
        <v>186</v>
      </c>
      <c r="C2154" s="96" t="s">
        <v>2710</v>
      </c>
      <c r="D2154">
        <v>5</v>
      </c>
      <c r="E2154">
        <f t="shared" si="23"/>
        <v>93.099379591215296</v>
      </c>
      <c r="F2154" s="18">
        <v>244.6</v>
      </c>
      <c r="G2154" s="18">
        <v>262.73</v>
      </c>
      <c r="H2154" t="s">
        <v>390</v>
      </c>
      <c r="I2154" t="s">
        <v>2717</v>
      </c>
      <c r="J2154">
        <v>3</v>
      </c>
    </row>
    <row r="2155" spans="1:15" ht="16">
      <c r="A2155" t="s">
        <v>203</v>
      </c>
      <c r="B2155" t="s">
        <v>186</v>
      </c>
      <c r="C2155" s="96" t="s">
        <v>2710</v>
      </c>
      <c r="D2155">
        <v>10</v>
      </c>
      <c r="E2155">
        <f t="shared" si="23"/>
        <v>89.628135348075972</v>
      </c>
      <c r="F2155" s="18">
        <v>235.48</v>
      </c>
      <c r="G2155" s="18">
        <v>262.73</v>
      </c>
      <c r="H2155" t="s">
        <v>390</v>
      </c>
      <c r="I2155" t="s">
        <v>2717</v>
      </c>
      <c r="J2155">
        <v>3</v>
      </c>
    </row>
    <row r="2156" spans="1:15" ht="16">
      <c r="A2156" t="s">
        <v>203</v>
      </c>
      <c r="B2156" t="s">
        <v>186</v>
      </c>
      <c r="C2156" s="96" t="s">
        <v>2710</v>
      </c>
      <c r="D2156">
        <v>15</v>
      </c>
      <c r="E2156">
        <f t="shared" si="23"/>
        <v>87.782133749476642</v>
      </c>
      <c r="F2156" s="18">
        <v>230.63</v>
      </c>
      <c r="G2156" s="18">
        <v>262.73</v>
      </c>
      <c r="H2156" t="s">
        <v>390</v>
      </c>
      <c r="I2156" t="s">
        <v>2717</v>
      </c>
      <c r="J2156">
        <v>3</v>
      </c>
    </row>
    <row r="2157" spans="1:15" ht="16">
      <c r="A2157" t="s">
        <v>203</v>
      </c>
      <c r="B2157" t="s">
        <v>186</v>
      </c>
      <c r="C2157" s="96" t="s">
        <v>2710</v>
      </c>
      <c r="D2157">
        <v>20</v>
      </c>
      <c r="E2157">
        <f t="shared" si="23"/>
        <v>86.290107715144828</v>
      </c>
      <c r="F2157" s="18">
        <v>226.71</v>
      </c>
      <c r="G2157" s="18">
        <v>262.73</v>
      </c>
      <c r="H2157" t="s">
        <v>390</v>
      </c>
      <c r="I2157" t="s">
        <v>2717</v>
      </c>
      <c r="J2157">
        <v>3</v>
      </c>
    </row>
    <row r="2158" spans="1:15" ht="16">
      <c r="A2158" t="s">
        <v>203</v>
      </c>
      <c r="B2158" t="s">
        <v>186</v>
      </c>
      <c r="C2158" s="96" t="s">
        <v>2710</v>
      </c>
      <c r="D2158">
        <v>30</v>
      </c>
      <c r="E2158">
        <f t="shared" si="23"/>
        <v>85.171088189395959</v>
      </c>
      <c r="F2158" s="18">
        <v>223.77</v>
      </c>
      <c r="G2158" s="18">
        <v>262.73</v>
      </c>
      <c r="H2158" t="s">
        <v>390</v>
      </c>
      <c r="I2158" t="s">
        <v>2717</v>
      </c>
      <c r="J2158">
        <v>3</v>
      </c>
    </row>
    <row r="2159" spans="1:15" ht="16">
      <c r="A2159" t="s">
        <v>203</v>
      </c>
      <c r="B2159" t="s">
        <v>186</v>
      </c>
      <c r="C2159" s="96" t="s">
        <v>2710</v>
      </c>
      <c r="D2159">
        <v>45</v>
      </c>
      <c r="E2159">
        <f t="shared" si="23"/>
        <v>83.758992121189053</v>
      </c>
      <c r="F2159" s="18">
        <v>220.06</v>
      </c>
      <c r="G2159" s="18">
        <v>262.73</v>
      </c>
      <c r="H2159" t="s">
        <v>390</v>
      </c>
      <c r="I2159" t="s">
        <v>2717</v>
      </c>
      <c r="J2159">
        <v>3</v>
      </c>
    </row>
    <row r="2160" spans="1:15" ht="16">
      <c r="A2160" t="s">
        <v>203</v>
      </c>
      <c r="B2160" t="s">
        <v>186</v>
      </c>
      <c r="C2160" s="96" t="s">
        <v>2710</v>
      </c>
      <c r="D2160">
        <v>60</v>
      </c>
      <c r="E2160">
        <f t="shared" si="23"/>
        <v>84.189091462718366</v>
      </c>
      <c r="F2160" s="18">
        <v>221.19</v>
      </c>
      <c r="G2160" s="18">
        <v>262.73</v>
      </c>
      <c r="H2160" t="s">
        <v>390</v>
      </c>
      <c r="I2160" t="s">
        <v>2717</v>
      </c>
      <c r="J2160">
        <v>3</v>
      </c>
    </row>
    <row r="2161" spans="1:15" ht="16">
      <c r="A2161" t="s">
        <v>203</v>
      </c>
      <c r="B2161" t="s">
        <v>186</v>
      </c>
      <c r="C2161" s="96" t="s">
        <v>2710</v>
      </c>
      <c r="D2161">
        <v>90</v>
      </c>
      <c r="E2161">
        <f t="shared" si="23"/>
        <v>84.177672896129096</v>
      </c>
      <c r="F2161" s="18">
        <v>221.16</v>
      </c>
      <c r="G2161" s="18">
        <v>262.73</v>
      </c>
      <c r="H2161" t="s">
        <v>390</v>
      </c>
      <c r="I2161" t="s">
        <v>2717</v>
      </c>
      <c r="J2161">
        <v>3</v>
      </c>
    </row>
    <row r="2162" spans="1:15" ht="16">
      <c r="A2162" t="s">
        <v>2720</v>
      </c>
      <c r="B2162" t="s">
        <v>186</v>
      </c>
      <c r="C2162" t="s">
        <v>441</v>
      </c>
      <c r="D2162">
        <v>0</v>
      </c>
      <c r="E2162">
        <f t="shared" si="23"/>
        <v>100</v>
      </c>
      <c r="F2162" s="18">
        <v>6.9420000000000002</v>
      </c>
      <c r="G2162" s="18">
        <v>6.9420000000000002</v>
      </c>
      <c r="H2162" t="s">
        <v>1873</v>
      </c>
      <c r="J2162">
        <v>3</v>
      </c>
      <c r="K2162" t="s">
        <v>2862</v>
      </c>
      <c r="L2162" t="s">
        <v>2868</v>
      </c>
      <c r="M2162">
        <v>0.16619999999999999</v>
      </c>
      <c r="O2162">
        <v>0.94920000000000004</v>
      </c>
    </row>
    <row r="2163" spans="1:15" ht="16">
      <c r="A2163" t="s">
        <v>2720</v>
      </c>
      <c r="B2163" t="s">
        <v>186</v>
      </c>
      <c r="C2163" t="s">
        <v>441</v>
      </c>
      <c r="D2163">
        <v>2</v>
      </c>
      <c r="E2163">
        <f t="shared" si="23"/>
        <v>68.957072889657155</v>
      </c>
      <c r="F2163" s="18">
        <v>4.7869999999999999</v>
      </c>
      <c r="G2163" s="18">
        <v>6.9420000000000002</v>
      </c>
      <c r="H2163" t="s">
        <v>1873</v>
      </c>
      <c r="J2163">
        <v>3</v>
      </c>
    </row>
    <row r="2164" spans="1:15" ht="16">
      <c r="A2164" t="s">
        <v>2720</v>
      </c>
      <c r="B2164" t="s">
        <v>186</v>
      </c>
      <c r="C2164" t="s">
        <v>441</v>
      </c>
      <c r="D2164">
        <v>4</v>
      </c>
      <c r="E2164">
        <f t="shared" si="23"/>
        <v>57.087294727744165</v>
      </c>
      <c r="F2164" s="18">
        <v>3.9630000000000001</v>
      </c>
      <c r="G2164" s="18">
        <v>6.9420000000000002</v>
      </c>
      <c r="H2164" t="s">
        <v>1873</v>
      </c>
      <c r="J2164">
        <v>3</v>
      </c>
    </row>
    <row r="2165" spans="1:15" ht="16">
      <c r="A2165" t="s">
        <v>2720</v>
      </c>
      <c r="B2165" t="s">
        <v>186</v>
      </c>
      <c r="C2165" t="s">
        <v>441</v>
      </c>
      <c r="D2165">
        <v>8</v>
      </c>
      <c r="E2165">
        <f t="shared" si="23"/>
        <v>53.356381446269083</v>
      </c>
      <c r="F2165" s="18">
        <v>3.7040000000000002</v>
      </c>
      <c r="G2165" s="18">
        <v>6.9420000000000002</v>
      </c>
      <c r="H2165" t="s">
        <v>1873</v>
      </c>
      <c r="J2165">
        <v>3</v>
      </c>
    </row>
    <row r="2166" spans="1:15" ht="16">
      <c r="A2166" t="s">
        <v>2720</v>
      </c>
      <c r="B2166" t="s">
        <v>186</v>
      </c>
      <c r="C2166" t="s">
        <v>441</v>
      </c>
      <c r="D2166">
        <v>12</v>
      </c>
      <c r="E2166">
        <f t="shared" si="23"/>
        <v>41.4577931431864</v>
      </c>
      <c r="F2166" s="18">
        <v>2.8780000000000001</v>
      </c>
      <c r="G2166" s="18">
        <v>6.9420000000000002</v>
      </c>
      <c r="H2166" t="s">
        <v>1873</v>
      </c>
      <c r="J2166">
        <v>3</v>
      </c>
    </row>
    <row r="2167" spans="1:15" ht="16">
      <c r="A2167" t="s">
        <v>2720</v>
      </c>
      <c r="B2167" t="s">
        <v>186</v>
      </c>
      <c r="C2167" t="s">
        <v>441</v>
      </c>
      <c r="D2167">
        <v>20</v>
      </c>
      <c r="E2167">
        <f t="shared" si="23"/>
        <v>39.426678190723138</v>
      </c>
      <c r="F2167" s="18">
        <v>2.7370000000000001</v>
      </c>
      <c r="G2167" s="18">
        <v>6.9420000000000002</v>
      </c>
      <c r="H2167" t="s">
        <v>1873</v>
      </c>
      <c r="J2167">
        <v>3</v>
      </c>
    </row>
    <row r="2168" spans="1:15" ht="16">
      <c r="A2168" t="s">
        <v>2720</v>
      </c>
      <c r="B2168" t="s">
        <v>186</v>
      </c>
      <c r="C2168" t="s">
        <v>441</v>
      </c>
      <c r="D2168">
        <v>30</v>
      </c>
      <c r="E2168">
        <f t="shared" si="23"/>
        <v>33.880726015557471</v>
      </c>
      <c r="F2168" s="18">
        <v>2.3519999999999999</v>
      </c>
      <c r="G2168" s="18">
        <v>6.9420000000000002</v>
      </c>
      <c r="H2168" t="s">
        <v>1873</v>
      </c>
      <c r="J2168">
        <v>3</v>
      </c>
    </row>
    <row r="2169" spans="1:15" ht="16">
      <c r="A2169" t="s">
        <v>2720</v>
      </c>
      <c r="B2169" t="s">
        <v>186</v>
      </c>
      <c r="C2169" t="s">
        <v>441</v>
      </c>
      <c r="D2169">
        <v>40</v>
      </c>
      <c r="E2169">
        <f t="shared" si="23"/>
        <v>30.39469893402477</v>
      </c>
      <c r="F2169" s="18">
        <v>2.11</v>
      </c>
      <c r="G2169" s="18">
        <v>6.9420000000000002</v>
      </c>
      <c r="H2169" t="s">
        <v>1873</v>
      </c>
      <c r="J2169">
        <v>3</v>
      </c>
    </row>
    <row r="2170" spans="1:15" ht="16">
      <c r="A2170" t="s">
        <v>2720</v>
      </c>
      <c r="B2170" t="s">
        <v>186</v>
      </c>
      <c r="C2170" t="s">
        <v>441</v>
      </c>
      <c r="D2170">
        <v>65</v>
      </c>
      <c r="E2170">
        <f t="shared" si="23"/>
        <v>26.879861711322384</v>
      </c>
      <c r="F2170" s="18">
        <v>1.8660000000000001</v>
      </c>
      <c r="G2170" s="18">
        <v>6.9420000000000002</v>
      </c>
      <c r="H2170" t="s">
        <v>1873</v>
      </c>
      <c r="J2170">
        <v>3</v>
      </c>
    </row>
    <row r="2171" spans="1:15" ht="16">
      <c r="A2171" t="s">
        <v>2720</v>
      </c>
      <c r="B2171" t="s">
        <v>186</v>
      </c>
      <c r="C2171" t="s">
        <v>441</v>
      </c>
      <c r="D2171">
        <v>90</v>
      </c>
      <c r="E2171">
        <f t="shared" si="23"/>
        <v>26.721405934889081</v>
      </c>
      <c r="F2171" s="18">
        <v>1.855</v>
      </c>
      <c r="G2171" s="18">
        <v>6.9420000000000002</v>
      </c>
      <c r="H2171" t="s">
        <v>1873</v>
      </c>
      <c r="J2171">
        <v>3</v>
      </c>
    </row>
    <row r="2172" spans="1:15" ht="16">
      <c r="A2172" t="s">
        <v>2720</v>
      </c>
      <c r="B2172" t="s">
        <v>186</v>
      </c>
      <c r="C2172" t="s">
        <v>441</v>
      </c>
      <c r="D2172">
        <v>120</v>
      </c>
      <c r="E2172">
        <f t="shared" si="23"/>
        <v>26.116392970325553</v>
      </c>
      <c r="F2172" s="18">
        <v>1.8129999999999999</v>
      </c>
      <c r="G2172" s="18">
        <v>6.9420000000000002</v>
      </c>
      <c r="H2172" t="s">
        <v>1873</v>
      </c>
      <c r="J2172">
        <v>3</v>
      </c>
    </row>
    <row r="2173" spans="1:15" ht="16">
      <c r="A2173" t="s">
        <v>2820</v>
      </c>
      <c r="B2173" t="s">
        <v>186</v>
      </c>
      <c r="C2173" t="s">
        <v>2819</v>
      </c>
      <c r="D2173">
        <v>0</v>
      </c>
      <c r="E2173">
        <f t="shared" si="23"/>
        <v>100</v>
      </c>
      <c r="F2173" s="18">
        <v>100</v>
      </c>
      <c r="G2173" s="18">
        <v>100</v>
      </c>
      <c r="H2173" t="s">
        <v>2824</v>
      </c>
      <c r="J2173">
        <v>3</v>
      </c>
      <c r="K2173" s="96" t="s">
        <v>1385</v>
      </c>
      <c r="L2173" t="s">
        <v>2869</v>
      </c>
      <c r="M2173">
        <v>0.37980000000000003</v>
      </c>
      <c r="O2173">
        <v>0.98280000000000001</v>
      </c>
    </row>
    <row r="2174" spans="1:15" ht="16">
      <c r="A2174" t="s">
        <v>2820</v>
      </c>
      <c r="B2174" t="s">
        <v>186</v>
      </c>
      <c r="C2174" t="s">
        <v>2819</v>
      </c>
      <c r="D2174">
        <v>1</v>
      </c>
      <c r="E2174" s="18">
        <v>91.186999999999998</v>
      </c>
      <c r="F2174" s="18">
        <v>91.186999999999998</v>
      </c>
      <c r="G2174" s="18">
        <v>100</v>
      </c>
      <c r="H2174" t="s">
        <v>2824</v>
      </c>
      <c r="J2174">
        <v>3</v>
      </c>
    </row>
    <row r="2175" spans="1:15" ht="16">
      <c r="A2175" t="s">
        <v>2820</v>
      </c>
      <c r="B2175" t="s">
        <v>186</v>
      </c>
      <c r="C2175" t="s">
        <v>2819</v>
      </c>
      <c r="D2175">
        <v>2</v>
      </c>
      <c r="E2175" s="18">
        <v>81.62</v>
      </c>
      <c r="F2175" s="18">
        <v>81.62</v>
      </c>
      <c r="G2175" s="18">
        <v>100</v>
      </c>
      <c r="H2175" t="s">
        <v>2824</v>
      </c>
      <c r="J2175">
        <v>3</v>
      </c>
    </row>
    <row r="2176" spans="1:15" ht="16">
      <c r="A2176" t="s">
        <v>2820</v>
      </c>
      <c r="B2176" t="s">
        <v>186</v>
      </c>
      <c r="C2176" t="s">
        <v>2819</v>
      </c>
      <c r="D2176">
        <v>3</v>
      </c>
      <c r="E2176" s="18">
        <v>76.194999999999993</v>
      </c>
      <c r="F2176" s="18">
        <v>76.194999999999993</v>
      </c>
      <c r="G2176" s="18">
        <v>100</v>
      </c>
      <c r="H2176" t="s">
        <v>2824</v>
      </c>
      <c r="J2176">
        <v>3</v>
      </c>
    </row>
    <row r="2177" spans="1:15" ht="16">
      <c r="A2177" t="s">
        <v>2820</v>
      </c>
      <c r="B2177" t="s">
        <v>186</v>
      </c>
      <c r="C2177" t="s">
        <v>2819</v>
      </c>
      <c r="D2177">
        <v>6</v>
      </c>
      <c r="E2177" s="18">
        <v>64.628</v>
      </c>
      <c r="F2177" s="18">
        <v>64.628</v>
      </c>
      <c r="G2177" s="18">
        <v>100</v>
      </c>
      <c r="H2177" t="s">
        <v>2824</v>
      </c>
      <c r="J2177">
        <v>3</v>
      </c>
    </row>
    <row r="2178" spans="1:15" ht="16">
      <c r="A2178" t="s">
        <v>2820</v>
      </c>
      <c r="B2178" t="s">
        <v>186</v>
      </c>
      <c r="C2178" t="s">
        <v>2819</v>
      </c>
      <c r="D2178">
        <v>10</v>
      </c>
      <c r="E2178" s="18">
        <v>64.132999999999996</v>
      </c>
      <c r="F2178" s="18">
        <v>64.132999999999996</v>
      </c>
      <c r="G2178" s="18">
        <v>100</v>
      </c>
      <c r="H2178" s="30" t="s">
        <v>2824</v>
      </c>
      <c r="J2178">
        <v>3</v>
      </c>
    </row>
    <row r="2179" spans="1:15" ht="16">
      <c r="A2179" t="s">
        <v>2820</v>
      </c>
      <c r="B2179" t="s">
        <v>186</v>
      </c>
      <c r="C2179" t="s">
        <v>2819</v>
      </c>
      <c r="D2179">
        <v>14</v>
      </c>
      <c r="E2179" s="18">
        <v>66.444999999999993</v>
      </c>
      <c r="F2179" s="18">
        <v>66.444999999999993</v>
      </c>
      <c r="G2179" s="18">
        <v>100</v>
      </c>
      <c r="H2179" s="30" t="s">
        <v>2824</v>
      </c>
      <c r="J2179">
        <v>3</v>
      </c>
    </row>
    <row r="2180" spans="1:15" ht="16">
      <c r="A2180" t="s">
        <v>2846</v>
      </c>
      <c r="B2180" t="s">
        <v>184</v>
      </c>
      <c r="C2180" t="s">
        <v>441</v>
      </c>
      <c r="D2180">
        <v>0</v>
      </c>
      <c r="E2180" s="18">
        <v>100</v>
      </c>
      <c r="F2180" s="31">
        <v>100</v>
      </c>
      <c r="G2180" s="31">
        <v>100</v>
      </c>
      <c r="H2180" s="30" t="s">
        <v>2824</v>
      </c>
      <c r="J2180">
        <v>3</v>
      </c>
      <c r="K2180" s="96" t="s">
        <v>1385</v>
      </c>
      <c r="L2180" t="s">
        <v>2870</v>
      </c>
      <c r="M2180">
        <v>0.1031</v>
      </c>
      <c r="O2180">
        <v>0.99109999999999998</v>
      </c>
    </row>
    <row r="2181" spans="1:15" ht="16">
      <c r="A2181" t="s">
        <v>2846</v>
      </c>
      <c r="B2181" t="s">
        <v>184</v>
      </c>
      <c r="C2181" t="s">
        <v>441</v>
      </c>
      <c r="D2181">
        <v>20</v>
      </c>
      <c r="E2181" s="18">
        <v>37.788899999999998</v>
      </c>
      <c r="F2181" s="18">
        <v>37.788899999999998</v>
      </c>
      <c r="G2181" s="31">
        <v>100</v>
      </c>
      <c r="H2181" s="30" t="s">
        <v>2824</v>
      </c>
      <c r="J2181">
        <v>3</v>
      </c>
    </row>
    <row r="2182" spans="1:15" ht="16">
      <c r="A2182" t="s">
        <v>2846</v>
      </c>
      <c r="B2182" t="s">
        <v>184</v>
      </c>
      <c r="C2182" t="s">
        <v>441</v>
      </c>
      <c r="D2182">
        <v>50</v>
      </c>
      <c r="E2182" s="18">
        <v>33.739600000000003</v>
      </c>
      <c r="F2182" s="18">
        <v>33.739600000000003</v>
      </c>
      <c r="G2182" s="31">
        <v>100</v>
      </c>
      <c r="H2182" s="30" t="s">
        <v>2824</v>
      </c>
      <c r="J2182">
        <v>3</v>
      </c>
    </row>
    <row r="2183" spans="1:15" ht="16">
      <c r="A2183" t="s">
        <v>2846</v>
      </c>
      <c r="B2183" t="s">
        <v>184</v>
      </c>
      <c r="C2183" t="s">
        <v>441</v>
      </c>
      <c r="D2183">
        <v>100</v>
      </c>
      <c r="E2183" s="18">
        <v>29.7347</v>
      </c>
      <c r="F2183" s="18">
        <v>29.7347</v>
      </c>
      <c r="G2183" s="31">
        <v>100</v>
      </c>
      <c r="H2183" s="30" t="s">
        <v>2824</v>
      </c>
      <c r="J2183">
        <v>3</v>
      </c>
    </row>
    <row r="2184" spans="1:15" ht="16">
      <c r="A2184" t="s">
        <v>2846</v>
      </c>
      <c r="B2184" t="s">
        <v>184</v>
      </c>
      <c r="C2184" t="s">
        <v>441</v>
      </c>
      <c r="D2184">
        <v>200</v>
      </c>
      <c r="E2184" s="18">
        <v>25.12</v>
      </c>
      <c r="F2184" s="18">
        <v>25.12</v>
      </c>
      <c r="G2184" s="31">
        <v>100</v>
      </c>
      <c r="H2184" s="30" t="s">
        <v>2824</v>
      </c>
      <c r="J2184">
        <v>3</v>
      </c>
    </row>
    <row r="2185" spans="1:15" ht="16">
      <c r="A2185" t="s">
        <v>2854</v>
      </c>
      <c r="B2185" t="s">
        <v>1637</v>
      </c>
      <c r="C2185" t="s">
        <v>2710</v>
      </c>
      <c r="D2185">
        <v>0</v>
      </c>
      <c r="E2185" s="18">
        <f t="shared" ref="E2185:E2216" si="24">F2185/G2185*100</f>
        <v>100</v>
      </c>
      <c r="F2185" s="30">
        <v>2.5</v>
      </c>
      <c r="G2185" s="31">
        <v>2.5</v>
      </c>
      <c r="H2185" s="30" t="s">
        <v>2855</v>
      </c>
      <c r="I2185" t="s">
        <v>427</v>
      </c>
      <c r="J2185">
        <v>3</v>
      </c>
      <c r="K2185" s="96" t="s">
        <v>1385</v>
      </c>
      <c r="L2185" t="s">
        <v>2871</v>
      </c>
      <c r="M2185">
        <v>0.34899999999999998</v>
      </c>
      <c r="O2185">
        <v>0.98180000000000001</v>
      </c>
    </row>
    <row r="2186" spans="1:15" ht="16">
      <c r="A2186" t="s">
        <v>2854</v>
      </c>
      <c r="B2186" t="s">
        <v>1637</v>
      </c>
      <c r="C2186" t="s">
        <v>2710</v>
      </c>
      <c r="D2186">
        <v>3</v>
      </c>
      <c r="E2186" s="18">
        <f t="shared" si="24"/>
        <v>70.44</v>
      </c>
      <c r="F2186" s="30">
        <v>1.7609999999999999</v>
      </c>
      <c r="G2186" s="31">
        <v>2.5</v>
      </c>
      <c r="H2186" s="30" t="s">
        <v>2855</v>
      </c>
      <c r="I2186" t="s">
        <v>427</v>
      </c>
      <c r="J2186">
        <v>3</v>
      </c>
    </row>
    <row r="2187" spans="1:15" ht="16">
      <c r="A2187" t="s">
        <v>2854</v>
      </c>
      <c r="B2187" t="s">
        <v>1637</v>
      </c>
      <c r="C2187" t="s">
        <v>2710</v>
      </c>
      <c r="D2187">
        <v>6</v>
      </c>
      <c r="E2187" s="18">
        <f t="shared" si="24"/>
        <v>65.239999999999995</v>
      </c>
      <c r="F2187" s="30">
        <v>1.631</v>
      </c>
      <c r="G2187" s="31">
        <v>2.5</v>
      </c>
      <c r="H2187" s="30" t="s">
        <v>2855</v>
      </c>
      <c r="I2187" t="s">
        <v>427</v>
      </c>
      <c r="J2187">
        <v>3</v>
      </c>
    </row>
    <row r="2188" spans="1:15" ht="16">
      <c r="A2188" t="s">
        <v>2854</v>
      </c>
      <c r="B2188" t="s">
        <v>1637</v>
      </c>
      <c r="C2188" t="s">
        <v>2710</v>
      </c>
      <c r="D2188">
        <v>10</v>
      </c>
      <c r="E2188" s="18">
        <f t="shared" si="24"/>
        <v>55.919999999999995</v>
      </c>
      <c r="F2188" s="30">
        <v>1.3979999999999999</v>
      </c>
      <c r="G2188" s="31">
        <v>2.5</v>
      </c>
      <c r="H2188" s="30" t="s">
        <v>2855</v>
      </c>
      <c r="I2188" t="s">
        <v>427</v>
      </c>
      <c r="J2188">
        <v>3</v>
      </c>
    </row>
    <row r="2189" spans="1:15" ht="16">
      <c r="A2189" t="s">
        <v>2854</v>
      </c>
      <c r="B2189" t="s">
        <v>1637</v>
      </c>
      <c r="C2189" t="s">
        <v>2710</v>
      </c>
      <c r="D2189">
        <v>13</v>
      </c>
      <c r="E2189" s="18">
        <f t="shared" si="24"/>
        <v>59.96</v>
      </c>
      <c r="F2189" s="30">
        <v>1.4990000000000001</v>
      </c>
      <c r="G2189" s="31">
        <v>2.5</v>
      </c>
      <c r="H2189" s="30" t="s">
        <v>2855</v>
      </c>
      <c r="I2189" t="s">
        <v>427</v>
      </c>
      <c r="J2189">
        <v>3</v>
      </c>
    </row>
    <row r="2190" spans="1:15" ht="16">
      <c r="A2190" t="s">
        <v>2854</v>
      </c>
      <c r="B2190" t="s">
        <v>1637</v>
      </c>
      <c r="C2190" t="s">
        <v>2710</v>
      </c>
      <c r="D2190">
        <v>18</v>
      </c>
      <c r="E2190" s="18">
        <f t="shared" si="24"/>
        <v>55.599999999999994</v>
      </c>
      <c r="F2190" s="30">
        <v>1.39</v>
      </c>
      <c r="G2190" s="31">
        <v>2.5</v>
      </c>
      <c r="H2190" s="30" t="s">
        <v>2855</v>
      </c>
      <c r="I2190" t="s">
        <v>427</v>
      </c>
      <c r="J2190">
        <v>3</v>
      </c>
      <c r="K2190" s="96" t="s">
        <v>2232</v>
      </c>
    </row>
    <row r="2191" spans="1:15" ht="16">
      <c r="A2191" t="s">
        <v>2854</v>
      </c>
      <c r="B2191" t="s">
        <v>1637</v>
      </c>
      <c r="C2191" t="s">
        <v>2710</v>
      </c>
      <c r="D2191">
        <v>0</v>
      </c>
      <c r="E2191" s="18">
        <f t="shared" si="24"/>
        <v>100</v>
      </c>
      <c r="F2191" s="30">
        <v>2.5</v>
      </c>
      <c r="G2191" s="31">
        <v>2.5</v>
      </c>
      <c r="H2191" s="30" t="s">
        <v>2855</v>
      </c>
      <c r="I2191" t="s">
        <v>2856</v>
      </c>
      <c r="J2191">
        <v>3</v>
      </c>
    </row>
    <row r="2192" spans="1:15" ht="16">
      <c r="A2192" t="s">
        <v>2854</v>
      </c>
      <c r="B2192" t="s">
        <v>1637</v>
      </c>
      <c r="C2192" t="s">
        <v>2710</v>
      </c>
      <c r="D2192">
        <v>3</v>
      </c>
      <c r="E2192" s="18">
        <f t="shared" si="24"/>
        <v>55.36</v>
      </c>
      <c r="F2192" s="30">
        <v>1.3839999999999999</v>
      </c>
      <c r="G2192" s="31">
        <v>2.5</v>
      </c>
      <c r="H2192" s="30" t="s">
        <v>2855</v>
      </c>
      <c r="I2192" t="s">
        <v>2856</v>
      </c>
      <c r="J2192">
        <v>3</v>
      </c>
    </row>
    <row r="2193" spans="1:15" ht="16">
      <c r="A2193" t="s">
        <v>2854</v>
      </c>
      <c r="B2193" t="s">
        <v>1637</v>
      </c>
      <c r="C2193" t="s">
        <v>2710</v>
      </c>
      <c r="D2193">
        <v>6</v>
      </c>
      <c r="E2193" s="18">
        <f t="shared" si="24"/>
        <v>44.88</v>
      </c>
      <c r="F2193" s="30">
        <v>1.1220000000000001</v>
      </c>
      <c r="G2193" s="31">
        <v>2.5</v>
      </c>
      <c r="H2193" s="30" t="s">
        <v>2855</v>
      </c>
      <c r="I2193" t="s">
        <v>2856</v>
      </c>
      <c r="J2193">
        <v>3</v>
      </c>
    </row>
    <row r="2194" spans="1:15" ht="16">
      <c r="A2194" t="s">
        <v>2854</v>
      </c>
      <c r="B2194" t="s">
        <v>1637</v>
      </c>
      <c r="C2194" t="s">
        <v>2710</v>
      </c>
      <c r="D2194">
        <v>10</v>
      </c>
      <c r="E2194" s="18">
        <f t="shared" si="24"/>
        <v>57.68</v>
      </c>
      <c r="F2194" s="30">
        <v>1.4419999999999999</v>
      </c>
      <c r="G2194" s="31">
        <v>2.5</v>
      </c>
      <c r="H2194" s="30" t="s">
        <v>2855</v>
      </c>
      <c r="I2194" t="s">
        <v>2856</v>
      </c>
      <c r="J2194">
        <v>3</v>
      </c>
    </row>
    <row r="2195" spans="1:15" ht="16">
      <c r="A2195" t="s">
        <v>2854</v>
      </c>
      <c r="B2195" t="s">
        <v>1637</v>
      </c>
      <c r="C2195" t="s">
        <v>2710</v>
      </c>
      <c r="D2195">
        <v>13</v>
      </c>
      <c r="E2195" s="18">
        <f t="shared" si="24"/>
        <v>54.960000000000008</v>
      </c>
      <c r="F2195" s="30">
        <v>1.3740000000000001</v>
      </c>
      <c r="G2195" s="31">
        <v>2.5</v>
      </c>
      <c r="H2195" s="30" t="s">
        <v>2855</v>
      </c>
      <c r="I2195" t="s">
        <v>2856</v>
      </c>
      <c r="J2195">
        <v>3</v>
      </c>
    </row>
    <row r="2196" spans="1:15" ht="16">
      <c r="A2196" t="s">
        <v>2854</v>
      </c>
      <c r="B2196" t="s">
        <v>1637</v>
      </c>
      <c r="C2196" t="s">
        <v>2710</v>
      </c>
      <c r="D2196">
        <v>18</v>
      </c>
      <c r="E2196" s="18">
        <f t="shared" si="24"/>
        <v>69.28</v>
      </c>
      <c r="F2196" s="30">
        <v>1.732</v>
      </c>
      <c r="G2196" s="31">
        <v>2.5</v>
      </c>
      <c r="H2196" s="30" t="s">
        <v>2855</v>
      </c>
      <c r="I2196" t="s">
        <v>2856</v>
      </c>
      <c r="J2196">
        <v>3</v>
      </c>
    </row>
    <row r="2197" spans="1:15" ht="16">
      <c r="A2197" t="s">
        <v>2854</v>
      </c>
      <c r="B2197" t="s">
        <v>1637</v>
      </c>
      <c r="C2197" t="s">
        <v>2710</v>
      </c>
      <c r="D2197">
        <v>0</v>
      </c>
      <c r="E2197" s="18">
        <f t="shared" si="24"/>
        <v>100</v>
      </c>
      <c r="F2197" s="30">
        <v>2.5</v>
      </c>
      <c r="G2197" s="31">
        <v>2.5</v>
      </c>
      <c r="H2197" s="30" t="s">
        <v>2855</v>
      </c>
      <c r="I2197" t="s">
        <v>2857</v>
      </c>
      <c r="J2197">
        <v>3</v>
      </c>
      <c r="K2197" t="s">
        <v>181</v>
      </c>
      <c r="L2197" t="s">
        <v>2872</v>
      </c>
      <c r="N2197">
        <v>2.0937000000000001</v>
      </c>
      <c r="O2197">
        <v>0.80449999999999999</v>
      </c>
    </row>
    <row r="2198" spans="1:15" ht="16">
      <c r="A2198" t="s">
        <v>2854</v>
      </c>
      <c r="B2198" t="s">
        <v>1637</v>
      </c>
      <c r="C2198" t="s">
        <v>2710</v>
      </c>
      <c r="D2198">
        <v>3</v>
      </c>
      <c r="E2198" s="18">
        <f t="shared" si="24"/>
        <v>74.8</v>
      </c>
      <c r="F2198" s="30">
        <v>1.87</v>
      </c>
      <c r="G2198" s="31">
        <v>2.5</v>
      </c>
      <c r="H2198" s="30" t="s">
        <v>2855</v>
      </c>
      <c r="I2198" t="s">
        <v>2857</v>
      </c>
      <c r="J2198">
        <v>3</v>
      </c>
    </row>
    <row r="2199" spans="1:15" ht="16">
      <c r="A2199" t="s">
        <v>2854</v>
      </c>
      <c r="B2199" t="s">
        <v>1637</v>
      </c>
      <c r="C2199" t="s">
        <v>2710</v>
      </c>
      <c r="D2199">
        <v>6</v>
      </c>
      <c r="E2199" s="18">
        <f t="shared" si="24"/>
        <v>84.559999999999988</v>
      </c>
      <c r="F2199" s="30">
        <v>2.1139999999999999</v>
      </c>
      <c r="G2199" s="31">
        <v>2.5</v>
      </c>
      <c r="H2199" s="30" t="s">
        <v>2855</v>
      </c>
      <c r="I2199" t="s">
        <v>2857</v>
      </c>
      <c r="J2199">
        <v>3</v>
      </c>
    </row>
    <row r="2200" spans="1:15" ht="16">
      <c r="A2200" t="s">
        <v>2854</v>
      </c>
      <c r="B2200" t="s">
        <v>1637</v>
      </c>
      <c r="C2200" t="s">
        <v>2710</v>
      </c>
      <c r="D2200">
        <v>10</v>
      </c>
      <c r="E2200" s="18">
        <f t="shared" si="24"/>
        <v>76</v>
      </c>
      <c r="F2200" s="30">
        <v>1.9</v>
      </c>
      <c r="G2200" s="31">
        <v>2.5</v>
      </c>
      <c r="H2200" s="30" t="s">
        <v>2855</v>
      </c>
      <c r="I2200" t="s">
        <v>2857</v>
      </c>
      <c r="J2200">
        <v>3</v>
      </c>
    </row>
    <row r="2201" spans="1:15" ht="16">
      <c r="A2201" t="s">
        <v>2854</v>
      </c>
      <c r="B2201" t="s">
        <v>1637</v>
      </c>
      <c r="C2201" t="s">
        <v>2710</v>
      </c>
      <c r="D2201">
        <v>13</v>
      </c>
      <c r="E2201" s="18">
        <f t="shared" si="24"/>
        <v>69.28</v>
      </c>
      <c r="F2201" s="30">
        <v>1.732</v>
      </c>
      <c r="G2201" s="31">
        <v>2.5</v>
      </c>
      <c r="H2201" s="30" t="s">
        <v>2855</v>
      </c>
      <c r="I2201" t="s">
        <v>2857</v>
      </c>
      <c r="J2201">
        <v>3</v>
      </c>
    </row>
    <row r="2202" spans="1:15" ht="16">
      <c r="A2202" t="s">
        <v>2854</v>
      </c>
      <c r="B2202" t="s">
        <v>1637</v>
      </c>
      <c r="C2202" t="s">
        <v>2710</v>
      </c>
      <c r="D2202">
        <v>18</v>
      </c>
      <c r="E2202" s="18">
        <f t="shared" si="24"/>
        <v>53.400000000000006</v>
      </c>
      <c r="F2202" s="30">
        <v>1.335</v>
      </c>
      <c r="G2202" s="31">
        <v>2.5</v>
      </c>
      <c r="H2202" s="30" t="s">
        <v>2855</v>
      </c>
      <c r="I2202" t="s">
        <v>2857</v>
      </c>
      <c r="J2202">
        <v>3</v>
      </c>
    </row>
    <row r="2203" spans="1:15" ht="16">
      <c r="A2203" t="s">
        <v>2854</v>
      </c>
      <c r="B2203" t="s">
        <v>1637</v>
      </c>
      <c r="C2203" t="s">
        <v>2710</v>
      </c>
      <c r="D2203">
        <v>0</v>
      </c>
      <c r="E2203" s="18">
        <f t="shared" si="24"/>
        <v>100</v>
      </c>
      <c r="F2203" s="30">
        <v>2.5</v>
      </c>
      <c r="G2203" s="31">
        <v>2.5</v>
      </c>
      <c r="H2203" s="30" t="s">
        <v>2855</v>
      </c>
      <c r="I2203" t="s">
        <v>2858</v>
      </c>
      <c r="J2203">
        <v>3</v>
      </c>
      <c r="K2203" s="97" t="s">
        <v>1396</v>
      </c>
      <c r="L2203" t="s">
        <v>2873</v>
      </c>
      <c r="N2203" s="96">
        <v>2.0430000000000001</v>
      </c>
      <c r="O2203" s="96">
        <v>0.84719999999999995</v>
      </c>
    </row>
    <row r="2204" spans="1:15" ht="16">
      <c r="A2204" t="s">
        <v>2854</v>
      </c>
      <c r="B2204" t="s">
        <v>1637</v>
      </c>
      <c r="C2204" t="s">
        <v>2710</v>
      </c>
      <c r="D2204">
        <v>3</v>
      </c>
      <c r="E2204" s="18">
        <f t="shared" si="24"/>
        <v>81.64</v>
      </c>
      <c r="F2204" s="30">
        <v>2.0409999999999999</v>
      </c>
      <c r="G2204" s="31">
        <v>2.5</v>
      </c>
      <c r="H2204" s="30" t="s">
        <v>2855</v>
      </c>
      <c r="I2204" t="s">
        <v>2858</v>
      </c>
      <c r="J2204">
        <v>3</v>
      </c>
    </row>
    <row r="2205" spans="1:15" ht="16">
      <c r="A2205" t="s">
        <v>2854</v>
      </c>
      <c r="B2205" t="s">
        <v>1637</v>
      </c>
      <c r="C2205" t="s">
        <v>2710</v>
      </c>
      <c r="D2205">
        <v>6</v>
      </c>
      <c r="E2205" s="18">
        <f t="shared" si="24"/>
        <v>75.039999999999992</v>
      </c>
      <c r="F2205" s="30">
        <v>1.8759999999999999</v>
      </c>
      <c r="G2205" s="31">
        <v>2.5</v>
      </c>
      <c r="H2205" s="30" t="s">
        <v>2855</v>
      </c>
      <c r="I2205" t="s">
        <v>2858</v>
      </c>
      <c r="J2205">
        <v>3</v>
      </c>
    </row>
    <row r="2206" spans="1:15" ht="16">
      <c r="A2206" t="s">
        <v>2854</v>
      </c>
      <c r="B2206" t="s">
        <v>1637</v>
      </c>
      <c r="C2206" t="s">
        <v>2710</v>
      </c>
      <c r="D2206">
        <v>10</v>
      </c>
      <c r="E2206" s="18">
        <f t="shared" si="24"/>
        <v>65.199999999999989</v>
      </c>
      <c r="F2206" s="30">
        <v>1.63</v>
      </c>
      <c r="G2206" s="31">
        <v>2.5</v>
      </c>
      <c r="H2206" s="30" t="s">
        <v>2855</v>
      </c>
      <c r="I2206" t="s">
        <v>2858</v>
      </c>
      <c r="J2206">
        <v>3</v>
      </c>
    </row>
    <row r="2207" spans="1:15" ht="16">
      <c r="A2207" t="s">
        <v>2854</v>
      </c>
      <c r="B2207" t="s">
        <v>1637</v>
      </c>
      <c r="C2207" t="s">
        <v>2710</v>
      </c>
      <c r="D2207">
        <v>13</v>
      </c>
      <c r="E2207" s="18">
        <f t="shared" si="24"/>
        <v>69.320000000000007</v>
      </c>
      <c r="F2207" s="30">
        <v>1.7330000000000001</v>
      </c>
      <c r="G2207" s="31">
        <v>2.5</v>
      </c>
      <c r="H2207" s="30" t="s">
        <v>2855</v>
      </c>
      <c r="I2207" t="s">
        <v>2858</v>
      </c>
      <c r="J2207">
        <v>3</v>
      </c>
    </row>
    <row r="2208" spans="1:15" ht="16">
      <c r="A2208" t="s">
        <v>2854</v>
      </c>
      <c r="B2208" t="s">
        <v>1637</v>
      </c>
      <c r="C2208" t="s">
        <v>2710</v>
      </c>
      <c r="D2208">
        <v>18</v>
      </c>
      <c r="E2208" s="18">
        <f t="shared" si="24"/>
        <v>57.879999999999995</v>
      </c>
      <c r="F2208" s="30">
        <v>1.4470000000000001</v>
      </c>
      <c r="G2208" s="31">
        <v>2.5</v>
      </c>
      <c r="H2208" s="30" t="s">
        <v>2855</v>
      </c>
      <c r="I2208" t="s">
        <v>2858</v>
      </c>
      <c r="J2208">
        <v>3</v>
      </c>
    </row>
    <row r="2209" spans="1:15" ht="16">
      <c r="A2209" t="s">
        <v>3011</v>
      </c>
      <c r="B2209" t="s">
        <v>186</v>
      </c>
      <c r="C2209" t="s">
        <v>441</v>
      </c>
      <c r="D2209">
        <v>0</v>
      </c>
      <c r="E2209" s="18">
        <f t="shared" si="24"/>
        <v>100</v>
      </c>
      <c r="F2209" s="18">
        <v>6.0087999999999999</v>
      </c>
      <c r="G2209" s="18">
        <v>6.0087999999999999</v>
      </c>
      <c r="H2209" s="30" t="s">
        <v>1873</v>
      </c>
      <c r="I2209" s="96" t="s">
        <v>2724</v>
      </c>
      <c r="J2209">
        <v>3</v>
      </c>
      <c r="K2209" t="s">
        <v>2566</v>
      </c>
    </row>
    <row r="2210" spans="1:15" ht="16">
      <c r="A2210" t="s">
        <v>3011</v>
      </c>
      <c r="B2210" t="s">
        <v>186</v>
      </c>
      <c r="C2210" t="s">
        <v>441</v>
      </c>
      <c r="D2210">
        <v>1</v>
      </c>
      <c r="E2210" s="18">
        <f t="shared" si="24"/>
        <v>104.26374650512582</v>
      </c>
      <c r="F2210" s="18">
        <v>6.2649999999999997</v>
      </c>
      <c r="G2210" s="18">
        <v>6.0087999999999999</v>
      </c>
      <c r="H2210" s="30" t="s">
        <v>1873</v>
      </c>
      <c r="I2210" s="96" t="s">
        <v>2724</v>
      </c>
      <c r="J2210">
        <v>3</v>
      </c>
    </row>
    <row r="2211" spans="1:15" ht="16">
      <c r="A2211" t="s">
        <v>3011</v>
      </c>
      <c r="B2211" t="s">
        <v>186</v>
      </c>
      <c r="C2211" t="s">
        <v>441</v>
      </c>
      <c r="D2211">
        <v>3</v>
      </c>
      <c r="E2211" s="18">
        <f t="shared" si="24"/>
        <v>93.096791372653456</v>
      </c>
      <c r="F2211" s="18">
        <v>5.5940000000000003</v>
      </c>
      <c r="G2211" s="18">
        <v>6.0087999999999999</v>
      </c>
      <c r="H2211" s="30" t="s">
        <v>1873</v>
      </c>
      <c r="I2211" s="96" t="s">
        <v>2724</v>
      </c>
      <c r="J2211">
        <v>3</v>
      </c>
    </row>
    <row r="2212" spans="1:15" ht="16">
      <c r="A2212" t="s">
        <v>3011</v>
      </c>
      <c r="B2212" t="s">
        <v>186</v>
      </c>
      <c r="C2212" t="s">
        <v>441</v>
      </c>
      <c r="D2212">
        <v>5</v>
      </c>
      <c r="E2212" s="18">
        <f t="shared" si="24"/>
        <v>97.773265876714149</v>
      </c>
      <c r="F2212" s="18">
        <v>5.875</v>
      </c>
      <c r="G2212" s="18">
        <v>6.0087999999999999</v>
      </c>
      <c r="H2212" s="30" t="s">
        <v>1873</v>
      </c>
      <c r="I2212" s="96" t="s">
        <v>2724</v>
      </c>
      <c r="J2212">
        <v>3</v>
      </c>
    </row>
    <row r="2213" spans="1:15" ht="16">
      <c r="A2213" t="s">
        <v>3011</v>
      </c>
      <c r="B2213" t="s">
        <v>186</v>
      </c>
      <c r="C2213" t="s">
        <v>441</v>
      </c>
      <c r="D2213">
        <v>0</v>
      </c>
      <c r="E2213" s="18">
        <f t="shared" si="24"/>
        <v>100</v>
      </c>
      <c r="F2213" s="18">
        <v>5.1239999999999997</v>
      </c>
      <c r="G2213" s="18">
        <v>5.1239999999999997</v>
      </c>
      <c r="H2213" s="30" t="s">
        <v>1873</v>
      </c>
      <c r="I2213" s="96" t="s">
        <v>3010</v>
      </c>
      <c r="J2213">
        <v>3</v>
      </c>
      <c r="K2213" t="s">
        <v>2232</v>
      </c>
    </row>
    <row r="2214" spans="1:15" ht="16">
      <c r="A2214" t="s">
        <v>3011</v>
      </c>
      <c r="B2214" t="s">
        <v>186</v>
      </c>
      <c r="C2214" t="s">
        <v>441</v>
      </c>
      <c r="D2214">
        <v>1</v>
      </c>
      <c r="E2214" s="18">
        <f t="shared" si="24"/>
        <v>99.063231850117091</v>
      </c>
      <c r="F2214" s="18">
        <v>5.0759999999999996</v>
      </c>
      <c r="G2214" s="18">
        <v>5.1239999999999997</v>
      </c>
      <c r="H2214" s="30" t="s">
        <v>1873</v>
      </c>
      <c r="I2214" s="96" t="s">
        <v>3010</v>
      </c>
      <c r="J2214">
        <v>3</v>
      </c>
    </row>
    <row r="2215" spans="1:15" ht="16">
      <c r="A2215" t="s">
        <v>3011</v>
      </c>
      <c r="B2215" t="s">
        <v>186</v>
      </c>
      <c r="C2215" t="s">
        <v>441</v>
      </c>
      <c r="D2215">
        <v>3</v>
      </c>
      <c r="E2215" s="18">
        <f t="shared" si="24"/>
        <v>117.09601873536299</v>
      </c>
      <c r="F2215" s="18">
        <v>6</v>
      </c>
      <c r="G2215" s="18">
        <v>5.1239999999999997</v>
      </c>
      <c r="H2215" s="30" t="s">
        <v>1873</v>
      </c>
      <c r="I2215" s="96" t="s">
        <v>3010</v>
      </c>
      <c r="J2215">
        <v>3</v>
      </c>
    </row>
    <row r="2216" spans="1:15" ht="16">
      <c r="A2216" t="s">
        <v>3011</v>
      </c>
      <c r="B2216" t="s">
        <v>186</v>
      </c>
      <c r="C2216" t="s">
        <v>441</v>
      </c>
      <c r="D2216">
        <v>5</v>
      </c>
      <c r="E2216" s="18">
        <f t="shared" si="24"/>
        <v>96.50663544106169</v>
      </c>
      <c r="F2216" s="18">
        <v>4.9450000000000003</v>
      </c>
      <c r="G2216" s="18">
        <v>5.1239999999999997</v>
      </c>
      <c r="H2216" s="30" t="s">
        <v>1873</v>
      </c>
      <c r="I2216" s="96" t="s">
        <v>3010</v>
      </c>
      <c r="J2216">
        <v>3</v>
      </c>
    </row>
    <row r="2217" spans="1:15" ht="16">
      <c r="A2217" t="s">
        <v>3020</v>
      </c>
      <c r="B2217" t="s">
        <v>1637</v>
      </c>
      <c r="C2217" s="96" t="s">
        <v>2536</v>
      </c>
      <c r="D2217">
        <v>0</v>
      </c>
      <c r="E2217" s="18">
        <v>100</v>
      </c>
      <c r="F2217" s="18">
        <v>90</v>
      </c>
      <c r="G2217" s="18">
        <v>90</v>
      </c>
      <c r="H2217" s="30" t="s">
        <v>3021</v>
      </c>
      <c r="I2217" s="96" t="s">
        <v>3023</v>
      </c>
      <c r="J2217" s="18">
        <v>4</v>
      </c>
      <c r="K2217" t="s">
        <v>2208</v>
      </c>
      <c r="L2217" t="s">
        <v>3071</v>
      </c>
      <c r="M2217">
        <v>0.67700000000000005</v>
      </c>
      <c r="O2217">
        <v>0.98480000000000001</v>
      </c>
    </row>
    <row r="2218" spans="1:15" ht="16">
      <c r="A2218" t="s">
        <v>3020</v>
      </c>
      <c r="B2218" t="s">
        <v>1637</v>
      </c>
      <c r="C2218" s="96" t="s">
        <v>2536</v>
      </c>
      <c r="D2218">
        <v>3</v>
      </c>
      <c r="E2218" s="18">
        <f t="shared" ref="E2218:E2232" si="25">F2218/G2218*100</f>
        <v>12.67</v>
      </c>
      <c r="F2218" s="18">
        <v>11.403</v>
      </c>
      <c r="G2218" s="18">
        <v>90</v>
      </c>
      <c r="H2218" s="30" t="s">
        <v>3021</v>
      </c>
      <c r="I2218" s="96" t="s">
        <v>3023</v>
      </c>
      <c r="J2218" s="18">
        <v>4</v>
      </c>
    </row>
    <row r="2219" spans="1:15" ht="16">
      <c r="A2219" t="s">
        <v>3020</v>
      </c>
      <c r="B2219" t="s">
        <v>1637</v>
      </c>
      <c r="C2219" s="96" t="s">
        <v>2536</v>
      </c>
      <c r="D2219">
        <v>9</v>
      </c>
      <c r="E2219" s="18">
        <f t="shared" si="25"/>
        <v>8.3811111111111121</v>
      </c>
      <c r="F2219" s="18">
        <v>7.5430000000000001</v>
      </c>
      <c r="G2219" s="18">
        <v>90</v>
      </c>
      <c r="H2219" s="30" t="s">
        <v>3021</v>
      </c>
      <c r="I2219" s="96" t="s">
        <v>3023</v>
      </c>
      <c r="J2219" s="18">
        <v>4</v>
      </c>
    </row>
    <row r="2220" spans="1:15" ht="16">
      <c r="A2220" t="s">
        <v>3020</v>
      </c>
      <c r="B2220" t="s">
        <v>1637</v>
      </c>
      <c r="C2220" s="96" t="s">
        <v>2536</v>
      </c>
      <c r="D2220">
        <v>20</v>
      </c>
      <c r="E2220" s="18">
        <f t="shared" si="25"/>
        <v>5.3633333333333333</v>
      </c>
      <c r="F2220" s="18">
        <v>4.827</v>
      </c>
      <c r="G2220" s="18">
        <v>90</v>
      </c>
      <c r="H2220" s="30" t="s">
        <v>3021</v>
      </c>
      <c r="I2220" s="96" t="s">
        <v>3023</v>
      </c>
      <c r="J2220" s="18">
        <v>4</v>
      </c>
    </row>
    <row r="2221" spans="1:15" ht="16">
      <c r="A2221" t="s">
        <v>3020</v>
      </c>
      <c r="B2221" t="s">
        <v>1637</v>
      </c>
      <c r="C2221" s="96" t="s">
        <v>2536</v>
      </c>
      <c r="D2221">
        <v>0</v>
      </c>
      <c r="E2221" s="18">
        <f t="shared" si="25"/>
        <v>100</v>
      </c>
      <c r="F2221" s="18">
        <v>90</v>
      </c>
      <c r="G2221" s="18">
        <v>90</v>
      </c>
      <c r="H2221" s="30" t="s">
        <v>3021</v>
      </c>
      <c r="I2221" t="s">
        <v>3024</v>
      </c>
      <c r="J2221" s="18">
        <v>4</v>
      </c>
      <c r="K2221" t="s">
        <v>2208</v>
      </c>
      <c r="L2221" t="s">
        <v>3072</v>
      </c>
      <c r="M2221">
        <v>0.68130000000000002</v>
      </c>
      <c r="O2221">
        <v>0.99070000000000003</v>
      </c>
    </row>
    <row r="2222" spans="1:15" ht="16">
      <c r="A2222" t="s">
        <v>3020</v>
      </c>
      <c r="B2222" t="s">
        <v>1637</v>
      </c>
      <c r="C2222" s="96" t="s">
        <v>2536</v>
      </c>
      <c r="D2222">
        <v>3</v>
      </c>
      <c r="E2222" s="18">
        <f t="shared" si="25"/>
        <v>12.67</v>
      </c>
      <c r="F2222" s="18">
        <v>11.403</v>
      </c>
      <c r="G2222" s="18">
        <v>90</v>
      </c>
      <c r="H2222" s="30" t="s">
        <v>3021</v>
      </c>
      <c r="I2222" t="s">
        <v>3024</v>
      </c>
      <c r="J2222" s="18">
        <v>4</v>
      </c>
    </row>
    <row r="2223" spans="1:15" ht="16">
      <c r="A2223" t="s">
        <v>3020</v>
      </c>
      <c r="B2223" t="s">
        <v>1637</v>
      </c>
      <c r="C2223" s="96" t="s">
        <v>2536</v>
      </c>
      <c r="D2223">
        <v>9</v>
      </c>
      <c r="E2223" s="18">
        <f t="shared" si="25"/>
        <v>5.7422222222222219</v>
      </c>
      <c r="F2223" s="18">
        <v>5.1680000000000001</v>
      </c>
      <c r="G2223" s="18">
        <v>90</v>
      </c>
      <c r="H2223" s="30" t="s">
        <v>3021</v>
      </c>
      <c r="I2223" t="s">
        <v>3024</v>
      </c>
      <c r="J2223" s="18">
        <v>4</v>
      </c>
    </row>
    <row r="2224" spans="1:15" ht="16">
      <c r="A2224" t="s">
        <v>3020</v>
      </c>
      <c r="B2224" t="s">
        <v>1637</v>
      </c>
      <c r="C2224" s="96" t="s">
        <v>2536</v>
      </c>
      <c r="D2224">
        <v>20</v>
      </c>
      <c r="E2224" s="18">
        <f t="shared" si="25"/>
        <v>5.3633333333333333</v>
      </c>
      <c r="F2224" s="18">
        <v>4.827</v>
      </c>
      <c r="G2224" s="18">
        <v>90</v>
      </c>
      <c r="H2224" s="30" t="s">
        <v>3021</v>
      </c>
      <c r="I2224" t="s">
        <v>3024</v>
      </c>
      <c r="J2224" s="18">
        <v>4</v>
      </c>
    </row>
    <row r="2225" spans="1:15" ht="16">
      <c r="A2225" t="s">
        <v>3020</v>
      </c>
      <c r="B2225" t="s">
        <v>1637</v>
      </c>
      <c r="C2225" s="96" t="s">
        <v>2536</v>
      </c>
      <c r="D2225">
        <v>0</v>
      </c>
      <c r="E2225" s="18">
        <f t="shared" si="25"/>
        <v>100</v>
      </c>
      <c r="F2225" s="18">
        <v>90</v>
      </c>
      <c r="G2225" s="18">
        <v>90</v>
      </c>
      <c r="H2225" s="30" t="s">
        <v>3021</v>
      </c>
      <c r="I2225" t="s">
        <v>3026</v>
      </c>
      <c r="J2225" s="18">
        <v>4</v>
      </c>
      <c r="K2225" t="s">
        <v>2208</v>
      </c>
      <c r="L2225" t="s">
        <v>3073</v>
      </c>
      <c r="M2225">
        <v>0.43319999999999997</v>
      </c>
      <c r="O2225">
        <v>0.97540000000000004</v>
      </c>
    </row>
    <row r="2226" spans="1:15" ht="16">
      <c r="A2226" t="s">
        <v>3020</v>
      </c>
      <c r="B2226" t="s">
        <v>1637</v>
      </c>
      <c r="C2226" s="96" t="s">
        <v>2536</v>
      </c>
      <c r="D2226">
        <v>3</v>
      </c>
      <c r="E2226" s="18">
        <f t="shared" si="25"/>
        <v>24.804444444444446</v>
      </c>
      <c r="F2226" s="18">
        <v>22.324000000000002</v>
      </c>
      <c r="G2226" s="18">
        <v>90</v>
      </c>
      <c r="H2226" s="30" t="s">
        <v>3021</v>
      </c>
      <c r="I2226" t="s">
        <v>3026</v>
      </c>
      <c r="J2226" s="18">
        <v>4</v>
      </c>
    </row>
    <row r="2227" spans="1:15" ht="16">
      <c r="A2227" t="s">
        <v>3020</v>
      </c>
      <c r="B2227" t="s">
        <v>1637</v>
      </c>
      <c r="C2227" s="96" t="s">
        <v>2536</v>
      </c>
      <c r="D2227">
        <v>9</v>
      </c>
      <c r="E2227" s="18">
        <f t="shared" si="25"/>
        <v>12.425555555555555</v>
      </c>
      <c r="F2227" s="18">
        <v>11.183</v>
      </c>
      <c r="G2227" s="18">
        <v>90</v>
      </c>
      <c r="H2227" s="30" t="s">
        <v>3021</v>
      </c>
      <c r="I2227" t="s">
        <v>3026</v>
      </c>
      <c r="J2227" s="18">
        <v>4</v>
      </c>
    </row>
    <row r="2228" spans="1:15" ht="16">
      <c r="A2228" t="s">
        <v>3020</v>
      </c>
      <c r="B2228" t="s">
        <v>1637</v>
      </c>
      <c r="C2228" s="96" t="s">
        <v>2536</v>
      </c>
      <c r="D2228">
        <v>20</v>
      </c>
      <c r="E2228" s="18">
        <f t="shared" si="25"/>
        <v>5.1911111111111108</v>
      </c>
      <c r="F2228" s="18">
        <v>4.6719999999999997</v>
      </c>
      <c r="G2228" s="18">
        <v>90</v>
      </c>
      <c r="H2228" s="30" t="s">
        <v>3021</v>
      </c>
      <c r="I2228" t="s">
        <v>3026</v>
      </c>
      <c r="J2228" s="18">
        <v>4</v>
      </c>
    </row>
    <row r="2229" spans="1:15" ht="16">
      <c r="A2229" t="s">
        <v>3020</v>
      </c>
      <c r="B2229" t="s">
        <v>1637</v>
      </c>
      <c r="C2229" s="96" t="s">
        <v>2536</v>
      </c>
      <c r="D2229">
        <v>0</v>
      </c>
      <c r="E2229" s="18">
        <f t="shared" si="25"/>
        <v>100</v>
      </c>
      <c r="F2229" s="18">
        <v>90</v>
      </c>
      <c r="G2229" s="18">
        <v>90</v>
      </c>
      <c r="H2229" s="30" t="s">
        <v>3021</v>
      </c>
      <c r="I2229" t="s">
        <v>3025</v>
      </c>
      <c r="J2229" s="18">
        <v>4</v>
      </c>
      <c r="K2229" t="s">
        <v>2208</v>
      </c>
      <c r="L2229" t="s">
        <v>3074</v>
      </c>
      <c r="M2229">
        <v>0.51419999999999999</v>
      </c>
      <c r="O2229">
        <v>0.98650000000000004</v>
      </c>
    </row>
    <row r="2230" spans="1:15" ht="16">
      <c r="A2230" t="s">
        <v>3020</v>
      </c>
      <c r="B2230" t="s">
        <v>1637</v>
      </c>
      <c r="C2230" s="96" t="s">
        <v>2536</v>
      </c>
      <c r="D2230">
        <v>3</v>
      </c>
      <c r="E2230" s="18">
        <f t="shared" si="25"/>
        <v>20.34</v>
      </c>
      <c r="F2230" s="18">
        <v>18.306000000000001</v>
      </c>
      <c r="G2230" s="18">
        <v>90</v>
      </c>
      <c r="H2230" s="30" t="s">
        <v>3021</v>
      </c>
      <c r="I2230" t="s">
        <v>3025</v>
      </c>
      <c r="J2230" s="18">
        <v>4</v>
      </c>
    </row>
    <row r="2231" spans="1:15" ht="16">
      <c r="A2231" t="s">
        <v>3020</v>
      </c>
      <c r="B2231" t="s">
        <v>1637</v>
      </c>
      <c r="C2231" s="96" t="s">
        <v>2536</v>
      </c>
      <c r="D2231">
        <v>9</v>
      </c>
      <c r="E2231" s="18">
        <f t="shared" si="25"/>
        <v>8.3055555555555554</v>
      </c>
      <c r="F2231" s="18">
        <v>7.4749999999999996</v>
      </c>
      <c r="G2231" s="18">
        <v>90</v>
      </c>
      <c r="H2231" s="30" t="s">
        <v>3021</v>
      </c>
      <c r="I2231" t="s">
        <v>3025</v>
      </c>
      <c r="J2231" s="18">
        <v>4</v>
      </c>
    </row>
    <row r="2232" spans="1:15" ht="16">
      <c r="A2232" t="s">
        <v>3020</v>
      </c>
      <c r="B2232" t="s">
        <v>1637</v>
      </c>
      <c r="C2232" s="96" t="s">
        <v>2536</v>
      </c>
      <c r="D2232">
        <v>20</v>
      </c>
      <c r="E2232" s="18">
        <f t="shared" si="25"/>
        <v>5.1888888888888891</v>
      </c>
      <c r="F2232" s="18">
        <v>4.67</v>
      </c>
      <c r="G2232" s="18">
        <v>90</v>
      </c>
      <c r="H2232" s="30" t="s">
        <v>3021</v>
      </c>
      <c r="I2232" t="s">
        <v>3025</v>
      </c>
      <c r="J2232" s="18">
        <v>4</v>
      </c>
    </row>
    <row r="2233" spans="1:15" ht="16">
      <c r="A2233" t="s">
        <v>3035</v>
      </c>
      <c r="B2233" t="s">
        <v>1637</v>
      </c>
      <c r="C2233" s="96" t="s">
        <v>2536</v>
      </c>
      <c r="D2233">
        <v>0</v>
      </c>
      <c r="E2233" s="18">
        <v>100</v>
      </c>
      <c r="F2233" s="18">
        <v>100</v>
      </c>
      <c r="G2233" s="18">
        <v>100</v>
      </c>
      <c r="H2233" s="30" t="s">
        <v>428</v>
      </c>
      <c r="I2233" t="s">
        <v>3036</v>
      </c>
      <c r="K2233" t="s">
        <v>3075</v>
      </c>
      <c r="L2233" t="s">
        <v>3078</v>
      </c>
      <c r="M2233">
        <v>0.35970000000000002</v>
      </c>
      <c r="O2233">
        <v>0.98780000000000001</v>
      </c>
    </row>
    <row r="2234" spans="1:15" ht="16">
      <c r="A2234" t="s">
        <v>3035</v>
      </c>
      <c r="B2234" t="s">
        <v>1637</v>
      </c>
      <c r="C2234" s="96" t="s">
        <v>2536</v>
      </c>
      <c r="D2234">
        <v>3</v>
      </c>
      <c r="E2234" s="18">
        <v>47.488999999999997</v>
      </c>
      <c r="F2234" s="18">
        <v>47.488999999999997</v>
      </c>
      <c r="G2234" s="18">
        <v>100</v>
      </c>
      <c r="H2234" s="30" t="s">
        <v>428</v>
      </c>
      <c r="I2234" t="s">
        <v>3036</v>
      </c>
    </row>
    <row r="2235" spans="1:15" ht="16">
      <c r="A2235" t="s">
        <v>3035</v>
      </c>
      <c r="B2235" t="s">
        <v>1637</v>
      </c>
      <c r="C2235" s="96" t="s">
        <v>2536</v>
      </c>
      <c r="D2235">
        <v>7</v>
      </c>
      <c r="E2235" s="90">
        <v>36.064</v>
      </c>
      <c r="F2235" s="90">
        <v>36.064</v>
      </c>
      <c r="G2235" s="18">
        <v>100</v>
      </c>
      <c r="H2235" s="30" t="s">
        <v>428</v>
      </c>
      <c r="I2235" t="s">
        <v>3036</v>
      </c>
    </row>
    <row r="2236" spans="1:15" ht="16">
      <c r="A2236" t="s">
        <v>3035</v>
      </c>
      <c r="B2236" t="s">
        <v>1637</v>
      </c>
      <c r="C2236" s="96" t="s">
        <v>2536</v>
      </c>
      <c r="D2236">
        <v>21</v>
      </c>
      <c r="E2236" s="18">
        <v>22.146999999999998</v>
      </c>
      <c r="F2236" s="18">
        <v>22.146999999999998</v>
      </c>
      <c r="G2236" s="18">
        <v>100</v>
      </c>
      <c r="H2236" s="30" t="s">
        <v>428</v>
      </c>
      <c r="I2236" t="s">
        <v>3036</v>
      </c>
    </row>
    <row r="2237" spans="1:15" ht="16">
      <c r="A2237" t="s">
        <v>3035</v>
      </c>
      <c r="B2237" t="s">
        <v>1637</v>
      </c>
      <c r="C2237" s="96" t="s">
        <v>2536</v>
      </c>
      <c r="D2237">
        <v>0</v>
      </c>
      <c r="E2237" s="18">
        <v>100</v>
      </c>
      <c r="F2237" s="18">
        <v>100</v>
      </c>
      <c r="G2237" s="18">
        <v>100</v>
      </c>
      <c r="H2237" s="30" t="s">
        <v>428</v>
      </c>
      <c r="I2237" t="s">
        <v>3037</v>
      </c>
      <c r="K2237" t="s">
        <v>3075</v>
      </c>
      <c r="L2237" t="s">
        <v>3076</v>
      </c>
      <c r="M2237">
        <v>0.55989999999999995</v>
      </c>
      <c r="O2237">
        <v>0.99399999999999999</v>
      </c>
    </row>
    <row r="2238" spans="1:15" ht="16">
      <c r="A2238" t="s">
        <v>3035</v>
      </c>
      <c r="B2238" t="s">
        <v>1637</v>
      </c>
      <c r="C2238" s="96" t="s">
        <v>2536</v>
      </c>
      <c r="D2238">
        <v>3</v>
      </c>
      <c r="E2238" s="18">
        <v>41.978999999999999</v>
      </c>
      <c r="G2238" s="18">
        <v>100</v>
      </c>
      <c r="H2238" s="30" t="s">
        <v>428</v>
      </c>
      <c r="I2238" t="s">
        <v>3037</v>
      </c>
    </row>
    <row r="2239" spans="1:15" ht="16">
      <c r="A2239" t="s">
        <v>3035</v>
      </c>
      <c r="B2239" t="s">
        <v>1637</v>
      </c>
      <c r="C2239" s="96" t="s">
        <v>2536</v>
      </c>
      <c r="D2239">
        <v>7</v>
      </c>
      <c r="E2239" s="90">
        <v>34.619999999999997</v>
      </c>
      <c r="G2239" s="18">
        <v>100</v>
      </c>
      <c r="H2239" s="30" t="s">
        <v>428</v>
      </c>
      <c r="I2239" t="s">
        <v>3037</v>
      </c>
    </row>
    <row r="2240" spans="1:15" ht="16">
      <c r="A2240" t="s">
        <v>3035</v>
      </c>
      <c r="B2240" t="s">
        <v>1637</v>
      </c>
      <c r="C2240" s="96" t="s">
        <v>2536</v>
      </c>
      <c r="D2240">
        <v>21</v>
      </c>
      <c r="E2240" s="18">
        <v>27.067</v>
      </c>
      <c r="G2240" s="18">
        <v>100</v>
      </c>
      <c r="H2240" s="30" t="s">
        <v>428</v>
      </c>
      <c r="I2240" t="s">
        <v>3037</v>
      </c>
    </row>
    <row r="2241" spans="1:15" ht="16">
      <c r="A2241" t="s">
        <v>3035</v>
      </c>
      <c r="B2241" t="s">
        <v>1637</v>
      </c>
      <c r="C2241" s="96" t="s">
        <v>2536</v>
      </c>
      <c r="D2241">
        <v>0</v>
      </c>
      <c r="E2241" s="18">
        <v>100</v>
      </c>
      <c r="F2241">
        <v>100</v>
      </c>
      <c r="G2241" s="18">
        <v>100</v>
      </c>
      <c r="H2241" s="30" t="s">
        <v>428</v>
      </c>
      <c r="I2241" t="s">
        <v>3038</v>
      </c>
      <c r="K2241" t="s">
        <v>2208</v>
      </c>
      <c r="L2241" t="s">
        <v>3077</v>
      </c>
      <c r="M2241">
        <v>0.15629999999999999</v>
      </c>
      <c r="O2241">
        <v>0.45610000000000001</v>
      </c>
    </row>
    <row r="2242" spans="1:15" ht="16">
      <c r="A2242" t="s">
        <v>3035</v>
      </c>
      <c r="B2242" t="s">
        <v>1637</v>
      </c>
      <c r="C2242" s="96" t="s">
        <v>2536</v>
      </c>
      <c r="D2242">
        <v>3</v>
      </c>
      <c r="E2242" s="18">
        <v>27.06</v>
      </c>
      <c r="G2242" s="18">
        <v>100</v>
      </c>
      <c r="H2242" s="30" t="s">
        <v>428</v>
      </c>
      <c r="I2242" t="s">
        <v>3038</v>
      </c>
    </row>
    <row r="2243" spans="1:15" ht="16">
      <c r="A2243" t="s">
        <v>3035</v>
      </c>
      <c r="B2243" t="s">
        <v>1637</v>
      </c>
      <c r="C2243" s="96" t="s">
        <v>2536</v>
      </c>
      <c r="D2243">
        <v>7</v>
      </c>
      <c r="E2243" s="18">
        <v>42.466999999999999</v>
      </c>
      <c r="G2243" s="18">
        <v>100</v>
      </c>
      <c r="H2243" s="30" t="s">
        <v>428</v>
      </c>
      <c r="I2243" t="s">
        <v>3038</v>
      </c>
    </row>
    <row r="2244" spans="1:15" ht="16">
      <c r="A2244" t="s">
        <v>3035</v>
      </c>
      <c r="B2244" t="s">
        <v>1637</v>
      </c>
      <c r="C2244" s="96" t="s">
        <v>2536</v>
      </c>
      <c r="D2244">
        <v>21</v>
      </c>
      <c r="E2244" s="18">
        <v>31.116</v>
      </c>
      <c r="G2244" s="18">
        <v>100</v>
      </c>
      <c r="H2244" s="30" t="s">
        <v>428</v>
      </c>
      <c r="I2244" t="s">
        <v>3038</v>
      </c>
    </row>
    <row r="2245" spans="1:15" ht="16">
      <c r="A2245" t="s">
        <v>3052</v>
      </c>
      <c r="B2245" t="s">
        <v>1637</v>
      </c>
      <c r="C2245" s="96" t="s">
        <v>2551</v>
      </c>
      <c r="D2245">
        <v>0</v>
      </c>
      <c r="E2245">
        <v>100</v>
      </c>
      <c r="G2245">
        <v>100</v>
      </c>
      <c r="H2245" t="s">
        <v>428</v>
      </c>
      <c r="K2245" t="s">
        <v>2862</v>
      </c>
      <c r="L2245" t="s">
        <v>3079</v>
      </c>
      <c r="M2245">
        <v>0.60640000000000005</v>
      </c>
      <c r="O2245">
        <v>0.93600000000000005</v>
      </c>
    </row>
    <row r="2246" spans="1:15" ht="16">
      <c r="A2246" t="s">
        <v>3052</v>
      </c>
      <c r="B2246" t="s">
        <v>1637</v>
      </c>
      <c r="C2246" s="96" t="s">
        <v>2551</v>
      </c>
      <c r="D2246">
        <v>2</v>
      </c>
      <c r="E2246" s="18">
        <v>41.98</v>
      </c>
      <c r="G2246">
        <v>100</v>
      </c>
      <c r="H2246" t="s">
        <v>428</v>
      </c>
    </row>
    <row r="2247" spans="1:15" ht="16">
      <c r="A2247" t="s">
        <v>3052</v>
      </c>
      <c r="B2247" t="s">
        <v>1637</v>
      </c>
      <c r="C2247" s="96" t="s">
        <v>2551</v>
      </c>
      <c r="D2247">
        <v>5</v>
      </c>
      <c r="E2247">
        <v>36.71</v>
      </c>
      <c r="G2247">
        <v>100</v>
      </c>
      <c r="H2247" t="s">
        <v>428</v>
      </c>
    </row>
    <row r="2248" spans="1:15" ht="16">
      <c r="A2248" t="s">
        <v>3052</v>
      </c>
      <c r="B2248" t="s">
        <v>1637</v>
      </c>
      <c r="C2248" s="96" t="s">
        <v>2551</v>
      </c>
      <c r="D2248">
        <v>7</v>
      </c>
      <c r="E2248">
        <v>32.17</v>
      </c>
      <c r="G2248">
        <v>100</v>
      </c>
      <c r="H2248" t="s">
        <v>428</v>
      </c>
    </row>
    <row r="2249" spans="1:15" ht="16">
      <c r="A2249" t="s">
        <v>3052</v>
      </c>
      <c r="B2249" t="s">
        <v>1637</v>
      </c>
      <c r="C2249" s="96" t="s">
        <v>2551</v>
      </c>
      <c r="D2249">
        <v>15</v>
      </c>
      <c r="E2249">
        <v>25.297999999999998</v>
      </c>
      <c r="G2249">
        <v>100</v>
      </c>
      <c r="H2249" t="s">
        <v>428</v>
      </c>
    </row>
    <row r="2250" spans="1:15" ht="16">
      <c r="A2250" t="s">
        <v>3052</v>
      </c>
      <c r="B2250" t="s">
        <v>1637</v>
      </c>
      <c r="C2250" s="96" t="s">
        <v>2551</v>
      </c>
      <c r="D2250">
        <v>30</v>
      </c>
      <c r="E2250">
        <v>11.955</v>
      </c>
      <c r="G2250">
        <v>100</v>
      </c>
      <c r="H2250" t="s">
        <v>428</v>
      </c>
    </row>
    <row r="2251" spans="1:15" ht="16">
      <c r="A2251" t="s">
        <v>3052</v>
      </c>
      <c r="B2251" t="s">
        <v>1637</v>
      </c>
      <c r="C2251" s="96" t="s">
        <v>3043</v>
      </c>
      <c r="D2251">
        <v>0</v>
      </c>
      <c r="E2251">
        <v>100</v>
      </c>
      <c r="G2251">
        <v>100</v>
      </c>
      <c r="H2251" t="s">
        <v>428</v>
      </c>
      <c r="K2251" t="s">
        <v>2862</v>
      </c>
      <c r="L2251" t="s">
        <v>3080</v>
      </c>
      <c r="M2251">
        <v>0.14399999999999999</v>
      </c>
      <c r="O2251">
        <v>0.92579999999999996</v>
      </c>
    </row>
    <row r="2252" spans="1:15" ht="16">
      <c r="A2252" t="s">
        <v>3052</v>
      </c>
      <c r="B2252" t="s">
        <v>1637</v>
      </c>
      <c r="C2252" s="96" t="s">
        <v>3043</v>
      </c>
      <c r="D2252">
        <v>2</v>
      </c>
      <c r="E2252">
        <v>64</v>
      </c>
      <c r="G2252">
        <v>100</v>
      </c>
      <c r="H2252" t="s">
        <v>428</v>
      </c>
    </row>
    <row r="2253" spans="1:15" ht="16">
      <c r="A2253" t="s">
        <v>3052</v>
      </c>
      <c r="B2253" t="s">
        <v>1637</v>
      </c>
      <c r="C2253" s="96" t="s">
        <v>3043</v>
      </c>
      <c r="D2253">
        <v>5</v>
      </c>
      <c r="E2253">
        <v>58.67</v>
      </c>
      <c r="G2253">
        <v>100</v>
      </c>
      <c r="H2253" t="s">
        <v>428</v>
      </c>
    </row>
    <row r="2254" spans="1:15" ht="16">
      <c r="A2254" t="s">
        <v>3052</v>
      </c>
      <c r="B2254" t="s">
        <v>1637</v>
      </c>
      <c r="C2254" s="96" t="s">
        <v>3043</v>
      </c>
      <c r="D2254">
        <v>7</v>
      </c>
      <c r="E2254">
        <v>48.738</v>
      </c>
      <c r="G2254">
        <v>100</v>
      </c>
      <c r="H2254" t="s">
        <v>428</v>
      </c>
    </row>
    <row r="2255" spans="1:15" ht="16">
      <c r="A2255" t="s">
        <v>3052</v>
      </c>
      <c r="B2255" t="s">
        <v>1637</v>
      </c>
      <c r="C2255" s="96" t="s">
        <v>3043</v>
      </c>
      <c r="D2255">
        <v>15</v>
      </c>
      <c r="E2255">
        <v>38.92</v>
      </c>
      <c r="G2255">
        <v>100</v>
      </c>
      <c r="H2255" t="s">
        <v>428</v>
      </c>
    </row>
    <row r="2256" spans="1:15" ht="16">
      <c r="A2256" t="s">
        <v>3052</v>
      </c>
      <c r="B2256" t="s">
        <v>1637</v>
      </c>
      <c r="C2256" s="96" t="s">
        <v>3043</v>
      </c>
      <c r="D2256">
        <v>30</v>
      </c>
      <c r="E2256">
        <v>17.827999999999999</v>
      </c>
      <c r="G2256">
        <v>100</v>
      </c>
      <c r="H2256" t="s">
        <v>428</v>
      </c>
    </row>
    <row r="2257" spans="1:15" ht="16">
      <c r="A2257" t="s">
        <v>3052</v>
      </c>
      <c r="B2257" t="s">
        <v>1637</v>
      </c>
      <c r="C2257" s="96" t="s">
        <v>3046</v>
      </c>
      <c r="D2257">
        <v>0</v>
      </c>
      <c r="E2257">
        <v>100</v>
      </c>
      <c r="G2257">
        <v>100</v>
      </c>
      <c r="H2257" t="s">
        <v>428</v>
      </c>
      <c r="K2257" t="s">
        <v>2862</v>
      </c>
      <c r="L2257" t="s">
        <v>3081</v>
      </c>
      <c r="M2257">
        <v>0.17100000000000001</v>
      </c>
      <c r="O2257">
        <v>0.98309999999999997</v>
      </c>
    </row>
    <row r="2258" spans="1:15" ht="16">
      <c r="A2258" t="s">
        <v>3052</v>
      </c>
      <c r="B2258" t="s">
        <v>1637</v>
      </c>
      <c r="C2258" s="96" t="s">
        <v>3046</v>
      </c>
      <c r="D2258">
        <v>2</v>
      </c>
      <c r="E2258">
        <v>67.05</v>
      </c>
      <c r="G2258">
        <v>100</v>
      </c>
      <c r="H2258" t="s">
        <v>428</v>
      </c>
    </row>
    <row r="2259" spans="1:15" ht="16">
      <c r="A2259" t="s">
        <v>3052</v>
      </c>
      <c r="B2259" t="s">
        <v>1637</v>
      </c>
      <c r="C2259" s="96" t="s">
        <v>3046</v>
      </c>
      <c r="D2259">
        <v>5</v>
      </c>
      <c r="E2259">
        <v>53.36</v>
      </c>
      <c r="G2259">
        <v>100</v>
      </c>
      <c r="H2259" t="s">
        <v>428</v>
      </c>
    </row>
    <row r="2260" spans="1:15" ht="16">
      <c r="A2260" t="s">
        <v>3052</v>
      </c>
      <c r="B2260" t="s">
        <v>1637</v>
      </c>
      <c r="C2260" s="96" t="s">
        <v>3046</v>
      </c>
      <c r="D2260">
        <v>7</v>
      </c>
      <c r="E2260">
        <v>43.023000000000003</v>
      </c>
      <c r="G2260">
        <v>100</v>
      </c>
      <c r="H2260" t="s">
        <v>428</v>
      </c>
    </row>
    <row r="2261" spans="1:15" ht="16">
      <c r="A2261" t="s">
        <v>3052</v>
      </c>
      <c r="B2261" t="s">
        <v>1637</v>
      </c>
      <c r="C2261" s="96" t="s">
        <v>3046</v>
      </c>
      <c r="D2261">
        <v>15</v>
      </c>
      <c r="E2261">
        <v>26.716999999999999</v>
      </c>
      <c r="G2261">
        <v>100</v>
      </c>
      <c r="H2261" t="s">
        <v>428</v>
      </c>
    </row>
    <row r="2262" spans="1:15" ht="16">
      <c r="A2262" t="s">
        <v>3052</v>
      </c>
      <c r="B2262" t="s">
        <v>1637</v>
      </c>
      <c r="C2262" s="96" t="s">
        <v>3046</v>
      </c>
      <c r="D2262">
        <v>30</v>
      </c>
      <c r="E2262">
        <v>15.795999999999999</v>
      </c>
      <c r="G2262">
        <v>100</v>
      </c>
      <c r="H2262" t="s">
        <v>428</v>
      </c>
    </row>
    <row r="2263" spans="1:15" ht="16">
      <c r="A2263" t="s">
        <v>3056</v>
      </c>
      <c r="B2263" t="s">
        <v>1637</v>
      </c>
      <c r="C2263" s="96" t="s">
        <v>3054</v>
      </c>
      <c r="D2263">
        <v>0</v>
      </c>
      <c r="E2263">
        <v>100</v>
      </c>
      <c r="G2263">
        <v>100</v>
      </c>
      <c r="H2263" t="s">
        <v>428</v>
      </c>
      <c r="K2263" t="s">
        <v>181</v>
      </c>
      <c r="L2263" t="s">
        <v>3082</v>
      </c>
      <c r="N2263">
        <v>3.5714000000000001</v>
      </c>
      <c r="O2263">
        <v>0.86809999999999998</v>
      </c>
    </row>
    <row r="2264" spans="1:15" ht="16">
      <c r="A2264" t="s">
        <v>3056</v>
      </c>
      <c r="B2264" t="s">
        <v>1637</v>
      </c>
      <c r="C2264" s="96" t="s">
        <v>3054</v>
      </c>
      <c r="D2264">
        <v>14</v>
      </c>
      <c r="E2264">
        <v>16.244</v>
      </c>
      <c r="G2264">
        <v>100</v>
      </c>
      <c r="H2264" t="s">
        <v>428</v>
      </c>
    </row>
    <row r="2265" spans="1:15" ht="16">
      <c r="A2265" t="s">
        <v>3056</v>
      </c>
      <c r="B2265" t="s">
        <v>1637</v>
      </c>
      <c r="C2265" s="96" t="s">
        <v>3054</v>
      </c>
      <c r="D2265">
        <v>28</v>
      </c>
      <c r="E2265">
        <v>0</v>
      </c>
      <c r="G2265">
        <v>100</v>
      </c>
      <c r="H2265" t="s">
        <v>428</v>
      </c>
    </row>
    <row r="2266" spans="1:15" ht="16">
      <c r="A2266" t="s">
        <v>3060</v>
      </c>
      <c r="B2266" t="s">
        <v>1637</v>
      </c>
      <c r="C2266" s="96" t="s">
        <v>2537</v>
      </c>
      <c r="D2266">
        <v>0</v>
      </c>
      <c r="E2266">
        <v>100</v>
      </c>
      <c r="G2266">
        <v>100</v>
      </c>
      <c r="H2266" t="s">
        <v>428</v>
      </c>
      <c r="K2266" t="s">
        <v>181</v>
      </c>
      <c r="L2266" t="s">
        <v>3083</v>
      </c>
      <c r="N2266">
        <v>0.70930000000000004</v>
      </c>
      <c r="O2266">
        <v>0.99880000000000002</v>
      </c>
    </row>
    <row r="2267" spans="1:15" ht="16">
      <c r="A2267" t="s">
        <v>3060</v>
      </c>
      <c r="B2267" t="s">
        <v>1637</v>
      </c>
      <c r="C2267" s="96" t="s">
        <v>2537</v>
      </c>
      <c r="D2267">
        <v>29</v>
      </c>
      <c r="E2267">
        <f>100-23</f>
        <v>77</v>
      </c>
      <c r="G2267">
        <v>100</v>
      </c>
      <c r="H2267" t="s">
        <v>428</v>
      </c>
    </row>
    <row r="2268" spans="1:15" ht="16">
      <c r="A2268" t="s">
        <v>3060</v>
      </c>
      <c r="B2268" t="s">
        <v>1637</v>
      </c>
      <c r="C2268" s="96" t="s">
        <v>2537</v>
      </c>
      <c r="D2268">
        <v>63</v>
      </c>
      <c r="E2268">
        <f>100-46</f>
        <v>54</v>
      </c>
      <c r="G2268">
        <v>100</v>
      </c>
      <c r="H2268" t="s">
        <v>428</v>
      </c>
    </row>
    <row r="2269" spans="1:15" ht="16">
      <c r="A2269" t="s">
        <v>3060</v>
      </c>
      <c r="B2269" t="s">
        <v>1637</v>
      </c>
      <c r="C2269" s="96" t="s">
        <v>2537</v>
      </c>
      <c r="D2269">
        <v>98</v>
      </c>
      <c r="E2269">
        <f>100-70</f>
        <v>30</v>
      </c>
      <c r="G2269">
        <v>100</v>
      </c>
      <c r="H2269" t="s">
        <v>428</v>
      </c>
    </row>
    <row r="2270" spans="1:15" ht="16">
      <c r="A2270" t="s">
        <v>3064</v>
      </c>
      <c r="B2270" t="s">
        <v>3066</v>
      </c>
      <c r="C2270" s="96" t="s">
        <v>3062</v>
      </c>
      <c r="D2270">
        <v>0</v>
      </c>
      <c r="E2270" s="18">
        <f>F2270/G2270*100</f>
        <v>100</v>
      </c>
      <c r="F2270">
        <v>12.982799999999999</v>
      </c>
      <c r="G2270">
        <v>12.982799999999999</v>
      </c>
      <c r="H2270" t="s">
        <v>3065</v>
      </c>
      <c r="K2270" t="s">
        <v>181</v>
      </c>
      <c r="L2270" t="s">
        <v>3084</v>
      </c>
      <c r="N2270">
        <v>2.6354000000000002</v>
      </c>
      <c r="O2270">
        <v>0.86360000000000003</v>
      </c>
    </row>
    <row r="2271" spans="1:15" ht="16">
      <c r="A2271" t="s">
        <v>3064</v>
      </c>
      <c r="B2271" t="s">
        <v>3066</v>
      </c>
      <c r="C2271" s="96" t="s">
        <v>3062</v>
      </c>
      <c r="D2271">
        <v>7</v>
      </c>
      <c r="E2271" s="18">
        <f>F2271/G2271*100</f>
        <v>59.763687340173156</v>
      </c>
      <c r="F2271">
        <v>7.7590000000000003</v>
      </c>
      <c r="G2271">
        <v>12.982799999999999</v>
      </c>
      <c r="H2271" t="s">
        <v>3065</v>
      </c>
    </row>
    <row r="2272" spans="1:15" ht="16">
      <c r="A2272" t="s">
        <v>3064</v>
      </c>
      <c r="B2272" t="s">
        <v>3066</v>
      </c>
      <c r="C2272" s="96" t="s">
        <v>3062</v>
      </c>
      <c r="D2272">
        <v>14</v>
      </c>
      <c r="E2272" s="18">
        <f>F2272/G2272*100</f>
        <v>58.084542625627755</v>
      </c>
      <c r="F2272">
        <v>7.5410000000000004</v>
      </c>
      <c r="G2272">
        <v>12.982799999999999</v>
      </c>
      <c r="H2272" t="s">
        <v>3065</v>
      </c>
    </row>
    <row r="2273" spans="1:12" ht="16">
      <c r="A2273" t="s">
        <v>3064</v>
      </c>
      <c r="B2273" t="s">
        <v>3066</v>
      </c>
      <c r="C2273" s="96" t="s">
        <v>3062</v>
      </c>
      <c r="D2273">
        <v>21</v>
      </c>
      <c r="E2273" s="18">
        <f>F2273/G2273*100</f>
        <v>39.067073358597533</v>
      </c>
      <c r="F2273">
        <v>5.0720000000000001</v>
      </c>
      <c r="G2273">
        <v>12.982799999999999</v>
      </c>
      <c r="H2273" t="s">
        <v>3065</v>
      </c>
    </row>
    <row r="2274" spans="1:12" ht="16">
      <c r="C2274" s="96"/>
      <c r="L2274" s="106"/>
    </row>
    <row r="2275" spans="1:12" ht="16">
      <c r="C2275" s="96"/>
      <c r="E2275" s="18"/>
      <c r="F2275" s="106"/>
      <c r="K2275" s="106"/>
    </row>
    <row r="2276" spans="1:12" ht="16">
      <c r="C2276" s="96"/>
      <c r="E2276" s="18"/>
      <c r="F2276" s="106"/>
      <c r="K2276" s="106"/>
    </row>
    <row r="2277" spans="1:12" ht="16">
      <c r="C2277" s="96"/>
      <c r="E2277" s="18"/>
      <c r="F2277" s="106"/>
      <c r="K2277" s="106"/>
    </row>
    <row r="2278" spans="1:12" ht="16">
      <c r="C2278" s="96"/>
      <c r="E2278" s="18"/>
      <c r="F2278" s="106"/>
    </row>
    <row r="2279" spans="1:12" ht="16">
      <c r="C2279" s="96"/>
      <c r="E2279" s="18"/>
      <c r="F2279" s="106"/>
      <c r="K2279" s="106"/>
    </row>
    <row r="2280" spans="1:12" ht="16">
      <c r="C2280" s="96"/>
      <c r="E2280" s="18"/>
      <c r="F2280" s="106"/>
      <c r="K2280" s="106"/>
    </row>
    <row r="2281" spans="1:12" ht="16">
      <c r="C2281" s="96"/>
      <c r="E2281" s="18"/>
      <c r="F2281" s="106"/>
    </row>
    <row r="2282" spans="1:12" ht="16">
      <c r="C2282" s="96"/>
      <c r="E2282" s="18"/>
      <c r="F2282" s="106"/>
      <c r="K2282" s="106"/>
    </row>
    <row r="2283" spans="1:12" ht="16">
      <c r="C2283" s="96"/>
      <c r="E2283" s="18"/>
      <c r="F2283" s="106"/>
      <c r="K2283" s="106"/>
    </row>
    <row r="2284" spans="1:12" ht="16">
      <c r="C2284" s="96"/>
      <c r="E2284" s="18"/>
      <c r="F2284" s="106"/>
      <c r="K2284" s="106"/>
    </row>
    <row r="2285" spans="1:12" ht="16">
      <c r="C2285" s="96"/>
      <c r="E2285" s="18"/>
      <c r="F2285" s="106"/>
      <c r="K2285" s="106"/>
    </row>
    <row r="2286" spans="1:12" ht="16">
      <c r="C2286" s="96"/>
      <c r="E2286" s="18"/>
      <c r="F2286" s="106"/>
      <c r="K2286" s="106"/>
    </row>
    <row r="2287" spans="1:12" ht="16">
      <c r="C2287" s="96"/>
      <c r="E2287" s="18"/>
      <c r="F2287" s="106"/>
      <c r="K2287" s="106"/>
    </row>
    <row r="2288" spans="1:12" ht="16">
      <c r="C2288" s="96"/>
      <c r="E2288" s="18"/>
      <c r="F2288" s="106"/>
      <c r="K2288" s="106"/>
    </row>
    <row r="2289" spans="3:5" ht="16">
      <c r="C2289" s="96"/>
      <c r="E2289" s="18"/>
    </row>
    <row r="2290" spans="3:5" ht="16">
      <c r="C2290" s="96"/>
      <c r="E2290" s="18"/>
    </row>
    <row r="2291" spans="3:5" ht="16">
      <c r="C2291" s="96"/>
      <c r="E2291" s="18"/>
    </row>
    <row r="2292" spans="3:5" ht="16">
      <c r="C2292" s="96"/>
      <c r="E2292" s="18"/>
    </row>
    <row r="2293" spans="3:5" ht="16">
      <c r="C2293" s="96"/>
      <c r="E2293" s="18"/>
    </row>
    <row r="2294" spans="3:5" ht="16">
      <c r="C2294" s="96"/>
      <c r="E2294" s="18"/>
    </row>
    <row r="2295" spans="3:5" ht="16">
      <c r="C2295" s="96"/>
      <c r="E2295" s="18"/>
    </row>
    <row r="2296" spans="3:5" ht="16">
      <c r="C2296" s="96"/>
      <c r="E2296" s="18"/>
    </row>
    <row r="2297" spans="3:5" ht="16">
      <c r="C2297" s="96"/>
      <c r="E2297" s="18"/>
    </row>
    <row r="2298" spans="3:5" ht="16">
      <c r="C2298" s="96"/>
      <c r="E2298" s="18"/>
    </row>
    <row r="2299" spans="3:5" ht="16">
      <c r="C2299" s="96"/>
      <c r="E2299" s="18"/>
    </row>
    <row r="2300" spans="3:5" ht="16">
      <c r="C2300" s="96"/>
      <c r="E2300" s="18"/>
    </row>
    <row r="2301" spans="3:5" ht="16">
      <c r="C2301" s="96"/>
      <c r="E2301" s="18"/>
    </row>
    <row r="2302" spans="3:5" ht="16">
      <c r="C2302" s="96"/>
      <c r="E2302" s="18"/>
    </row>
    <row r="2303" spans="3:5" ht="16">
      <c r="C2303" s="96"/>
      <c r="E2303" s="18"/>
    </row>
    <row r="2304" spans="3:5" ht="16">
      <c r="C2304" s="96"/>
      <c r="E2304" s="18"/>
    </row>
    <row r="2305" spans="3:5" ht="16">
      <c r="C2305" s="96"/>
      <c r="E2305" s="18"/>
    </row>
    <row r="2306" spans="3:5" ht="16">
      <c r="C2306" s="96"/>
      <c r="E2306" s="18"/>
    </row>
    <row r="2307" spans="3:5" ht="16">
      <c r="C2307" s="96"/>
      <c r="E2307" s="18"/>
    </row>
    <row r="2308" spans="3:5" ht="16">
      <c r="C2308" s="96"/>
      <c r="E2308" s="18"/>
    </row>
    <row r="2309" spans="3:5" ht="16">
      <c r="C2309" s="96"/>
      <c r="E2309" s="18"/>
    </row>
    <row r="2310" spans="3:5" ht="16">
      <c r="C2310" s="96"/>
      <c r="E2310" s="18"/>
    </row>
    <row r="2311" spans="3:5" ht="16">
      <c r="C2311" s="96"/>
      <c r="E2311" s="18"/>
    </row>
    <row r="2312" spans="3:5" ht="16">
      <c r="C2312" s="96"/>
      <c r="E2312" s="18"/>
    </row>
    <row r="2313" spans="3:5" ht="16">
      <c r="C2313" s="96"/>
      <c r="E2313" s="18"/>
    </row>
    <row r="2314" spans="3:5" ht="16">
      <c r="C2314" s="96"/>
      <c r="E2314" s="18"/>
    </row>
    <row r="2315" spans="3:5" ht="16">
      <c r="C2315" s="96"/>
      <c r="E2315" s="18"/>
    </row>
    <row r="2316" spans="3:5" ht="16">
      <c r="C2316" s="96"/>
      <c r="E2316" s="18"/>
    </row>
    <row r="2317" spans="3:5" ht="16">
      <c r="C2317" s="96"/>
      <c r="E2317" s="18"/>
    </row>
    <row r="2318" spans="3:5" ht="16">
      <c r="C2318" s="96"/>
      <c r="E2318" s="18"/>
    </row>
  </sheetData>
  <phoneticPr fontId="10"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2746F-F8F6-9A40-BA74-DB059982D917}">
  <dimension ref="A1:AQ226"/>
  <sheetViews>
    <sheetView zoomScale="120" zoomScaleNormal="120" workbookViewId="0">
      <pane xSplit="1" ySplit="1" topLeftCell="P142" activePane="bottomRight" state="frozen"/>
      <selection pane="topRight" activeCell="B1" sqref="B1"/>
      <selection pane="bottomLeft" activeCell="A2" sqref="A2"/>
      <selection pane="bottomRight" activeCell="AC132" sqref="AC132"/>
    </sheetView>
  </sheetViews>
  <sheetFormatPr baseColWidth="10" defaultColWidth="10.83203125" defaultRowHeight="15"/>
  <cols>
    <col min="1" max="1" width="17" customWidth="1"/>
    <col min="2" max="2" width="8.6640625" customWidth="1"/>
    <col min="24" max="24" width="10.83203125" customWidth="1"/>
  </cols>
  <sheetData>
    <row r="1" spans="1:33" ht="48">
      <c r="A1" s="27" t="s">
        <v>2172</v>
      </c>
      <c r="B1" s="27" t="s">
        <v>2197</v>
      </c>
      <c r="C1" s="3" t="s">
        <v>1812</v>
      </c>
      <c r="D1" s="3" t="s">
        <v>2</v>
      </c>
      <c r="E1" s="3" t="s">
        <v>1996</v>
      </c>
      <c r="F1" s="3" t="s">
        <v>1708</v>
      </c>
      <c r="G1" s="3" t="s">
        <v>194</v>
      </c>
      <c r="H1" s="3" t="s">
        <v>3</v>
      </c>
      <c r="I1" s="3" t="s">
        <v>4</v>
      </c>
      <c r="J1" s="3" t="s">
        <v>5</v>
      </c>
      <c r="K1" s="3" t="s">
        <v>6</v>
      </c>
      <c r="L1" s="3" t="s">
        <v>1869</v>
      </c>
      <c r="M1" s="3" t="s">
        <v>1811</v>
      </c>
      <c r="N1" s="3" t="s">
        <v>1911</v>
      </c>
      <c r="O1" s="3" t="s">
        <v>2075</v>
      </c>
      <c r="P1" s="3" t="s">
        <v>162</v>
      </c>
      <c r="Q1" s="3" t="s">
        <v>10</v>
      </c>
      <c r="R1" s="3" t="s">
        <v>9</v>
      </c>
      <c r="S1" s="3" t="s">
        <v>1798</v>
      </c>
      <c r="T1" s="3" t="s">
        <v>1847</v>
      </c>
      <c r="U1" s="3" t="s">
        <v>2480</v>
      </c>
      <c r="V1" s="3" t="s">
        <v>2479</v>
      </c>
      <c r="W1" s="3" t="s">
        <v>2459</v>
      </c>
      <c r="X1" s="3" t="s">
        <v>2461</v>
      </c>
      <c r="Y1" s="3" t="s">
        <v>2481</v>
      </c>
      <c r="Z1" s="3" t="s">
        <v>1840</v>
      </c>
      <c r="AA1" s="3" t="s">
        <v>1841</v>
      </c>
      <c r="AB1" s="24" t="s">
        <v>2198</v>
      </c>
      <c r="AC1" s="24" t="s">
        <v>2202</v>
      </c>
      <c r="AD1" s="24" t="s">
        <v>2342</v>
      </c>
      <c r="AE1" s="24" t="s">
        <v>202</v>
      </c>
      <c r="AF1" s="24" t="s">
        <v>2307</v>
      </c>
      <c r="AG1" s="24" t="s">
        <v>2604</v>
      </c>
    </row>
    <row r="2" spans="1:33">
      <c r="A2" t="s">
        <v>679</v>
      </c>
      <c r="B2">
        <v>1983</v>
      </c>
      <c r="C2" t="s">
        <v>161</v>
      </c>
      <c r="D2" t="s">
        <v>1976</v>
      </c>
      <c r="E2" t="s">
        <v>444</v>
      </c>
      <c r="F2" t="s">
        <v>448</v>
      </c>
      <c r="G2" t="s">
        <v>799</v>
      </c>
      <c r="H2">
        <v>-32.583581768462999</v>
      </c>
      <c r="I2">
        <v>115.66754400000001</v>
      </c>
      <c r="J2" t="s">
        <v>349</v>
      </c>
      <c r="K2" t="s">
        <v>802</v>
      </c>
      <c r="L2" t="s">
        <v>999</v>
      </c>
      <c r="M2" t="s">
        <v>1788</v>
      </c>
      <c r="N2" t="s">
        <v>1731</v>
      </c>
      <c r="O2" t="s">
        <v>182</v>
      </c>
      <c r="P2" t="s">
        <v>245</v>
      </c>
      <c r="Q2" t="s">
        <v>245</v>
      </c>
      <c r="T2">
        <v>148</v>
      </c>
      <c r="U2">
        <v>1.01E-2</v>
      </c>
      <c r="W2">
        <v>87.72</v>
      </c>
      <c r="Z2">
        <v>18</v>
      </c>
      <c r="AA2">
        <v>4.3</v>
      </c>
      <c r="AB2" t="s">
        <v>2199</v>
      </c>
      <c r="AC2">
        <f t="shared" ref="AC2:AC33" si="0">(AA2-Z2)/Z2*100</f>
        <v>-76.111111111111114</v>
      </c>
      <c r="AD2">
        <f t="shared" ref="AD2:AD33" si="1">AC2/T2</f>
        <v>-0.5142642642642643</v>
      </c>
      <c r="AF2" s="1" t="s">
        <v>182</v>
      </c>
      <c r="AG2" t="s">
        <v>182</v>
      </c>
    </row>
    <row r="3" spans="1:33">
      <c r="A3" t="s">
        <v>679</v>
      </c>
      <c r="B3">
        <v>1983</v>
      </c>
      <c r="C3" t="s">
        <v>161</v>
      </c>
      <c r="D3" t="s">
        <v>1976</v>
      </c>
      <c r="E3" t="s">
        <v>444</v>
      </c>
      <c r="F3" t="s">
        <v>448</v>
      </c>
      <c r="G3" t="s">
        <v>799</v>
      </c>
      <c r="H3">
        <v>-32.583581768462999</v>
      </c>
      <c r="I3">
        <v>115.66754400000001</v>
      </c>
      <c r="J3" t="s">
        <v>349</v>
      </c>
      <c r="K3" t="s">
        <v>802</v>
      </c>
      <c r="L3" t="s">
        <v>999</v>
      </c>
      <c r="M3" t="s">
        <v>1788</v>
      </c>
      <c r="N3" t="s">
        <v>333</v>
      </c>
      <c r="O3" t="s">
        <v>246</v>
      </c>
      <c r="P3" t="s">
        <v>245</v>
      </c>
      <c r="Q3" t="s">
        <v>245</v>
      </c>
      <c r="T3">
        <v>182</v>
      </c>
      <c r="U3">
        <v>6.8999999999999999E-3</v>
      </c>
      <c r="W3">
        <v>145.88</v>
      </c>
      <c r="Z3">
        <v>7.6</v>
      </c>
      <c r="AA3">
        <v>4.07</v>
      </c>
      <c r="AB3" t="s">
        <v>2199</v>
      </c>
      <c r="AC3">
        <f t="shared" si="0"/>
        <v>-46.447368421052623</v>
      </c>
      <c r="AD3">
        <f t="shared" si="1"/>
        <v>-0.25520532099479465</v>
      </c>
      <c r="AF3" s="1" t="s">
        <v>182</v>
      </c>
      <c r="AG3" t="s">
        <v>182</v>
      </c>
    </row>
    <row r="4" spans="1:33">
      <c r="A4" t="s">
        <v>651</v>
      </c>
      <c r="B4">
        <v>1996</v>
      </c>
      <c r="C4" t="s">
        <v>161</v>
      </c>
      <c r="D4" t="s">
        <v>1976</v>
      </c>
      <c r="E4" t="s">
        <v>444</v>
      </c>
      <c r="F4" t="s">
        <v>2186</v>
      </c>
      <c r="G4" t="s">
        <v>2187</v>
      </c>
      <c r="H4">
        <v>44.654307348442401</v>
      </c>
      <c r="I4">
        <v>-1.14067654619239</v>
      </c>
      <c r="J4" t="s">
        <v>310</v>
      </c>
      <c r="K4" t="s">
        <v>155</v>
      </c>
      <c r="L4" t="s">
        <v>999</v>
      </c>
      <c r="M4" t="s">
        <v>1788</v>
      </c>
      <c r="N4" t="s">
        <v>333</v>
      </c>
      <c r="O4" t="s">
        <v>246</v>
      </c>
      <c r="Q4" t="s">
        <v>170</v>
      </c>
      <c r="T4">
        <v>25</v>
      </c>
      <c r="V4">
        <v>3.1960000000000002</v>
      </c>
      <c r="W4">
        <f>50/V4</f>
        <v>15.644555694618273</v>
      </c>
      <c r="X4">
        <v>33</v>
      </c>
      <c r="Z4">
        <v>8.5</v>
      </c>
      <c r="AA4">
        <v>5.3</v>
      </c>
      <c r="AB4" t="s">
        <v>2199</v>
      </c>
      <c r="AC4">
        <f t="shared" si="0"/>
        <v>-37.647058823529413</v>
      </c>
      <c r="AD4">
        <f t="shared" si="1"/>
        <v>-1.5058823529411764</v>
      </c>
      <c r="AF4" s="1" t="s">
        <v>182</v>
      </c>
      <c r="AG4" t="s">
        <v>182</v>
      </c>
    </row>
    <row r="5" spans="1:33">
      <c r="A5" t="s">
        <v>668</v>
      </c>
      <c r="B5">
        <v>1996</v>
      </c>
      <c r="C5" t="s">
        <v>161</v>
      </c>
      <c r="D5" t="s">
        <v>443</v>
      </c>
      <c r="E5" t="s">
        <v>443</v>
      </c>
      <c r="F5" t="s">
        <v>540</v>
      </c>
      <c r="G5" t="s">
        <v>669</v>
      </c>
      <c r="H5">
        <v>-60.7125382767221</v>
      </c>
      <c r="I5">
        <v>-45.601030004819698</v>
      </c>
      <c r="J5" t="s">
        <v>538</v>
      </c>
      <c r="K5" t="s">
        <v>797</v>
      </c>
      <c r="L5" t="s">
        <v>999</v>
      </c>
      <c r="M5" t="s">
        <v>1788</v>
      </c>
      <c r="N5" t="s">
        <v>1727</v>
      </c>
      <c r="O5" t="s">
        <v>182</v>
      </c>
      <c r="P5" t="s">
        <v>670</v>
      </c>
      <c r="Q5" t="s">
        <v>217</v>
      </c>
      <c r="T5">
        <v>83</v>
      </c>
      <c r="V5">
        <v>9.6199999999999994E-2</v>
      </c>
      <c r="W5">
        <f>50/V5</f>
        <v>519.75051975051974</v>
      </c>
      <c r="Z5">
        <v>17.5</v>
      </c>
      <c r="AA5">
        <v>8.6</v>
      </c>
      <c r="AB5" t="s">
        <v>2199</v>
      </c>
      <c r="AC5">
        <f t="shared" si="0"/>
        <v>-50.857142857142854</v>
      </c>
      <c r="AD5">
        <f t="shared" si="1"/>
        <v>-0.61273666092943202</v>
      </c>
      <c r="AF5" s="1" t="s">
        <v>182</v>
      </c>
      <c r="AG5" t="s">
        <v>182</v>
      </c>
    </row>
    <row r="6" spans="1:33">
      <c r="A6" t="s">
        <v>668</v>
      </c>
      <c r="B6">
        <v>1996</v>
      </c>
      <c r="C6" t="s">
        <v>161</v>
      </c>
      <c r="D6" t="s">
        <v>443</v>
      </c>
      <c r="E6" t="s">
        <v>443</v>
      </c>
      <c r="F6" t="s">
        <v>540</v>
      </c>
      <c r="G6" t="s">
        <v>669</v>
      </c>
      <c r="H6">
        <v>-60.7125382767221</v>
      </c>
      <c r="I6">
        <v>-45.601030004819698</v>
      </c>
      <c r="J6" t="s">
        <v>538</v>
      </c>
      <c r="K6" t="s">
        <v>797</v>
      </c>
      <c r="L6" t="s">
        <v>999</v>
      </c>
      <c r="M6" t="s">
        <v>1788</v>
      </c>
      <c r="N6" t="s">
        <v>333</v>
      </c>
      <c r="O6" t="s">
        <v>246</v>
      </c>
      <c r="P6" t="s">
        <v>670</v>
      </c>
      <c r="Q6" t="s">
        <v>217</v>
      </c>
      <c r="T6">
        <v>313</v>
      </c>
      <c r="U6">
        <v>1.6400000000000001E-2</v>
      </c>
      <c r="W6">
        <v>28.16</v>
      </c>
      <c r="Z6">
        <v>14.5</v>
      </c>
      <c r="AA6">
        <v>8.4</v>
      </c>
      <c r="AB6" t="s">
        <v>2199</v>
      </c>
      <c r="AC6">
        <f t="shared" si="0"/>
        <v>-42.068965517241374</v>
      </c>
      <c r="AD6">
        <f t="shared" si="1"/>
        <v>-0.13440564063016414</v>
      </c>
      <c r="AF6" s="1" t="s">
        <v>182</v>
      </c>
      <c r="AG6" t="s">
        <v>182</v>
      </c>
    </row>
    <row r="7" spans="1:33">
      <c r="A7" t="s">
        <v>526</v>
      </c>
      <c r="B7">
        <v>1991</v>
      </c>
      <c r="C7" t="s">
        <v>161</v>
      </c>
      <c r="D7" s="1" t="s">
        <v>1976</v>
      </c>
      <c r="E7" t="s">
        <v>446</v>
      </c>
      <c r="F7" t="s">
        <v>707</v>
      </c>
      <c r="G7" t="s">
        <v>703</v>
      </c>
      <c r="H7">
        <v>41.525787683696002</v>
      </c>
      <c r="I7">
        <v>-70.672420904043307</v>
      </c>
      <c r="J7" t="s">
        <v>276</v>
      </c>
      <c r="K7" t="s">
        <v>586</v>
      </c>
      <c r="L7" t="s">
        <v>999</v>
      </c>
      <c r="M7" t="s">
        <v>1788</v>
      </c>
      <c r="N7" t="s">
        <v>1241</v>
      </c>
      <c r="O7" t="s">
        <v>182</v>
      </c>
      <c r="P7" t="s">
        <v>234</v>
      </c>
      <c r="Q7" t="s">
        <v>170</v>
      </c>
      <c r="T7">
        <v>14</v>
      </c>
      <c r="U7">
        <v>9.3100000000000002E-2</v>
      </c>
      <c r="W7">
        <v>9.8800000000000008</v>
      </c>
      <c r="Y7">
        <v>3.8</v>
      </c>
      <c r="Z7">
        <v>21</v>
      </c>
      <c r="AA7">
        <v>17</v>
      </c>
      <c r="AB7" t="s">
        <v>2199</v>
      </c>
      <c r="AC7">
        <f t="shared" si="0"/>
        <v>-19.047619047619047</v>
      </c>
      <c r="AD7">
        <f t="shared" si="1"/>
        <v>-1.3605442176870748</v>
      </c>
      <c r="AF7" s="1" t="s">
        <v>182</v>
      </c>
      <c r="AG7" t="s">
        <v>182</v>
      </c>
    </row>
    <row r="8" spans="1:33">
      <c r="A8" t="s">
        <v>1250</v>
      </c>
      <c r="B8">
        <v>1993</v>
      </c>
      <c r="C8" t="s">
        <v>187</v>
      </c>
      <c r="D8" t="s">
        <v>1976</v>
      </c>
      <c r="E8" t="s">
        <v>444</v>
      </c>
      <c r="F8" t="s">
        <v>445</v>
      </c>
      <c r="G8" t="s">
        <v>704</v>
      </c>
      <c r="H8">
        <v>27.8322652203594</v>
      </c>
      <c r="I8">
        <v>-82.522622491304801</v>
      </c>
      <c r="J8" t="s">
        <v>276</v>
      </c>
      <c r="K8" t="s">
        <v>586</v>
      </c>
      <c r="L8" t="s">
        <v>999</v>
      </c>
      <c r="M8" t="s">
        <v>1788</v>
      </c>
      <c r="N8" t="s">
        <v>333</v>
      </c>
      <c r="O8" t="s">
        <v>246</v>
      </c>
      <c r="T8">
        <v>63</v>
      </c>
      <c r="V8">
        <v>1.7729999999999999</v>
      </c>
      <c r="W8">
        <f>50/V8</f>
        <v>28.200789622109422</v>
      </c>
      <c r="Y8">
        <v>1.25</v>
      </c>
      <c r="Z8">
        <v>19.3</v>
      </c>
      <c r="AA8">
        <v>0.8</v>
      </c>
      <c r="AB8" s="1" t="s">
        <v>2199</v>
      </c>
      <c r="AC8">
        <f t="shared" si="0"/>
        <v>-95.854922279792746</v>
      </c>
      <c r="AD8">
        <f t="shared" si="1"/>
        <v>-1.5215067028538531</v>
      </c>
      <c r="AF8" s="1" t="s">
        <v>182</v>
      </c>
      <c r="AG8" t="s">
        <v>182</v>
      </c>
    </row>
    <row r="9" spans="1:33">
      <c r="A9" t="s">
        <v>1250</v>
      </c>
      <c r="B9">
        <v>1993</v>
      </c>
      <c r="C9" t="s">
        <v>187</v>
      </c>
      <c r="D9" t="s">
        <v>1976</v>
      </c>
      <c r="E9" t="s">
        <v>446</v>
      </c>
      <c r="F9" t="s">
        <v>707</v>
      </c>
      <c r="G9" t="s">
        <v>897</v>
      </c>
      <c r="H9">
        <v>27.8322652203594</v>
      </c>
      <c r="I9">
        <v>-82.522622491304801</v>
      </c>
      <c r="J9" t="s">
        <v>276</v>
      </c>
      <c r="K9" t="s">
        <v>586</v>
      </c>
      <c r="L9" t="s">
        <v>999</v>
      </c>
      <c r="M9" t="s">
        <v>1788</v>
      </c>
      <c r="N9" t="s">
        <v>333</v>
      </c>
      <c r="O9" t="s">
        <v>246</v>
      </c>
      <c r="T9">
        <v>28</v>
      </c>
      <c r="V9">
        <v>2.1600000000000001E-2</v>
      </c>
      <c r="W9">
        <f>50/V9</f>
        <v>2314.8148148148148</v>
      </c>
      <c r="Y9">
        <v>2</v>
      </c>
      <c r="Z9">
        <v>11.3</v>
      </c>
      <c r="AA9">
        <v>8.3000000000000007</v>
      </c>
      <c r="AB9" s="1" t="s">
        <v>2199</v>
      </c>
      <c r="AC9">
        <f t="shared" si="0"/>
        <v>-26.548672566371678</v>
      </c>
      <c r="AD9">
        <f t="shared" si="1"/>
        <v>-0.94816687737041705</v>
      </c>
      <c r="AF9" s="1" t="s">
        <v>182</v>
      </c>
      <c r="AG9" t="s">
        <v>182</v>
      </c>
    </row>
    <row r="10" spans="1:33">
      <c r="A10" s="23" t="s">
        <v>2179</v>
      </c>
      <c r="B10">
        <v>2023</v>
      </c>
      <c r="C10" t="s">
        <v>187</v>
      </c>
      <c r="D10" t="s">
        <v>1976</v>
      </c>
      <c r="E10" t="s">
        <v>446</v>
      </c>
      <c r="F10" t="s">
        <v>702</v>
      </c>
      <c r="G10" t="s">
        <v>1992</v>
      </c>
      <c r="H10">
        <v>23.45</v>
      </c>
      <c r="I10">
        <v>117.06</v>
      </c>
      <c r="J10" t="s">
        <v>185</v>
      </c>
      <c r="K10" t="s">
        <v>380</v>
      </c>
      <c r="L10" t="s">
        <v>999</v>
      </c>
      <c r="M10" t="s">
        <v>1788</v>
      </c>
      <c r="N10" t="s">
        <v>333</v>
      </c>
      <c r="O10" t="s">
        <v>246</v>
      </c>
      <c r="T10">
        <v>180</v>
      </c>
      <c r="U10">
        <v>3.61E-2</v>
      </c>
      <c r="W10">
        <f>LN(2)/U10</f>
        <v>19.200752924098207</v>
      </c>
      <c r="X10">
        <v>32.199819440264818</v>
      </c>
      <c r="Y10">
        <v>3.6051760457417994</v>
      </c>
      <c r="Z10">
        <v>8.6875</v>
      </c>
      <c r="AA10">
        <v>6.1513557264265479</v>
      </c>
      <c r="AB10" t="s">
        <v>2199</v>
      </c>
      <c r="AC10">
        <f t="shared" si="0"/>
        <v>-29.193027609478584</v>
      </c>
      <c r="AD10">
        <f t="shared" si="1"/>
        <v>-0.16218348671932548</v>
      </c>
      <c r="AF10" s="1" t="s">
        <v>182</v>
      </c>
      <c r="AG10" t="s">
        <v>182</v>
      </c>
    </row>
    <row r="11" spans="1:33">
      <c r="A11" s="23" t="s">
        <v>2179</v>
      </c>
      <c r="B11">
        <v>2023</v>
      </c>
      <c r="C11" t="s">
        <v>187</v>
      </c>
      <c r="D11" t="s">
        <v>1976</v>
      </c>
      <c r="E11" t="s">
        <v>446</v>
      </c>
      <c r="F11" t="s">
        <v>702</v>
      </c>
      <c r="G11" t="s">
        <v>1992</v>
      </c>
      <c r="H11">
        <v>23.45</v>
      </c>
      <c r="I11">
        <v>117.06</v>
      </c>
      <c r="J11" t="s">
        <v>185</v>
      </c>
      <c r="K11" t="s">
        <v>380</v>
      </c>
      <c r="L11" t="s">
        <v>999</v>
      </c>
      <c r="M11" t="s">
        <v>1788</v>
      </c>
      <c r="N11" t="s">
        <v>333</v>
      </c>
      <c r="O11" t="s">
        <v>246</v>
      </c>
      <c r="T11">
        <v>120</v>
      </c>
      <c r="Z11">
        <v>8.6875</v>
      </c>
      <c r="AA11">
        <v>7.8139786399891848</v>
      </c>
      <c r="AB11" t="s">
        <v>2199</v>
      </c>
      <c r="AC11">
        <f t="shared" si="0"/>
        <v>-10.054922129620895</v>
      </c>
      <c r="AD11">
        <f t="shared" si="1"/>
        <v>-8.3791017746840793E-2</v>
      </c>
      <c r="AF11" s="1" t="s">
        <v>182</v>
      </c>
      <c r="AG11" t="s">
        <v>182</v>
      </c>
    </row>
    <row r="12" spans="1:33">
      <c r="A12" t="s">
        <v>680</v>
      </c>
      <c r="B12">
        <v>1976</v>
      </c>
      <c r="C12" t="s">
        <v>161</v>
      </c>
      <c r="D12" t="s">
        <v>272</v>
      </c>
      <c r="E12" t="s">
        <v>443</v>
      </c>
      <c r="F12" t="s">
        <v>611</v>
      </c>
      <c r="G12" t="s">
        <v>612</v>
      </c>
      <c r="H12">
        <v>41.525787683696002</v>
      </c>
      <c r="I12">
        <v>-70.672420904043307</v>
      </c>
      <c r="J12" t="s">
        <v>276</v>
      </c>
      <c r="K12" t="s">
        <v>586</v>
      </c>
      <c r="L12" t="s">
        <v>999</v>
      </c>
      <c r="M12" t="s">
        <v>1788</v>
      </c>
      <c r="N12" t="s">
        <v>333</v>
      </c>
      <c r="O12" t="s">
        <v>246</v>
      </c>
      <c r="P12" t="s">
        <v>236</v>
      </c>
      <c r="Q12" t="s">
        <v>420</v>
      </c>
      <c r="T12">
        <v>63</v>
      </c>
      <c r="U12">
        <v>6.6000000000000003E-2</v>
      </c>
      <c r="W12">
        <f>LN(2)/U12</f>
        <v>10.50223000848402</v>
      </c>
      <c r="X12">
        <v>47.082000000000001</v>
      </c>
      <c r="Z12">
        <v>26</v>
      </c>
      <c r="AA12">
        <v>11</v>
      </c>
      <c r="AB12" t="s">
        <v>2199</v>
      </c>
      <c r="AC12">
        <f t="shared" si="0"/>
        <v>-57.692307692307686</v>
      </c>
      <c r="AD12">
        <f t="shared" si="1"/>
        <v>-0.91575091575091561</v>
      </c>
      <c r="AF12" s="1" t="s">
        <v>182</v>
      </c>
      <c r="AG12" t="s">
        <v>182</v>
      </c>
    </row>
    <row r="13" spans="1:33">
      <c r="A13" t="s">
        <v>2306</v>
      </c>
      <c r="B13">
        <v>1976</v>
      </c>
      <c r="C13" t="s">
        <v>161</v>
      </c>
      <c r="D13" t="s">
        <v>272</v>
      </c>
      <c r="E13" t="s">
        <v>443</v>
      </c>
      <c r="F13" t="s">
        <v>611</v>
      </c>
      <c r="G13" t="s">
        <v>612</v>
      </c>
      <c r="H13">
        <v>41.525787683696002</v>
      </c>
      <c r="I13">
        <v>-70.672420904043307</v>
      </c>
      <c r="J13" t="s">
        <v>276</v>
      </c>
      <c r="K13" t="s">
        <v>586</v>
      </c>
      <c r="L13" t="s">
        <v>999</v>
      </c>
      <c r="M13" t="s">
        <v>1788</v>
      </c>
      <c r="N13" t="s">
        <v>333</v>
      </c>
      <c r="O13" t="s">
        <v>246</v>
      </c>
      <c r="P13" t="s">
        <v>236</v>
      </c>
      <c r="Q13" t="s">
        <v>420</v>
      </c>
      <c r="T13">
        <v>63</v>
      </c>
      <c r="U13">
        <v>0.309</v>
      </c>
      <c r="W13">
        <v>5.25</v>
      </c>
      <c r="X13">
        <v>47.082000000000001</v>
      </c>
      <c r="Z13">
        <v>26</v>
      </c>
      <c r="AA13">
        <v>13</v>
      </c>
      <c r="AB13" t="s">
        <v>2199</v>
      </c>
      <c r="AC13">
        <f t="shared" si="0"/>
        <v>-50</v>
      </c>
      <c r="AD13">
        <f t="shared" si="1"/>
        <v>-0.79365079365079361</v>
      </c>
      <c r="AF13" s="1" t="s">
        <v>182</v>
      </c>
      <c r="AG13" t="s">
        <v>182</v>
      </c>
    </row>
    <row r="14" spans="1:33">
      <c r="A14" t="s">
        <v>1962</v>
      </c>
      <c r="B14">
        <v>2023</v>
      </c>
      <c r="C14" t="s">
        <v>161</v>
      </c>
      <c r="D14" t="s">
        <v>446</v>
      </c>
      <c r="E14" t="s">
        <v>446</v>
      </c>
      <c r="F14" t="s">
        <v>1977</v>
      </c>
      <c r="G14" t="s">
        <v>552</v>
      </c>
      <c r="H14">
        <v>35.048611000000001</v>
      </c>
      <c r="I14">
        <v>128.97222199999999</v>
      </c>
      <c r="J14" t="s">
        <v>1978</v>
      </c>
      <c r="K14" t="s">
        <v>380</v>
      </c>
      <c r="L14" t="s">
        <v>999</v>
      </c>
      <c r="M14" t="s">
        <v>1788</v>
      </c>
      <c r="N14" t="s">
        <v>1979</v>
      </c>
      <c r="O14" t="s">
        <v>182</v>
      </c>
      <c r="T14">
        <v>56</v>
      </c>
      <c r="Z14">
        <v>21.19</v>
      </c>
      <c r="AA14">
        <v>6.02266293826629</v>
      </c>
      <c r="AB14" t="s">
        <v>2199</v>
      </c>
      <c r="AC14">
        <f t="shared" si="0"/>
        <v>-71.577805859998634</v>
      </c>
      <c r="AD14">
        <f t="shared" si="1"/>
        <v>-1.2781751046428327</v>
      </c>
      <c r="AF14" s="1" t="s">
        <v>182</v>
      </c>
      <c r="AG14" t="s">
        <v>182</v>
      </c>
    </row>
    <row r="15" spans="1:33">
      <c r="A15" t="s">
        <v>1962</v>
      </c>
      <c r="B15">
        <v>2023</v>
      </c>
      <c r="C15" t="s">
        <v>161</v>
      </c>
      <c r="D15" t="s">
        <v>446</v>
      </c>
      <c r="E15" t="s">
        <v>446</v>
      </c>
      <c r="F15" t="s">
        <v>1977</v>
      </c>
      <c r="G15" t="s">
        <v>552</v>
      </c>
      <c r="H15">
        <v>35.048611000000001</v>
      </c>
      <c r="I15">
        <v>128.97222199999999</v>
      </c>
      <c r="J15" t="s">
        <v>1978</v>
      </c>
      <c r="K15" t="s">
        <v>380</v>
      </c>
      <c r="L15" t="s">
        <v>999</v>
      </c>
      <c r="M15" t="s">
        <v>1788</v>
      </c>
      <c r="N15" t="s">
        <v>1979</v>
      </c>
      <c r="O15" t="s">
        <v>182</v>
      </c>
      <c r="T15">
        <v>28</v>
      </c>
      <c r="Z15">
        <v>21.19</v>
      </c>
      <c r="AA15">
        <v>6.0426930522692999</v>
      </c>
      <c r="AB15" t="s">
        <v>2199</v>
      </c>
      <c r="AC15">
        <f t="shared" si="0"/>
        <v>-71.483279602315719</v>
      </c>
      <c r="AD15">
        <f t="shared" si="1"/>
        <v>-2.5529742715112755</v>
      </c>
      <c r="AF15" s="1" t="s">
        <v>182</v>
      </c>
      <c r="AG15" t="s">
        <v>182</v>
      </c>
    </row>
    <row r="16" spans="1:33">
      <c r="A16" t="s">
        <v>1962</v>
      </c>
      <c r="B16">
        <v>2023</v>
      </c>
      <c r="C16" t="s">
        <v>161</v>
      </c>
      <c r="D16" t="s">
        <v>446</v>
      </c>
      <c r="E16" t="s">
        <v>446</v>
      </c>
      <c r="F16" t="s">
        <v>1977</v>
      </c>
      <c r="G16" t="s">
        <v>552</v>
      </c>
      <c r="H16">
        <v>35.048611000000001</v>
      </c>
      <c r="I16">
        <v>128.97222199999999</v>
      </c>
      <c r="J16" t="s">
        <v>1978</v>
      </c>
      <c r="K16" t="s">
        <v>380</v>
      </c>
      <c r="L16" t="s">
        <v>999</v>
      </c>
      <c r="M16" t="s">
        <v>1788</v>
      </c>
      <c r="N16" t="s">
        <v>1979</v>
      </c>
      <c r="O16" t="s">
        <v>182</v>
      </c>
      <c r="T16">
        <v>21</v>
      </c>
      <c r="Z16">
        <v>21.19</v>
      </c>
      <c r="AA16">
        <v>7.1567390836738998</v>
      </c>
      <c r="AB16" t="s">
        <v>2199</v>
      </c>
      <c r="AC16">
        <f t="shared" si="0"/>
        <v>-66.22586557964182</v>
      </c>
      <c r="AD16">
        <f t="shared" si="1"/>
        <v>-3.1536126466496106</v>
      </c>
      <c r="AF16" s="1" t="s">
        <v>182</v>
      </c>
      <c r="AG16" t="s">
        <v>182</v>
      </c>
    </row>
    <row r="17" spans="1:33">
      <c r="A17" t="s">
        <v>1962</v>
      </c>
      <c r="B17">
        <v>2023</v>
      </c>
      <c r="C17" t="s">
        <v>161</v>
      </c>
      <c r="D17" t="s">
        <v>446</v>
      </c>
      <c r="E17" t="s">
        <v>446</v>
      </c>
      <c r="F17" t="s">
        <v>1977</v>
      </c>
      <c r="G17" t="s">
        <v>552</v>
      </c>
      <c r="H17">
        <v>35.048611000000001</v>
      </c>
      <c r="I17">
        <v>128.97222199999999</v>
      </c>
      <c r="J17" t="s">
        <v>1978</v>
      </c>
      <c r="K17" t="s">
        <v>380</v>
      </c>
      <c r="L17" t="s">
        <v>999</v>
      </c>
      <c r="M17" t="s">
        <v>1788</v>
      </c>
      <c r="N17" t="s">
        <v>1979</v>
      </c>
      <c r="O17" t="s">
        <v>182</v>
      </c>
      <c r="T17">
        <v>70</v>
      </c>
      <c r="U17">
        <v>0.13389999999999999</v>
      </c>
      <c r="W17">
        <v>3.65</v>
      </c>
      <c r="Z17">
        <v>21.19</v>
      </c>
      <c r="AA17">
        <v>7.3345321574532099</v>
      </c>
      <c r="AB17" t="s">
        <v>2199</v>
      </c>
      <c r="AC17">
        <f t="shared" si="0"/>
        <v>-65.386823230518118</v>
      </c>
      <c r="AD17">
        <f t="shared" si="1"/>
        <v>-0.93409747472168736</v>
      </c>
      <c r="AF17" s="1" t="s">
        <v>182</v>
      </c>
      <c r="AG17" t="s">
        <v>182</v>
      </c>
    </row>
    <row r="18" spans="1:33">
      <c r="A18" t="s">
        <v>1962</v>
      </c>
      <c r="B18">
        <v>2023</v>
      </c>
      <c r="C18" t="s">
        <v>161</v>
      </c>
      <c r="D18" t="s">
        <v>446</v>
      </c>
      <c r="E18" t="s">
        <v>446</v>
      </c>
      <c r="F18" t="s">
        <v>1977</v>
      </c>
      <c r="G18" t="s">
        <v>552</v>
      </c>
      <c r="H18">
        <v>35.048611000000001</v>
      </c>
      <c r="I18">
        <v>128.97222199999999</v>
      </c>
      <c r="J18" t="s">
        <v>1978</v>
      </c>
      <c r="K18" t="s">
        <v>380</v>
      </c>
      <c r="L18" t="s">
        <v>999</v>
      </c>
      <c r="M18" t="s">
        <v>1788</v>
      </c>
      <c r="N18" t="s">
        <v>1979</v>
      </c>
      <c r="O18" t="s">
        <v>182</v>
      </c>
      <c r="T18">
        <v>63</v>
      </c>
      <c r="Z18">
        <v>21.19</v>
      </c>
      <c r="AA18">
        <v>7.5410281781028097</v>
      </c>
      <c r="AB18" t="s">
        <v>2199</v>
      </c>
      <c r="AC18">
        <f t="shared" si="0"/>
        <v>-64.412325728632325</v>
      </c>
      <c r="AD18">
        <f t="shared" si="1"/>
        <v>-1.0224178687084495</v>
      </c>
      <c r="AF18" s="1" t="s">
        <v>182</v>
      </c>
      <c r="AG18" t="s">
        <v>182</v>
      </c>
    </row>
    <row r="19" spans="1:33">
      <c r="A19" t="s">
        <v>1962</v>
      </c>
      <c r="B19">
        <v>2023</v>
      </c>
      <c r="C19" t="s">
        <v>161</v>
      </c>
      <c r="D19" t="s">
        <v>446</v>
      </c>
      <c r="E19" t="s">
        <v>446</v>
      </c>
      <c r="F19" t="s">
        <v>1977</v>
      </c>
      <c r="G19" t="s">
        <v>552</v>
      </c>
      <c r="H19">
        <v>35.048611000000001</v>
      </c>
      <c r="I19">
        <v>128.97222199999999</v>
      </c>
      <c r="J19" t="s">
        <v>1978</v>
      </c>
      <c r="K19" t="s">
        <v>380</v>
      </c>
      <c r="L19" t="s">
        <v>999</v>
      </c>
      <c r="M19" t="s">
        <v>1788</v>
      </c>
      <c r="N19" t="s">
        <v>1979</v>
      </c>
      <c r="O19" t="s">
        <v>182</v>
      </c>
      <c r="T19">
        <v>49</v>
      </c>
      <c r="Z19">
        <v>21.19</v>
      </c>
      <c r="AA19">
        <v>7.9916024951602402</v>
      </c>
      <c r="AB19" t="s">
        <v>2199</v>
      </c>
      <c r="AC19">
        <f t="shared" si="0"/>
        <v>-62.285972179517515</v>
      </c>
      <c r="AD19">
        <f t="shared" si="1"/>
        <v>-1.2711422893779085</v>
      </c>
      <c r="AF19" s="1" t="s">
        <v>182</v>
      </c>
      <c r="AG19" t="s">
        <v>182</v>
      </c>
    </row>
    <row r="20" spans="1:33">
      <c r="A20" t="s">
        <v>1962</v>
      </c>
      <c r="B20">
        <v>2023</v>
      </c>
      <c r="C20" t="s">
        <v>161</v>
      </c>
      <c r="D20" t="s">
        <v>446</v>
      </c>
      <c r="E20" t="s">
        <v>446</v>
      </c>
      <c r="F20" t="s">
        <v>1977</v>
      </c>
      <c r="G20" t="s">
        <v>552</v>
      </c>
      <c r="H20">
        <v>35.048611000000001</v>
      </c>
      <c r="I20">
        <v>128.97222199999999</v>
      </c>
      <c r="J20" t="s">
        <v>1978</v>
      </c>
      <c r="K20" t="s">
        <v>380</v>
      </c>
      <c r="L20" t="s">
        <v>999</v>
      </c>
      <c r="M20" t="s">
        <v>1788</v>
      </c>
      <c r="N20" t="s">
        <v>1979</v>
      </c>
      <c r="O20" t="s">
        <v>182</v>
      </c>
      <c r="T20">
        <v>42</v>
      </c>
      <c r="Z20">
        <v>21.19</v>
      </c>
      <c r="AA20">
        <v>8.4869864486986408</v>
      </c>
      <c r="AB20" t="s">
        <v>2199</v>
      </c>
      <c r="AC20">
        <f t="shared" si="0"/>
        <v>-59.948152672493435</v>
      </c>
      <c r="AD20">
        <f t="shared" si="1"/>
        <v>-1.4273369683927009</v>
      </c>
      <c r="AF20" s="1" t="s">
        <v>182</v>
      </c>
      <c r="AG20" t="s">
        <v>182</v>
      </c>
    </row>
    <row r="21" spans="1:33">
      <c r="A21" t="s">
        <v>1962</v>
      </c>
      <c r="B21">
        <v>2023</v>
      </c>
      <c r="C21" t="s">
        <v>161</v>
      </c>
      <c r="D21" t="s">
        <v>446</v>
      </c>
      <c r="E21" t="s">
        <v>446</v>
      </c>
      <c r="F21" t="s">
        <v>1977</v>
      </c>
      <c r="G21" t="s">
        <v>552</v>
      </c>
      <c r="H21">
        <v>35.048611000000001</v>
      </c>
      <c r="I21">
        <v>128.97222199999999</v>
      </c>
      <c r="J21" t="s">
        <v>1978</v>
      </c>
      <c r="K21" t="s">
        <v>380</v>
      </c>
      <c r="L21" t="s">
        <v>999</v>
      </c>
      <c r="M21" t="s">
        <v>1788</v>
      </c>
      <c r="N21" t="s">
        <v>1979</v>
      </c>
      <c r="O21" t="s">
        <v>182</v>
      </c>
      <c r="T21">
        <v>14</v>
      </c>
      <c r="Z21">
        <v>21.19</v>
      </c>
      <c r="AA21">
        <v>9.0544375134437498</v>
      </c>
      <c r="AB21" t="s">
        <v>2199</v>
      </c>
      <c r="AC21">
        <f t="shared" si="0"/>
        <v>-57.270233537311235</v>
      </c>
      <c r="AD21">
        <f t="shared" si="1"/>
        <v>-4.0907309669508027</v>
      </c>
      <c r="AF21" s="1" t="s">
        <v>182</v>
      </c>
      <c r="AG21" t="s">
        <v>182</v>
      </c>
    </row>
    <row r="22" spans="1:33">
      <c r="A22" t="s">
        <v>1962</v>
      </c>
      <c r="B22">
        <v>2023</v>
      </c>
      <c r="C22" t="s">
        <v>161</v>
      </c>
      <c r="D22" t="s">
        <v>446</v>
      </c>
      <c r="E22" t="s">
        <v>446</v>
      </c>
      <c r="F22" t="s">
        <v>1977</v>
      </c>
      <c r="G22" t="s">
        <v>552</v>
      </c>
      <c r="H22">
        <v>35.048611000000001</v>
      </c>
      <c r="I22">
        <v>128.97222199999999</v>
      </c>
      <c r="J22" t="s">
        <v>1978</v>
      </c>
      <c r="K22" t="s">
        <v>380</v>
      </c>
      <c r="L22" t="s">
        <v>999</v>
      </c>
      <c r="M22" t="s">
        <v>1788</v>
      </c>
      <c r="N22" t="s">
        <v>1979</v>
      </c>
      <c r="O22" t="s">
        <v>182</v>
      </c>
      <c r="T22">
        <v>35</v>
      </c>
      <c r="Z22">
        <v>21.19</v>
      </c>
      <c r="AA22">
        <v>9.4397590879759008</v>
      </c>
      <c r="AB22" t="s">
        <v>2199</v>
      </c>
      <c r="AC22">
        <f t="shared" si="0"/>
        <v>-55.451821198792352</v>
      </c>
      <c r="AD22">
        <f t="shared" si="1"/>
        <v>-1.5843377485369243</v>
      </c>
      <c r="AF22" s="1" t="s">
        <v>182</v>
      </c>
      <c r="AG22" t="s">
        <v>182</v>
      </c>
    </row>
    <row r="23" spans="1:33">
      <c r="A23" t="s">
        <v>1962</v>
      </c>
      <c r="B23">
        <v>2023</v>
      </c>
      <c r="C23" t="s">
        <v>161</v>
      </c>
      <c r="D23" t="s">
        <v>1976</v>
      </c>
      <c r="E23" t="s">
        <v>444</v>
      </c>
      <c r="F23" t="s">
        <v>445</v>
      </c>
      <c r="G23" t="s">
        <v>552</v>
      </c>
      <c r="H23">
        <v>35.048611000000001</v>
      </c>
      <c r="I23">
        <v>128.97222199999999</v>
      </c>
      <c r="J23" t="s">
        <v>1978</v>
      </c>
      <c r="K23" t="s">
        <v>380</v>
      </c>
      <c r="L23" t="s">
        <v>999</v>
      </c>
      <c r="M23" t="s">
        <v>1788</v>
      </c>
      <c r="N23" t="s">
        <v>1979</v>
      </c>
      <c r="O23" t="s">
        <v>182</v>
      </c>
      <c r="T23">
        <v>63</v>
      </c>
      <c r="Z23">
        <v>10.95</v>
      </c>
      <c r="AA23">
        <v>5.57993546999354</v>
      </c>
      <c r="AB23" t="s">
        <v>2199</v>
      </c>
      <c r="AC23">
        <f t="shared" si="0"/>
        <v>-49.041685205538442</v>
      </c>
      <c r="AD23">
        <f t="shared" si="1"/>
        <v>-0.77843944770695939</v>
      </c>
      <c r="AF23" s="1" t="s">
        <v>182</v>
      </c>
      <c r="AG23" t="s">
        <v>182</v>
      </c>
    </row>
    <row r="24" spans="1:33">
      <c r="A24" t="s">
        <v>1962</v>
      </c>
      <c r="B24">
        <v>2023</v>
      </c>
      <c r="C24" t="s">
        <v>161</v>
      </c>
      <c r="D24" t="s">
        <v>1976</v>
      </c>
      <c r="E24" t="s">
        <v>444</v>
      </c>
      <c r="F24" t="s">
        <v>445</v>
      </c>
      <c r="G24" t="s">
        <v>552</v>
      </c>
      <c r="H24">
        <v>35.048611000000001</v>
      </c>
      <c r="I24">
        <v>128.97222199999999</v>
      </c>
      <c r="J24" t="s">
        <v>1978</v>
      </c>
      <c r="K24" t="s">
        <v>380</v>
      </c>
      <c r="L24" t="s">
        <v>999</v>
      </c>
      <c r="M24" t="s">
        <v>1788</v>
      </c>
      <c r="N24" t="s">
        <v>1979</v>
      </c>
      <c r="O24" t="s">
        <v>182</v>
      </c>
      <c r="T24">
        <v>56</v>
      </c>
      <c r="Z24">
        <v>10.95</v>
      </c>
      <c r="AA24">
        <v>5.6720326952032698</v>
      </c>
      <c r="AB24" t="s">
        <v>2199</v>
      </c>
      <c r="AC24">
        <f t="shared" si="0"/>
        <v>-48.200614655677896</v>
      </c>
      <c r="AD24">
        <f t="shared" si="1"/>
        <v>-0.86072526170853381</v>
      </c>
      <c r="AF24" s="1" t="s">
        <v>182</v>
      </c>
      <c r="AG24" t="s">
        <v>182</v>
      </c>
    </row>
    <row r="25" spans="1:33">
      <c r="A25" t="s">
        <v>1962</v>
      </c>
      <c r="B25">
        <v>2023</v>
      </c>
      <c r="C25" t="s">
        <v>161</v>
      </c>
      <c r="D25" t="s">
        <v>1976</v>
      </c>
      <c r="E25" t="s">
        <v>444</v>
      </c>
      <c r="F25" t="s">
        <v>445</v>
      </c>
      <c r="G25" t="s">
        <v>552</v>
      </c>
      <c r="H25">
        <v>35.048611000000001</v>
      </c>
      <c r="I25">
        <v>128.97222199999999</v>
      </c>
      <c r="J25" t="s">
        <v>1978</v>
      </c>
      <c r="K25" t="s">
        <v>380</v>
      </c>
      <c r="L25" t="s">
        <v>999</v>
      </c>
      <c r="M25" t="s">
        <v>1788</v>
      </c>
      <c r="N25" t="s">
        <v>1979</v>
      </c>
      <c r="O25" t="s">
        <v>182</v>
      </c>
      <c r="T25">
        <v>42</v>
      </c>
      <c r="Z25">
        <v>10.95</v>
      </c>
      <c r="AA25">
        <v>5.7275801247580098</v>
      </c>
      <c r="AB25" t="s">
        <v>2199</v>
      </c>
      <c r="AC25">
        <f t="shared" si="0"/>
        <v>-47.69333219399077</v>
      </c>
      <c r="AD25">
        <f t="shared" si="1"/>
        <v>-1.1355555284283516</v>
      </c>
      <c r="AF25" s="1" t="s">
        <v>182</v>
      </c>
      <c r="AG25" t="s">
        <v>182</v>
      </c>
    </row>
    <row r="26" spans="1:33">
      <c r="A26" t="s">
        <v>1962</v>
      </c>
      <c r="B26">
        <v>2023</v>
      </c>
      <c r="C26" t="s">
        <v>161</v>
      </c>
      <c r="D26" t="s">
        <v>1976</v>
      </c>
      <c r="E26" t="s">
        <v>444</v>
      </c>
      <c r="F26" t="s">
        <v>445</v>
      </c>
      <c r="G26" t="s">
        <v>552</v>
      </c>
      <c r="H26">
        <v>35.048611000000001</v>
      </c>
      <c r="I26">
        <v>128.97222199999999</v>
      </c>
      <c r="J26" t="s">
        <v>1978</v>
      </c>
      <c r="K26" t="s">
        <v>380</v>
      </c>
      <c r="L26" t="s">
        <v>999</v>
      </c>
      <c r="M26" t="s">
        <v>1788</v>
      </c>
      <c r="N26" t="s">
        <v>1979</v>
      </c>
      <c r="O26" t="s">
        <v>182</v>
      </c>
      <c r="T26">
        <v>70</v>
      </c>
      <c r="U26">
        <v>0.1951</v>
      </c>
      <c r="W26">
        <v>7.7050000000000001</v>
      </c>
      <c r="Z26">
        <v>10.95</v>
      </c>
      <c r="AA26">
        <v>5.7521531512153103</v>
      </c>
      <c r="AB26" t="s">
        <v>2199</v>
      </c>
      <c r="AC26">
        <f t="shared" si="0"/>
        <v>-47.468920993467485</v>
      </c>
      <c r="AD26">
        <f t="shared" si="1"/>
        <v>-0.6781274427638212</v>
      </c>
      <c r="AF26" s="1" t="s">
        <v>182</v>
      </c>
      <c r="AG26" t="s">
        <v>182</v>
      </c>
    </row>
    <row r="27" spans="1:33">
      <c r="A27" t="s">
        <v>1962</v>
      </c>
      <c r="B27">
        <v>2023</v>
      </c>
      <c r="C27" t="s">
        <v>161</v>
      </c>
      <c r="D27" t="s">
        <v>1976</v>
      </c>
      <c r="E27" t="s">
        <v>444</v>
      </c>
      <c r="F27" t="s">
        <v>445</v>
      </c>
      <c r="G27" t="s">
        <v>552</v>
      </c>
      <c r="H27">
        <v>35.048611000000001</v>
      </c>
      <c r="I27">
        <v>128.97222199999999</v>
      </c>
      <c r="J27" t="s">
        <v>1978</v>
      </c>
      <c r="K27" t="s">
        <v>380</v>
      </c>
      <c r="L27" t="s">
        <v>999</v>
      </c>
      <c r="M27" t="s">
        <v>1788</v>
      </c>
      <c r="N27" t="s">
        <v>1979</v>
      </c>
      <c r="O27" t="s">
        <v>182</v>
      </c>
      <c r="T27">
        <v>49</v>
      </c>
      <c r="Z27">
        <v>10.95</v>
      </c>
      <c r="AA27">
        <v>5.8593245859324501</v>
      </c>
      <c r="AB27" t="s">
        <v>2199</v>
      </c>
      <c r="AC27">
        <f t="shared" si="0"/>
        <v>-46.490186429840634</v>
      </c>
      <c r="AD27">
        <f t="shared" si="1"/>
        <v>-0.94877931489470679</v>
      </c>
      <c r="AF27" s="1" t="s">
        <v>182</v>
      </c>
      <c r="AG27" t="s">
        <v>182</v>
      </c>
    </row>
    <row r="28" spans="1:33">
      <c r="A28" t="s">
        <v>1962</v>
      </c>
      <c r="B28">
        <v>2023</v>
      </c>
      <c r="C28" t="s">
        <v>161</v>
      </c>
      <c r="D28" t="s">
        <v>1976</v>
      </c>
      <c r="E28" t="s">
        <v>444</v>
      </c>
      <c r="F28" t="s">
        <v>445</v>
      </c>
      <c r="G28" t="s">
        <v>552</v>
      </c>
      <c r="H28">
        <v>35.048611000000001</v>
      </c>
      <c r="I28">
        <v>128.97222199999999</v>
      </c>
      <c r="J28" t="s">
        <v>1978</v>
      </c>
      <c r="K28" t="s">
        <v>380</v>
      </c>
      <c r="L28" t="s">
        <v>999</v>
      </c>
      <c r="M28" t="s">
        <v>1788</v>
      </c>
      <c r="N28" t="s">
        <v>1979</v>
      </c>
      <c r="O28" t="s">
        <v>182</v>
      </c>
      <c r="T28">
        <v>35</v>
      </c>
      <c r="Z28">
        <v>10.95</v>
      </c>
      <c r="AA28">
        <v>6.1729920412992003</v>
      </c>
      <c r="AB28" t="s">
        <v>2199</v>
      </c>
      <c r="AC28">
        <f t="shared" si="0"/>
        <v>-43.625643458454789</v>
      </c>
      <c r="AD28">
        <f t="shared" si="1"/>
        <v>-1.2464469559558511</v>
      </c>
      <c r="AF28" s="1" t="s">
        <v>182</v>
      </c>
      <c r="AG28" t="s">
        <v>182</v>
      </c>
    </row>
    <row r="29" spans="1:33">
      <c r="A29" t="s">
        <v>1962</v>
      </c>
      <c r="B29">
        <v>2023</v>
      </c>
      <c r="C29" t="s">
        <v>161</v>
      </c>
      <c r="D29" t="s">
        <v>152</v>
      </c>
      <c r="E29" t="s">
        <v>443</v>
      </c>
      <c r="F29" t="s">
        <v>437</v>
      </c>
      <c r="G29" t="s">
        <v>438</v>
      </c>
      <c r="H29">
        <v>35.048611000000001</v>
      </c>
      <c r="I29">
        <v>128.97222199999999</v>
      </c>
      <c r="J29" t="s">
        <v>1978</v>
      </c>
      <c r="K29" t="s">
        <v>380</v>
      </c>
      <c r="L29" t="s">
        <v>999</v>
      </c>
      <c r="M29" t="s">
        <v>1788</v>
      </c>
      <c r="N29" t="s">
        <v>1979</v>
      </c>
      <c r="O29" t="s">
        <v>182</v>
      </c>
      <c r="T29">
        <v>14</v>
      </c>
      <c r="Z29">
        <v>11.17</v>
      </c>
      <c r="AA29">
        <v>6.5372510217251003</v>
      </c>
      <c r="AB29" t="s">
        <v>2199</v>
      </c>
      <c r="AC29">
        <f t="shared" si="0"/>
        <v>-41.474923708817364</v>
      </c>
      <c r="AD29">
        <f t="shared" si="1"/>
        <v>-2.9624945506298119</v>
      </c>
      <c r="AF29" s="1" t="s">
        <v>182</v>
      </c>
      <c r="AG29" t="s">
        <v>182</v>
      </c>
    </row>
    <row r="30" spans="1:33">
      <c r="A30" t="s">
        <v>1962</v>
      </c>
      <c r="B30">
        <v>2023</v>
      </c>
      <c r="C30" t="s">
        <v>161</v>
      </c>
      <c r="D30" t="s">
        <v>446</v>
      </c>
      <c r="E30" t="s">
        <v>446</v>
      </c>
      <c r="F30" t="s">
        <v>1977</v>
      </c>
      <c r="G30" t="s">
        <v>552</v>
      </c>
      <c r="H30">
        <v>35.048611000000001</v>
      </c>
      <c r="I30">
        <v>128.97222199999999</v>
      </c>
      <c r="J30" t="s">
        <v>1978</v>
      </c>
      <c r="K30" t="s">
        <v>380</v>
      </c>
      <c r="L30" t="s">
        <v>999</v>
      </c>
      <c r="M30" t="s">
        <v>1788</v>
      </c>
      <c r="N30" t="s">
        <v>1979</v>
      </c>
      <c r="O30" t="s">
        <v>182</v>
      </c>
      <c r="T30">
        <v>7</v>
      </c>
      <c r="Z30">
        <v>21.19</v>
      </c>
      <c r="AA30">
        <v>12.667085394708501</v>
      </c>
      <c r="AB30" t="s">
        <v>2199</v>
      </c>
      <c r="AC30">
        <f t="shared" si="0"/>
        <v>-40.221399741819255</v>
      </c>
      <c r="AD30">
        <f t="shared" si="1"/>
        <v>-5.7459142488313217</v>
      </c>
      <c r="AF30" s="1" t="s">
        <v>182</v>
      </c>
      <c r="AG30" t="s">
        <v>182</v>
      </c>
    </row>
    <row r="31" spans="1:33">
      <c r="A31" t="s">
        <v>1962</v>
      </c>
      <c r="B31">
        <v>2023</v>
      </c>
      <c r="C31" t="s">
        <v>161</v>
      </c>
      <c r="D31" t="s">
        <v>1976</v>
      </c>
      <c r="E31" t="s">
        <v>444</v>
      </c>
      <c r="F31" t="s">
        <v>445</v>
      </c>
      <c r="G31" t="s">
        <v>552</v>
      </c>
      <c r="H31">
        <v>35.048611000000001</v>
      </c>
      <c r="I31">
        <v>128.97222199999999</v>
      </c>
      <c r="J31" t="s">
        <v>1978</v>
      </c>
      <c r="K31" t="s">
        <v>380</v>
      </c>
      <c r="L31" t="s">
        <v>999</v>
      </c>
      <c r="M31" t="s">
        <v>1788</v>
      </c>
      <c r="N31" t="s">
        <v>1979</v>
      </c>
      <c r="O31" t="s">
        <v>182</v>
      </c>
      <c r="T31">
        <v>28</v>
      </c>
      <c r="Z31">
        <v>10.95</v>
      </c>
      <c r="AA31">
        <v>6.5746268014626796</v>
      </c>
      <c r="AB31" t="s">
        <v>2199</v>
      </c>
      <c r="AC31">
        <f t="shared" si="0"/>
        <v>-39.957746105363654</v>
      </c>
      <c r="AD31">
        <f t="shared" si="1"/>
        <v>-1.4270623609058448</v>
      </c>
      <c r="AF31" s="1" t="s">
        <v>182</v>
      </c>
      <c r="AG31" t="s">
        <v>182</v>
      </c>
    </row>
    <row r="32" spans="1:33">
      <c r="A32" t="s">
        <v>1962</v>
      </c>
      <c r="B32">
        <v>2023</v>
      </c>
      <c r="C32" t="s">
        <v>161</v>
      </c>
      <c r="D32" t="s">
        <v>152</v>
      </c>
      <c r="E32" t="s">
        <v>443</v>
      </c>
      <c r="F32" t="s">
        <v>437</v>
      </c>
      <c r="G32" t="s">
        <v>438</v>
      </c>
      <c r="H32">
        <v>35.048611000000001</v>
      </c>
      <c r="I32">
        <v>128.97222199999999</v>
      </c>
      <c r="J32" t="s">
        <v>1978</v>
      </c>
      <c r="K32" t="s">
        <v>380</v>
      </c>
      <c r="L32" t="s">
        <v>999</v>
      </c>
      <c r="M32" t="s">
        <v>1788</v>
      </c>
      <c r="N32" t="s">
        <v>1979</v>
      </c>
      <c r="O32" t="s">
        <v>182</v>
      </c>
      <c r="T32">
        <v>21</v>
      </c>
      <c r="Z32">
        <v>11.17</v>
      </c>
      <c r="AA32">
        <v>6.7294988169498797</v>
      </c>
      <c r="AB32" t="s">
        <v>2199</v>
      </c>
      <c r="AC32">
        <f t="shared" si="0"/>
        <v>-39.753815425694903</v>
      </c>
      <c r="AD32">
        <f t="shared" si="1"/>
        <v>-1.8930388297949954</v>
      </c>
      <c r="AF32" s="1" t="s">
        <v>182</v>
      </c>
      <c r="AG32" t="s">
        <v>182</v>
      </c>
    </row>
    <row r="33" spans="1:33">
      <c r="A33" t="s">
        <v>1962</v>
      </c>
      <c r="B33">
        <v>2023</v>
      </c>
      <c r="C33" t="s">
        <v>161</v>
      </c>
      <c r="D33" t="s">
        <v>152</v>
      </c>
      <c r="E33" t="s">
        <v>443</v>
      </c>
      <c r="F33" t="s">
        <v>437</v>
      </c>
      <c r="G33" t="s">
        <v>438</v>
      </c>
      <c r="H33">
        <v>35.048611000000001</v>
      </c>
      <c r="I33">
        <v>128.97222199999999</v>
      </c>
      <c r="J33" t="s">
        <v>1978</v>
      </c>
      <c r="K33" t="s">
        <v>380</v>
      </c>
      <c r="L33" t="s">
        <v>999</v>
      </c>
      <c r="M33" t="s">
        <v>1788</v>
      </c>
      <c r="N33" t="s">
        <v>1979</v>
      </c>
      <c r="O33" t="s">
        <v>182</v>
      </c>
      <c r="T33">
        <v>70</v>
      </c>
      <c r="U33">
        <v>0.21640000000000001</v>
      </c>
      <c r="W33">
        <v>3.49</v>
      </c>
      <c r="Z33">
        <v>11.17</v>
      </c>
      <c r="AA33">
        <v>6.8977930737793001</v>
      </c>
      <c r="AB33" t="s">
        <v>2199</v>
      </c>
      <c r="AC33">
        <f t="shared" si="0"/>
        <v>-38.247152428117275</v>
      </c>
      <c r="AD33">
        <f t="shared" si="1"/>
        <v>-0.54638789183024683</v>
      </c>
      <c r="AF33" s="1" t="s">
        <v>182</v>
      </c>
      <c r="AG33" t="s">
        <v>182</v>
      </c>
    </row>
    <row r="34" spans="1:33">
      <c r="A34" t="s">
        <v>1962</v>
      </c>
      <c r="B34">
        <v>2023</v>
      </c>
      <c r="C34" t="s">
        <v>161</v>
      </c>
      <c r="D34" t="s">
        <v>152</v>
      </c>
      <c r="E34" t="s">
        <v>443</v>
      </c>
      <c r="F34" t="s">
        <v>437</v>
      </c>
      <c r="G34" t="s">
        <v>438</v>
      </c>
      <c r="H34">
        <v>35.048611000000001</v>
      </c>
      <c r="I34">
        <v>128.97222199999999</v>
      </c>
      <c r="J34" t="s">
        <v>1978</v>
      </c>
      <c r="K34" t="s">
        <v>380</v>
      </c>
      <c r="L34" t="s">
        <v>999</v>
      </c>
      <c r="M34" t="s">
        <v>1788</v>
      </c>
      <c r="N34" t="s">
        <v>1979</v>
      </c>
      <c r="O34" t="s">
        <v>182</v>
      </c>
      <c r="T34">
        <v>63</v>
      </c>
      <c r="Z34">
        <v>11.17</v>
      </c>
      <c r="AA34">
        <v>6.9192686599268596</v>
      </c>
      <c r="AB34" t="s">
        <v>2199</v>
      </c>
      <c r="AC34">
        <f t="shared" ref="AC34:AC65" si="2">(AA34-Z34)/Z34*100</f>
        <v>-38.054891137628829</v>
      </c>
      <c r="AD34">
        <f t="shared" ref="AD34:AD65" si="3">AC34/T34</f>
        <v>-0.60404589107347351</v>
      </c>
      <c r="AF34" s="1" t="s">
        <v>182</v>
      </c>
      <c r="AG34" t="s">
        <v>182</v>
      </c>
    </row>
    <row r="35" spans="1:33">
      <c r="A35" t="s">
        <v>1962</v>
      </c>
      <c r="B35">
        <v>2023</v>
      </c>
      <c r="C35" t="s">
        <v>161</v>
      </c>
      <c r="D35" t="s">
        <v>152</v>
      </c>
      <c r="E35" t="s">
        <v>443</v>
      </c>
      <c r="F35" t="s">
        <v>437</v>
      </c>
      <c r="G35" t="s">
        <v>438</v>
      </c>
      <c r="H35">
        <v>35.048611000000001</v>
      </c>
      <c r="I35">
        <v>128.97222199999999</v>
      </c>
      <c r="J35" t="s">
        <v>1978</v>
      </c>
      <c r="K35" t="s">
        <v>380</v>
      </c>
      <c r="L35" t="s">
        <v>999</v>
      </c>
      <c r="M35" t="s">
        <v>1788</v>
      </c>
      <c r="N35" t="s">
        <v>1979</v>
      </c>
      <c r="O35" t="s">
        <v>182</v>
      </c>
      <c r="T35">
        <v>49</v>
      </c>
      <c r="Z35">
        <v>11.17</v>
      </c>
      <c r="AA35">
        <v>6.9993891159389099</v>
      </c>
      <c r="AB35" t="s">
        <v>2199</v>
      </c>
      <c r="AC35">
        <f t="shared" si="2"/>
        <v>-37.337608630806535</v>
      </c>
      <c r="AD35">
        <f t="shared" si="3"/>
        <v>-0.76199201287360274</v>
      </c>
      <c r="AF35" s="1" t="s">
        <v>182</v>
      </c>
      <c r="AG35" t="s">
        <v>182</v>
      </c>
    </row>
    <row r="36" spans="1:33">
      <c r="A36" t="s">
        <v>1962</v>
      </c>
      <c r="B36">
        <v>2023</v>
      </c>
      <c r="C36" t="s">
        <v>161</v>
      </c>
      <c r="D36" t="s">
        <v>152</v>
      </c>
      <c r="E36" t="s">
        <v>443</v>
      </c>
      <c r="F36" t="s">
        <v>437</v>
      </c>
      <c r="G36" t="s">
        <v>438</v>
      </c>
      <c r="H36">
        <v>35.048611000000001</v>
      </c>
      <c r="I36">
        <v>128.97222199999999</v>
      </c>
      <c r="J36" t="s">
        <v>1978</v>
      </c>
      <c r="K36" t="s">
        <v>380</v>
      </c>
      <c r="L36" t="s">
        <v>999</v>
      </c>
      <c r="M36" t="s">
        <v>1788</v>
      </c>
      <c r="N36" t="s">
        <v>1979</v>
      </c>
      <c r="O36" t="s">
        <v>182</v>
      </c>
      <c r="T36">
        <v>35</v>
      </c>
      <c r="Z36">
        <v>11.17</v>
      </c>
      <c r="AA36">
        <v>7.0603054420305398</v>
      </c>
      <c r="AB36" t="s">
        <v>2199</v>
      </c>
      <c r="AC36">
        <f t="shared" si="2"/>
        <v>-36.792252085671088</v>
      </c>
      <c r="AD36">
        <f t="shared" si="3"/>
        <v>-1.0512072024477455</v>
      </c>
      <c r="AF36" s="1" t="s">
        <v>182</v>
      </c>
      <c r="AG36" t="s">
        <v>182</v>
      </c>
    </row>
    <row r="37" spans="1:33">
      <c r="A37" t="s">
        <v>1962</v>
      </c>
      <c r="B37">
        <v>2023</v>
      </c>
      <c r="C37" t="s">
        <v>161</v>
      </c>
      <c r="D37" t="s">
        <v>152</v>
      </c>
      <c r="E37" t="s">
        <v>443</v>
      </c>
      <c r="F37" t="s">
        <v>437</v>
      </c>
      <c r="G37" t="s">
        <v>438</v>
      </c>
      <c r="H37">
        <v>35.048611000000001</v>
      </c>
      <c r="I37">
        <v>128.97222199999999</v>
      </c>
      <c r="J37" t="s">
        <v>1978</v>
      </c>
      <c r="K37" t="s">
        <v>380</v>
      </c>
      <c r="L37" t="s">
        <v>999</v>
      </c>
      <c r="M37" t="s">
        <v>1788</v>
      </c>
      <c r="N37" t="s">
        <v>1979</v>
      </c>
      <c r="O37" t="s">
        <v>182</v>
      </c>
      <c r="T37">
        <v>28</v>
      </c>
      <c r="Z37">
        <v>11.17</v>
      </c>
      <c r="AA37">
        <v>7.0784770918476996</v>
      </c>
      <c r="AB37" t="s">
        <v>2199</v>
      </c>
      <c r="AC37">
        <f t="shared" si="2"/>
        <v>-36.629569455257837</v>
      </c>
      <c r="AD37">
        <f t="shared" si="3"/>
        <v>-1.3081989091163513</v>
      </c>
      <c r="AF37" s="1" t="s">
        <v>182</v>
      </c>
      <c r="AG37" t="s">
        <v>182</v>
      </c>
    </row>
    <row r="38" spans="1:33">
      <c r="A38" t="s">
        <v>1962</v>
      </c>
      <c r="B38">
        <v>2023</v>
      </c>
      <c r="C38" t="s">
        <v>161</v>
      </c>
      <c r="D38" t="s">
        <v>152</v>
      </c>
      <c r="E38" t="s">
        <v>443</v>
      </c>
      <c r="F38" t="s">
        <v>437</v>
      </c>
      <c r="G38" t="s">
        <v>438</v>
      </c>
      <c r="H38">
        <v>35.048611000000001</v>
      </c>
      <c r="I38">
        <v>128.97222199999999</v>
      </c>
      <c r="J38" t="s">
        <v>1978</v>
      </c>
      <c r="K38" t="s">
        <v>380</v>
      </c>
      <c r="L38" t="s">
        <v>999</v>
      </c>
      <c r="M38" t="s">
        <v>1788</v>
      </c>
      <c r="N38" t="s">
        <v>1979</v>
      </c>
      <c r="O38" t="s">
        <v>182</v>
      </c>
      <c r="T38">
        <v>42</v>
      </c>
      <c r="Z38">
        <v>11.17</v>
      </c>
      <c r="AA38">
        <v>7.3184254678425402</v>
      </c>
      <c r="AB38" t="s">
        <v>2199</v>
      </c>
      <c r="AC38">
        <f t="shared" si="2"/>
        <v>-34.481419267300446</v>
      </c>
      <c r="AD38">
        <f t="shared" si="3"/>
        <v>-0.820986173030963</v>
      </c>
      <c r="AF38" s="1" t="s">
        <v>182</v>
      </c>
      <c r="AG38" t="s">
        <v>182</v>
      </c>
    </row>
    <row r="39" spans="1:33">
      <c r="A39" t="s">
        <v>1962</v>
      </c>
      <c r="B39">
        <v>2023</v>
      </c>
      <c r="C39" t="s">
        <v>161</v>
      </c>
      <c r="D39" t="s">
        <v>152</v>
      </c>
      <c r="E39" t="s">
        <v>443</v>
      </c>
      <c r="F39" t="s">
        <v>437</v>
      </c>
      <c r="G39" t="s">
        <v>438</v>
      </c>
      <c r="H39">
        <v>35.048611000000001</v>
      </c>
      <c r="I39">
        <v>128.97222199999999</v>
      </c>
      <c r="J39" t="s">
        <v>1978</v>
      </c>
      <c r="K39" t="s">
        <v>380</v>
      </c>
      <c r="L39" t="s">
        <v>999</v>
      </c>
      <c r="M39" t="s">
        <v>1788</v>
      </c>
      <c r="N39" t="s">
        <v>1979</v>
      </c>
      <c r="O39" t="s">
        <v>182</v>
      </c>
      <c r="T39">
        <v>56</v>
      </c>
      <c r="Z39">
        <v>11.17</v>
      </c>
      <c r="AA39">
        <v>7.3264788126478804</v>
      </c>
      <c r="AB39" t="s">
        <v>2199</v>
      </c>
      <c r="AC39">
        <f t="shared" si="2"/>
        <v>-34.409321283367227</v>
      </c>
      <c r="AD39">
        <f t="shared" si="3"/>
        <v>-0.61445216577441475</v>
      </c>
      <c r="AF39" s="1" t="s">
        <v>182</v>
      </c>
      <c r="AG39" t="s">
        <v>182</v>
      </c>
    </row>
    <row r="40" spans="1:33">
      <c r="A40" t="s">
        <v>1962</v>
      </c>
      <c r="B40">
        <v>2023</v>
      </c>
      <c r="C40" t="s">
        <v>161</v>
      </c>
      <c r="D40" t="s">
        <v>152</v>
      </c>
      <c r="E40" t="s">
        <v>443</v>
      </c>
      <c r="F40" t="s">
        <v>437</v>
      </c>
      <c r="G40" t="s">
        <v>438</v>
      </c>
      <c r="H40">
        <v>35.048611000000001</v>
      </c>
      <c r="I40">
        <v>128.97222199999999</v>
      </c>
      <c r="J40" t="s">
        <v>1978</v>
      </c>
      <c r="K40" t="s">
        <v>380</v>
      </c>
      <c r="L40" t="s">
        <v>999</v>
      </c>
      <c r="M40" t="s">
        <v>1788</v>
      </c>
      <c r="N40" t="s">
        <v>1979</v>
      </c>
      <c r="O40" t="s">
        <v>182</v>
      </c>
      <c r="T40">
        <v>7</v>
      </c>
      <c r="Z40">
        <v>11.17</v>
      </c>
      <c r="AA40">
        <v>7.3952419875241899</v>
      </c>
      <c r="AB40" t="s">
        <v>2199</v>
      </c>
      <c r="AC40">
        <f t="shared" si="2"/>
        <v>-33.793715420553355</v>
      </c>
      <c r="AD40">
        <f t="shared" si="3"/>
        <v>-4.8276736315076221</v>
      </c>
      <c r="AF40" s="1" t="s">
        <v>182</v>
      </c>
      <c r="AG40" t="s">
        <v>182</v>
      </c>
    </row>
    <row r="41" spans="1:33">
      <c r="A41" t="s">
        <v>1962</v>
      </c>
      <c r="B41">
        <v>2023</v>
      </c>
      <c r="C41" t="s">
        <v>161</v>
      </c>
      <c r="D41" t="s">
        <v>1976</v>
      </c>
      <c r="E41" t="s">
        <v>444</v>
      </c>
      <c r="F41" t="s">
        <v>445</v>
      </c>
      <c r="G41" t="s">
        <v>552</v>
      </c>
      <c r="H41">
        <v>35.048611000000001</v>
      </c>
      <c r="I41">
        <v>128.97222199999999</v>
      </c>
      <c r="J41" t="s">
        <v>1978</v>
      </c>
      <c r="K41" t="s">
        <v>380</v>
      </c>
      <c r="L41" t="s">
        <v>999</v>
      </c>
      <c r="M41" t="s">
        <v>1788</v>
      </c>
      <c r="N41" t="s">
        <v>1979</v>
      </c>
      <c r="O41" t="s">
        <v>182</v>
      </c>
      <c r="T41">
        <v>14</v>
      </c>
      <c r="Z41">
        <v>10.95</v>
      </c>
      <c r="AA41">
        <v>7.6818584641858401</v>
      </c>
      <c r="AB41" t="s">
        <v>2199</v>
      </c>
      <c r="AC41">
        <f t="shared" si="2"/>
        <v>-29.846041422960361</v>
      </c>
      <c r="AD41">
        <f t="shared" si="3"/>
        <v>-2.1318601016400258</v>
      </c>
      <c r="AF41" s="1" t="s">
        <v>182</v>
      </c>
      <c r="AG41" t="s">
        <v>182</v>
      </c>
    </row>
    <row r="42" spans="1:33">
      <c r="A42" t="s">
        <v>1962</v>
      </c>
      <c r="B42">
        <v>2023</v>
      </c>
      <c r="C42" t="s">
        <v>161</v>
      </c>
      <c r="D42" t="s">
        <v>1976</v>
      </c>
      <c r="E42" t="s">
        <v>444</v>
      </c>
      <c r="F42" t="s">
        <v>445</v>
      </c>
      <c r="G42" t="s">
        <v>552</v>
      </c>
      <c r="H42">
        <v>35.048611000000001</v>
      </c>
      <c r="I42">
        <v>128.97222199999999</v>
      </c>
      <c r="J42" t="s">
        <v>1978</v>
      </c>
      <c r="K42" t="s">
        <v>380</v>
      </c>
      <c r="L42" t="s">
        <v>999</v>
      </c>
      <c r="M42" t="s">
        <v>1788</v>
      </c>
      <c r="N42" t="s">
        <v>1979</v>
      </c>
      <c r="O42" t="s">
        <v>182</v>
      </c>
      <c r="T42">
        <v>21</v>
      </c>
      <c r="Z42">
        <v>10.95</v>
      </c>
      <c r="AA42">
        <v>7.7696192729619202</v>
      </c>
      <c r="AB42" t="s">
        <v>2199</v>
      </c>
      <c r="AC42">
        <f t="shared" si="2"/>
        <v>-29.044572849662824</v>
      </c>
      <c r="AD42">
        <f t="shared" si="3"/>
        <v>-1.3830748976029916</v>
      </c>
      <c r="AF42" s="1" t="s">
        <v>182</v>
      </c>
      <c r="AG42" t="s">
        <v>182</v>
      </c>
    </row>
    <row r="43" spans="1:33">
      <c r="A43" t="s">
        <v>1962</v>
      </c>
      <c r="B43">
        <v>2023</v>
      </c>
      <c r="C43" t="s">
        <v>161</v>
      </c>
      <c r="D43" t="s">
        <v>1976</v>
      </c>
      <c r="E43" t="s">
        <v>444</v>
      </c>
      <c r="F43" t="s">
        <v>445</v>
      </c>
      <c r="G43" t="s">
        <v>552</v>
      </c>
      <c r="H43">
        <v>35.048611000000001</v>
      </c>
      <c r="I43">
        <v>128.97222199999999</v>
      </c>
      <c r="J43" t="s">
        <v>1978</v>
      </c>
      <c r="K43" t="s">
        <v>380</v>
      </c>
      <c r="L43" t="s">
        <v>999</v>
      </c>
      <c r="M43" t="s">
        <v>1788</v>
      </c>
      <c r="N43" t="s">
        <v>1979</v>
      </c>
      <c r="O43" t="s">
        <v>182</v>
      </c>
      <c r="T43">
        <v>7</v>
      </c>
      <c r="Z43">
        <v>10.95</v>
      </c>
      <c r="AA43">
        <v>8.0688320068832002</v>
      </c>
      <c r="AB43" t="s">
        <v>2199</v>
      </c>
      <c r="AC43">
        <f t="shared" si="2"/>
        <v>-26.312036466820082</v>
      </c>
      <c r="AD43">
        <f t="shared" si="3"/>
        <v>-3.7588623524028688</v>
      </c>
      <c r="AF43" s="1" t="s">
        <v>182</v>
      </c>
      <c r="AG43" t="s">
        <v>182</v>
      </c>
    </row>
    <row r="44" spans="1:33">
      <c r="A44" t="s">
        <v>681</v>
      </c>
      <c r="B44">
        <v>1980</v>
      </c>
      <c r="C44" t="s">
        <v>161</v>
      </c>
      <c r="D44" t="s">
        <v>272</v>
      </c>
      <c r="E44" t="s">
        <v>443</v>
      </c>
      <c r="F44" t="s">
        <v>616</v>
      </c>
      <c r="G44" t="s">
        <v>617</v>
      </c>
      <c r="H44">
        <v>43.120888047572301</v>
      </c>
      <c r="I44">
        <v>-70.861513657453699</v>
      </c>
      <c r="J44" t="s">
        <v>276</v>
      </c>
      <c r="K44" t="s">
        <v>586</v>
      </c>
      <c r="L44" t="s">
        <v>999</v>
      </c>
      <c r="M44" t="s">
        <v>1788</v>
      </c>
      <c r="N44" t="s">
        <v>1724</v>
      </c>
      <c r="O44" t="s">
        <v>182</v>
      </c>
      <c r="R44" t="s">
        <v>1123</v>
      </c>
      <c r="S44" t="s">
        <v>1745</v>
      </c>
      <c r="T44">
        <v>35</v>
      </c>
      <c r="U44">
        <v>7.6399999999999996E-2</v>
      </c>
      <c r="W44">
        <v>9.0726070753919537</v>
      </c>
      <c r="Y44">
        <v>1.63</v>
      </c>
      <c r="Z44">
        <v>29.4</v>
      </c>
      <c r="AA44">
        <v>10.39</v>
      </c>
      <c r="AB44" t="s">
        <v>2199</v>
      </c>
      <c r="AC44">
        <f t="shared" si="2"/>
        <v>-64.659863945578238</v>
      </c>
      <c r="AD44">
        <f t="shared" si="3"/>
        <v>-1.8474246841593782</v>
      </c>
      <c r="AF44" s="1" t="s">
        <v>182</v>
      </c>
      <c r="AG44" t="s">
        <v>182</v>
      </c>
    </row>
    <row r="45" spans="1:33">
      <c r="A45" t="s">
        <v>681</v>
      </c>
      <c r="B45">
        <v>1980</v>
      </c>
      <c r="C45" t="s">
        <v>161</v>
      </c>
      <c r="D45" t="s">
        <v>272</v>
      </c>
      <c r="E45" t="s">
        <v>443</v>
      </c>
      <c r="F45" t="s">
        <v>611</v>
      </c>
      <c r="G45" t="s">
        <v>612</v>
      </c>
      <c r="H45">
        <v>43.120888047572301</v>
      </c>
      <c r="I45">
        <v>-70.861513657453699</v>
      </c>
      <c r="J45" t="s">
        <v>276</v>
      </c>
      <c r="K45" t="s">
        <v>586</v>
      </c>
      <c r="L45" t="s">
        <v>999</v>
      </c>
      <c r="M45" t="s">
        <v>1788</v>
      </c>
      <c r="N45" t="s">
        <v>1724</v>
      </c>
      <c r="O45" t="s">
        <v>182</v>
      </c>
      <c r="R45" t="s">
        <v>1123</v>
      </c>
      <c r="S45" t="s">
        <v>173</v>
      </c>
      <c r="T45">
        <v>65</v>
      </c>
      <c r="U45">
        <v>0.10970000000000001</v>
      </c>
      <c r="W45">
        <v>6.3185704700086163</v>
      </c>
      <c r="Y45">
        <v>2.4300000000000002</v>
      </c>
      <c r="Z45">
        <v>29.83</v>
      </c>
      <c r="AA45">
        <v>22.2</v>
      </c>
      <c r="AB45" t="s">
        <v>2199</v>
      </c>
      <c r="AC45">
        <f t="shared" si="2"/>
        <v>-25.5782769024472</v>
      </c>
      <c r="AD45">
        <f t="shared" si="3"/>
        <v>-0.39351195234534153</v>
      </c>
      <c r="AF45" s="1" t="s">
        <v>182</v>
      </c>
      <c r="AG45" t="s">
        <v>182</v>
      </c>
    </row>
    <row r="46" spans="1:33">
      <c r="A46" t="s">
        <v>681</v>
      </c>
      <c r="B46">
        <v>1980</v>
      </c>
      <c r="C46" t="s">
        <v>161</v>
      </c>
      <c r="D46" t="s">
        <v>272</v>
      </c>
      <c r="E46" t="s">
        <v>443</v>
      </c>
      <c r="F46" t="s">
        <v>611</v>
      </c>
      <c r="G46" t="s">
        <v>612</v>
      </c>
      <c r="H46">
        <v>43.120888047572301</v>
      </c>
      <c r="I46">
        <v>-70.861513657453699</v>
      </c>
      <c r="J46" t="s">
        <v>276</v>
      </c>
      <c r="K46" t="s">
        <v>586</v>
      </c>
      <c r="L46" t="s">
        <v>999</v>
      </c>
      <c r="M46" t="s">
        <v>1788</v>
      </c>
      <c r="N46" t="s">
        <v>1724</v>
      </c>
      <c r="O46" t="s">
        <v>182</v>
      </c>
      <c r="R46" t="s">
        <v>1123</v>
      </c>
      <c r="S46" t="s">
        <v>1745</v>
      </c>
      <c r="T46">
        <v>40</v>
      </c>
      <c r="U46">
        <v>8.2799999999999999E-2</v>
      </c>
      <c r="W46">
        <v>8.3713427603858133</v>
      </c>
      <c r="Y46">
        <v>2.4300000000000002</v>
      </c>
      <c r="Z46">
        <v>21.96</v>
      </c>
      <c r="AA46">
        <v>17.84</v>
      </c>
      <c r="AB46" t="s">
        <v>2199</v>
      </c>
      <c r="AC46">
        <f t="shared" si="2"/>
        <v>-18.761384335154833</v>
      </c>
      <c r="AD46">
        <f t="shared" si="3"/>
        <v>-0.46903460837887084</v>
      </c>
      <c r="AF46" s="1" t="s">
        <v>182</v>
      </c>
      <c r="AG46" t="s">
        <v>182</v>
      </c>
    </row>
    <row r="47" spans="1:33">
      <c r="A47" t="s">
        <v>765</v>
      </c>
      <c r="B47">
        <v>1985</v>
      </c>
      <c r="C47" t="s">
        <v>187</v>
      </c>
      <c r="D47" t="s">
        <v>446</v>
      </c>
      <c r="E47" t="s">
        <v>446</v>
      </c>
      <c r="F47" t="s">
        <v>757</v>
      </c>
      <c r="G47" t="s">
        <v>758</v>
      </c>
      <c r="H47">
        <v>43.935838487540202</v>
      </c>
      <c r="I47">
        <v>-69.580216430891795</v>
      </c>
      <c r="J47" t="s">
        <v>276</v>
      </c>
      <c r="K47" t="s">
        <v>1720</v>
      </c>
      <c r="L47" t="s">
        <v>184</v>
      </c>
      <c r="M47" t="s">
        <v>1788</v>
      </c>
      <c r="N47" t="s">
        <v>1732</v>
      </c>
      <c r="O47" t="s">
        <v>182</v>
      </c>
      <c r="T47">
        <v>10</v>
      </c>
      <c r="V47">
        <v>2.323</v>
      </c>
      <c r="W47">
        <v>21.523891519586741</v>
      </c>
      <c r="Z47">
        <v>49</v>
      </c>
      <c r="AA47">
        <v>21.55</v>
      </c>
      <c r="AB47" t="s">
        <v>2199</v>
      </c>
      <c r="AC47">
        <f t="shared" si="2"/>
        <v>-56.020408163265301</v>
      </c>
      <c r="AD47">
        <f t="shared" si="3"/>
        <v>-5.6020408163265305</v>
      </c>
      <c r="AF47" s="1" t="s">
        <v>182</v>
      </c>
      <c r="AG47" t="s">
        <v>182</v>
      </c>
    </row>
    <row r="48" spans="1:33">
      <c r="A48" t="s">
        <v>581</v>
      </c>
      <c r="B48">
        <v>1994</v>
      </c>
      <c r="C48" t="s">
        <v>187</v>
      </c>
      <c r="D48" t="s">
        <v>272</v>
      </c>
      <c r="E48" t="s">
        <v>443</v>
      </c>
      <c r="F48" t="s">
        <v>611</v>
      </c>
      <c r="G48" t="s">
        <v>612</v>
      </c>
      <c r="H48">
        <v>55.504906839006097</v>
      </c>
      <c r="I48">
        <v>10.538050947395201</v>
      </c>
      <c r="J48" t="s">
        <v>973</v>
      </c>
      <c r="K48" t="s">
        <v>155</v>
      </c>
      <c r="L48" t="s">
        <v>184</v>
      </c>
      <c r="M48" t="s">
        <v>1788</v>
      </c>
      <c r="N48" t="s">
        <v>1734</v>
      </c>
      <c r="O48" t="s">
        <v>182</v>
      </c>
      <c r="T48">
        <v>70</v>
      </c>
      <c r="U48">
        <v>0.15559999999999999</v>
      </c>
      <c r="V48" t="s">
        <v>174</v>
      </c>
      <c r="W48">
        <v>12.16</v>
      </c>
      <c r="Z48">
        <v>28.25</v>
      </c>
      <c r="AA48">
        <v>21.87</v>
      </c>
      <c r="AB48" t="s">
        <v>2199</v>
      </c>
      <c r="AC48">
        <f t="shared" si="2"/>
        <v>-22.584070796460175</v>
      </c>
      <c r="AD48">
        <f t="shared" si="3"/>
        <v>-0.32262958280657394</v>
      </c>
      <c r="AF48" s="1" t="s">
        <v>182</v>
      </c>
      <c r="AG48" t="s">
        <v>182</v>
      </c>
    </row>
    <row r="49" spans="1:33">
      <c r="A49" t="s">
        <v>581</v>
      </c>
      <c r="B49">
        <v>1994</v>
      </c>
      <c r="C49" t="s">
        <v>187</v>
      </c>
      <c r="D49" t="s">
        <v>1976</v>
      </c>
      <c r="E49" t="s">
        <v>444</v>
      </c>
      <c r="F49" t="s">
        <v>445</v>
      </c>
      <c r="G49" t="s">
        <v>704</v>
      </c>
      <c r="H49">
        <v>55.504906839006097</v>
      </c>
      <c r="I49">
        <v>10.538050947395201</v>
      </c>
      <c r="J49" t="s">
        <v>973</v>
      </c>
      <c r="K49" t="s">
        <v>155</v>
      </c>
      <c r="L49" t="s">
        <v>184</v>
      </c>
      <c r="M49" t="s">
        <v>1788</v>
      </c>
      <c r="N49" t="s">
        <v>1734</v>
      </c>
      <c r="O49" t="s">
        <v>182</v>
      </c>
      <c r="T49">
        <v>70</v>
      </c>
      <c r="U49" s="1">
        <v>0.1162</v>
      </c>
      <c r="V49" s="1" t="s">
        <v>174</v>
      </c>
      <c r="W49" s="1">
        <v>8.32</v>
      </c>
      <c r="Z49">
        <v>7.09</v>
      </c>
      <c r="AA49">
        <v>5.76</v>
      </c>
      <c r="AB49" t="s">
        <v>2199</v>
      </c>
      <c r="AC49">
        <f t="shared" si="2"/>
        <v>-18.758815232722146</v>
      </c>
      <c r="AD49">
        <f t="shared" si="3"/>
        <v>-0.26798307475317351</v>
      </c>
      <c r="AF49" s="1" t="s">
        <v>182</v>
      </c>
      <c r="AG49" t="s">
        <v>182</v>
      </c>
    </row>
    <row r="50" spans="1:33">
      <c r="A50" t="s">
        <v>608</v>
      </c>
      <c r="B50">
        <v>2012</v>
      </c>
      <c r="C50" t="s">
        <v>1991</v>
      </c>
      <c r="D50" t="s">
        <v>152</v>
      </c>
      <c r="E50" t="s">
        <v>443</v>
      </c>
      <c r="F50" t="s">
        <v>154</v>
      </c>
      <c r="G50" t="s">
        <v>255</v>
      </c>
      <c r="H50">
        <v>44.559161109999998</v>
      </c>
      <c r="I50">
        <v>-64.032430559999995</v>
      </c>
      <c r="J50" t="s">
        <v>585</v>
      </c>
      <c r="K50" t="s">
        <v>586</v>
      </c>
      <c r="L50" t="s">
        <v>999</v>
      </c>
      <c r="M50" t="s">
        <v>1788</v>
      </c>
      <c r="N50" t="s">
        <v>333</v>
      </c>
      <c r="O50" t="s">
        <v>246</v>
      </c>
      <c r="P50" t="s">
        <v>475</v>
      </c>
      <c r="Q50" t="s">
        <v>420</v>
      </c>
      <c r="T50">
        <f>12*7</f>
        <v>84</v>
      </c>
      <c r="Z50">
        <v>103.55</v>
      </c>
      <c r="AA50">
        <v>23.8</v>
      </c>
      <c r="AB50" t="s">
        <v>2199</v>
      </c>
      <c r="AC50">
        <f t="shared" si="2"/>
        <v>-77.015934331240956</v>
      </c>
      <c r="AD50">
        <f t="shared" si="3"/>
        <v>-0.91685636108620183</v>
      </c>
      <c r="AF50" s="1" t="s">
        <v>182</v>
      </c>
      <c r="AG50" t="s">
        <v>182</v>
      </c>
    </row>
    <row r="51" spans="1:33">
      <c r="A51" t="s">
        <v>608</v>
      </c>
      <c r="B51">
        <v>2012</v>
      </c>
      <c r="C51" t="s">
        <v>1991</v>
      </c>
      <c r="D51" t="s">
        <v>152</v>
      </c>
      <c r="E51" t="s">
        <v>443</v>
      </c>
      <c r="F51" t="s">
        <v>154</v>
      </c>
      <c r="G51" t="s">
        <v>255</v>
      </c>
      <c r="H51">
        <v>44.559161109999998</v>
      </c>
      <c r="I51">
        <v>-64.032430559999995</v>
      </c>
      <c r="J51" t="s">
        <v>585</v>
      </c>
      <c r="K51" t="s">
        <v>586</v>
      </c>
      <c r="L51" t="s">
        <v>999</v>
      </c>
      <c r="M51" t="s">
        <v>1788</v>
      </c>
      <c r="N51" t="s">
        <v>333</v>
      </c>
      <c r="O51" t="s">
        <v>246</v>
      </c>
      <c r="P51" t="s">
        <v>475</v>
      </c>
      <c r="Q51" t="s">
        <v>420</v>
      </c>
      <c r="T51">
        <f>16*7</f>
        <v>112</v>
      </c>
      <c r="U51">
        <v>0.20200000000000001</v>
      </c>
      <c r="W51">
        <f>LN(2)/U51</f>
        <v>3.431421685940323</v>
      </c>
      <c r="X51">
        <v>32.56</v>
      </c>
      <c r="Y51">
        <v>0.32600000000000001</v>
      </c>
      <c r="Z51">
        <v>103.55</v>
      </c>
      <c r="AA51">
        <v>27.4</v>
      </c>
      <c r="AB51" t="s">
        <v>2199</v>
      </c>
      <c r="AC51">
        <f t="shared" si="2"/>
        <v>-73.539352969579923</v>
      </c>
      <c r="AD51">
        <f t="shared" si="3"/>
        <v>-0.65660136579982076</v>
      </c>
      <c r="AF51" s="1" t="s">
        <v>182</v>
      </c>
      <c r="AG51" t="s">
        <v>182</v>
      </c>
    </row>
    <row r="52" spans="1:33">
      <c r="A52" t="s">
        <v>608</v>
      </c>
      <c r="B52">
        <v>2012</v>
      </c>
      <c r="C52" t="s">
        <v>1991</v>
      </c>
      <c r="D52" t="s">
        <v>152</v>
      </c>
      <c r="E52" t="s">
        <v>443</v>
      </c>
      <c r="F52" t="s">
        <v>154</v>
      </c>
      <c r="G52" t="s">
        <v>255</v>
      </c>
      <c r="H52">
        <v>44.559161109999998</v>
      </c>
      <c r="I52">
        <v>-64.032430559999995</v>
      </c>
      <c r="J52" t="s">
        <v>585</v>
      </c>
      <c r="K52" t="s">
        <v>586</v>
      </c>
      <c r="L52" t="s">
        <v>999</v>
      </c>
      <c r="M52" t="s">
        <v>1788</v>
      </c>
      <c r="N52" t="s">
        <v>333</v>
      </c>
      <c r="O52" t="s">
        <v>246</v>
      </c>
      <c r="P52" t="s">
        <v>475</v>
      </c>
      <c r="Q52" t="s">
        <v>420</v>
      </c>
      <c r="T52">
        <f>8*7</f>
        <v>56</v>
      </c>
      <c r="Z52">
        <v>103.55</v>
      </c>
      <c r="AA52">
        <v>45.6</v>
      </c>
      <c r="AB52" t="s">
        <v>2199</v>
      </c>
      <c r="AC52">
        <f t="shared" si="2"/>
        <v>-55.963302752293572</v>
      </c>
      <c r="AD52">
        <f t="shared" si="3"/>
        <v>-0.99934469200524234</v>
      </c>
      <c r="AF52" s="1" t="s">
        <v>182</v>
      </c>
      <c r="AG52" t="s">
        <v>182</v>
      </c>
    </row>
    <row r="53" spans="1:33">
      <c r="A53" t="s">
        <v>608</v>
      </c>
      <c r="B53">
        <v>2012</v>
      </c>
      <c r="C53" t="s">
        <v>1991</v>
      </c>
      <c r="D53" t="s">
        <v>152</v>
      </c>
      <c r="E53" t="s">
        <v>443</v>
      </c>
      <c r="F53" t="s">
        <v>154</v>
      </c>
      <c r="G53" t="s">
        <v>255</v>
      </c>
      <c r="H53">
        <v>44.559161109999998</v>
      </c>
      <c r="I53">
        <v>-64.032430559999995</v>
      </c>
      <c r="J53" t="s">
        <v>585</v>
      </c>
      <c r="K53" t="s">
        <v>586</v>
      </c>
      <c r="L53" t="s">
        <v>999</v>
      </c>
      <c r="M53" t="s">
        <v>1788</v>
      </c>
      <c r="N53" t="s">
        <v>333</v>
      </c>
      <c r="O53" t="s">
        <v>246</v>
      </c>
      <c r="P53" t="s">
        <v>475</v>
      </c>
      <c r="Q53" t="s">
        <v>420</v>
      </c>
      <c r="T53">
        <f>4*7</f>
        <v>28</v>
      </c>
      <c r="Z53">
        <v>103.55</v>
      </c>
      <c r="AA53">
        <v>45.67</v>
      </c>
      <c r="AB53" t="s">
        <v>2199</v>
      </c>
      <c r="AC53">
        <f t="shared" si="2"/>
        <v>-55.895702559150159</v>
      </c>
      <c r="AD53">
        <f t="shared" si="3"/>
        <v>-1.9962750913982199</v>
      </c>
      <c r="AF53" s="1" t="s">
        <v>182</v>
      </c>
      <c r="AG53" t="s">
        <v>182</v>
      </c>
    </row>
    <row r="54" spans="1:33">
      <c r="A54" t="s">
        <v>608</v>
      </c>
      <c r="B54">
        <v>2012</v>
      </c>
      <c r="C54" t="s">
        <v>1991</v>
      </c>
      <c r="D54" t="s">
        <v>444</v>
      </c>
      <c r="E54" t="s">
        <v>444</v>
      </c>
      <c r="F54" t="s">
        <v>587</v>
      </c>
      <c r="G54" t="s">
        <v>588</v>
      </c>
      <c r="H54">
        <v>44.559161109999998</v>
      </c>
      <c r="I54">
        <v>-64.032430559999995</v>
      </c>
      <c r="J54" t="s">
        <v>585</v>
      </c>
      <c r="K54" t="s">
        <v>586</v>
      </c>
      <c r="L54" t="s">
        <v>999</v>
      </c>
      <c r="M54" t="s">
        <v>1788</v>
      </c>
      <c r="N54" t="s">
        <v>333</v>
      </c>
      <c r="O54" t="s">
        <v>246</v>
      </c>
      <c r="P54" t="s">
        <v>475</v>
      </c>
      <c r="Q54" t="s">
        <v>420</v>
      </c>
      <c r="T54">
        <f>12*7</f>
        <v>84</v>
      </c>
      <c r="Z54">
        <v>18.98</v>
      </c>
      <c r="AA54">
        <v>9.07</v>
      </c>
      <c r="AB54" t="s">
        <v>2199</v>
      </c>
      <c r="AC54">
        <f t="shared" si="2"/>
        <v>-52.212855637513165</v>
      </c>
      <c r="AD54">
        <f t="shared" si="3"/>
        <v>-0.62158161473229956</v>
      </c>
      <c r="AF54" s="1" t="s">
        <v>182</v>
      </c>
      <c r="AG54" t="s">
        <v>182</v>
      </c>
    </row>
    <row r="55" spans="1:33">
      <c r="A55" t="s">
        <v>608</v>
      </c>
      <c r="B55">
        <v>2012</v>
      </c>
      <c r="C55" t="s">
        <v>1991</v>
      </c>
      <c r="D55" t="s">
        <v>444</v>
      </c>
      <c r="E55" t="s">
        <v>444</v>
      </c>
      <c r="F55" t="s">
        <v>587</v>
      </c>
      <c r="G55" t="s">
        <v>588</v>
      </c>
      <c r="H55">
        <v>44.559161109999998</v>
      </c>
      <c r="I55">
        <v>-64.032430559999995</v>
      </c>
      <c r="J55" t="s">
        <v>585</v>
      </c>
      <c r="K55" t="s">
        <v>586</v>
      </c>
      <c r="L55" t="s">
        <v>999</v>
      </c>
      <c r="M55" t="s">
        <v>1788</v>
      </c>
      <c r="N55" t="s">
        <v>333</v>
      </c>
      <c r="O55" t="s">
        <v>246</v>
      </c>
      <c r="P55" t="s">
        <v>475</v>
      </c>
      <c r="Q55" t="s">
        <v>420</v>
      </c>
      <c r="T55">
        <f>16*7</f>
        <v>112</v>
      </c>
      <c r="V55">
        <v>0.78580000000000005</v>
      </c>
      <c r="W55">
        <f>50/V55</f>
        <v>63.629422244846012</v>
      </c>
      <c r="X55">
        <v>17.190000000000001</v>
      </c>
      <c r="Y55">
        <v>0.95199999999999996</v>
      </c>
      <c r="Z55">
        <v>18.98</v>
      </c>
      <c r="AA55">
        <v>10.26</v>
      </c>
      <c r="AB55" t="s">
        <v>2199</v>
      </c>
      <c r="AC55">
        <f t="shared" si="2"/>
        <v>-45.943097997892515</v>
      </c>
      <c r="AD55">
        <f t="shared" si="3"/>
        <v>-0.41020623212404034</v>
      </c>
      <c r="AF55" s="1" t="s">
        <v>182</v>
      </c>
      <c r="AG55" t="s">
        <v>182</v>
      </c>
    </row>
    <row r="56" spans="1:33">
      <c r="A56" t="s">
        <v>608</v>
      </c>
      <c r="B56">
        <v>2012</v>
      </c>
      <c r="C56" t="s">
        <v>1991</v>
      </c>
      <c r="D56" t="s">
        <v>444</v>
      </c>
      <c r="E56" t="s">
        <v>444</v>
      </c>
      <c r="F56" t="s">
        <v>587</v>
      </c>
      <c r="G56" t="s">
        <v>588</v>
      </c>
      <c r="H56">
        <v>44.559161109999998</v>
      </c>
      <c r="I56">
        <v>-64.032430559999995</v>
      </c>
      <c r="J56" t="s">
        <v>585</v>
      </c>
      <c r="K56" t="s">
        <v>586</v>
      </c>
      <c r="L56" t="s">
        <v>999</v>
      </c>
      <c r="M56" t="s">
        <v>1788</v>
      </c>
      <c r="N56" t="s">
        <v>333</v>
      </c>
      <c r="O56" t="s">
        <v>246</v>
      </c>
      <c r="P56" t="s">
        <v>475</v>
      </c>
      <c r="Q56" t="s">
        <v>420</v>
      </c>
      <c r="T56">
        <f>8*7</f>
        <v>56</v>
      </c>
      <c r="Z56">
        <v>18.98</v>
      </c>
      <c r="AA56">
        <v>14.09</v>
      </c>
      <c r="AB56" t="s">
        <v>2199</v>
      </c>
      <c r="AC56">
        <f t="shared" si="2"/>
        <v>-25.763962065331931</v>
      </c>
      <c r="AD56">
        <f t="shared" si="3"/>
        <v>-0.46007075116664164</v>
      </c>
      <c r="AF56" s="1" t="s">
        <v>182</v>
      </c>
      <c r="AG56" t="s">
        <v>182</v>
      </c>
    </row>
    <row r="57" spans="1:33" ht="16">
      <c r="A57" t="s">
        <v>3067</v>
      </c>
      <c r="B57">
        <v>2018</v>
      </c>
      <c r="C57" t="s">
        <v>161</v>
      </c>
      <c r="D57" t="s">
        <v>1976</v>
      </c>
      <c r="E57" t="s">
        <v>443</v>
      </c>
      <c r="F57" t="s">
        <v>3063</v>
      </c>
      <c r="G57" t="s">
        <v>552</v>
      </c>
      <c r="H57" s="28">
        <v>-32.017649800000001</v>
      </c>
      <c r="I57" s="28">
        <v>-52.112569000000001</v>
      </c>
      <c r="J57" t="s">
        <v>1322</v>
      </c>
      <c r="K57" t="s">
        <v>2185</v>
      </c>
      <c r="L57" t="s">
        <v>999</v>
      </c>
      <c r="M57" t="s">
        <v>1788</v>
      </c>
      <c r="N57" t="s">
        <v>1999</v>
      </c>
      <c r="O57" t="s">
        <v>246</v>
      </c>
      <c r="P57" s="89" t="s">
        <v>319</v>
      </c>
      <c r="Q57" s="89" t="s">
        <v>254</v>
      </c>
      <c r="R57" t="s">
        <v>1123</v>
      </c>
      <c r="S57" t="s">
        <v>1745</v>
      </c>
      <c r="T57">
        <v>21</v>
      </c>
      <c r="X57">
        <v>12.982799999999999</v>
      </c>
      <c r="Y57">
        <v>1.2</v>
      </c>
      <c r="Z57" s="18">
        <v>12.79</v>
      </c>
      <c r="AA57" s="18">
        <v>9.0890000000000004</v>
      </c>
      <c r="AB57" t="s">
        <v>2199</v>
      </c>
      <c r="AC57">
        <f t="shared" si="2"/>
        <v>-28.93666927286942</v>
      </c>
      <c r="AD57">
        <f t="shared" si="3"/>
        <v>-1.377936632041401</v>
      </c>
      <c r="AF57" s="1" t="s">
        <v>182</v>
      </c>
      <c r="AG57" t="s">
        <v>182</v>
      </c>
    </row>
    <row r="58" spans="1:33">
      <c r="A58" t="s">
        <v>2420</v>
      </c>
      <c r="B58">
        <v>1981</v>
      </c>
      <c r="C58" t="s">
        <v>187</v>
      </c>
      <c r="D58" t="s">
        <v>152</v>
      </c>
      <c r="E58" t="s">
        <v>443</v>
      </c>
      <c r="F58" t="s">
        <v>156</v>
      </c>
      <c r="G58" t="s">
        <v>778</v>
      </c>
      <c r="H58">
        <v>-34.1357700201387</v>
      </c>
      <c r="I58">
        <v>18.328773208165799</v>
      </c>
      <c r="J58" t="s">
        <v>770</v>
      </c>
      <c r="K58" t="s">
        <v>1721</v>
      </c>
      <c r="L58" t="s">
        <v>184</v>
      </c>
      <c r="M58" t="s">
        <v>1788</v>
      </c>
      <c r="N58" t="s">
        <v>1730</v>
      </c>
      <c r="O58" t="s">
        <v>182</v>
      </c>
      <c r="P58" t="s">
        <v>475</v>
      </c>
      <c r="Q58" t="s">
        <v>385</v>
      </c>
      <c r="T58">
        <v>11</v>
      </c>
      <c r="U58">
        <v>0.15890000000000001</v>
      </c>
      <c r="W58">
        <v>1.2</v>
      </c>
      <c r="Z58">
        <v>5.9</v>
      </c>
      <c r="AA58">
        <v>2.2599999999999998</v>
      </c>
      <c r="AB58" t="s">
        <v>2199</v>
      </c>
      <c r="AC58">
        <f t="shared" si="2"/>
        <v>-61.694915254237294</v>
      </c>
      <c r="AD58">
        <f t="shared" si="3"/>
        <v>-5.6086286594761177</v>
      </c>
      <c r="AF58" s="1" t="s">
        <v>182</v>
      </c>
      <c r="AG58" t="s">
        <v>182</v>
      </c>
    </row>
    <row r="59" spans="1:33">
      <c r="A59" t="s">
        <v>2420</v>
      </c>
      <c r="B59">
        <v>1981</v>
      </c>
      <c r="C59" t="s">
        <v>187</v>
      </c>
      <c r="D59" t="s">
        <v>152</v>
      </c>
      <c r="E59" t="s">
        <v>443</v>
      </c>
      <c r="F59" t="s">
        <v>347</v>
      </c>
      <c r="G59" t="s">
        <v>769</v>
      </c>
      <c r="H59">
        <v>-34.1357700201387</v>
      </c>
      <c r="I59">
        <v>18.328773208165799</v>
      </c>
      <c r="J59" t="s">
        <v>770</v>
      </c>
      <c r="K59" t="s">
        <v>1721</v>
      </c>
      <c r="L59" t="s">
        <v>184</v>
      </c>
      <c r="M59" t="s">
        <v>1788</v>
      </c>
      <c r="N59" t="s">
        <v>1730</v>
      </c>
      <c r="O59" t="s">
        <v>182</v>
      </c>
      <c r="P59" t="s">
        <v>475</v>
      </c>
      <c r="Q59" t="s">
        <v>385</v>
      </c>
      <c r="T59">
        <v>10</v>
      </c>
      <c r="V59">
        <v>3.3980000000000001</v>
      </c>
      <c r="W59">
        <f>50/V59</f>
        <v>14.714537963507945</v>
      </c>
      <c r="Z59">
        <v>10.5</v>
      </c>
      <c r="AA59">
        <v>5.4</v>
      </c>
      <c r="AB59" t="s">
        <v>2199</v>
      </c>
      <c r="AC59">
        <f t="shared" si="2"/>
        <v>-48.571428571428562</v>
      </c>
      <c r="AD59">
        <f t="shared" si="3"/>
        <v>-4.8571428571428559</v>
      </c>
      <c r="AF59" s="1" t="s">
        <v>182</v>
      </c>
      <c r="AG59" t="s">
        <v>182</v>
      </c>
    </row>
    <row r="60" spans="1:33">
      <c r="A60" s="23" t="s">
        <v>1963</v>
      </c>
      <c r="B60">
        <v>2022</v>
      </c>
      <c r="C60" t="s">
        <v>1991</v>
      </c>
      <c r="D60" t="s">
        <v>1976</v>
      </c>
      <c r="E60" t="s">
        <v>446</v>
      </c>
      <c r="F60" t="s">
        <v>702</v>
      </c>
      <c r="G60" t="s">
        <v>1993</v>
      </c>
      <c r="H60">
        <v>25.759722</v>
      </c>
      <c r="I60">
        <v>117.354167</v>
      </c>
      <c r="J60" t="s">
        <v>185</v>
      </c>
      <c r="K60" t="s">
        <v>380</v>
      </c>
      <c r="L60" t="s">
        <v>999</v>
      </c>
      <c r="M60" t="s">
        <v>1788</v>
      </c>
      <c r="N60" t="s">
        <v>1724</v>
      </c>
      <c r="O60" t="s">
        <v>182</v>
      </c>
      <c r="P60" t="s">
        <v>670</v>
      </c>
      <c r="Q60" t="s">
        <v>385</v>
      </c>
      <c r="T60">
        <v>35</v>
      </c>
      <c r="U60">
        <v>7.2400000000000006E-2</v>
      </c>
      <c r="W60">
        <f>LN(2)/U60</f>
        <v>9.5738560850821166</v>
      </c>
      <c r="Z60">
        <v>14.14</v>
      </c>
      <c r="AA60">
        <v>9.2799999999999994</v>
      </c>
      <c r="AB60" t="s">
        <v>2199</v>
      </c>
      <c r="AC60">
        <f t="shared" si="2"/>
        <v>-34.370579915134378</v>
      </c>
      <c r="AD60">
        <f t="shared" si="3"/>
        <v>-0.98201656900383938</v>
      </c>
      <c r="AF60" s="1" t="s">
        <v>182</v>
      </c>
      <c r="AG60" t="s">
        <v>182</v>
      </c>
    </row>
    <row r="61" spans="1:33">
      <c r="A61" s="23" t="s">
        <v>1963</v>
      </c>
      <c r="B61">
        <v>2022</v>
      </c>
      <c r="C61" t="s">
        <v>1991</v>
      </c>
      <c r="D61" t="s">
        <v>1976</v>
      </c>
      <c r="E61" t="s">
        <v>446</v>
      </c>
      <c r="F61" t="s">
        <v>702</v>
      </c>
      <c r="G61" t="s">
        <v>1993</v>
      </c>
      <c r="H61">
        <v>25.759722</v>
      </c>
      <c r="I61">
        <v>117.354167</v>
      </c>
      <c r="J61" t="s">
        <v>185</v>
      </c>
      <c r="K61" t="s">
        <v>380</v>
      </c>
      <c r="L61" t="s">
        <v>999</v>
      </c>
      <c r="M61" t="s">
        <v>1788</v>
      </c>
      <c r="N61" t="s">
        <v>1999</v>
      </c>
      <c r="O61" t="s">
        <v>182</v>
      </c>
      <c r="P61" t="s">
        <v>670</v>
      </c>
      <c r="Q61" t="s">
        <v>385</v>
      </c>
      <c r="T61">
        <v>35</v>
      </c>
      <c r="U61">
        <v>7.4700000000000003E-2</v>
      </c>
      <c r="W61">
        <f>LN(2)/U61</f>
        <v>9.2790787223553579</v>
      </c>
      <c r="Z61">
        <v>14.14</v>
      </c>
      <c r="AA61">
        <v>9.2799999999999994</v>
      </c>
      <c r="AB61" t="s">
        <v>2199</v>
      </c>
      <c r="AC61">
        <f t="shared" si="2"/>
        <v>-34.370579915134378</v>
      </c>
      <c r="AD61">
        <f t="shared" si="3"/>
        <v>-0.98201656900383938</v>
      </c>
      <c r="AF61" s="1" t="s">
        <v>182</v>
      </c>
      <c r="AG61" t="s">
        <v>182</v>
      </c>
    </row>
    <row r="62" spans="1:33">
      <c r="A62" s="23" t="s">
        <v>1963</v>
      </c>
      <c r="B62">
        <v>2022</v>
      </c>
      <c r="C62" t="s">
        <v>1991</v>
      </c>
      <c r="D62" t="s">
        <v>1976</v>
      </c>
      <c r="E62" t="s">
        <v>446</v>
      </c>
      <c r="F62" t="s">
        <v>702</v>
      </c>
      <c r="G62" t="s">
        <v>1992</v>
      </c>
      <c r="H62">
        <v>25.759722</v>
      </c>
      <c r="I62">
        <v>117.354167</v>
      </c>
      <c r="J62" t="s">
        <v>185</v>
      </c>
      <c r="K62" t="s">
        <v>380</v>
      </c>
      <c r="L62" t="s">
        <v>999</v>
      </c>
      <c r="M62" t="s">
        <v>1788</v>
      </c>
      <c r="N62" t="s">
        <v>1724</v>
      </c>
      <c r="O62" t="s">
        <v>182</v>
      </c>
      <c r="P62" t="s">
        <v>670</v>
      </c>
      <c r="Q62" t="s">
        <v>385</v>
      </c>
      <c r="T62">
        <v>35</v>
      </c>
      <c r="U62">
        <v>9.2999999999999999E-2</v>
      </c>
      <c r="W62">
        <f>LN(2)/U62</f>
        <v>7.4531954898918853</v>
      </c>
      <c r="Z62">
        <v>10.77</v>
      </c>
      <c r="AA62">
        <v>7.13</v>
      </c>
      <c r="AB62" t="s">
        <v>2199</v>
      </c>
      <c r="AC62">
        <f t="shared" si="2"/>
        <v>-33.797585886722374</v>
      </c>
      <c r="AD62">
        <f t="shared" si="3"/>
        <v>-0.9656453110492107</v>
      </c>
      <c r="AF62" s="1" t="s">
        <v>182</v>
      </c>
      <c r="AG62" t="s">
        <v>182</v>
      </c>
    </row>
    <row r="63" spans="1:33">
      <c r="A63" s="23" t="s">
        <v>1963</v>
      </c>
      <c r="B63">
        <v>2022</v>
      </c>
      <c r="C63" t="s">
        <v>187</v>
      </c>
      <c r="D63" t="s">
        <v>1976</v>
      </c>
      <c r="E63" t="s">
        <v>446</v>
      </c>
      <c r="F63" t="s">
        <v>702</v>
      </c>
      <c r="G63" t="s">
        <v>1992</v>
      </c>
      <c r="H63">
        <v>25.759722</v>
      </c>
      <c r="I63">
        <v>117.354167</v>
      </c>
      <c r="J63" t="s">
        <v>185</v>
      </c>
      <c r="K63" t="s">
        <v>380</v>
      </c>
      <c r="L63" t="s">
        <v>999</v>
      </c>
      <c r="M63" t="s">
        <v>1788</v>
      </c>
      <c r="N63" t="s">
        <v>1724</v>
      </c>
      <c r="O63" t="s">
        <v>182</v>
      </c>
      <c r="P63" t="s">
        <v>670</v>
      </c>
      <c r="Q63" t="s">
        <v>385</v>
      </c>
      <c r="T63">
        <v>15</v>
      </c>
      <c r="U63">
        <v>9.7500000000000003E-2</v>
      </c>
      <c r="W63">
        <f>LN(2)/U63</f>
        <v>7.1092018518968745</v>
      </c>
      <c r="Z63">
        <v>12.6</v>
      </c>
      <c r="AA63">
        <v>8.7899999999999991</v>
      </c>
      <c r="AB63" t="s">
        <v>2199</v>
      </c>
      <c r="AC63">
        <f t="shared" si="2"/>
        <v>-30.238095238095241</v>
      </c>
      <c r="AD63">
        <f t="shared" si="3"/>
        <v>-2.0158730158730163</v>
      </c>
      <c r="AF63" s="1" t="s">
        <v>182</v>
      </c>
      <c r="AG63" t="s">
        <v>182</v>
      </c>
    </row>
    <row r="64" spans="1:33">
      <c r="A64" s="23" t="s">
        <v>1963</v>
      </c>
      <c r="B64">
        <v>2022</v>
      </c>
      <c r="C64" t="s">
        <v>187</v>
      </c>
      <c r="D64" t="s">
        <v>1976</v>
      </c>
      <c r="E64" t="s">
        <v>446</v>
      </c>
      <c r="F64" t="s">
        <v>702</v>
      </c>
      <c r="G64" t="s">
        <v>1992</v>
      </c>
      <c r="H64">
        <v>25.759722</v>
      </c>
      <c r="I64">
        <v>117.354167</v>
      </c>
      <c r="J64" t="s">
        <v>185</v>
      </c>
      <c r="K64" t="s">
        <v>380</v>
      </c>
      <c r="L64" t="s">
        <v>999</v>
      </c>
      <c r="M64" t="s">
        <v>1788</v>
      </c>
      <c r="N64" t="s">
        <v>1999</v>
      </c>
      <c r="O64" t="s">
        <v>182</v>
      </c>
      <c r="P64" t="s">
        <v>670</v>
      </c>
      <c r="Q64" t="s">
        <v>385</v>
      </c>
      <c r="T64">
        <v>15</v>
      </c>
      <c r="U64">
        <v>0.11269999999999999</v>
      </c>
      <c r="W64">
        <f>LN(2)/U64</f>
        <v>6.1503742729365154</v>
      </c>
      <c r="Z64">
        <v>12.6</v>
      </c>
      <c r="AA64">
        <v>8.7899999999999991</v>
      </c>
      <c r="AB64" t="s">
        <v>2199</v>
      </c>
      <c r="AC64">
        <f t="shared" si="2"/>
        <v>-30.238095238095241</v>
      </c>
      <c r="AD64">
        <f t="shared" si="3"/>
        <v>-2.0158730158730163</v>
      </c>
      <c r="AF64" s="1" t="s">
        <v>182</v>
      </c>
      <c r="AG64" t="s">
        <v>182</v>
      </c>
    </row>
    <row r="65" spans="1:33">
      <c r="A65" t="s">
        <v>602</v>
      </c>
      <c r="B65">
        <v>2021</v>
      </c>
      <c r="C65" t="s">
        <v>187</v>
      </c>
      <c r="D65" t="s">
        <v>152</v>
      </c>
      <c r="E65" t="s">
        <v>443</v>
      </c>
      <c r="F65" t="s">
        <v>156</v>
      </c>
      <c r="G65" t="s">
        <v>158</v>
      </c>
      <c r="H65">
        <v>69.599999999999994</v>
      </c>
      <c r="I65">
        <v>18</v>
      </c>
      <c r="J65" t="s">
        <v>291</v>
      </c>
      <c r="K65" t="s">
        <v>155</v>
      </c>
      <c r="L65" t="s">
        <v>999</v>
      </c>
      <c r="M65" t="s">
        <v>1788</v>
      </c>
      <c r="N65" t="s">
        <v>333</v>
      </c>
      <c r="O65" t="s">
        <v>246</v>
      </c>
      <c r="T65">
        <v>280</v>
      </c>
      <c r="U65">
        <v>2.9000000000000001E-2</v>
      </c>
      <c r="V65">
        <v>0.23214285714285715</v>
      </c>
      <c r="W65">
        <v>35.119999999999997</v>
      </c>
      <c r="X65">
        <v>35.6</v>
      </c>
      <c r="Y65">
        <v>1.25</v>
      </c>
      <c r="Z65">
        <v>29.9</v>
      </c>
      <c r="AA65">
        <v>8.1999999999999993</v>
      </c>
      <c r="AB65" t="s">
        <v>2199</v>
      </c>
      <c r="AC65">
        <f t="shared" si="2"/>
        <v>-72.575250836120404</v>
      </c>
      <c r="AD65">
        <f t="shared" si="3"/>
        <v>-0.25919732441471571</v>
      </c>
      <c r="AE65" t="s">
        <v>2313</v>
      </c>
      <c r="AF65" s="1" t="s">
        <v>182</v>
      </c>
      <c r="AG65" t="s">
        <v>182</v>
      </c>
    </row>
    <row r="66" spans="1:33">
      <c r="A66" t="s">
        <v>602</v>
      </c>
      <c r="B66">
        <v>2021</v>
      </c>
      <c r="C66" t="s">
        <v>187</v>
      </c>
      <c r="D66" t="s">
        <v>152</v>
      </c>
      <c r="E66" t="s">
        <v>443</v>
      </c>
      <c r="F66" t="s">
        <v>156</v>
      </c>
      <c r="G66" t="s">
        <v>158</v>
      </c>
      <c r="H66">
        <v>69.599999999999994</v>
      </c>
      <c r="I66">
        <v>18</v>
      </c>
      <c r="J66" t="s">
        <v>291</v>
      </c>
      <c r="K66" t="s">
        <v>155</v>
      </c>
      <c r="L66" t="s">
        <v>999</v>
      </c>
      <c r="M66" t="s">
        <v>1788</v>
      </c>
      <c r="N66" t="s">
        <v>333</v>
      </c>
      <c r="O66" t="s">
        <v>246</v>
      </c>
      <c r="T66">
        <v>308</v>
      </c>
      <c r="U66">
        <v>3.7999999999999999E-2</v>
      </c>
      <c r="V66">
        <v>0.25227272727272726</v>
      </c>
      <c r="W66">
        <v>27.63</v>
      </c>
      <c r="X66">
        <v>35.6</v>
      </c>
      <c r="Y66">
        <v>1.25</v>
      </c>
      <c r="Z66">
        <v>32.299999999999997</v>
      </c>
      <c r="AA66">
        <v>9.3000000000000007</v>
      </c>
      <c r="AB66" t="s">
        <v>2199</v>
      </c>
      <c r="AC66">
        <f t="shared" ref="AC66:AC97" si="4">(AA66-Z66)/Z66*100</f>
        <v>-71.207430340557281</v>
      </c>
      <c r="AD66">
        <f t="shared" ref="AD66:AD97" si="5">AC66/T66</f>
        <v>-0.23119295565115999</v>
      </c>
      <c r="AE66" t="s">
        <v>2315</v>
      </c>
      <c r="AF66" s="1" t="s">
        <v>182</v>
      </c>
      <c r="AG66" t="s">
        <v>182</v>
      </c>
    </row>
    <row r="67" spans="1:33">
      <c r="A67" t="s">
        <v>602</v>
      </c>
      <c r="B67">
        <v>2021</v>
      </c>
      <c r="C67" t="s">
        <v>187</v>
      </c>
      <c r="D67" t="s">
        <v>152</v>
      </c>
      <c r="E67" t="s">
        <v>443</v>
      </c>
      <c r="F67" t="s">
        <v>156</v>
      </c>
      <c r="G67" t="s">
        <v>158</v>
      </c>
      <c r="H67">
        <v>69.599999999999994</v>
      </c>
      <c r="I67">
        <v>18</v>
      </c>
      <c r="J67" t="s">
        <v>291</v>
      </c>
      <c r="K67" t="s">
        <v>155</v>
      </c>
      <c r="L67" t="s">
        <v>999</v>
      </c>
      <c r="M67" t="s">
        <v>1788</v>
      </c>
      <c r="N67" t="s">
        <v>333</v>
      </c>
      <c r="O67" t="s">
        <v>246</v>
      </c>
      <c r="T67">
        <v>308</v>
      </c>
      <c r="V67">
        <v>0.41620000000000001</v>
      </c>
      <c r="W67">
        <v>120.13455069678039</v>
      </c>
      <c r="X67">
        <v>35.6</v>
      </c>
      <c r="Y67">
        <v>1.25</v>
      </c>
      <c r="Z67">
        <v>32</v>
      </c>
      <c r="AA67">
        <v>9.5</v>
      </c>
      <c r="AB67" t="s">
        <v>2199</v>
      </c>
      <c r="AC67">
        <f t="shared" si="4"/>
        <v>-70.3125</v>
      </c>
      <c r="AD67">
        <f t="shared" si="5"/>
        <v>-0.22828733766233766</v>
      </c>
      <c r="AE67" t="s">
        <v>2317</v>
      </c>
      <c r="AF67" s="1" t="s">
        <v>182</v>
      </c>
      <c r="AG67" t="s">
        <v>182</v>
      </c>
    </row>
    <row r="68" spans="1:33">
      <c r="A68" t="s">
        <v>602</v>
      </c>
      <c r="B68">
        <v>2021</v>
      </c>
      <c r="C68" t="s">
        <v>187</v>
      </c>
      <c r="D68" t="s">
        <v>152</v>
      </c>
      <c r="E68" t="s">
        <v>443</v>
      </c>
      <c r="F68" t="s">
        <v>156</v>
      </c>
      <c r="G68" t="s">
        <v>158</v>
      </c>
      <c r="H68">
        <v>69.599999999999994</v>
      </c>
      <c r="I68">
        <v>18</v>
      </c>
      <c r="J68" t="s">
        <v>291</v>
      </c>
      <c r="K68" t="s">
        <v>155</v>
      </c>
      <c r="L68" t="s">
        <v>999</v>
      </c>
      <c r="M68" t="s">
        <v>1788</v>
      </c>
      <c r="N68" t="s">
        <v>333</v>
      </c>
      <c r="O68" t="s">
        <v>246</v>
      </c>
      <c r="T68">
        <v>308</v>
      </c>
      <c r="U68">
        <v>1.2999999999999999E-2</v>
      </c>
      <c r="V68">
        <v>0.28279220779220776</v>
      </c>
      <c r="W68">
        <v>54.68</v>
      </c>
      <c r="X68">
        <v>35.6</v>
      </c>
      <c r="Y68">
        <v>1.25</v>
      </c>
      <c r="Z68">
        <v>32.5</v>
      </c>
      <c r="AA68">
        <v>13</v>
      </c>
      <c r="AB68" t="s">
        <v>2199</v>
      </c>
      <c r="AC68">
        <f t="shared" si="4"/>
        <v>-60</v>
      </c>
      <c r="AD68">
        <f t="shared" si="5"/>
        <v>-0.19480519480519481</v>
      </c>
      <c r="AE68" t="s">
        <v>2314</v>
      </c>
      <c r="AF68" s="1" t="s">
        <v>182</v>
      </c>
      <c r="AG68" t="s">
        <v>182</v>
      </c>
    </row>
    <row r="69" spans="1:33">
      <c r="A69" t="s">
        <v>602</v>
      </c>
      <c r="B69">
        <v>2021</v>
      </c>
      <c r="C69" t="s">
        <v>187</v>
      </c>
      <c r="D69" t="s">
        <v>152</v>
      </c>
      <c r="E69" t="s">
        <v>443</v>
      </c>
      <c r="F69" t="s">
        <v>156</v>
      </c>
      <c r="G69" t="s">
        <v>158</v>
      </c>
      <c r="H69">
        <v>69.599999999999994</v>
      </c>
      <c r="I69">
        <v>18</v>
      </c>
      <c r="J69" t="s">
        <v>291</v>
      </c>
      <c r="K69" t="s">
        <v>155</v>
      </c>
      <c r="L69" t="s">
        <v>999</v>
      </c>
      <c r="M69" t="s">
        <v>1788</v>
      </c>
      <c r="N69" t="s">
        <v>333</v>
      </c>
      <c r="O69" t="s">
        <v>246</v>
      </c>
      <c r="T69">
        <v>308</v>
      </c>
      <c r="U69">
        <v>1.7999999999999999E-2</v>
      </c>
      <c r="V69">
        <v>0.28344155844155844</v>
      </c>
      <c r="W69">
        <v>39.5</v>
      </c>
      <c r="X69">
        <v>35.6</v>
      </c>
      <c r="Y69">
        <v>1.25</v>
      </c>
      <c r="Z69">
        <v>32</v>
      </c>
      <c r="AA69">
        <v>13.1</v>
      </c>
      <c r="AB69" t="s">
        <v>2199</v>
      </c>
      <c r="AC69">
        <f t="shared" si="4"/>
        <v>-59.062499999999993</v>
      </c>
      <c r="AD69">
        <f t="shared" si="5"/>
        <v>-0.19176136363636362</v>
      </c>
      <c r="AE69" t="s">
        <v>2316</v>
      </c>
      <c r="AF69" s="1" t="s">
        <v>182</v>
      </c>
      <c r="AG69" t="s">
        <v>182</v>
      </c>
    </row>
    <row r="70" spans="1:33">
      <c r="A70" t="s">
        <v>602</v>
      </c>
      <c r="B70">
        <v>2021</v>
      </c>
      <c r="C70" t="s">
        <v>187</v>
      </c>
      <c r="D70" t="s">
        <v>152</v>
      </c>
      <c r="E70" t="s">
        <v>443</v>
      </c>
      <c r="F70" t="s">
        <v>156</v>
      </c>
      <c r="G70" t="s">
        <v>158</v>
      </c>
      <c r="H70">
        <v>69.599999999999994</v>
      </c>
      <c r="I70">
        <v>18</v>
      </c>
      <c r="J70" t="s">
        <v>291</v>
      </c>
      <c r="K70" t="s">
        <v>155</v>
      </c>
      <c r="L70" t="s">
        <v>999</v>
      </c>
      <c r="M70" t="s">
        <v>1788</v>
      </c>
      <c r="N70" t="s">
        <v>333</v>
      </c>
      <c r="O70" t="s">
        <v>246</v>
      </c>
      <c r="T70">
        <v>280</v>
      </c>
      <c r="U70">
        <v>0.13089999999999999</v>
      </c>
      <c r="V70">
        <v>0.35607142857142859</v>
      </c>
      <c r="W70">
        <v>6.01</v>
      </c>
      <c r="X70">
        <v>35.6</v>
      </c>
      <c r="Y70">
        <v>1.25</v>
      </c>
      <c r="Z70">
        <v>34.9</v>
      </c>
      <c r="AA70">
        <v>14.4</v>
      </c>
      <c r="AB70" t="s">
        <v>2199</v>
      </c>
      <c r="AC70">
        <f t="shared" si="4"/>
        <v>-58.739255014326652</v>
      </c>
      <c r="AD70">
        <f t="shared" si="5"/>
        <v>-0.20978305362259519</v>
      </c>
      <c r="AE70" t="s">
        <v>2312</v>
      </c>
      <c r="AF70" s="1" t="s">
        <v>182</v>
      </c>
      <c r="AG70" t="s">
        <v>182</v>
      </c>
    </row>
    <row r="71" spans="1:33">
      <c r="A71" t="s">
        <v>602</v>
      </c>
      <c r="B71">
        <v>2021</v>
      </c>
      <c r="C71" t="s">
        <v>187</v>
      </c>
      <c r="D71" t="s">
        <v>152</v>
      </c>
      <c r="E71" t="s">
        <v>443</v>
      </c>
      <c r="F71" t="s">
        <v>156</v>
      </c>
      <c r="G71" t="s">
        <v>158</v>
      </c>
      <c r="H71">
        <v>69.599999999999994</v>
      </c>
      <c r="I71">
        <v>18</v>
      </c>
      <c r="J71" t="s">
        <v>291</v>
      </c>
      <c r="K71" t="s">
        <v>155</v>
      </c>
      <c r="L71" t="s">
        <v>999</v>
      </c>
      <c r="M71" t="s">
        <v>1788</v>
      </c>
      <c r="N71" t="s">
        <v>333</v>
      </c>
      <c r="O71" t="s">
        <v>246</v>
      </c>
      <c r="T71">
        <v>280</v>
      </c>
      <c r="U71">
        <v>2.4199999999999999E-2</v>
      </c>
      <c r="V71">
        <v>0.34071428571428575</v>
      </c>
      <c r="W71">
        <v>28.45</v>
      </c>
      <c r="X71">
        <v>35.6</v>
      </c>
      <c r="Y71">
        <v>1.25</v>
      </c>
      <c r="Z71">
        <v>35</v>
      </c>
      <c r="AA71">
        <v>15.6</v>
      </c>
      <c r="AB71" t="s">
        <v>2199</v>
      </c>
      <c r="AC71">
        <f t="shared" si="4"/>
        <v>-55.428571428571431</v>
      </c>
      <c r="AD71">
        <f t="shared" si="5"/>
        <v>-0.1979591836734694</v>
      </c>
      <c r="AE71" t="s">
        <v>2310</v>
      </c>
      <c r="AF71" s="1" t="s">
        <v>182</v>
      </c>
      <c r="AG71" t="s">
        <v>182</v>
      </c>
    </row>
    <row r="72" spans="1:33">
      <c r="A72" t="s">
        <v>602</v>
      </c>
      <c r="B72">
        <v>2021</v>
      </c>
      <c r="C72" t="s">
        <v>187</v>
      </c>
      <c r="D72" t="s">
        <v>152</v>
      </c>
      <c r="E72" t="s">
        <v>443</v>
      </c>
      <c r="F72" t="s">
        <v>156</v>
      </c>
      <c r="G72" t="s">
        <v>158</v>
      </c>
      <c r="H72">
        <v>69.599999999999994</v>
      </c>
      <c r="I72">
        <v>18</v>
      </c>
      <c r="J72" t="s">
        <v>291</v>
      </c>
      <c r="K72" t="s">
        <v>155</v>
      </c>
      <c r="L72" t="s">
        <v>999</v>
      </c>
      <c r="M72" t="s">
        <v>1788</v>
      </c>
      <c r="N72" t="s">
        <v>333</v>
      </c>
      <c r="O72" t="s">
        <v>246</v>
      </c>
      <c r="T72">
        <v>280</v>
      </c>
      <c r="U72">
        <v>0.80800000000000005</v>
      </c>
      <c r="V72">
        <v>0.29321428571428571</v>
      </c>
      <c r="W72">
        <v>13.11</v>
      </c>
      <c r="X72">
        <v>35.6</v>
      </c>
      <c r="Y72">
        <v>1.25</v>
      </c>
      <c r="Z72">
        <v>31.8</v>
      </c>
      <c r="AA72">
        <v>15.4</v>
      </c>
      <c r="AB72" t="s">
        <v>2199</v>
      </c>
      <c r="AC72">
        <f t="shared" si="4"/>
        <v>-51.572327044025158</v>
      </c>
      <c r="AD72">
        <f t="shared" si="5"/>
        <v>-0.18418688230008984</v>
      </c>
      <c r="AE72" t="s">
        <v>2311</v>
      </c>
      <c r="AF72" s="1" t="s">
        <v>182</v>
      </c>
      <c r="AG72" t="s">
        <v>182</v>
      </c>
    </row>
    <row r="73" spans="1:33">
      <c r="A73" t="s">
        <v>602</v>
      </c>
      <c r="B73">
        <v>2021</v>
      </c>
      <c r="C73" t="s">
        <v>161</v>
      </c>
      <c r="D73" t="s">
        <v>152</v>
      </c>
      <c r="E73" t="s">
        <v>443</v>
      </c>
      <c r="F73" t="s">
        <v>156</v>
      </c>
      <c r="G73" t="s">
        <v>158</v>
      </c>
      <c r="H73">
        <v>69.599999999999994</v>
      </c>
      <c r="I73">
        <v>18</v>
      </c>
      <c r="J73" t="s">
        <v>291</v>
      </c>
      <c r="K73" t="s">
        <v>155</v>
      </c>
      <c r="L73" t="s">
        <v>999</v>
      </c>
      <c r="M73" t="s">
        <v>1788</v>
      </c>
      <c r="N73" t="s">
        <v>333</v>
      </c>
      <c r="O73" t="s">
        <v>246</v>
      </c>
      <c r="P73" t="s">
        <v>297</v>
      </c>
      <c r="Q73" t="s">
        <v>298</v>
      </c>
      <c r="T73">
        <v>121</v>
      </c>
      <c r="W73" t="s">
        <v>190</v>
      </c>
      <c r="Z73">
        <v>21.4</v>
      </c>
      <c r="AA73">
        <v>16.600000000000001</v>
      </c>
      <c r="AB73" t="s">
        <v>2199</v>
      </c>
      <c r="AC73">
        <f t="shared" si="4"/>
        <v>-22.429906542056063</v>
      </c>
      <c r="AD73">
        <f t="shared" si="5"/>
        <v>-0.18537112844674433</v>
      </c>
      <c r="AE73" t="s">
        <v>2308</v>
      </c>
      <c r="AF73" s="1" t="s">
        <v>182</v>
      </c>
      <c r="AG73" t="s">
        <v>182</v>
      </c>
    </row>
    <row r="74" spans="1:33">
      <c r="A74" t="s">
        <v>602</v>
      </c>
      <c r="B74">
        <v>2021</v>
      </c>
      <c r="C74" t="s">
        <v>161</v>
      </c>
      <c r="D74" t="s">
        <v>152</v>
      </c>
      <c r="E74" t="s">
        <v>443</v>
      </c>
      <c r="F74" t="s">
        <v>156</v>
      </c>
      <c r="G74" t="s">
        <v>158</v>
      </c>
      <c r="H74">
        <v>69.599999999999994</v>
      </c>
      <c r="I74">
        <v>18</v>
      </c>
      <c r="J74" t="s">
        <v>291</v>
      </c>
      <c r="K74" t="s">
        <v>155</v>
      </c>
      <c r="L74" t="s">
        <v>999</v>
      </c>
      <c r="M74" t="s">
        <v>1788</v>
      </c>
      <c r="N74" t="s">
        <v>333</v>
      </c>
      <c r="O74" t="s">
        <v>246</v>
      </c>
      <c r="P74" t="s">
        <v>297</v>
      </c>
      <c r="Q74" t="s">
        <v>298</v>
      </c>
      <c r="T74">
        <v>37</v>
      </c>
      <c r="U74">
        <v>5.4600000000000003E-2</v>
      </c>
      <c r="V74">
        <v>0.27321428571428569</v>
      </c>
      <c r="W74">
        <v>20.39</v>
      </c>
      <c r="Z74">
        <v>21.4</v>
      </c>
      <c r="AA74">
        <v>18.3</v>
      </c>
      <c r="AB74" t="s">
        <v>2199</v>
      </c>
      <c r="AC74">
        <f t="shared" si="4"/>
        <v>-14.485981308411205</v>
      </c>
      <c r="AD74">
        <f t="shared" si="5"/>
        <v>-0.39151300833543795</v>
      </c>
      <c r="AE74" t="s">
        <v>2309</v>
      </c>
      <c r="AF74" s="1" t="s">
        <v>182</v>
      </c>
      <c r="AG74" t="s">
        <v>182</v>
      </c>
    </row>
    <row r="75" spans="1:33">
      <c r="A75" t="s">
        <v>601</v>
      </c>
      <c r="B75">
        <v>2018</v>
      </c>
      <c r="C75" t="s">
        <v>187</v>
      </c>
      <c r="D75" t="s">
        <v>272</v>
      </c>
      <c r="E75" t="s">
        <v>443</v>
      </c>
      <c r="F75" t="s">
        <v>273</v>
      </c>
      <c r="G75" t="s">
        <v>274</v>
      </c>
      <c r="H75">
        <v>33.448999999999998</v>
      </c>
      <c r="I75">
        <v>-118.489</v>
      </c>
      <c r="J75" t="s">
        <v>276</v>
      </c>
      <c r="K75" t="s">
        <v>275</v>
      </c>
      <c r="L75" t="s">
        <v>999</v>
      </c>
      <c r="M75" t="s">
        <v>1788</v>
      </c>
      <c r="N75" t="s">
        <v>333</v>
      </c>
      <c r="O75" t="s">
        <v>246</v>
      </c>
      <c r="T75">
        <v>17</v>
      </c>
      <c r="U75">
        <v>7.0999999999999994E-2</v>
      </c>
      <c r="W75">
        <f>LN(2)/U75</f>
        <v>9.7626363459147232</v>
      </c>
      <c r="X75">
        <v>25.74</v>
      </c>
      <c r="Y75">
        <v>1.29</v>
      </c>
      <c r="Z75">
        <v>19.97</v>
      </c>
      <c r="AA75">
        <v>14</v>
      </c>
      <c r="AB75" t="s">
        <v>2199</v>
      </c>
      <c r="AC75">
        <f t="shared" si="4"/>
        <v>-29.894842263395088</v>
      </c>
      <c r="AD75">
        <f t="shared" si="5"/>
        <v>-1.7585201331408875</v>
      </c>
      <c r="AE75" t="s">
        <v>188</v>
      </c>
      <c r="AF75" s="1" t="s">
        <v>182</v>
      </c>
      <c r="AG75" t="s">
        <v>182</v>
      </c>
    </row>
    <row r="76" spans="1:33">
      <c r="A76" t="s">
        <v>2318</v>
      </c>
      <c r="B76">
        <v>2018</v>
      </c>
      <c r="C76" t="s">
        <v>187</v>
      </c>
      <c r="D76" t="s">
        <v>272</v>
      </c>
      <c r="E76" t="s">
        <v>443</v>
      </c>
      <c r="F76" t="s">
        <v>273</v>
      </c>
      <c r="G76" t="s">
        <v>274</v>
      </c>
      <c r="H76">
        <v>33.448999999999998</v>
      </c>
      <c r="I76">
        <v>-118.489</v>
      </c>
      <c r="J76" t="s">
        <v>276</v>
      </c>
      <c r="K76" t="s">
        <v>275</v>
      </c>
      <c r="L76" t="s">
        <v>999</v>
      </c>
      <c r="M76" t="s">
        <v>1788</v>
      </c>
      <c r="N76" t="s">
        <v>333</v>
      </c>
      <c r="O76" t="s">
        <v>246</v>
      </c>
      <c r="T76">
        <v>17</v>
      </c>
      <c r="U76">
        <v>7.0999999999999994E-2</v>
      </c>
      <c r="W76">
        <f>LN(2)/U76</f>
        <v>9.7626363459147232</v>
      </c>
      <c r="X76">
        <v>27.83</v>
      </c>
      <c r="Y76">
        <v>1.38</v>
      </c>
      <c r="Z76">
        <v>20.2</v>
      </c>
      <c r="AA76">
        <v>15.7</v>
      </c>
      <c r="AB76" t="s">
        <v>2199</v>
      </c>
      <c r="AC76">
        <f t="shared" si="4"/>
        <v>-22.277227722772277</v>
      </c>
      <c r="AD76">
        <f t="shared" si="5"/>
        <v>-1.3104251601630752</v>
      </c>
      <c r="AE76" t="s">
        <v>1199</v>
      </c>
      <c r="AF76" s="1" t="s">
        <v>182</v>
      </c>
      <c r="AG76" t="s">
        <v>182</v>
      </c>
    </row>
    <row r="77" spans="1:33">
      <c r="A77" s="23" t="s">
        <v>687</v>
      </c>
      <c r="B77">
        <v>1981</v>
      </c>
      <c r="C77" t="s">
        <v>187</v>
      </c>
      <c r="D77" t="s">
        <v>443</v>
      </c>
      <c r="E77" t="s">
        <v>443</v>
      </c>
      <c r="F77" t="s">
        <v>1004</v>
      </c>
      <c r="G77" t="s">
        <v>1005</v>
      </c>
      <c r="H77">
        <v>27.639915780862701</v>
      </c>
      <c r="I77">
        <v>-80.375822994529102</v>
      </c>
      <c r="J77" t="s">
        <v>276</v>
      </c>
      <c r="K77" t="s">
        <v>586</v>
      </c>
      <c r="L77" t="s">
        <v>184</v>
      </c>
      <c r="M77" t="s">
        <v>1788</v>
      </c>
      <c r="N77" t="s">
        <v>1735</v>
      </c>
      <c r="O77" t="s">
        <v>182</v>
      </c>
      <c r="P77" t="s">
        <v>475</v>
      </c>
      <c r="Q77" t="s">
        <v>420</v>
      </c>
      <c r="T77">
        <v>150</v>
      </c>
      <c r="U77">
        <v>3.7199999999999997E-2</v>
      </c>
      <c r="W77" t="s">
        <v>190</v>
      </c>
      <c r="X77">
        <v>43.18</v>
      </c>
      <c r="Y77">
        <v>2.7570000000000001</v>
      </c>
      <c r="Z77">
        <v>18.100000000000001</v>
      </c>
      <c r="AA77">
        <v>9.4</v>
      </c>
      <c r="AB77" t="s">
        <v>2199</v>
      </c>
      <c r="AC77">
        <f t="shared" si="4"/>
        <v>-48.066298342541437</v>
      </c>
      <c r="AD77">
        <f t="shared" si="5"/>
        <v>-0.32044198895027626</v>
      </c>
      <c r="AF77" s="1" t="s">
        <v>182</v>
      </c>
      <c r="AG77" t="s">
        <v>182</v>
      </c>
    </row>
    <row r="78" spans="1:33">
      <c r="A78" s="23" t="s">
        <v>2319</v>
      </c>
      <c r="B78">
        <v>1981</v>
      </c>
      <c r="C78" t="s">
        <v>187</v>
      </c>
      <c r="D78" t="s">
        <v>272</v>
      </c>
      <c r="E78" t="s">
        <v>443</v>
      </c>
      <c r="F78" t="s">
        <v>1008</v>
      </c>
      <c r="G78" t="s">
        <v>1009</v>
      </c>
      <c r="H78">
        <v>27.639915780862701</v>
      </c>
      <c r="I78">
        <v>-80.375822994529102</v>
      </c>
      <c r="J78" t="s">
        <v>276</v>
      </c>
      <c r="K78" t="s">
        <v>586</v>
      </c>
      <c r="L78" t="s">
        <v>184</v>
      </c>
      <c r="M78" t="s">
        <v>1788</v>
      </c>
      <c r="N78" t="s">
        <v>1735</v>
      </c>
      <c r="O78" t="s">
        <v>182</v>
      </c>
      <c r="P78" t="s">
        <v>475</v>
      </c>
      <c r="Q78" t="s">
        <v>420</v>
      </c>
      <c r="T78">
        <v>150</v>
      </c>
      <c r="U78">
        <v>3.09E-2</v>
      </c>
      <c r="W78" t="s">
        <v>190</v>
      </c>
      <c r="X78">
        <v>37.26</v>
      </c>
      <c r="Y78">
        <v>1.157</v>
      </c>
      <c r="Z78">
        <v>35.5</v>
      </c>
      <c r="AA78">
        <v>27.1</v>
      </c>
      <c r="AB78" t="s">
        <v>2199</v>
      </c>
      <c r="AC78">
        <f t="shared" si="4"/>
        <v>-23.661971830985912</v>
      </c>
      <c r="AD78">
        <f t="shared" si="5"/>
        <v>-0.15774647887323942</v>
      </c>
      <c r="AF78" s="1" t="s">
        <v>182</v>
      </c>
      <c r="AG78" t="s">
        <v>182</v>
      </c>
    </row>
    <row r="79" spans="1:33">
      <c r="A79" t="s">
        <v>1252</v>
      </c>
      <c r="B79">
        <v>1989</v>
      </c>
      <c r="C79" t="s">
        <v>161</v>
      </c>
      <c r="D79" t="s">
        <v>152</v>
      </c>
      <c r="E79" t="s">
        <v>443</v>
      </c>
      <c r="F79" t="s">
        <v>1021</v>
      </c>
      <c r="G79" t="s">
        <v>1220</v>
      </c>
      <c r="H79">
        <v>54.183204820530399</v>
      </c>
      <c r="I79">
        <v>7.8837679967502199</v>
      </c>
      <c r="J79" t="s">
        <v>1718</v>
      </c>
      <c r="K79" t="s">
        <v>155</v>
      </c>
      <c r="L79" t="s">
        <v>999</v>
      </c>
      <c r="M79" t="s">
        <v>1788</v>
      </c>
      <c r="N79" t="s">
        <v>1729</v>
      </c>
      <c r="O79" t="s">
        <v>182</v>
      </c>
      <c r="P79" t="s">
        <v>475</v>
      </c>
      <c r="Q79" t="s">
        <v>217</v>
      </c>
      <c r="T79">
        <v>21</v>
      </c>
      <c r="U79">
        <v>0.1416</v>
      </c>
      <c r="W79">
        <v>4.9000000000000004</v>
      </c>
      <c r="Z79">
        <v>8.8000000000000007</v>
      </c>
      <c r="AA79">
        <v>4.8</v>
      </c>
      <c r="AB79" t="s">
        <v>2199</v>
      </c>
      <c r="AC79">
        <f t="shared" si="4"/>
        <v>-45.45454545454546</v>
      </c>
      <c r="AD79">
        <f t="shared" si="5"/>
        <v>-2.1645021645021649</v>
      </c>
      <c r="AF79" s="1" t="s">
        <v>182</v>
      </c>
      <c r="AG79" t="s">
        <v>182</v>
      </c>
    </row>
    <row r="80" spans="1:33">
      <c r="A80" t="s">
        <v>1252</v>
      </c>
      <c r="B80">
        <v>1989</v>
      </c>
      <c r="C80" t="s">
        <v>161</v>
      </c>
      <c r="D80" t="s">
        <v>446</v>
      </c>
      <c r="E80" t="s">
        <v>446</v>
      </c>
      <c r="F80" t="s">
        <v>1017</v>
      </c>
      <c r="G80" t="s">
        <v>1018</v>
      </c>
      <c r="H80">
        <v>54.183204820530399</v>
      </c>
      <c r="I80">
        <v>7.8837679967502199</v>
      </c>
      <c r="J80" t="s">
        <v>1718</v>
      </c>
      <c r="K80" t="s">
        <v>155</v>
      </c>
      <c r="L80" t="s">
        <v>999</v>
      </c>
      <c r="M80" t="s">
        <v>1788</v>
      </c>
      <c r="N80" t="s">
        <v>1729</v>
      </c>
      <c r="O80" t="s">
        <v>182</v>
      </c>
      <c r="P80" t="s">
        <v>475</v>
      </c>
      <c r="Q80" t="s">
        <v>217</v>
      </c>
      <c r="T80">
        <v>43</v>
      </c>
      <c r="U80">
        <v>9.1800000000000007E-2</v>
      </c>
      <c r="W80">
        <v>7.6</v>
      </c>
      <c r="Z80">
        <v>11.7</v>
      </c>
      <c r="AA80">
        <v>6.7</v>
      </c>
      <c r="AB80" t="s">
        <v>2199</v>
      </c>
      <c r="AC80">
        <f t="shared" si="4"/>
        <v>-42.735042735042725</v>
      </c>
      <c r="AD80">
        <f t="shared" si="5"/>
        <v>-0.99383820314052851</v>
      </c>
      <c r="AF80" s="1" t="s">
        <v>182</v>
      </c>
      <c r="AG80" t="s">
        <v>182</v>
      </c>
    </row>
    <row r="81" spans="1:33">
      <c r="A81" t="s">
        <v>1252</v>
      </c>
      <c r="B81">
        <v>1989</v>
      </c>
      <c r="C81" t="s">
        <v>161</v>
      </c>
      <c r="D81" t="s">
        <v>446</v>
      </c>
      <c r="E81" t="s">
        <v>446</v>
      </c>
      <c r="F81" t="s">
        <v>1017</v>
      </c>
      <c r="G81" t="s">
        <v>1018</v>
      </c>
      <c r="H81">
        <v>54.183204820530399</v>
      </c>
      <c r="I81">
        <v>7.8837679967502199</v>
      </c>
      <c r="J81" t="s">
        <v>1718</v>
      </c>
      <c r="K81" t="s">
        <v>155</v>
      </c>
      <c r="L81" t="s">
        <v>999</v>
      </c>
      <c r="M81" t="s">
        <v>1788</v>
      </c>
      <c r="N81" t="s">
        <v>1729</v>
      </c>
      <c r="O81" t="s">
        <v>182</v>
      </c>
      <c r="P81" t="s">
        <v>743</v>
      </c>
      <c r="Q81" t="s">
        <v>385</v>
      </c>
      <c r="T81">
        <v>30</v>
      </c>
      <c r="U81">
        <v>3.8600000000000002E-2</v>
      </c>
      <c r="W81">
        <v>18</v>
      </c>
      <c r="Z81">
        <v>10.7</v>
      </c>
      <c r="AA81">
        <v>7.2</v>
      </c>
      <c r="AB81" t="s">
        <v>2199</v>
      </c>
      <c r="AC81">
        <f t="shared" si="4"/>
        <v>-32.710280373831765</v>
      </c>
      <c r="AD81">
        <f t="shared" si="5"/>
        <v>-1.0903426791277255</v>
      </c>
      <c r="AF81" s="1" t="s">
        <v>182</v>
      </c>
      <c r="AG81" t="s">
        <v>182</v>
      </c>
    </row>
    <row r="82" spans="1:33">
      <c r="A82" t="s">
        <v>1252</v>
      </c>
      <c r="B82">
        <v>1989</v>
      </c>
      <c r="C82" t="s">
        <v>161</v>
      </c>
      <c r="D82" t="s">
        <v>446</v>
      </c>
      <c r="E82" t="s">
        <v>446</v>
      </c>
      <c r="F82" t="s">
        <v>1221</v>
      </c>
      <c r="G82" t="s">
        <v>2188</v>
      </c>
      <c r="H82">
        <v>54.183204820530399</v>
      </c>
      <c r="I82">
        <v>7.8837679967502199</v>
      </c>
      <c r="J82" t="s">
        <v>1718</v>
      </c>
      <c r="K82" t="s">
        <v>155</v>
      </c>
      <c r="L82" t="s">
        <v>999</v>
      </c>
      <c r="M82" t="s">
        <v>1788</v>
      </c>
      <c r="N82" t="s">
        <v>1729</v>
      </c>
      <c r="O82" t="s">
        <v>182</v>
      </c>
      <c r="P82" t="s">
        <v>319</v>
      </c>
      <c r="Q82" t="s">
        <v>170</v>
      </c>
      <c r="T82">
        <v>43</v>
      </c>
      <c r="U82">
        <v>0.1426</v>
      </c>
      <c r="W82">
        <v>4.9000000000000004</v>
      </c>
      <c r="Z82">
        <v>8.5</v>
      </c>
      <c r="AA82">
        <v>6.4</v>
      </c>
      <c r="AB82" t="s">
        <v>2199</v>
      </c>
      <c r="AC82">
        <f t="shared" si="4"/>
        <v>-24.70588235294117</v>
      </c>
      <c r="AD82">
        <f t="shared" si="5"/>
        <v>-0.57455540355677137</v>
      </c>
      <c r="AF82" s="1" t="s">
        <v>182</v>
      </c>
      <c r="AG82" t="s">
        <v>182</v>
      </c>
    </row>
    <row r="83" spans="1:33">
      <c r="A83" t="s">
        <v>1252</v>
      </c>
      <c r="B83">
        <v>1989</v>
      </c>
      <c r="C83" t="s">
        <v>161</v>
      </c>
      <c r="D83" t="s">
        <v>152</v>
      </c>
      <c r="E83" t="s">
        <v>443</v>
      </c>
      <c r="F83" t="s">
        <v>156</v>
      </c>
      <c r="G83" t="s">
        <v>552</v>
      </c>
      <c r="H83">
        <v>54.183204820530399</v>
      </c>
      <c r="I83">
        <v>7.8837679967502199</v>
      </c>
      <c r="J83" t="s">
        <v>1718</v>
      </c>
      <c r="K83" t="s">
        <v>155</v>
      </c>
      <c r="L83" t="s">
        <v>999</v>
      </c>
      <c r="M83" t="s">
        <v>1788</v>
      </c>
      <c r="N83" t="s">
        <v>1729</v>
      </c>
      <c r="O83" t="s">
        <v>182</v>
      </c>
      <c r="P83" t="s">
        <v>319</v>
      </c>
      <c r="Q83" t="s">
        <v>170</v>
      </c>
      <c r="T83">
        <v>43</v>
      </c>
      <c r="U83">
        <v>7.0400000000000004E-2</v>
      </c>
      <c r="W83">
        <v>9.8000000000000007</v>
      </c>
      <c r="Z83">
        <v>9.4</v>
      </c>
      <c r="AA83">
        <v>7.1</v>
      </c>
      <c r="AB83" t="s">
        <v>2199</v>
      </c>
      <c r="AC83">
        <f t="shared" si="4"/>
        <v>-24.468085106382986</v>
      </c>
      <c r="AD83">
        <f t="shared" si="5"/>
        <v>-0.56902523503216251</v>
      </c>
      <c r="AF83" s="1" t="s">
        <v>182</v>
      </c>
      <c r="AG83" t="s">
        <v>182</v>
      </c>
    </row>
    <row r="84" spans="1:33">
      <c r="A84" t="s">
        <v>1252</v>
      </c>
      <c r="B84">
        <v>1989</v>
      </c>
      <c r="C84" t="s">
        <v>161</v>
      </c>
      <c r="D84" t="s">
        <v>443</v>
      </c>
      <c r="E84" t="s">
        <v>443</v>
      </c>
      <c r="F84" t="s">
        <v>156</v>
      </c>
      <c r="G84" t="s">
        <v>552</v>
      </c>
      <c r="H84">
        <v>54.183204820530399</v>
      </c>
      <c r="I84">
        <v>7.8837679967502199</v>
      </c>
      <c r="J84" t="s">
        <v>1718</v>
      </c>
      <c r="K84" t="s">
        <v>155</v>
      </c>
      <c r="L84" t="s">
        <v>999</v>
      </c>
      <c r="M84" t="s">
        <v>1788</v>
      </c>
      <c r="N84" t="s">
        <v>1729</v>
      </c>
      <c r="O84" t="s">
        <v>182</v>
      </c>
      <c r="P84" t="s">
        <v>475</v>
      </c>
      <c r="Q84" t="s">
        <v>217</v>
      </c>
      <c r="T84">
        <v>21</v>
      </c>
      <c r="U84">
        <v>0.20280000000000001</v>
      </c>
      <c r="W84">
        <v>3.4</v>
      </c>
      <c r="Z84">
        <v>9.6999999999999993</v>
      </c>
      <c r="AA84">
        <v>7.7</v>
      </c>
      <c r="AB84" t="s">
        <v>2199</v>
      </c>
      <c r="AC84">
        <f t="shared" si="4"/>
        <v>-20.618556701030922</v>
      </c>
      <c r="AD84">
        <f t="shared" si="5"/>
        <v>-0.98183603338242487</v>
      </c>
      <c r="AF84" s="1" t="s">
        <v>182</v>
      </c>
      <c r="AG84" t="s">
        <v>182</v>
      </c>
    </row>
    <row r="85" spans="1:33">
      <c r="A85" t="s">
        <v>1252</v>
      </c>
      <c r="B85">
        <v>1989</v>
      </c>
      <c r="C85" t="s">
        <v>161</v>
      </c>
      <c r="D85" t="s">
        <v>1976</v>
      </c>
      <c r="E85" t="s">
        <v>446</v>
      </c>
      <c r="F85" t="s">
        <v>1221</v>
      </c>
      <c r="G85" t="s">
        <v>2188</v>
      </c>
      <c r="H85">
        <v>54.183204820530399</v>
      </c>
      <c r="I85">
        <v>7.8837679967502199</v>
      </c>
      <c r="J85" t="s">
        <v>1718</v>
      </c>
      <c r="K85" t="s">
        <v>155</v>
      </c>
      <c r="L85" t="s">
        <v>999</v>
      </c>
      <c r="M85" t="s">
        <v>1788</v>
      </c>
      <c r="N85" t="s">
        <v>1729</v>
      </c>
      <c r="O85" t="s">
        <v>182</v>
      </c>
      <c r="P85" t="s">
        <v>475</v>
      </c>
      <c r="Q85" t="s">
        <v>217</v>
      </c>
      <c r="T85">
        <v>33</v>
      </c>
      <c r="U85">
        <v>0.1191</v>
      </c>
      <c r="W85">
        <v>5.8</v>
      </c>
      <c r="Z85">
        <v>6.9</v>
      </c>
      <c r="AA85">
        <v>5.5</v>
      </c>
      <c r="AB85" t="s">
        <v>2199</v>
      </c>
      <c r="AC85">
        <f t="shared" si="4"/>
        <v>-20.289855072463773</v>
      </c>
      <c r="AD85">
        <f t="shared" si="5"/>
        <v>-0.6148440931049628</v>
      </c>
      <c r="AF85" s="1" t="s">
        <v>182</v>
      </c>
      <c r="AG85" t="s">
        <v>182</v>
      </c>
    </row>
    <row r="86" spans="1:33">
      <c r="A86" t="s">
        <v>1252</v>
      </c>
      <c r="B86">
        <v>1989</v>
      </c>
      <c r="C86" t="s">
        <v>161</v>
      </c>
      <c r="D86" t="s">
        <v>446</v>
      </c>
      <c r="E86" t="s">
        <v>446</v>
      </c>
      <c r="F86" t="s">
        <v>1021</v>
      </c>
      <c r="G86" t="s">
        <v>1220</v>
      </c>
      <c r="H86">
        <v>54.183204820530399</v>
      </c>
      <c r="I86">
        <v>7.8837679967502199</v>
      </c>
      <c r="J86" t="s">
        <v>1718</v>
      </c>
      <c r="K86" t="s">
        <v>155</v>
      </c>
      <c r="L86" t="s">
        <v>999</v>
      </c>
      <c r="M86" t="s">
        <v>1788</v>
      </c>
      <c r="N86" t="s">
        <v>1729</v>
      </c>
      <c r="O86" t="s">
        <v>182</v>
      </c>
      <c r="P86" t="s">
        <v>475</v>
      </c>
      <c r="Q86" t="s">
        <v>217</v>
      </c>
      <c r="T86">
        <v>14</v>
      </c>
      <c r="U86">
        <v>0.2021</v>
      </c>
      <c r="W86">
        <v>3.4</v>
      </c>
      <c r="Z86">
        <v>7.7</v>
      </c>
      <c r="AA86">
        <v>6.9</v>
      </c>
      <c r="AB86" t="s">
        <v>2199</v>
      </c>
      <c r="AC86">
        <f t="shared" si="4"/>
        <v>-10.389610389610388</v>
      </c>
      <c r="AD86">
        <f t="shared" si="5"/>
        <v>-0.74211502782931338</v>
      </c>
      <c r="AF86" s="1" t="s">
        <v>182</v>
      </c>
      <c r="AG86" t="s">
        <v>182</v>
      </c>
    </row>
    <row r="87" spans="1:33">
      <c r="A87" t="s">
        <v>1252</v>
      </c>
      <c r="B87">
        <v>1989</v>
      </c>
      <c r="C87" t="s">
        <v>161</v>
      </c>
      <c r="D87" t="s">
        <v>1976</v>
      </c>
      <c r="E87" t="s">
        <v>446</v>
      </c>
      <c r="F87" t="s">
        <v>1221</v>
      </c>
      <c r="G87" t="s">
        <v>2188</v>
      </c>
      <c r="H87">
        <v>54.183204820530399</v>
      </c>
      <c r="I87">
        <v>7.8837679967502199</v>
      </c>
      <c r="J87" t="s">
        <v>1718</v>
      </c>
      <c r="K87" t="s">
        <v>155</v>
      </c>
      <c r="L87" t="s">
        <v>999</v>
      </c>
      <c r="M87" t="s">
        <v>1788</v>
      </c>
      <c r="N87" t="s">
        <v>1729</v>
      </c>
      <c r="O87" t="s">
        <v>182</v>
      </c>
      <c r="P87" t="s">
        <v>475</v>
      </c>
      <c r="Q87" t="s">
        <v>217</v>
      </c>
      <c r="T87">
        <v>21</v>
      </c>
      <c r="V87">
        <v>2.4222000000000001</v>
      </c>
      <c r="W87">
        <f>50/V87</f>
        <v>20.642391214598298</v>
      </c>
      <c r="Z87">
        <v>9.5</v>
      </c>
      <c r="AA87">
        <v>8.6999999999999993</v>
      </c>
      <c r="AB87" t="s">
        <v>2199</v>
      </c>
      <c r="AC87">
        <f t="shared" si="4"/>
        <v>-8.4210526315789558</v>
      </c>
      <c r="AD87">
        <f t="shared" si="5"/>
        <v>-0.40100250626566458</v>
      </c>
      <c r="AF87" s="1" t="s">
        <v>182</v>
      </c>
      <c r="AG87" t="s">
        <v>182</v>
      </c>
    </row>
    <row r="88" spans="1:33">
      <c r="A88" t="s">
        <v>1252</v>
      </c>
      <c r="B88">
        <v>1989</v>
      </c>
      <c r="C88" t="s">
        <v>161</v>
      </c>
      <c r="D88" t="s">
        <v>446</v>
      </c>
      <c r="E88" t="s">
        <v>446</v>
      </c>
      <c r="F88" t="s">
        <v>1221</v>
      </c>
      <c r="G88" t="s">
        <v>2188</v>
      </c>
      <c r="H88">
        <v>54.183204820530399</v>
      </c>
      <c r="I88">
        <v>7.8837679967502199</v>
      </c>
      <c r="J88" t="s">
        <v>1718</v>
      </c>
      <c r="K88" t="s">
        <v>155</v>
      </c>
      <c r="L88" t="s">
        <v>999</v>
      </c>
      <c r="M88" t="s">
        <v>1788</v>
      </c>
      <c r="N88" t="s">
        <v>1729</v>
      </c>
      <c r="O88" t="s">
        <v>182</v>
      </c>
      <c r="P88" t="s">
        <v>475</v>
      </c>
      <c r="Q88" t="s">
        <v>217</v>
      </c>
      <c r="T88">
        <v>21</v>
      </c>
      <c r="U88">
        <v>2.7900000000000001E-2</v>
      </c>
      <c r="W88">
        <v>24.8</v>
      </c>
      <c r="Z88">
        <v>8.5</v>
      </c>
      <c r="AA88">
        <v>8.9</v>
      </c>
      <c r="AB88" t="s">
        <v>2199</v>
      </c>
      <c r="AC88">
        <f t="shared" si="4"/>
        <v>4.7058823529411802</v>
      </c>
      <c r="AD88">
        <f t="shared" si="5"/>
        <v>0.22408963585434191</v>
      </c>
      <c r="AF88" s="1" t="s">
        <v>182</v>
      </c>
      <c r="AG88" t="s">
        <v>182</v>
      </c>
    </row>
    <row r="89" spans="1:33">
      <c r="A89" t="s">
        <v>1985</v>
      </c>
      <c r="B89">
        <v>1982</v>
      </c>
      <c r="C89" t="s">
        <v>187</v>
      </c>
      <c r="D89" t="s">
        <v>152</v>
      </c>
      <c r="E89" t="s">
        <v>443</v>
      </c>
      <c r="F89" t="s">
        <v>154</v>
      </c>
      <c r="G89" t="s">
        <v>255</v>
      </c>
      <c r="H89">
        <v>44.646817313139103</v>
      </c>
      <c r="I89">
        <v>-63.999736941959902</v>
      </c>
      <c r="J89" t="s">
        <v>585</v>
      </c>
      <c r="K89" t="s">
        <v>586</v>
      </c>
      <c r="L89" t="s">
        <v>184</v>
      </c>
      <c r="M89" t="s">
        <v>1788</v>
      </c>
      <c r="N89" t="s">
        <v>2016</v>
      </c>
      <c r="O89" t="s">
        <v>182</v>
      </c>
      <c r="P89" t="s">
        <v>319</v>
      </c>
      <c r="Q89" t="s">
        <v>298</v>
      </c>
      <c r="T89">
        <v>36</v>
      </c>
      <c r="U89">
        <v>0.18859999999999999</v>
      </c>
      <c r="W89" t="s">
        <v>190</v>
      </c>
      <c r="Z89">
        <v>16.5</v>
      </c>
      <c r="AA89">
        <v>9</v>
      </c>
      <c r="AB89" t="s">
        <v>2199</v>
      </c>
      <c r="AC89">
        <f t="shared" si="4"/>
        <v>-45.454545454545453</v>
      </c>
      <c r="AD89">
        <f t="shared" si="5"/>
        <v>-1.2626262626262625</v>
      </c>
      <c r="AE89" t="s">
        <v>2020</v>
      </c>
      <c r="AF89" s="1" t="s">
        <v>182</v>
      </c>
      <c r="AG89" t="s">
        <v>182</v>
      </c>
    </row>
    <row r="90" spans="1:33">
      <c r="A90" t="s">
        <v>1985</v>
      </c>
      <c r="B90">
        <v>1982</v>
      </c>
      <c r="C90" t="s">
        <v>187</v>
      </c>
      <c r="D90" t="s">
        <v>152</v>
      </c>
      <c r="E90" t="s">
        <v>443</v>
      </c>
      <c r="F90" t="s">
        <v>154</v>
      </c>
      <c r="G90" t="s">
        <v>255</v>
      </c>
      <c r="H90">
        <v>44.646817313139103</v>
      </c>
      <c r="I90">
        <v>-63.999736941959902</v>
      </c>
      <c r="J90" t="s">
        <v>585</v>
      </c>
      <c r="K90" t="s">
        <v>586</v>
      </c>
      <c r="L90" t="s">
        <v>184</v>
      </c>
      <c r="M90" t="s">
        <v>1788</v>
      </c>
      <c r="N90" t="s">
        <v>2016</v>
      </c>
      <c r="O90" t="s">
        <v>182</v>
      </c>
      <c r="P90" t="s">
        <v>319</v>
      </c>
      <c r="Q90" t="s">
        <v>298</v>
      </c>
      <c r="T90">
        <v>36</v>
      </c>
      <c r="U90">
        <v>4.6399999999999997E-2</v>
      </c>
      <c r="W90" t="s">
        <v>190</v>
      </c>
      <c r="Z90">
        <v>16.5</v>
      </c>
      <c r="AA90">
        <v>12</v>
      </c>
      <c r="AB90" t="s">
        <v>2199</v>
      </c>
      <c r="AC90">
        <f t="shared" si="4"/>
        <v>-27.27272727272727</v>
      </c>
      <c r="AD90">
        <f t="shared" si="5"/>
        <v>-0.75757575757575746</v>
      </c>
      <c r="AE90" t="s">
        <v>2322</v>
      </c>
      <c r="AF90" s="1" t="s">
        <v>182</v>
      </c>
      <c r="AG90" t="s">
        <v>182</v>
      </c>
    </row>
    <row r="91" spans="1:33">
      <c r="A91" t="s">
        <v>686</v>
      </c>
      <c r="B91">
        <v>1986</v>
      </c>
      <c r="C91" t="s">
        <v>187</v>
      </c>
      <c r="D91" t="s">
        <v>1976</v>
      </c>
      <c r="E91" t="s">
        <v>444</v>
      </c>
      <c r="F91" t="s">
        <v>445</v>
      </c>
      <c r="G91" t="s">
        <v>704</v>
      </c>
      <c r="H91">
        <v>38.646887293873498</v>
      </c>
      <c r="I91">
        <v>-76.327910465465806</v>
      </c>
      <c r="J91" t="s">
        <v>276</v>
      </c>
      <c r="K91" t="s">
        <v>586</v>
      </c>
      <c r="L91" t="s">
        <v>999</v>
      </c>
      <c r="M91" t="s">
        <v>1788</v>
      </c>
      <c r="N91" t="s">
        <v>333</v>
      </c>
      <c r="O91" t="s">
        <v>246</v>
      </c>
      <c r="T91">
        <v>93</v>
      </c>
      <c r="U91">
        <v>3.1800000000000002E-2</v>
      </c>
      <c r="W91">
        <f>LN(2)/U91</f>
        <v>21.797081149683812</v>
      </c>
      <c r="X91">
        <v>31.27</v>
      </c>
      <c r="Y91">
        <v>2.89</v>
      </c>
      <c r="Z91">
        <v>13</v>
      </c>
      <c r="AA91">
        <v>8.6</v>
      </c>
      <c r="AB91" t="s">
        <v>2199</v>
      </c>
      <c r="AC91">
        <f t="shared" si="4"/>
        <v>-33.846153846153847</v>
      </c>
      <c r="AD91">
        <f t="shared" si="5"/>
        <v>-0.36393713813068651</v>
      </c>
      <c r="AF91" s="1" t="s">
        <v>182</v>
      </c>
      <c r="AG91" t="s">
        <v>182</v>
      </c>
    </row>
    <row r="92" spans="1:33">
      <c r="A92" t="s">
        <v>658</v>
      </c>
      <c r="B92">
        <v>1984</v>
      </c>
      <c r="C92" t="s">
        <v>161</v>
      </c>
      <c r="D92" t="s">
        <v>444</v>
      </c>
      <c r="E92" t="s">
        <v>444</v>
      </c>
      <c r="F92" t="s">
        <v>1095</v>
      </c>
      <c r="G92" t="s">
        <v>1096</v>
      </c>
      <c r="H92">
        <v>17.7557629994518</v>
      </c>
      <c r="I92">
        <v>-64.6065295229443</v>
      </c>
      <c r="J92" t="s">
        <v>1097</v>
      </c>
      <c r="K92" t="s">
        <v>586</v>
      </c>
      <c r="L92" t="s">
        <v>999</v>
      </c>
      <c r="M92" t="s">
        <v>1788</v>
      </c>
      <c r="N92" t="s">
        <v>333</v>
      </c>
      <c r="O92" t="s">
        <v>246</v>
      </c>
      <c r="P92" t="s">
        <v>475</v>
      </c>
      <c r="Q92" t="s">
        <v>420</v>
      </c>
      <c r="R92" t="s">
        <v>218</v>
      </c>
      <c r="T92">
        <v>35</v>
      </c>
      <c r="U92">
        <v>8.7099999999999997E-2</v>
      </c>
      <c r="W92">
        <f>LN(2)/U92</f>
        <v>7.9580617745114273</v>
      </c>
      <c r="X92">
        <v>27.32</v>
      </c>
      <c r="Y92">
        <v>1.7</v>
      </c>
      <c r="Z92">
        <v>16.07</v>
      </c>
      <c r="AA92">
        <v>12.6</v>
      </c>
      <c r="AB92" t="s">
        <v>2199</v>
      </c>
      <c r="AC92">
        <f t="shared" si="4"/>
        <v>-21.593030491599258</v>
      </c>
      <c r="AD92">
        <f t="shared" si="5"/>
        <v>-0.61694372833140732</v>
      </c>
      <c r="AF92" s="1" t="s">
        <v>182</v>
      </c>
      <c r="AG92" t="s">
        <v>182</v>
      </c>
    </row>
    <row r="93" spans="1:33">
      <c r="A93" t="s">
        <v>2336</v>
      </c>
      <c r="B93">
        <v>1997</v>
      </c>
      <c r="C93" t="s">
        <v>187</v>
      </c>
      <c r="D93" t="s">
        <v>152</v>
      </c>
      <c r="E93" t="s">
        <v>443</v>
      </c>
      <c r="F93" t="s">
        <v>156</v>
      </c>
      <c r="G93" t="s">
        <v>1033</v>
      </c>
      <c r="H93">
        <v>48.5455932828066</v>
      </c>
      <c r="I93">
        <v>-123.014097915996</v>
      </c>
      <c r="J93" t="s">
        <v>276</v>
      </c>
      <c r="K93" t="s">
        <v>275</v>
      </c>
      <c r="L93" t="s">
        <v>184</v>
      </c>
      <c r="M93" t="s">
        <v>1788</v>
      </c>
      <c r="N93" t="s">
        <v>2344</v>
      </c>
      <c r="O93" t="s">
        <v>182</v>
      </c>
      <c r="T93">
        <v>14</v>
      </c>
      <c r="Z93">
        <v>10.75</v>
      </c>
      <c r="AA93">
        <v>5.65</v>
      </c>
      <c r="AB93" t="s">
        <v>2199</v>
      </c>
      <c r="AC93">
        <f t="shared" si="4"/>
        <v>-47.441860465116278</v>
      </c>
      <c r="AD93">
        <f t="shared" si="5"/>
        <v>-3.3887043189368771</v>
      </c>
      <c r="AF93" s="1" t="s">
        <v>182</v>
      </c>
      <c r="AG93" t="s">
        <v>2324</v>
      </c>
    </row>
    <row r="94" spans="1:33">
      <c r="A94" t="s">
        <v>2336</v>
      </c>
      <c r="B94">
        <v>1997</v>
      </c>
      <c r="C94" t="s">
        <v>187</v>
      </c>
      <c r="D94" t="s">
        <v>152</v>
      </c>
      <c r="E94" t="s">
        <v>443</v>
      </c>
      <c r="F94" t="s">
        <v>508</v>
      </c>
      <c r="G94" t="s">
        <v>509</v>
      </c>
      <c r="H94">
        <v>48.5455932828066</v>
      </c>
      <c r="I94">
        <v>-123.014097915996</v>
      </c>
      <c r="J94" t="s">
        <v>276</v>
      </c>
      <c r="K94" t="s">
        <v>275</v>
      </c>
      <c r="L94" t="s">
        <v>184</v>
      </c>
      <c r="M94" t="s">
        <v>1788</v>
      </c>
      <c r="N94" t="s">
        <v>2344</v>
      </c>
      <c r="O94" t="s">
        <v>182</v>
      </c>
      <c r="T94">
        <v>14</v>
      </c>
      <c r="Z94">
        <v>11.46</v>
      </c>
      <c r="AA94">
        <v>9.64</v>
      </c>
      <c r="AB94" t="s">
        <v>2199</v>
      </c>
      <c r="AC94">
        <f t="shared" si="4"/>
        <v>-15.881326352530541</v>
      </c>
      <c r="AD94">
        <f t="shared" si="5"/>
        <v>-1.1343804537521816</v>
      </c>
      <c r="AF94" s="1" t="s">
        <v>182</v>
      </c>
      <c r="AG94" t="s">
        <v>2324</v>
      </c>
    </row>
    <row r="95" spans="1:33">
      <c r="A95" t="s">
        <v>2328</v>
      </c>
      <c r="B95">
        <v>2021</v>
      </c>
      <c r="C95" t="s">
        <v>187</v>
      </c>
      <c r="D95" t="s">
        <v>272</v>
      </c>
      <c r="E95" t="s">
        <v>443</v>
      </c>
      <c r="F95" t="s">
        <v>2330</v>
      </c>
      <c r="G95" t="s">
        <v>614</v>
      </c>
      <c r="H95">
        <v>33.450000000000003</v>
      </c>
      <c r="I95">
        <v>-118.5</v>
      </c>
      <c r="J95" t="s">
        <v>276</v>
      </c>
      <c r="K95" t="s">
        <v>275</v>
      </c>
      <c r="L95" t="s">
        <v>999</v>
      </c>
      <c r="M95" t="s">
        <v>1788</v>
      </c>
      <c r="N95" t="s">
        <v>333</v>
      </c>
      <c r="O95" t="s">
        <v>246</v>
      </c>
      <c r="T95">
        <v>16</v>
      </c>
      <c r="Z95">
        <v>36</v>
      </c>
      <c r="AA95">
        <v>10.199999999999999</v>
      </c>
      <c r="AB95" t="s">
        <v>2199</v>
      </c>
      <c r="AC95">
        <f t="shared" si="4"/>
        <v>-71.666666666666671</v>
      </c>
      <c r="AD95">
        <f t="shared" si="5"/>
        <v>-4.479166666666667</v>
      </c>
      <c r="AE95" t="s">
        <v>1199</v>
      </c>
      <c r="AF95" s="1" t="s">
        <v>182</v>
      </c>
      <c r="AG95" t="s">
        <v>2324</v>
      </c>
    </row>
    <row r="96" spans="1:33">
      <c r="A96" t="s">
        <v>2328</v>
      </c>
      <c r="B96">
        <v>2021</v>
      </c>
      <c r="C96" t="s">
        <v>187</v>
      </c>
      <c r="D96" t="s">
        <v>272</v>
      </c>
      <c r="E96" t="s">
        <v>443</v>
      </c>
      <c r="F96" t="s">
        <v>2330</v>
      </c>
      <c r="G96" t="s">
        <v>614</v>
      </c>
      <c r="H96">
        <v>33.450000000000003</v>
      </c>
      <c r="I96">
        <v>-118.5</v>
      </c>
      <c r="J96" t="s">
        <v>276</v>
      </c>
      <c r="K96" t="s">
        <v>275</v>
      </c>
      <c r="L96" t="s">
        <v>999</v>
      </c>
      <c r="M96" t="s">
        <v>1788</v>
      </c>
      <c r="N96" t="s">
        <v>333</v>
      </c>
      <c r="O96" t="s">
        <v>246</v>
      </c>
      <c r="T96">
        <v>16</v>
      </c>
      <c r="Z96">
        <v>36</v>
      </c>
      <c r="AA96">
        <v>10.9</v>
      </c>
      <c r="AB96" t="s">
        <v>2199</v>
      </c>
      <c r="AC96">
        <f t="shared" si="4"/>
        <v>-69.722222222222229</v>
      </c>
      <c r="AD96">
        <f t="shared" si="5"/>
        <v>-4.3576388888888893</v>
      </c>
      <c r="AE96" t="s">
        <v>188</v>
      </c>
      <c r="AF96" s="1" t="s">
        <v>182</v>
      </c>
      <c r="AG96" t="s">
        <v>2324</v>
      </c>
    </row>
    <row r="97" spans="1:33">
      <c r="A97" t="s">
        <v>2328</v>
      </c>
      <c r="B97">
        <v>2021</v>
      </c>
      <c r="C97" t="s">
        <v>187</v>
      </c>
      <c r="D97" t="s">
        <v>443</v>
      </c>
      <c r="E97" t="s">
        <v>443</v>
      </c>
      <c r="F97" t="s">
        <v>2331</v>
      </c>
      <c r="G97" t="s">
        <v>614</v>
      </c>
      <c r="H97">
        <v>33.450000000000003</v>
      </c>
      <c r="I97">
        <v>-118.5</v>
      </c>
      <c r="J97" t="s">
        <v>276</v>
      </c>
      <c r="K97" t="s">
        <v>275</v>
      </c>
      <c r="L97" t="s">
        <v>999</v>
      </c>
      <c r="M97" t="s">
        <v>1788</v>
      </c>
      <c r="N97" t="s">
        <v>333</v>
      </c>
      <c r="O97" t="s">
        <v>246</v>
      </c>
      <c r="T97">
        <v>18</v>
      </c>
      <c r="Z97">
        <v>14.9</v>
      </c>
      <c r="AA97">
        <v>7.57</v>
      </c>
      <c r="AB97" t="s">
        <v>2199</v>
      </c>
      <c r="AC97">
        <f t="shared" si="4"/>
        <v>-49.194630872483216</v>
      </c>
      <c r="AD97">
        <f t="shared" si="5"/>
        <v>-2.7330350484712898</v>
      </c>
      <c r="AE97" t="s">
        <v>188</v>
      </c>
      <c r="AF97" s="1" t="s">
        <v>182</v>
      </c>
      <c r="AG97" t="s">
        <v>2324</v>
      </c>
    </row>
    <row r="98" spans="1:33">
      <c r="A98" t="s">
        <v>2328</v>
      </c>
      <c r="B98">
        <v>2021</v>
      </c>
      <c r="C98" t="s">
        <v>187</v>
      </c>
      <c r="D98" t="s">
        <v>443</v>
      </c>
      <c r="E98" t="s">
        <v>443</v>
      </c>
      <c r="F98" t="s">
        <v>2331</v>
      </c>
      <c r="G98" t="s">
        <v>614</v>
      </c>
      <c r="H98">
        <v>33.450000000000003</v>
      </c>
      <c r="I98">
        <v>-118.5</v>
      </c>
      <c r="J98" t="s">
        <v>276</v>
      </c>
      <c r="K98" t="s">
        <v>275</v>
      </c>
      <c r="L98" t="s">
        <v>999</v>
      </c>
      <c r="M98" t="s">
        <v>1788</v>
      </c>
      <c r="N98" t="s">
        <v>333</v>
      </c>
      <c r="O98" t="s">
        <v>246</v>
      </c>
      <c r="T98">
        <v>18</v>
      </c>
      <c r="Z98">
        <v>16.3</v>
      </c>
      <c r="AA98">
        <v>8.2899999999999991</v>
      </c>
      <c r="AB98" t="s">
        <v>2199</v>
      </c>
      <c r="AC98">
        <f t="shared" ref="AC98:AC133" si="6">(AA98-Z98)/Z98*100</f>
        <v>-49.141104294478531</v>
      </c>
      <c r="AD98">
        <f t="shared" ref="AD98:AD129" si="7">AC98/T98</f>
        <v>-2.7300613496932518</v>
      </c>
      <c r="AE98" t="s">
        <v>1199</v>
      </c>
      <c r="AF98" s="1" t="s">
        <v>182</v>
      </c>
      <c r="AG98" t="s">
        <v>2324</v>
      </c>
    </row>
    <row r="99" spans="1:33">
      <c r="A99" t="s">
        <v>2328</v>
      </c>
      <c r="B99">
        <v>2021</v>
      </c>
      <c r="C99" t="s">
        <v>187</v>
      </c>
      <c r="D99" t="s">
        <v>443</v>
      </c>
      <c r="E99" t="s">
        <v>443</v>
      </c>
      <c r="F99" t="s">
        <v>2335</v>
      </c>
      <c r="G99" t="s">
        <v>2334</v>
      </c>
      <c r="H99">
        <v>33.450000000000003</v>
      </c>
      <c r="I99">
        <v>-118.5</v>
      </c>
      <c r="J99" t="s">
        <v>276</v>
      </c>
      <c r="K99" t="s">
        <v>275</v>
      </c>
      <c r="L99" t="s">
        <v>999</v>
      </c>
      <c r="M99" t="s">
        <v>1788</v>
      </c>
      <c r="N99" t="s">
        <v>333</v>
      </c>
      <c r="O99" t="s">
        <v>246</v>
      </c>
      <c r="T99">
        <v>16</v>
      </c>
      <c r="Z99">
        <v>33.1</v>
      </c>
      <c r="AA99">
        <v>17.100000000000001</v>
      </c>
      <c r="AB99" t="s">
        <v>2199</v>
      </c>
      <c r="AC99">
        <f t="shared" si="6"/>
        <v>-48.338368580060418</v>
      </c>
      <c r="AD99">
        <f t="shared" si="7"/>
        <v>-3.0211480362537761</v>
      </c>
      <c r="AE99" t="s">
        <v>1199</v>
      </c>
      <c r="AF99" s="1" t="s">
        <v>182</v>
      </c>
      <c r="AG99" t="s">
        <v>2324</v>
      </c>
    </row>
    <row r="100" spans="1:33">
      <c r="A100" t="s">
        <v>2328</v>
      </c>
      <c r="B100">
        <v>2021</v>
      </c>
      <c r="C100" t="s">
        <v>187</v>
      </c>
      <c r="D100" t="s">
        <v>443</v>
      </c>
      <c r="E100" t="s">
        <v>443</v>
      </c>
      <c r="F100" t="s">
        <v>2335</v>
      </c>
      <c r="G100" t="s">
        <v>2334</v>
      </c>
      <c r="H100">
        <v>33.450000000000003</v>
      </c>
      <c r="I100">
        <v>-118.5</v>
      </c>
      <c r="J100" t="s">
        <v>276</v>
      </c>
      <c r="K100" t="s">
        <v>275</v>
      </c>
      <c r="L100" t="s">
        <v>999</v>
      </c>
      <c r="M100" t="s">
        <v>1788</v>
      </c>
      <c r="N100" t="s">
        <v>333</v>
      </c>
      <c r="O100" t="s">
        <v>246</v>
      </c>
      <c r="T100">
        <v>16</v>
      </c>
      <c r="Z100">
        <v>30.9</v>
      </c>
      <c r="AA100">
        <v>16.600000000000001</v>
      </c>
      <c r="AB100" t="s">
        <v>2199</v>
      </c>
      <c r="AC100">
        <f t="shared" si="6"/>
        <v>-46.278317152103554</v>
      </c>
      <c r="AD100">
        <f t="shared" si="7"/>
        <v>-2.8923948220064721</v>
      </c>
      <c r="AE100" t="s">
        <v>188</v>
      </c>
      <c r="AF100" s="1" t="s">
        <v>182</v>
      </c>
      <c r="AG100" t="s">
        <v>2324</v>
      </c>
    </row>
    <row r="101" spans="1:33">
      <c r="A101" t="s">
        <v>2328</v>
      </c>
      <c r="B101">
        <v>2021</v>
      </c>
      <c r="C101" t="s">
        <v>187</v>
      </c>
      <c r="D101" t="s">
        <v>272</v>
      </c>
      <c r="E101" t="s">
        <v>443</v>
      </c>
      <c r="F101" t="s">
        <v>2330</v>
      </c>
      <c r="G101" t="s">
        <v>614</v>
      </c>
      <c r="H101">
        <v>33.450000000000003</v>
      </c>
      <c r="I101">
        <v>-118.5</v>
      </c>
      <c r="J101" t="s">
        <v>276</v>
      </c>
      <c r="K101" t="s">
        <v>275</v>
      </c>
      <c r="L101" t="s">
        <v>999</v>
      </c>
      <c r="M101" t="s">
        <v>1788</v>
      </c>
      <c r="N101" t="s">
        <v>333</v>
      </c>
      <c r="O101" t="s">
        <v>246</v>
      </c>
      <c r="T101">
        <v>18</v>
      </c>
      <c r="Z101">
        <v>22.6</v>
      </c>
      <c r="AA101">
        <v>13</v>
      </c>
      <c r="AB101" t="s">
        <v>2199</v>
      </c>
      <c r="AC101">
        <f t="shared" si="6"/>
        <v>-42.477876106194692</v>
      </c>
      <c r="AD101">
        <f t="shared" si="7"/>
        <v>-2.359882005899705</v>
      </c>
      <c r="AE101" t="s">
        <v>1199</v>
      </c>
      <c r="AF101" s="1" t="s">
        <v>182</v>
      </c>
      <c r="AG101" t="s">
        <v>2324</v>
      </c>
    </row>
    <row r="102" spans="1:33">
      <c r="A102" t="s">
        <v>2328</v>
      </c>
      <c r="B102">
        <v>2021</v>
      </c>
      <c r="C102" t="s">
        <v>187</v>
      </c>
      <c r="D102" t="s">
        <v>446</v>
      </c>
      <c r="E102" t="s">
        <v>446</v>
      </c>
      <c r="F102" t="s">
        <v>1030</v>
      </c>
      <c r="G102" t="s">
        <v>614</v>
      </c>
      <c r="H102">
        <v>33.450000000000003</v>
      </c>
      <c r="I102">
        <v>-118.5</v>
      </c>
      <c r="J102" t="s">
        <v>276</v>
      </c>
      <c r="K102" t="s">
        <v>275</v>
      </c>
      <c r="L102" t="s">
        <v>999</v>
      </c>
      <c r="M102" t="s">
        <v>1788</v>
      </c>
      <c r="N102" t="s">
        <v>333</v>
      </c>
      <c r="O102" t="s">
        <v>246</v>
      </c>
      <c r="T102">
        <v>18</v>
      </c>
      <c r="Z102">
        <v>7.54</v>
      </c>
      <c r="AA102">
        <v>4.42</v>
      </c>
      <c r="AB102" t="s">
        <v>2199</v>
      </c>
      <c r="AC102">
        <f t="shared" si="6"/>
        <v>-41.379310344827587</v>
      </c>
      <c r="AD102">
        <f t="shared" si="7"/>
        <v>-2.2988505747126435</v>
      </c>
      <c r="AE102" t="s">
        <v>1199</v>
      </c>
      <c r="AF102" s="1" t="s">
        <v>182</v>
      </c>
      <c r="AG102" t="s">
        <v>2324</v>
      </c>
    </row>
    <row r="103" spans="1:33">
      <c r="A103" t="s">
        <v>2328</v>
      </c>
      <c r="B103">
        <v>2021</v>
      </c>
      <c r="C103" t="s">
        <v>187</v>
      </c>
      <c r="D103" t="s">
        <v>446</v>
      </c>
      <c r="E103" t="s">
        <v>446</v>
      </c>
      <c r="F103" t="s">
        <v>1030</v>
      </c>
      <c r="G103" t="s">
        <v>614</v>
      </c>
      <c r="H103">
        <v>33.450000000000003</v>
      </c>
      <c r="I103">
        <v>-118.5</v>
      </c>
      <c r="J103" t="s">
        <v>276</v>
      </c>
      <c r="K103" t="s">
        <v>275</v>
      </c>
      <c r="L103" t="s">
        <v>999</v>
      </c>
      <c r="M103" t="s">
        <v>1788</v>
      </c>
      <c r="N103" t="s">
        <v>333</v>
      </c>
      <c r="O103" t="s">
        <v>246</v>
      </c>
      <c r="T103">
        <v>18</v>
      </c>
      <c r="Z103">
        <v>8.09</v>
      </c>
      <c r="AA103">
        <v>4.79</v>
      </c>
      <c r="AB103" t="s">
        <v>2199</v>
      </c>
      <c r="AC103">
        <f t="shared" si="6"/>
        <v>-40.79110012360939</v>
      </c>
      <c r="AD103">
        <f t="shared" si="7"/>
        <v>-2.2661722290894106</v>
      </c>
      <c r="AE103" t="s">
        <v>188</v>
      </c>
      <c r="AF103" s="1" t="s">
        <v>182</v>
      </c>
      <c r="AG103" t="s">
        <v>2324</v>
      </c>
    </row>
    <row r="104" spans="1:33">
      <c r="A104" t="s">
        <v>2328</v>
      </c>
      <c r="B104">
        <v>2021</v>
      </c>
      <c r="C104" t="s">
        <v>187</v>
      </c>
      <c r="D104" t="s">
        <v>272</v>
      </c>
      <c r="E104" t="s">
        <v>443</v>
      </c>
      <c r="F104" t="s">
        <v>2330</v>
      </c>
      <c r="G104" t="s">
        <v>614</v>
      </c>
      <c r="H104">
        <v>33.450000000000003</v>
      </c>
      <c r="I104">
        <v>-118.5</v>
      </c>
      <c r="J104" t="s">
        <v>276</v>
      </c>
      <c r="K104" t="s">
        <v>275</v>
      </c>
      <c r="L104" t="s">
        <v>999</v>
      </c>
      <c r="M104" t="s">
        <v>1788</v>
      </c>
      <c r="N104" t="s">
        <v>333</v>
      </c>
      <c r="O104" t="s">
        <v>246</v>
      </c>
      <c r="T104">
        <v>18</v>
      </c>
      <c r="Z104">
        <v>22.3</v>
      </c>
      <c r="AA104">
        <v>16.5</v>
      </c>
      <c r="AB104" t="s">
        <v>2199</v>
      </c>
      <c r="AC104">
        <f t="shared" si="6"/>
        <v>-26.008968609865473</v>
      </c>
      <c r="AD104">
        <f t="shared" si="7"/>
        <v>-1.4449427005480819</v>
      </c>
      <c r="AE104" t="s">
        <v>188</v>
      </c>
      <c r="AF104" s="1" t="s">
        <v>182</v>
      </c>
      <c r="AG104" t="s">
        <v>2324</v>
      </c>
    </row>
    <row r="105" spans="1:33">
      <c r="A105" t="s">
        <v>2328</v>
      </c>
      <c r="B105">
        <v>2021</v>
      </c>
      <c r="C105" t="s">
        <v>187</v>
      </c>
      <c r="D105" t="s">
        <v>444</v>
      </c>
      <c r="E105" t="s">
        <v>444</v>
      </c>
      <c r="F105" t="s">
        <v>587</v>
      </c>
      <c r="G105" t="s">
        <v>588</v>
      </c>
      <c r="H105">
        <v>33.450000000000003</v>
      </c>
      <c r="I105">
        <v>-118.5</v>
      </c>
      <c r="J105" t="s">
        <v>276</v>
      </c>
      <c r="K105" t="s">
        <v>275</v>
      </c>
      <c r="L105" t="s">
        <v>999</v>
      </c>
      <c r="M105" t="s">
        <v>1788</v>
      </c>
      <c r="N105" t="s">
        <v>333</v>
      </c>
      <c r="O105" t="s">
        <v>246</v>
      </c>
      <c r="T105">
        <v>18</v>
      </c>
      <c r="Z105">
        <v>12</v>
      </c>
      <c r="AA105">
        <v>9.33</v>
      </c>
      <c r="AB105" t="s">
        <v>2199</v>
      </c>
      <c r="AC105">
        <f t="shared" si="6"/>
        <v>-22.25</v>
      </c>
      <c r="AD105">
        <f t="shared" si="7"/>
        <v>-1.2361111111111112</v>
      </c>
      <c r="AE105" t="s">
        <v>1199</v>
      </c>
      <c r="AF105" s="1" t="s">
        <v>182</v>
      </c>
      <c r="AG105" t="s">
        <v>2324</v>
      </c>
    </row>
    <row r="106" spans="1:33">
      <c r="A106" t="s">
        <v>2328</v>
      </c>
      <c r="B106">
        <v>2021</v>
      </c>
      <c r="C106" t="s">
        <v>187</v>
      </c>
      <c r="D106" t="s">
        <v>444</v>
      </c>
      <c r="E106" t="s">
        <v>444</v>
      </c>
      <c r="F106" t="s">
        <v>587</v>
      </c>
      <c r="G106" t="s">
        <v>588</v>
      </c>
      <c r="H106">
        <v>33.450000000000003</v>
      </c>
      <c r="I106">
        <v>-118.5</v>
      </c>
      <c r="J106" t="s">
        <v>276</v>
      </c>
      <c r="K106" t="s">
        <v>275</v>
      </c>
      <c r="L106" t="s">
        <v>999</v>
      </c>
      <c r="M106" t="s">
        <v>1788</v>
      </c>
      <c r="N106" t="s">
        <v>333</v>
      </c>
      <c r="O106" t="s">
        <v>246</v>
      </c>
      <c r="T106">
        <v>18</v>
      </c>
      <c r="Z106">
        <v>11.6</v>
      </c>
      <c r="AA106">
        <v>9.52</v>
      </c>
      <c r="AB106" t="s">
        <v>2199</v>
      </c>
      <c r="AC106">
        <f t="shared" si="6"/>
        <v>-17.931034482758623</v>
      </c>
      <c r="AD106">
        <f t="shared" si="7"/>
        <v>-0.99616858237547901</v>
      </c>
      <c r="AE106" t="s">
        <v>188</v>
      </c>
      <c r="AF106" s="1" t="s">
        <v>182</v>
      </c>
      <c r="AG106" t="s">
        <v>2324</v>
      </c>
    </row>
    <row r="107" spans="1:33">
      <c r="A107" t="s">
        <v>2328</v>
      </c>
      <c r="B107">
        <v>2021</v>
      </c>
      <c r="C107" t="s">
        <v>187</v>
      </c>
      <c r="D107" t="s">
        <v>443</v>
      </c>
      <c r="E107" t="s">
        <v>443</v>
      </c>
      <c r="F107" t="s">
        <v>2333</v>
      </c>
      <c r="G107" t="s">
        <v>614</v>
      </c>
      <c r="H107">
        <v>33.450000000000003</v>
      </c>
      <c r="I107">
        <v>-118.5</v>
      </c>
      <c r="J107" t="s">
        <v>276</v>
      </c>
      <c r="K107" t="s">
        <v>275</v>
      </c>
      <c r="L107" t="s">
        <v>999</v>
      </c>
      <c r="M107" t="s">
        <v>1788</v>
      </c>
      <c r="N107" t="s">
        <v>333</v>
      </c>
      <c r="O107" t="s">
        <v>246</v>
      </c>
      <c r="T107">
        <v>16</v>
      </c>
      <c r="Z107">
        <v>18.5</v>
      </c>
      <c r="AA107">
        <v>15.5</v>
      </c>
      <c r="AB107" t="s">
        <v>2199</v>
      </c>
      <c r="AC107">
        <f t="shared" si="6"/>
        <v>-16.216216216216218</v>
      </c>
      <c r="AD107">
        <f t="shared" si="7"/>
        <v>-1.0135135135135136</v>
      </c>
      <c r="AE107" t="s">
        <v>188</v>
      </c>
      <c r="AF107" s="1" t="s">
        <v>182</v>
      </c>
      <c r="AG107" t="s">
        <v>2324</v>
      </c>
    </row>
    <row r="108" spans="1:33">
      <c r="A108" t="s">
        <v>2328</v>
      </c>
      <c r="B108">
        <v>2021</v>
      </c>
      <c r="C108" t="s">
        <v>187</v>
      </c>
      <c r="D108" t="s">
        <v>446</v>
      </c>
      <c r="E108" t="s">
        <v>446</v>
      </c>
      <c r="F108" t="s">
        <v>2332</v>
      </c>
      <c r="G108" t="s">
        <v>2329</v>
      </c>
      <c r="H108">
        <v>33.450000000000003</v>
      </c>
      <c r="I108">
        <v>-118.5</v>
      </c>
      <c r="J108" t="s">
        <v>276</v>
      </c>
      <c r="K108" t="s">
        <v>275</v>
      </c>
      <c r="L108" t="s">
        <v>999</v>
      </c>
      <c r="M108" t="s">
        <v>1788</v>
      </c>
      <c r="N108" t="s">
        <v>333</v>
      </c>
      <c r="O108" t="s">
        <v>246</v>
      </c>
      <c r="Q108" t="s">
        <v>2252</v>
      </c>
      <c r="T108">
        <v>18</v>
      </c>
      <c r="Z108">
        <v>6.28</v>
      </c>
      <c r="AA108">
        <v>5.39</v>
      </c>
      <c r="AB108" t="s">
        <v>2199</v>
      </c>
      <c r="AC108">
        <f t="shared" si="6"/>
        <v>-14.171974522293002</v>
      </c>
      <c r="AD108">
        <f t="shared" si="7"/>
        <v>-0.78733191790516677</v>
      </c>
      <c r="AE108" t="s">
        <v>188</v>
      </c>
      <c r="AF108" s="1" t="s">
        <v>182</v>
      </c>
      <c r="AG108" t="s">
        <v>2324</v>
      </c>
    </row>
    <row r="109" spans="1:33">
      <c r="A109" t="s">
        <v>2323</v>
      </c>
      <c r="B109">
        <v>1993</v>
      </c>
      <c r="C109" t="s">
        <v>161</v>
      </c>
      <c r="D109" t="s">
        <v>272</v>
      </c>
      <c r="E109" t="s">
        <v>443</v>
      </c>
      <c r="F109" t="s">
        <v>273</v>
      </c>
      <c r="G109" t="s">
        <v>2325</v>
      </c>
      <c r="H109">
        <v>15.451855733759199</v>
      </c>
      <c r="I109">
        <v>73.803368004209304</v>
      </c>
      <c r="J109" t="s">
        <v>1205</v>
      </c>
      <c r="K109" t="s">
        <v>802</v>
      </c>
      <c r="L109" t="s">
        <v>999</v>
      </c>
      <c r="M109" t="s">
        <v>1788</v>
      </c>
      <c r="N109" t="s">
        <v>333</v>
      </c>
      <c r="O109" t="s">
        <v>246</v>
      </c>
      <c r="P109" t="s">
        <v>297</v>
      </c>
      <c r="Q109" t="s">
        <v>298</v>
      </c>
      <c r="T109">
        <v>28</v>
      </c>
      <c r="Z109">
        <v>18.899999999999999</v>
      </c>
      <c r="AA109">
        <v>5.31</v>
      </c>
      <c r="AB109" t="s">
        <v>2199</v>
      </c>
      <c r="AC109">
        <f t="shared" si="6"/>
        <v>-71.904761904761898</v>
      </c>
      <c r="AD109">
        <f t="shared" si="7"/>
        <v>-2.5680272108843534</v>
      </c>
      <c r="AF109" s="1" t="s">
        <v>182</v>
      </c>
      <c r="AG109" t="s">
        <v>2324</v>
      </c>
    </row>
    <row r="110" spans="1:33">
      <c r="A110" t="s">
        <v>2323</v>
      </c>
      <c r="B110">
        <v>1993</v>
      </c>
      <c r="C110" t="s">
        <v>1991</v>
      </c>
      <c r="D110" t="s">
        <v>272</v>
      </c>
      <c r="E110" t="s">
        <v>443</v>
      </c>
      <c r="F110" t="s">
        <v>273</v>
      </c>
      <c r="G110" t="s">
        <v>2325</v>
      </c>
      <c r="H110">
        <v>15.451855733759199</v>
      </c>
      <c r="I110">
        <v>73.803368004209304</v>
      </c>
      <c r="J110" t="s">
        <v>1205</v>
      </c>
      <c r="K110" t="s">
        <v>802</v>
      </c>
      <c r="L110" t="s">
        <v>999</v>
      </c>
      <c r="M110" t="s">
        <v>1788</v>
      </c>
      <c r="N110" t="s">
        <v>333</v>
      </c>
      <c r="O110" t="s">
        <v>246</v>
      </c>
      <c r="P110" t="s">
        <v>319</v>
      </c>
      <c r="Q110" t="s">
        <v>298</v>
      </c>
      <c r="T110">
        <v>28</v>
      </c>
      <c r="Z110">
        <v>15</v>
      </c>
      <c r="AA110">
        <v>7.12</v>
      </c>
      <c r="AB110" t="s">
        <v>2199</v>
      </c>
      <c r="AC110">
        <f t="shared" si="6"/>
        <v>-52.533333333333331</v>
      </c>
      <c r="AD110">
        <f t="shared" si="7"/>
        <v>-1.8761904761904762</v>
      </c>
      <c r="AF110" s="1" t="s">
        <v>182</v>
      </c>
      <c r="AG110" t="s">
        <v>2324</v>
      </c>
    </row>
    <row r="111" spans="1:33">
      <c r="A111" t="s">
        <v>690</v>
      </c>
      <c r="B111">
        <v>1994</v>
      </c>
      <c r="C111" t="s">
        <v>187</v>
      </c>
      <c r="D111" t="s">
        <v>272</v>
      </c>
      <c r="E111" t="s">
        <v>443</v>
      </c>
      <c r="F111" t="s">
        <v>611</v>
      </c>
      <c r="G111" t="s">
        <v>612</v>
      </c>
      <c r="H111">
        <v>41.531625716497402</v>
      </c>
      <c r="I111">
        <v>-70.673833441424094</v>
      </c>
      <c r="J111" t="s">
        <v>276</v>
      </c>
      <c r="K111" t="s">
        <v>586</v>
      </c>
      <c r="L111" t="s">
        <v>999</v>
      </c>
      <c r="M111" t="s">
        <v>1788</v>
      </c>
      <c r="N111" t="s">
        <v>1728</v>
      </c>
      <c r="O111" t="s">
        <v>182</v>
      </c>
      <c r="T111" s="2">
        <v>5</v>
      </c>
      <c r="U111" s="2">
        <v>0.44</v>
      </c>
      <c r="V111" s="2"/>
      <c r="W111" s="2">
        <v>1.5</v>
      </c>
      <c r="Z111">
        <v>21.2</v>
      </c>
      <c r="AA111">
        <v>25.8</v>
      </c>
      <c r="AB111" t="s">
        <v>2201</v>
      </c>
      <c r="AC111">
        <f t="shared" si="6"/>
        <v>21.698113207547177</v>
      </c>
      <c r="AD111">
        <f t="shared" si="7"/>
        <v>4.3396226415094352</v>
      </c>
      <c r="AF111" s="1" t="s">
        <v>182</v>
      </c>
      <c r="AG111" t="s">
        <v>182</v>
      </c>
    </row>
    <row r="112" spans="1:33">
      <c r="A112" t="s">
        <v>370</v>
      </c>
      <c r="B112">
        <v>2020</v>
      </c>
      <c r="C112" t="s">
        <v>161</v>
      </c>
      <c r="D112" t="s">
        <v>152</v>
      </c>
      <c r="E112" t="s">
        <v>443</v>
      </c>
      <c r="F112" t="s">
        <v>156</v>
      </c>
      <c r="G112" t="s">
        <v>158</v>
      </c>
      <c r="H112">
        <v>48.709383330000001</v>
      </c>
      <c r="I112">
        <v>-3.9534333300000002</v>
      </c>
      <c r="J112" t="s">
        <v>310</v>
      </c>
      <c r="K112" t="s">
        <v>155</v>
      </c>
      <c r="L112" t="s">
        <v>999</v>
      </c>
      <c r="M112" t="s">
        <v>1788</v>
      </c>
      <c r="N112" t="s">
        <v>333</v>
      </c>
      <c r="O112" t="s">
        <v>246</v>
      </c>
      <c r="P112" t="s">
        <v>319</v>
      </c>
      <c r="Q112" t="s">
        <v>298</v>
      </c>
      <c r="T112">
        <v>168</v>
      </c>
      <c r="U112">
        <v>1.18E-2</v>
      </c>
      <c r="W112">
        <v>18</v>
      </c>
      <c r="X112">
        <v>28.7</v>
      </c>
      <c r="Y112">
        <v>2.02</v>
      </c>
      <c r="Z112">
        <v>14.44</v>
      </c>
      <c r="AA112">
        <v>16.100000000000001</v>
      </c>
      <c r="AB112" t="s">
        <v>2201</v>
      </c>
      <c r="AC112">
        <f t="shared" si="6"/>
        <v>11.495844875346274</v>
      </c>
      <c r="AD112">
        <f t="shared" si="7"/>
        <v>6.8427648067537344E-2</v>
      </c>
      <c r="AF112" s="1" t="s">
        <v>182</v>
      </c>
      <c r="AG112" t="s">
        <v>182</v>
      </c>
    </row>
    <row r="113" spans="1:33">
      <c r="A113" t="s">
        <v>1250</v>
      </c>
      <c r="B113">
        <v>1993</v>
      </c>
      <c r="C113" t="s">
        <v>187</v>
      </c>
      <c r="D113" t="s">
        <v>1976</v>
      </c>
      <c r="E113" t="s">
        <v>446</v>
      </c>
      <c r="F113" t="s">
        <v>707</v>
      </c>
      <c r="G113" t="s">
        <v>897</v>
      </c>
      <c r="H113">
        <v>27.8322652203594</v>
      </c>
      <c r="I113">
        <v>-82.522622491304801</v>
      </c>
      <c r="J113" t="s">
        <v>276</v>
      </c>
      <c r="K113" t="s">
        <v>586</v>
      </c>
      <c r="L113" t="s">
        <v>999</v>
      </c>
      <c r="M113" t="s">
        <v>1788</v>
      </c>
      <c r="N113" t="s">
        <v>333</v>
      </c>
      <c r="O113" t="s">
        <v>246</v>
      </c>
      <c r="T113">
        <v>28</v>
      </c>
      <c r="U113">
        <v>4.5100000000000001E-2</v>
      </c>
      <c r="W113">
        <f>LN(2)/U113</f>
        <v>15.369117085586369</v>
      </c>
      <c r="Y113">
        <v>2</v>
      </c>
      <c r="Z113">
        <v>11.3</v>
      </c>
      <c r="AA113">
        <v>15.8</v>
      </c>
      <c r="AB113" s="1" t="s">
        <v>2201</v>
      </c>
      <c r="AC113">
        <f t="shared" si="6"/>
        <v>39.823008849557517</v>
      </c>
      <c r="AD113">
        <f t="shared" si="7"/>
        <v>1.4222503160556257</v>
      </c>
      <c r="AF113" s="1" t="s">
        <v>182</v>
      </c>
      <c r="AG113" t="s">
        <v>182</v>
      </c>
    </row>
    <row r="114" spans="1:33">
      <c r="A114" t="s">
        <v>1250</v>
      </c>
      <c r="B114">
        <v>1993</v>
      </c>
      <c r="C114" t="s">
        <v>187</v>
      </c>
      <c r="D114" t="s">
        <v>1976</v>
      </c>
      <c r="E114" t="s">
        <v>446</v>
      </c>
      <c r="F114" t="s">
        <v>707</v>
      </c>
      <c r="G114" t="s">
        <v>897</v>
      </c>
      <c r="H114">
        <v>27.8322652203594</v>
      </c>
      <c r="I114">
        <v>-82.522622491304801</v>
      </c>
      <c r="J114" t="s">
        <v>276</v>
      </c>
      <c r="K114" t="s">
        <v>586</v>
      </c>
      <c r="L114" t="s">
        <v>999</v>
      </c>
      <c r="M114" t="s">
        <v>1788</v>
      </c>
      <c r="N114" t="s">
        <v>333</v>
      </c>
      <c r="O114" t="s">
        <v>246</v>
      </c>
      <c r="T114">
        <v>28</v>
      </c>
      <c r="U114" t="s">
        <v>190</v>
      </c>
      <c r="V114" t="s">
        <v>190</v>
      </c>
      <c r="W114" t="s">
        <v>190</v>
      </c>
      <c r="Y114">
        <v>2</v>
      </c>
      <c r="Z114">
        <v>11.3</v>
      </c>
      <c r="AA114">
        <v>16.2</v>
      </c>
      <c r="AB114" s="1" t="s">
        <v>2201</v>
      </c>
      <c r="AC114">
        <f t="shared" si="6"/>
        <v>43.362831858407063</v>
      </c>
      <c r="AD114">
        <f t="shared" si="7"/>
        <v>1.5486725663716807</v>
      </c>
      <c r="AF114" s="1" t="s">
        <v>182</v>
      </c>
      <c r="AG114" t="s">
        <v>182</v>
      </c>
    </row>
    <row r="115" spans="1:33">
      <c r="A115" s="23" t="s">
        <v>2179</v>
      </c>
      <c r="B115">
        <v>2023</v>
      </c>
      <c r="C115" t="s">
        <v>161</v>
      </c>
      <c r="D115" t="s">
        <v>1976</v>
      </c>
      <c r="E115" t="s">
        <v>446</v>
      </c>
      <c r="F115" t="s">
        <v>702</v>
      </c>
      <c r="G115" t="s">
        <v>1992</v>
      </c>
      <c r="H115">
        <v>23.45</v>
      </c>
      <c r="I115">
        <v>117.06</v>
      </c>
      <c r="J115" t="s">
        <v>185</v>
      </c>
      <c r="K115" t="s">
        <v>380</v>
      </c>
      <c r="L115" t="s">
        <v>999</v>
      </c>
      <c r="M115" t="s">
        <v>1788</v>
      </c>
      <c r="N115" t="s">
        <v>333</v>
      </c>
      <c r="O115" t="s">
        <v>246</v>
      </c>
      <c r="T115">
        <v>5</v>
      </c>
      <c r="Z115">
        <v>6.14341295080858</v>
      </c>
      <c r="AA115">
        <v>6.8056712100626724</v>
      </c>
      <c r="AB115" t="s">
        <v>2201</v>
      </c>
      <c r="AC115">
        <f t="shared" si="6"/>
        <v>10.779973030576233</v>
      </c>
      <c r="AD115">
        <f t="shared" si="7"/>
        <v>2.1559946061152466</v>
      </c>
      <c r="AF115" s="1" t="s">
        <v>182</v>
      </c>
      <c r="AG115" t="s">
        <v>182</v>
      </c>
    </row>
    <row r="116" spans="1:33">
      <c r="A116" s="23" t="s">
        <v>2179</v>
      </c>
      <c r="B116">
        <v>2023</v>
      </c>
      <c r="C116" t="s">
        <v>161</v>
      </c>
      <c r="D116" t="s">
        <v>1976</v>
      </c>
      <c r="E116" t="s">
        <v>446</v>
      </c>
      <c r="F116" t="s">
        <v>702</v>
      </c>
      <c r="G116" t="s">
        <v>1992</v>
      </c>
      <c r="H116">
        <v>23.45</v>
      </c>
      <c r="I116">
        <v>117.06</v>
      </c>
      <c r="J116" t="s">
        <v>185</v>
      </c>
      <c r="K116" t="s">
        <v>380</v>
      </c>
      <c r="L116" t="s">
        <v>999</v>
      </c>
      <c r="M116" t="s">
        <v>1788</v>
      </c>
      <c r="N116" t="s">
        <v>333</v>
      </c>
      <c r="O116" t="s">
        <v>246</v>
      </c>
      <c r="T116">
        <v>35</v>
      </c>
      <c r="Z116">
        <v>6.14341295080858</v>
      </c>
      <c r="AA116">
        <v>6.9105220883534137</v>
      </c>
      <c r="AB116" t="s">
        <v>2201</v>
      </c>
      <c r="AC116">
        <f t="shared" si="6"/>
        <v>12.486693368771</v>
      </c>
      <c r="AD116">
        <f t="shared" si="7"/>
        <v>0.35676266767917142</v>
      </c>
      <c r="AF116" s="1" t="s">
        <v>182</v>
      </c>
      <c r="AG116" t="s">
        <v>182</v>
      </c>
    </row>
    <row r="117" spans="1:33">
      <c r="A117" s="23" t="s">
        <v>2179</v>
      </c>
      <c r="B117">
        <v>2023</v>
      </c>
      <c r="C117" t="s">
        <v>161</v>
      </c>
      <c r="D117" t="s">
        <v>1976</v>
      </c>
      <c r="E117" t="s">
        <v>446</v>
      </c>
      <c r="F117" t="s">
        <v>702</v>
      </c>
      <c r="G117" t="s">
        <v>1992</v>
      </c>
      <c r="H117">
        <v>23.45</v>
      </c>
      <c r="I117">
        <v>117.06</v>
      </c>
      <c r="J117" t="s">
        <v>185</v>
      </c>
      <c r="K117" t="s">
        <v>380</v>
      </c>
      <c r="L117" t="s">
        <v>999</v>
      </c>
      <c r="M117" t="s">
        <v>1788</v>
      </c>
      <c r="N117" t="s">
        <v>2054</v>
      </c>
      <c r="O117" t="s">
        <v>182</v>
      </c>
      <c r="P117" t="s">
        <v>2252</v>
      </c>
      <c r="T117">
        <v>50</v>
      </c>
      <c r="V117">
        <v>1.6712</v>
      </c>
      <c r="W117">
        <f>50/V117</f>
        <v>29.918621349928195</v>
      </c>
      <c r="X117">
        <v>26.383369244523941</v>
      </c>
      <c r="Y117">
        <v>4.429063343763973</v>
      </c>
      <c r="Z117">
        <v>5.9234482758620688</v>
      </c>
      <c r="AA117">
        <v>6.9474842970925339</v>
      </c>
      <c r="AB117" t="s">
        <v>2201</v>
      </c>
      <c r="AC117">
        <f t="shared" si="6"/>
        <v>17.28783596209308</v>
      </c>
      <c r="AD117">
        <f t="shared" si="7"/>
        <v>0.34575671924186158</v>
      </c>
      <c r="AF117" s="1" t="s">
        <v>182</v>
      </c>
      <c r="AG117" t="s">
        <v>182</v>
      </c>
    </row>
    <row r="118" spans="1:33">
      <c r="A118" s="23" t="s">
        <v>2179</v>
      </c>
      <c r="B118">
        <v>2023</v>
      </c>
      <c r="C118" t="s">
        <v>161</v>
      </c>
      <c r="D118" t="s">
        <v>1976</v>
      </c>
      <c r="E118" t="s">
        <v>446</v>
      </c>
      <c r="F118" t="s">
        <v>702</v>
      </c>
      <c r="G118" t="s">
        <v>1992</v>
      </c>
      <c r="H118">
        <v>23.45</v>
      </c>
      <c r="I118">
        <v>117.06</v>
      </c>
      <c r="J118" t="s">
        <v>185</v>
      </c>
      <c r="K118" t="s">
        <v>380</v>
      </c>
      <c r="L118" t="s">
        <v>999</v>
      </c>
      <c r="M118" t="s">
        <v>1788</v>
      </c>
      <c r="N118" t="s">
        <v>333</v>
      </c>
      <c r="O118" t="s">
        <v>246</v>
      </c>
      <c r="T118">
        <v>50</v>
      </c>
      <c r="V118">
        <v>0.46210000000000001</v>
      </c>
      <c r="W118">
        <f>50/V118</f>
        <v>108.20168794633196</v>
      </c>
      <c r="X118">
        <v>24.050837340187474</v>
      </c>
      <c r="Y118">
        <v>3.8923170326383225</v>
      </c>
      <c r="Z118">
        <v>6.14341295080858</v>
      </c>
      <c r="AA118">
        <v>7.4415427882683804</v>
      </c>
      <c r="AB118" t="s">
        <v>2201</v>
      </c>
      <c r="AC118">
        <f t="shared" si="6"/>
        <v>21.130434301814986</v>
      </c>
      <c r="AD118">
        <f t="shared" si="7"/>
        <v>0.42260868603629975</v>
      </c>
      <c r="AF118" s="1" t="s">
        <v>182</v>
      </c>
      <c r="AG118" t="s">
        <v>182</v>
      </c>
    </row>
    <row r="119" spans="1:33">
      <c r="A119" s="23" t="s">
        <v>2179</v>
      </c>
      <c r="B119">
        <v>2023</v>
      </c>
      <c r="C119" t="s">
        <v>161</v>
      </c>
      <c r="D119" t="s">
        <v>1976</v>
      </c>
      <c r="E119" t="s">
        <v>446</v>
      </c>
      <c r="F119" t="s">
        <v>702</v>
      </c>
      <c r="G119" t="s">
        <v>1992</v>
      </c>
      <c r="H119">
        <v>23.45</v>
      </c>
      <c r="I119">
        <v>117.06</v>
      </c>
      <c r="J119" t="s">
        <v>185</v>
      </c>
      <c r="K119" t="s">
        <v>380</v>
      </c>
      <c r="L119" t="s">
        <v>999</v>
      </c>
      <c r="M119" t="s">
        <v>1788</v>
      </c>
      <c r="N119" t="s">
        <v>2054</v>
      </c>
      <c r="O119" t="s">
        <v>182</v>
      </c>
      <c r="T119">
        <v>35</v>
      </c>
      <c r="Z119">
        <v>5.9234482758620688</v>
      </c>
      <c r="AA119">
        <v>7.5278599572216596</v>
      </c>
      <c r="AB119" t="s">
        <v>2201</v>
      </c>
      <c r="AC119">
        <f t="shared" si="6"/>
        <v>27.085771777522488</v>
      </c>
      <c r="AD119">
        <f t="shared" si="7"/>
        <v>0.77387919364349966</v>
      </c>
      <c r="AF119" s="1" t="s">
        <v>182</v>
      </c>
      <c r="AG119" t="s">
        <v>182</v>
      </c>
    </row>
    <row r="120" spans="1:33">
      <c r="A120" t="s">
        <v>681</v>
      </c>
      <c r="B120">
        <v>1980</v>
      </c>
      <c r="C120" t="s">
        <v>161</v>
      </c>
      <c r="D120" t="s">
        <v>272</v>
      </c>
      <c r="E120" t="s">
        <v>443</v>
      </c>
      <c r="F120" t="s">
        <v>616</v>
      </c>
      <c r="G120" t="s">
        <v>617</v>
      </c>
      <c r="H120">
        <v>43.120888047572301</v>
      </c>
      <c r="I120">
        <v>-70.861513657453699</v>
      </c>
      <c r="J120" t="s">
        <v>276</v>
      </c>
      <c r="K120" t="s">
        <v>586</v>
      </c>
      <c r="L120" t="s">
        <v>999</v>
      </c>
      <c r="M120" t="s">
        <v>1788</v>
      </c>
      <c r="N120" t="s">
        <v>1724</v>
      </c>
      <c r="O120" t="s">
        <v>182</v>
      </c>
      <c r="R120" t="s">
        <v>1306</v>
      </c>
      <c r="S120" t="s">
        <v>1745</v>
      </c>
      <c r="T120">
        <v>60</v>
      </c>
      <c r="U120">
        <v>5.3800000000000001E-2</v>
      </c>
      <c r="W120">
        <v>12.883776590333555</v>
      </c>
      <c r="Y120">
        <v>1.63</v>
      </c>
      <c r="Z120">
        <v>33.200000000000003</v>
      </c>
      <c r="AA120">
        <v>38.700000000000003</v>
      </c>
      <c r="AB120" t="s">
        <v>2201</v>
      </c>
      <c r="AC120">
        <f t="shared" si="6"/>
        <v>16.566265060240962</v>
      </c>
      <c r="AD120">
        <f t="shared" si="7"/>
        <v>0.27610441767068272</v>
      </c>
      <c r="AF120" s="1" t="s">
        <v>182</v>
      </c>
      <c r="AG120" t="s">
        <v>182</v>
      </c>
    </row>
    <row r="121" spans="1:33">
      <c r="A121" t="s">
        <v>2420</v>
      </c>
      <c r="B121">
        <v>1981</v>
      </c>
      <c r="C121" t="s">
        <v>187</v>
      </c>
      <c r="D121" t="s">
        <v>152</v>
      </c>
      <c r="E121" t="s">
        <v>443</v>
      </c>
      <c r="F121" t="s">
        <v>347</v>
      </c>
      <c r="G121" t="s">
        <v>769</v>
      </c>
      <c r="H121">
        <v>-34.1357700201387</v>
      </c>
      <c r="I121">
        <v>18.328773208165799</v>
      </c>
      <c r="J121" t="s">
        <v>770</v>
      </c>
      <c r="K121" t="s">
        <v>1721</v>
      </c>
      <c r="L121" t="s">
        <v>184</v>
      </c>
      <c r="M121" t="s">
        <v>1788</v>
      </c>
      <c r="N121" t="s">
        <v>1730</v>
      </c>
      <c r="O121" t="s">
        <v>182</v>
      </c>
      <c r="P121" t="s">
        <v>475</v>
      </c>
      <c r="Q121" t="s">
        <v>385</v>
      </c>
      <c r="T121">
        <v>10</v>
      </c>
      <c r="U121">
        <v>0.15240000000000001</v>
      </c>
      <c r="W121">
        <v>5.76</v>
      </c>
      <c r="Z121">
        <v>9.3000000000000007</v>
      </c>
      <c r="AA121">
        <v>18.829999999999998</v>
      </c>
      <c r="AB121" t="s">
        <v>2201</v>
      </c>
      <c r="AC121">
        <f t="shared" si="6"/>
        <v>102.47311827956986</v>
      </c>
      <c r="AD121">
        <f t="shared" si="7"/>
        <v>10.247311827956986</v>
      </c>
      <c r="AF121" t="s">
        <v>182</v>
      </c>
      <c r="AG121" t="s">
        <v>182</v>
      </c>
    </row>
    <row r="122" spans="1:33">
      <c r="A122" s="23" t="s">
        <v>1963</v>
      </c>
      <c r="B122">
        <v>2022</v>
      </c>
      <c r="C122" t="s">
        <v>187</v>
      </c>
      <c r="D122" t="s">
        <v>1976</v>
      </c>
      <c r="E122" t="s">
        <v>446</v>
      </c>
      <c r="F122" t="s">
        <v>702</v>
      </c>
      <c r="G122" t="s">
        <v>1993</v>
      </c>
      <c r="H122">
        <v>25.759722</v>
      </c>
      <c r="I122">
        <v>117.354167</v>
      </c>
      <c r="J122" t="s">
        <v>185</v>
      </c>
      <c r="K122" t="s">
        <v>380</v>
      </c>
      <c r="L122" t="s">
        <v>999</v>
      </c>
      <c r="M122" t="s">
        <v>1788</v>
      </c>
      <c r="N122" t="s">
        <v>1724</v>
      </c>
      <c r="O122" t="s">
        <v>182</v>
      </c>
      <c r="P122" t="s">
        <v>670</v>
      </c>
      <c r="Q122" t="s">
        <v>385</v>
      </c>
      <c r="T122">
        <v>15</v>
      </c>
      <c r="U122">
        <v>1.1923999999999999</v>
      </c>
      <c r="W122">
        <v>1.1299999999999999</v>
      </c>
      <c r="Z122">
        <v>8.75</v>
      </c>
      <c r="AA122">
        <v>9.81</v>
      </c>
      <c r="AB122" t="s">
        <v>2201</v>
      </c>
      <c r="AC122">
        <f t="shared" si="6"/>
        <v>12.114285714285721</v>
      </c>
      <c r="AD122">
        <f t="shared" si="7"/>
        <v>0.80761904761904801</v>
      </c>
      <c r="AF122" s="1" t="s">
        <v>182</v>
      </c>
      <c r="AG122" t="s">
        <v>182</v>
      </c>
    </row>
    <row r="123" spans="1:33">
      <c r="A123" s="23" t="s">
        <v>1963</v>
      </c>
      <c r="B123">
        <v>2022</v>
      </c>
      <c r="C123" t="s">
        <v>187</v>
      </c>
      <c r="D123" t="s">
        <v>1976</v>
      </c>
      <c r="E123" t="s">
        <v>446</v>
      </c>
      <c r="F123" t="s">
        <v>702</v>
      </c>
      <c r="G123" t="s">
        <v>1993</v>
      </c>
      <c r="H123">
        <v>25.759722</v>
      </c>
      <c r="I123">
        <v>117.354167</v>
      </c>
      <c r="J123" t="s">
        <v>185</v>
      </c>
      <c r="K123" t="s">
        <v>380</v>
      </c>
      <c r="L123" t="s">
        <v>999</v>
      </c>
      <c r="M123" t="s">
        <v>1788</v>
      </c>
      <c r="N123" t="s">
        <v>1999</v>
      </c>
      <c r="O123" t="s">
        <v>182</v>
      </c>
      <c r="P123" t="s">
        <v>670</v>
      </c>
      <c r="Q123" t="s">
        <v>385</v>
      </c>
      <c r="T123">
        <v>15</v>
      </c>
      <c r="V123">
        <v>4.1950000000000003</v>
      </c>
      <c r="W123">
        <f>50/V123</f>
        <v>11.918951132300357</v>
      </c>
      <c r="Z123">
        <v>8.75</v>
      </c>
      <c r="AA123">
        <v>9.81</v>
      </c>
      <c r="AB123" t="s">
        <v>2201</v>
      </c>
      <c r="AC123">
        <f t="shared" si="6"/>
        <v>12.114285714285721</v>
      </c>
      <c r="AD123">
        <f t="shared" si="7"/>
        <v>0.80761904761904801</v>
      </c>
      <c r="AF123" s="1" t="s">
        <v>182</v>
      </c>
      <c r="AG123" t="s">
        <v>182</v>
      </c>
    </row>
    <row r="124" spans="1:33">
      <c r="A124" s="23" t="s">
        <v>2321</v>
      </c>
      <c r="B124">
        <v>1981</v>
      </c>
      <c r="C124" t="s">
        <v>187</v>
      </c>
      <c r="D124" t="s">
        <v>1976</v>
      </c>
      <c r="E124" t="s">
        <v>446</v>
      </c>
      <c r="F124" t="s">
        <v>1002</v>
      </c>
      <c r="G124" t="s">
        <v>1003</v>
      </c>
      <c r="H124">
        <v>27.639915780862701</v>
      </c>
      <c r="I124">
        <v>-80.375822994529102</v>
      </c>
      <c r="J124" t="s">
        <v>276</v>
      </c>
      <c r="K124" t="s">
        <v>586</v>
      </c>
      <c r="L124" t="s">
        <v>184</v>
      </c>
      <c r="M124" t="s">
        <v>1788</v>
      </c>
      <c r="N124" t="s">
        <v>1735</v>
      </c>
      <c r="O124" t="s">
        <v>182</v>
      </c>
      <c r="P124" t="s">
        <v>475</v>
      </c>
      <c r="Q124" t="s">
        <v>420</v>
      </c>
      <c r="T124">
        <v>150</v>
      </c>
      <c r="U124">
        <v>4.1700000000000001E-2</v>
      </c>
      <c r="W124">
        <v>36.79</v>
      </c>
      <c r="X124">
        <v>34.299999999999997</v>
      </c>
      <c r="Y124">
        <v>2.3069999999999999</v>
      </c>
      <c r="Z124">
        <v>16.3</v>
      </c>
      <c r="AA124">
        <v>26.6</v>
      </c>
      <c r="AB124" t="s">
        <v>2201</v>
      </c>
      <c r="AC124">
        <f t="shared" si="6"/>
        <v>63.190184049079754</v>
      </c>
      <c r="AD124">
        <f t="shared" si="7"/>
        <v>0.42126789366053169</v>
      </c>
      <c r="AF124" s="1" t="s">
        <v>182</v>
      </c>
      <c r="AG124" t="s">
        <v>182</v>
      </c>
    </row>
    <row r="125" spans="1:33">
      <c r="A125" t="s">
        <v>1943</v>
      </c>
      <c r="B125">
        <v>2008</v>
      </c>
      <c r="C125" t="s">
        <v>161</v>
      </c>
      <c r="D125" t="s">
        <v>272</v>
      </c>
      <c r="E125" t="s">
        <v>443</v>
      </c>
      <c r="F125" t="s">
        <v>611</v>
      </c>
      <c r="G125" t="s">
        <v>552</v>
      </c>
      <c r="H125">
        <v>51.091667000000001</v>
      </c>
      <c r="I125">
        <v>2.5669439999999999</v>
      </c>
      <c r="J125" t="s">
        <v>1944</v>
      </c>
      <c r="K125" t="s">
        <v>155</v>
      </c>
      <c r="L125" t="s">
        <v>999</v>
      </c>
      <c r="M125" t="s">
        <v>1788</v>
      </c>
      <c r="N125" t="s">
        <v>2327</v>
      </c>
      <c r="O125" t="s">
        <v>182</v>
      </c>
      <c r="P125" t="s">
        <v>743</v>
      </c>
      <c r="Q125" t="s">
        <v>385</v>
      </c>
      <c r="T125">
        <v>21</v>
      </c>
      <c r="V125">
        <v>2.4300000000000002</v>
      </c>
      <c r="W125">
        <f t="shared" ref="W125:W131" si="8">50/V125</f>
        <v>20.576131687242796</v>
      </c>
      <c r="Z125">
        <v>11.2</v>
      </c>
      <c r="AA125">
        <v>15.59</v>
      </c>
      <c r="AB125" t="s">
        <v>2201</v>
      </c>
      <c r="AC125">
        <f t="shared" si="6"/>
        <v>39.196428571428577</v>
      </c>
      <c r="AD125">
        <f t="shared" si="7"/>
        <v>1.8664965986394559</v>
      </c>
      <c r="AF125" s="1" t="s">
        <v>182</v>
      </c>
      <c r="AG125" t="s">
        <v>182</v>
      </c>
    </row>
    <row r="126" spans="1:33">
      <c r="A126" t="s">
        <v>1943</v>
      </c>
      <c r="B126">
        <v>2008</v>
      </c>
      <c r="C126" t="s">
        <v>161</v>
      </c>
      <c r="D126" t="s">
        <v>272</v>
      </c>
      <c r="E126" t="s">
        <v>443</v>
      </c>
      <c r="F126" t="s">
        <v>611</v>
      </c>
      <c r="G126" t="s">
        <v>552</v>
      </c>
      <c r="H126">
        <v>51.091667000000001</v>
      </c>
      <c r="I126">
        <v>2.5669439999999999</v>
      </c>
      <c r="J126" t="s">
        <v>1944</v>
      </c>
      <c r="K126" t="s">
        <v>155</v>
      </c>
      <c r="L126" t="s">
        <v>999</v>
      </c>
      <c r="M126" t="s">
        <v>1788</v>
      </c>
      <c r="N126" t="s">
        <v>2327</v>
      </c>
      <c r="O126" t="s">
        <v>182</v>
      </c>
      <c r="P126" t="s">
        <v>743</v>
      </c>
      <c r="Q126" t="s">
        <v>385</v>
      </c>
      <c r="T126">
        <v>21</v>
      </c>
      <c r="V126">
        <v>0.65269999999999995</v>
      </c>
      <c r="W126">
        <f t="shared" si="8"/>
        <v>76.604872069863646</v>
      </c>
      <c r="Z126">
        <v>11.2</v>
      </c>
      <c r="AA126">
        <v>16.899999999999999</v>
      </c>
      <c r="AB126" t="s">
        <v>2201</v>
      </c>
      <c r="AC126">
        <f t="shared" si="6"/>
        <v>50.892857142857139</v>
      </c>
      <c r="AD126">
        <f t="shared" si="7"/>
        <v>2.4234693877551017</v>
      </c>
      <c r="AF126" s="1" t="s">
        <v>182</v>
      </c>
      <c r="AG126" t="s">
        <v>182</v>
      </c>
    </row>
    <row r="127" spans="1:33">
      <c r="A127" t="s">
        <v>1943</v>
      </c>
      <c r="B127">
        <v>2008</v>
      </c>
      <c r="C127" t="s">
        <v>161</v>
      </c>
      <c r="D127" t="s">
        <v>272</v>
      </c>
      <c r="E127" t="s">
        <v>443</v>
      </c>
      <c r="F127" t="s">
        <v>611</v>
      </c>
      <c r="G127" t="s">
        <v>552</v>
      </c>
      <c r="H127">
        <v>51.091667000000001</v>
      </c>
      <c r="I127">
        <v>2.5669439999999999</v>
      </c>
      <c r="J127" t="s">
        <v>1944</v>
      </c>
      <c r="K127" t="s">
        <v>155</v>
      </c>
      <c r="L127" t="s">
        <v>999</v>
      </c>
      <c r="M127" t="s">
        <v>1788</v>
      </c>
      <c r="N127" t="s">
        <v>2327</v>
      </c>
      <c r="O127" t="s">
        <v>182</v>
      </c>
      <c r="P127" t="s">
        <v>743</v>
      </c>
      <c r="Q127" t="s">
        <v>385</v>
      </c>
      <c r="T127">
        <v>21</v>
      </c>
      <c r="V127">
        <v>2.0938095238095236</v>
      </c>
      <c r="W127">
        <f t="shared" si="8"/>
        <v>23.879918125995001</v>
      </c>
      <c r="Z127">
        <v>11.2</v>
      </c>
      <c r="AA127">
        <v>16.95</v>
      </c>
      <c r="AB127" t="s">
        <v>2201</v>
      </c>
      <c r="AC127">
        <f t="shared" si="6"/>
        <v>51.339285714285722</v>
      </c>
      <c r="AD127">
        <f t="shared" si="7"/>
        <v>2.4447278911564632</v>
      </c>
      <c r="AF127" s="1" t="s">
        <v>182</v>
      </c>
      <c r="AG127" t="s">
        <v>182</v>
      </c>
    </row>
    <row r="128" spans="1:33">
      <c r="A128" t="s">
        <v>1943</v>
      </c>
      <c r="B128">
        <v>2008</v>
      </c>
      <c r="C128" t="s">
        <v>161</v>
      </c>
      <c r="D128" t="s">
        <v>272</v>
      </c>
      <c r="E128" t="s">
        <v>443</v>
      </c>
      <c r="F128" t="s">
        <v>611</v>
      </c>
      <c r="G128" t="s">
        <v>552</v>
      </c>
      <c r="H128">
        <v>51.091667000000001</v>
      </c>
      <c r="I128">
        <v>2.5669439999999999</v>
      </c>
      <c r="J128" t="s">
        <v>1944</v>
      </c>
      <c r="K128" t="s">
        <v>155</v>
      </c>
      <c r="L128" t="s">
        <v>999</v>
      </c>
      <c r="M128" t="s">
        <v>1788</v>
      </c>
      <c r="N128" t="s">
        <v>2327</v>
      </c>
      <c r="O128" t="s">
        <v>182</v>
      </c>
      <c r="P128" t="s">
        <v>743</v>
      </c>
      <c r="Q128" t="s">
        <v>385</v>
      </c>
      <c r="T128">
        <v>21</v>
      </c>
      <c r="V128">
        <v>1.8871428571428572</v>
      </c>
      <c r="W128">
        <f t="shared" si="8"/>
        <v>26.495079485238456</v>
      </c>
      <c r="Z128">
        <v>11.2</v>
      </c>
      <c r="AA128">
        <v>17.149999999999999</v>
      </c>
      <c r="AB128" t="s">
        <v>2201</v>
      </c>
      <c r="AC128">
        <f t="shared" si="6"/>
        <v>53.125</v>
      </c>
      <c r="AD128">
        <f t="shared" si="7"/>
        <v>2.5297619047619047</v>
      </c>
      <c r="AF128" s="1" t="s">
        <v>182</v>
      </c>
      <c r="AG128" t="s">
        <v>182</v>
      </c>
    </row>
    <row r="129" spans="1:33">
      <c r="A129" t="s">
        <v>1943</v>
      </c>
      <c r="B129">
        <v>2008</v>
      </c>
      <c r="C129" t="s">
        <v>161</v>
      </c>
      <c r="D129" t="s">
        <v>272</v>
      </c>
      <c r="E129" t="s">
        <v>443</v>
      </c>
      <c r="F129" t="s">
        <v>611</v>
      </c>
      <c r="G129" t="s">
        <v>552</v>
      </c>
      <c r="H129">
        <v>51.091667000000001</v>
      </c>
      <c r="I129">
        <v>2.5669439999999999</v>
      </c>
      <c r="J129" t="s">
        <v>1944</v>
      </c>
      <c r="K129" t="s">
        <v>155</v>
      </c>
      <c r="L129" t="s">
        <v>999</v>
      </c>
      <c r="M129" t="s">
        <v>1788</v>
      </c>
      <c r="N129" t="s">
        <v>2327</v>
      </c>
      <c r="O129" t="s">
        <v>182</v>
      </c>
      <c r="P129" t="s">
        <v>743</v>
      </c>
      <c r="Q129" t="s">
        <v>385</v>
      </c>
      <c r="T129">
        <v>21</v>
      </c>
      <c r="V129">
        <v>2.1123809523809522</v>
      </c>
      <c r="W129">
        <f t="shared" si="8"/>
        <v>23.669972948602346</v>
      </c>
      <c r="Z129">
        <v>11.2</v>
      </c>
      <c r="AA129">
        <v>17.57</v>
      </c>
      <c r="AB129" t="s">
        <v>2201</v>
      </c>
      <c r="AC129">
        <f t="shared" si="6"/>
        <v>56.875000000000007</v>
      </c>
      <c r="AD129">
        <f t="shared" si="7"/>
        <v>2.7083333333333335</v>
      </c>
      <c r="AF129" s="1" t="s">
        <v>182</v>
      </c>
      <c r="AG129" t="s">
        <v>182</v>
      </c>
    </row>
    <row r="130" spans="1:33">
      <c r="A130" t="s">
        <v>1943</v>
      </c>
      <c r="B130">
        <v>2008</v>
      </c>
      <c r="C130" t="s">
        <v>161</v>
      </c>
      <c r="D130" t="s">
        <v>272</v>
      </c>
      <c r="E130" t="s">
        <v>443</v>
      </c>
      <c r="F130" t="s">
        <v>611</v>
      </c>
      <c r="G130" t="s">
        <v>552</v>
      </c>
      <c r="H130">
        <v>51.091667000000001</v>
      </c>
      <c r="I130">
        <v>2.5669439999999999</v>
      </c>
      <c r="J130" t="s">
        <v>1944</v>
      </c>
      <c r="K130" t="s">
        <v>155</v>
      </c>
      <c r="L130" t="s">
        <v>999</v>
      </c>
      <c r="M130" t="s">
        <v>1788</v>
      </c>
      <c r="N130" t="s">
        <v>2327</v>
      </c>
      <c r="O130" t="s">
        <v>182</v>
      </c>
      <c r="P130" t="s">
        <v>743</v>
      </c>
      <c r="Q130" t="s">
        <v>385</v>
      </c>
      <c r="T130">
        <v>52</v>
      </c>
      <c r="V130">
        <v>0.89826923076923082</v>
      </c>
      <c r="W130">
        <f t="shared" si="8"/>
        <v>55.662599015200165</v>
      </c>
      <c r="Z130">
        <v>11.2</v>
      </c>
      <c r="AA130">
        <v>17.82</v>
      </c>
      <c r="AB130" t="s">
        <v>2201</v>
      </c>
      <c r="AC130">
        <f t="shared" si="6"/>
        <v>59.107142857142868</v>
      </c>
      <c r="AD130">
        <f t="shared" ref="AD130:AD133" si="9">AC130/T130</f>
        <v>1.1366758241758244</v>
      </c>
      <c r="AF130" s="1" t="s">
        <v>182</v>
      </c>
      <c r="AG130" t="s">
        <v>182</v>
      </c>
    </row>
    <row r="131" spans="1:33">
      <c r="A131" t="s">
        <v>1943</v>
      </c>
      <c r="B131">
        <v>2008</v>
      </c>
      <c r="C131" t="s">
        <v>161</v>
      </c>
      <c r="D131" t="s">
        <v>272</v>
      </c>
      <c r="E131" t="s">
        <v>443</v>
      </c>
      <c r="F131" t="s">
        <v>611</v>
      </c>
      <c r="G131" t="s">
        <v>552</v>
      </c>
      <c r="H131">
        <v>51.091667000000001</v>
      </c>
      <c r="I131">
        <v>2.5669439999999999</v>
      </c>
      <c r="J131" t="s">
        <v>1944</v>
      </c>
      <c r="K131" t="s">
        <v>155</v>
      </c>
      <c r="L131" t="s">
        <v>999</v>
      </c>
      <c r="M131" t="s">
        <v>1788</v>
      </c>
      <c r="N131" t="s">
        <v>2327</v>
      </c>
      <c r="O131" t="s">
        <v>182</v>
      </c>
      <c r="P131" t="s">
        <v>743</v>
      </c>
      <c r="Q131" t="s">
        <v>385</v>
      </c>
      <c r="T131">
        <v>52</v>
      </c>
      <c r="V131">
        <v>2.3028571428571429</v>
      </c>
      <c r="W131">
        <f t="shared" si="8"/>
        <v>21.712158808933001</v>
      </c>
      <c r="Z131">
        <v>11.2</v>
      </c>
      <c r="AA131">
        <v>18.12</v>
      </c>
      <c r="AB131" t="s">
        <v>2201</v>
      </c>
      <c r="AC131">
        <f t="shared" si="6"/>
        <v>61.785714285714299</v>
      </c>
      <c r="AD131">
        <f t="shared" si="9"/>
        <v>1.1881868131868134</v>
      </c>
      <c r="AF131" s="1" t="s">
        <v>182</v>
      </c>
      <c r="AG131" t="s">
        <v>182</v>
      </c>
    </row>
    <row r="132" spans="1:33">
      <c r="A132" t="s">
        <v>939</v>
      </c>
      <c r="B132">
        <v>2004</v>
      </c>
      <c r="C132" t="s">
        <v>187</v>
      </c>
      <c r="D132" t="s">
        <v>1976</v>
      </c>
      <c r="E132" t="s">
        <v>446</v>
      </c>
      <c r="F132" t="s">
        <v>1267</v>
      </c>
      <c r="G132" t="s">
        <v>552</v>
      </c>
      <c r="H132">
        <v>55.476830095627399</v>
      </c>
      <c r="I132">
        <v>11.078390910675299</v>
      </c>
      <c r="J132" t="s">
        <v>973</v>
      </c>
      <c r="K132" t="s">
        <v>155</v>
      </c>
      <c r="L132" t="s">
        <v>999</v>
      </c>
      <c r="M132" t="s">
        <v>1788</v>
      </c>
      <c r="N132" t="s">
        <v>333</v>
      </c>
      <c r="O132" t="s">
        <v>246</v>
      </c>
      <c r="Q132" t="s">
        <v>254</v>
      </c>
      <c r="T132">
        <v>168</v>
      </c>
      <c r="U132">
        <v>6.2700000000000006E-2</v>
      </c>
      <c r="W132">
        <v>14.19</v>
      </c>
      <c r="Z132">
        <v>10.9</v>
      </c>
      <c r="AA132">
        <v>21</v>
      </c>
      <c r="AB132" t="s">
        <v>2201</v>
      </c>
      <c r="AC132">
        <f t="shared" si="6"/>
        <v>92.660550458715591</v>
      </c>
      <c r="AD132">
        <f t="shared" si="9"/>
        <v>0.55155089558759285</v>
      </c>
      <c r="AF132" s="1" t="s">
        <v>182</v>
      </c>
      <c r="AG132" t="s">
        <v>182</v>
      </c>
    </row>
    <row r="133" spans="1:33">
      <c r="A133" t="s">
        <v>658</v>
      </c>
      <c r="B133">
        <v>1984</v>
      </c>
      <c r="C133" t="s">
        <v>161</v>
      </c>
      <c r="D133" t="s">
        <v>444</v>
      </c>
      <c r="E133" t="s">
        <v>444</v>
      </c>
      <c r="F133" t="s">
        <v>1095</v>
      </c>
      <c r="G133" t="s">
        <v>1096</v>
      </c>
      <c r="H133">
        <v>17.7557629994518</v>
      </c>
      <c r="I133">
        <v>-64.6065295229443</v>
      </c>
      <c r="J133" t="s">
        <v>1097</v>
      </c>
      <c r="K133" t="s">
        <v>586</v>
      </c>
      <c r="L133" t="s">
        <v>999</v>
      </c>
      <c r="M133" t="s">
        <v>1788</v>
      </c>
      <c r="N133" t="s">
        <v>333</v>
      </c>
      <c r="O133" t="s">
        <v>246</v>
      </c>
      <c r="P133" t="s">
        <v>297</v>
      </c>
      <c r="Q133" t="s">
        <v>298</v>
      </c>
      <c r="R133" t="s">
        <v>2488</v>
      </c>
      <c r="T133">
        <v>35</v>
      </c>
      <c r="U133">
        <v>0.16489999999999999</v>
      </c>
      <c r="W133">
        <v>4.95</v>
      </c>
      <c r="X133">
        <v>27.21</v>
      </c>
      <c r="Y133">
        <v>1.7</v>
      </c>
      <c r="Z133">
        <v>16.010000000000002</v>
      </c>
      <c r="AA133">
        <v>24.38</v>
      </c>
      <c r="AB133" t="s">
        <v>2201</v>
      </c>
      <c r="AC133">
        <f t="shared" si="6"/>
        <v>52.279825109306664</v>
      </c>
      <c r="AD133">
        <f t="shared" si="9"/>
        <v>1.4937092888373333</v>
      </c>
      <c r="AF133" s="1" t="s">
        <v>182</v>
      </c>
      <c r="AG133" t="s">
        <v>182</v>
      </c>
    </row>
    <row r="134" spans="1:33">
      <c r="A134" t="s">
        <v>1986</v>
      </c>
      <c r="B134">
        <v>2023</v>
      </c>
      <c r="C134" t="s">
        <v>187</v>
      </c>
      <c r="D134" t="s">
        <v>152</v>
      </c>
      <c r="E134" t="s">
        <v>443</v>
      </c>
      <c r="F134" t="s">
        <v>473</v>
      </c>
      <c r="G134" t="s">
        <v>474</v>
      </c>
      <c r="H134">
        <v>63.442746994887997</v>
      </c>
      <c r="I134">
        <v>10.3476273421842</v>
      </c>
      <c r="J134" t="s">
        <v>291</v>
      </c>
      <c r="K134" t="s">
        <v>155</v>
      </c>
      <c r="L134" t="s">
        <v>999</v>
      </c>
      <c r="M134" t="s">
        <v>1788</v>
      </c>
      <c r="N134" t="s">
        <v>1999</v>
      </c>
      <c r="O134" t="s">
        <v>182</v>
      </c>
      <c r="T134" s="1" t="s">
        <v>190</v>
      </c>
      <c r="U134" s="1">
        <v>1.5272727272727271E-2</v>
      </c>
      <c r="W134" s="1">
        <v>70.98971486755498</v>
      </c>
      <c r="Y134" s="1"/>
      <c r="Z134">
        <v>12.3</v>
      </c>
      <c r="AA134" s="1" t="s">
        <v>190</v>
      </c>
      <c r="AB134" t="s">
        <v>190</v>
      </c>
      <c r="AC134" t="s">
        <v>190</v>
      </c>
      <c r="AF134" t="s">
        <v>2484</v>
      </c>
      <c r="AG134" t="s">
        <v>182</v>
      </c>
    </row>
    <row r="135" spans="1:33">
      <c r="A135" t="s">
        <v>1986</v>
      </c>
      <c r="B135">
        <v>2023</v>
      </c>
      <c r="C135" t="s">
        <v>187</v>
      </c>
      <c r="D135" t="s">
        <v>152</v>
      </c>
      <c r="E135" t="s">
        <v>443</v>
      </c>
      <c r="F135" t="s">
        <v>154</v>
      </c>
      <c r="G135" t="s">
        <v>255</v>
      </c>
      <c r="H135">
        <v>63.442746994887997</v>
      </c>
      <c r="I135">
        <v>10.3476273421842</v>
      </c>
      <c r="J135" t="s">
        <v>291</v>
      </c>
      <c r="K135" t="s">
        <v>155</v>
      </c>
      <c r="L135" t="s">
        <v>999</v>
      </c>
      <c r="M135" t="s">
        <v>1788</v>
      </c>
      <c r="N135" t="s">
        <v>1999</v>
      </c>
      <c r="O135" t="s">
        <v>182</v>
      </c>
      <c r="T135" s="1" t="s">
        <v>190</v>
      </c>
      <c r="U135" s="1">
        <v>4.5909090909090906E-2</v>
      </c>
      <c r="W135" s="1">
        <v>30.859314400313391</v>
      </c>
      <c r="Y135" s="1"/>
      <c r="Z135">
        <v>15</v>
      </c>
      <c r="AA135" s="1" t="s">
        <v>190</v>
      </c>
      <c r="AB135" t="s">
        <v>190</v>
      </c>
      <c r="AC135" t="s">
        <v>190</v>
      </c>
      <c r="AF135" t="s">
        <v>2484</v>
      </c>
      <c r="AG135" t="s">
        <v>182</v>
      </c>
    </row>
    <row r="136" spans="1:33">
      <c r="A136" s="1" t="s">
        <v>1118</v>
      </c>
      <c r="B136">
        <v>2022</v>
      </c>
      <c r="C136" t="s">
        <v>161</v>
      </c>
      <c r="D136" s="1" t="s">
        <v>152</v>
      </c>
      <c r="E136" t="s">
        <v>443</v>
      </c>
      <c r="F136" t="s">
        <v>154</v>
      </c>
      <c r="G136" t="s">
        <v>255</v>
      </c>
      <c r="H136">
        <v>59.5</v>
      </c>
      <c r="I136">
        <v>-151.5</v>
      </c>
      <c r="J136" t="s">
        <v>276</v>
      </c>
      <c r="K136" t="s">
        <v>275</v>
      </c>
      <c r="L136" s="1" t="s">
        <v>999</v>
      </c>
      <c r="M136" t="s">
        <v>1788</v>
      </c>
      <c r="N136" s="1" t="s">
        <v>333</v>
      </c>
      <c r="O136" s="1" t="s">
        <v>246</v>
      </c>
      <c r="P136" t="s">
        <v>234</v>
      </c>
      <c r="Q136" t="s">
        <v>298</v>
      </c>
      <c r="R136" t="s">
        <v>2257</v>
      </c>
      <c r="S136" s="1"/>
      <c r="T136" s="1" t="s">
        <v>190</v>
      </c>
      <c r="V136">
        <v>0.16281548495266096</v>
      </c>
      <c r="W136" t="s">
        <v>190</v>
      </c>
      <c r="X136" s="1">
        <v>29.48</v>
      </c>
      <c r="Y136" s="1">
        <v>1.97</v>
      </c>
      <c r="Z136">
        <v>28.9534664988131</v>
      </c>
      <c r="AA136" s="1" t="s">
        <v>190</v>
      </c>
      <c r="AB136" t="s">
        <v>190</v>
      </c>
      <c r="AC136" t="s">
        <v>190</v>
      </c>
      <c r="AF136" t="s">
        <v>2484</v>
      </c>
      <c r="AG136" t="s">
        <v>182</v>
      </c>
    </row>
    <row r="137" spans="1:33">
      <c r="A137" s="1" t="s">
        <v>1118</v>
      </c>
      <c r="B137">
        <v>2022</v>
      </c>
      <c r="C137" t="s">
        <v>161</v>
      </c>
      <c r="D137" s="1" t="s">
        <v>152</v>
      </c>
      <c r="E137" t="s">
        <v>443</v>
      </c>
      <c r="F137" t="s">
        <v>156</v>
      </c>
      <c r="G137" t="s">
        <v>158</v>
      </c>
      <c r="H137">
        <v>50.3</v>
      </c>
      <c r="I137">
        <v>-4.0999999999999996</v>
      </c>
      <c r="J137" t="s">
        <v>160</v>
      </c>
      <c r="K137" t="s">
        <v>155</v>
      </c>
      <c r="L137" s="1" t="s">
        <v>999</v>
      </c>
      <c r="M137" t="s">
        <v>1788</v>
      </c>
      <c r="N137" s="1" t="s">
        <v>333</v>
      </c>
      <c r="O137" s="1" t="s">
        <v>246</v>
      </c>
      <c r="P137" t="s">
        <v>237</v>
      </c>
      <c r="Q137" t="s">
        <v>420</v>
      </c>
      <c r="R137" t="s">
        <v>2270</v>
      </c>
      <c r="S137" s="1"/>
      <c r="T137" s="1" t="s">
        <v>190</v>
      </c>
      <c r="V137">
        <v>6.2333525712123729E-2</v>
      </c>
      <c r="W137" t="s">
        <v>190</v>
      </c>
      <c r="X137" s="1">
        <v>29.49</v>
      </c>
      <c r="Y137" s="1">
        <v>1.68</v>
      </c>
      <c r="Z137">
        <v>18.949694531366401</v>
      </c>
      <c r="AA137" s="1" t="s">
        <v>190</v>
      </c>
      <c r="AB137" t="s">
        <v>190</v>
      </c>
      <c r="AC137" t="s">
        <v>190</v>
      </c>
      <c r="AF137" t="s">
        <v>2484</v>
      </c>
      <c r="AG137" t="s">
        <v>182</v>
      </c>
    </row>
    <row r="138" spans="1:33">
      <c r="A138" s="1" t="s">
        <v>1118</v>
      </c>
      <c r="B138">
        <v>2022</v>
      </c>
      <c r="C138" t="s">
        <v>161</v>
      </c>
      <c r="D138" s="1" t="s">
        <v>152</v>
      </c>
      <c r="E138" t="s">
        <v>443</v>
      </c>
      <c r="F138" t="s">
        <v>156</v>
      </c>
      <c r="G138" t="s">
        <v>158</v>
      </c>
      <c r="H138">
        <v>69.599999999999994</v>
      </c>
      <c r="I138">
        <v>17.899999999999999</v>
      </c>
      <c r="J138" t="s">
        <v>291</v>
      </c>
      <c r="K138" t="s">
        <v>155</v>
      </c>
      <c r="L138" s="1" t="s">
        <v>999</v>
      </c>
      <c r="M138" t="s">
        <v>1788</v>
      </c>
      <c r="N138" s="1" t="s">
        <v>333</v>
      </c>
      <c r="O138" s="1" t="s">
        <v>246</v>
      </c>
      <c r="P138" t="s">
        <v>234</v>
      </c>
      <c r="Q138" t="s">
        <v>298</v>
      </c>
      <c r="R138" t="s">
        <v>2275</v>
      </c>
      <c r="S138" s="1"/>
      <c r="T138" s="1" t="s">
        <v>190</v>
      </c>
      <c r="V138">
        <v>-0.48417510457920837</v>
      </c>
      <c r="W138" t="s">
        <v>190</v>
      </c>
      <c r="X138" s="1">
        <v>30.88</v>
      </c>
      <c r="Y138" s="1">
        <v>1.64</v>
      </c>
      <c r="Z138">
        <v>26.342142288307599</v>
      </c>
      <c r="AA138" s="1" t="s">
        <v>190</v>
      </c>
      <c r="AB138" t="s">
        <v>190</v>
      </c>
      <c r="AC138" t="s">
        <v>190</v>
      </c>
      <c r="AF138" t="s">
        <v>2484</v>
      </c>
      <c r="AG138" t="s">
        <v>182</v>
      </c>
    </row>
    <row r="139" spans="1:33">
      <c r="A139" s="1" t="s">
        <v>1118</v>
      </c>
      <c r="B139">
        <v>2022</v>
      </c>
      <c r="C139" t="s">
        <v>161</v>
      </c>
      <c r="D139" s="1" t="s">
        <v>152</v>
      </c>
      <c r="E139" t="s">
        <v>443</v>
      </c>
      <c r="F139" t="s">
        <v>156</v>
      </c>
      <c r="G139" t="s">
        <v>158</v>
      </c>
      <c r="H139">
        <v>41.1</v>
      </c>
      <c r="I139">
        <v>-8.6999999999999993</v>
      </c>
      <c r="J139" t="s">
        <v>1121</v>
      </c>
      <c r="K139" t="s">
        <v>155</v>
      </c>
      <c r="L139" s="1" t="s">
        <v>999</v>
      </c>
      <c r="M139" t="s">
        <v>1788</v>
      </c>
      <c r="N139" s="1" t="s">
        <v>333</v>
      </c>
      <c r="O139" s="1" t="s">
        <v>246</v>
      </c>
      <c r="P139" t="s">
        <v>236</v>
      </c>
      <c r="Q139" t="s">
        <v>420</v>
      </c>
      <c r="R139" t="s">
        <v>2269</v>
      </c>
      <c r="S139" s="1"/>
      <c r="T139" s="1" t="s">
        <v>190</v>
      </c>
      <c r="V139">
        <v>3.0747</v>
      </c>
      <c r="W139">
        <f>50/V139</f>
        <v>16.261749113734673</v>
      </c>
      <c r="X139" s="1">
        <v>31</v>
      </c>
      <c r="Y139" s="1">
        <v>2.11</v>
      </c>
      <c r="Z139">
        <v>15.4195610239709</v>
      </c>
      <c r="AA139" s="1" t="s">
        <v>190</v>
      </c>
      <c r="AB139" t="s">
        <v>190</v>
      </c>
      <c r="AC139" t="s">
        <v>190</v>
      </c>
      <c r="AF139" t="s">
        <v>2484</v>
      </c>
      <c r="AG139" t="s">
        <v>182</v>
      </c>
    </row>
    <row r="140" spans="1:33">
      <c r="A140" s="1" t="s">
        <v>1118</v>
      </c>
      <c r="B140">
        <v>2022</v>
      </c>
      <c r="C140" t="s">
        <v>161</v>
      </c>
      <c r="D140" s="1" t="s">
        <v>152</v>
      </c>
      <c r="E140" t="s">
        <v>443</v>
      </c>
      <c r="F140" t="s">
        <v>154</v>
      </c>
      <c r="G140" t="s">
        <v>255</v>
      </c>
      <c r="H140">
        <v>41.1</v>
      </c>
      <c r="I140">
        <v>-8.6999999999999993</v>
      </c>
      <c r="J140" t="s">
        <v>1121</v>
      </c>
      <c r="K140" t="s">
        <v>155</v>
      </c>
      <c r="L140" s="1" t="s">
        <v>999</v>
      </c>
      <c r="M140" t="s">
        <v>1788</v>
      </c>
      <c r="N140" s="1" t="s">
        <v>333</v>
      </c>
      <c r="O140" s="1" t="s">
        <v>246</v>
      </c>
      <c r="P140" t="s">
        <v>236</v>
      </c>
      <c r="Q140" t="s">
        <v>420</v>
      </c>
      <c r="R140" t="s">
        <v>2273</v>
      </c>
      <c r="S140" s="1"/>
      <c r="T140" s="1" t="s">
        <v>190</v>
      </c>
      <c r="U140">
        <v>6.1499999999999999E-2</v>
      </c>
      <c r="W140">
        <f>LN(2)/U140</f>
        <v>11.270685862763338</v>
      </c>
      <c r="X140" s="1">
        <v>31.34</v>
      </c>
      <c r="Y140" s="1">
        <v>1.58</v>
      </c>
      <c r="Z140">
        <v>28.034257185389301</v>
      </c>
      <c r="AA140" s="1" t="s">
        <v>190</v>
      </c>
      <c r="AB140" t="s">
        <v>190</v>
      </c>
      <c r="AC140" t="s">
        <v>190</v>
      </c>
      <c r="AF140" t="s">
        <v>2484</v>
      </c>
      <c r="AG140" t="s">
        <v>182</v>
      </c>
    </row>
    <row r="141" spans="1:33">
      <c r="A141" s="1" t="s">
        <v>1118</v>
      </c>
      <c r="B141">
        <v>2022</v>
      </c>
      <c r="C141" t="s">
        <v>161</v>
      </c>
      <c r="D141" s="1" t="s">
        <v>152</v>
      </c>
      <c r="E141" t="s">
        <v>443</v>
      </c>
      <c r="F141" t="s">
        <v>154</v>
      </c>
      <c r="G141" t="s">
        <v>255</v>
      </c>
      <c r="H141">
        <v>69.599999999999994</v>
      </c>
      <c r="I141">
        <v>17.899999999999999</v>
      </c>
      <c r="J141" t="s">
        <v>291</v>
      </c>
      <c r="K141" t="s">
        <v>155</v>
      </c>
      <c r="L141" s="1" t="s">
        <v>999</v>
      </c>
      <c r="M141" t="s">
        <v>1788</v>
      </c>
      <c r="N141" s="1" t="s">
        <v>333</v>
      </c>
      <c r="O141" s="1" t="s">
        <v>246</v>
      </c>
      <c r="P141" t="s">
        <v>234</v>
      </c>
      <c r="Q141" t="s">
        <v>298</v>
      </c>
      <c r="R141" t="s">
        <v>2487</v>
      </c>
      <c r="S141" s="1"/>
      <c r="T141" s="1" t="s">
        <v>190</v>
      </c>
      <c r="W141" t="s">
        <v>190</v>
      </c>
      <c r="X141" s="1">
        <v>31.81</v>
      </c>
      <c r="Y141" s="1">
        <v>1.96</v>
      </c>
      <c r="Z141">
        <v>17.653224649039998</v>
      </c>
      <c r="AA141" s="1" t="s">
        <v>190</v>
      </c>
      <c r="AB141" t="s">
        <v>190</v>
      </c>
      <c r="AC141" t="s">
        <v>190</v>
      </c>
      <c r="AF141" t="s">
        <v>2484</v>
      </c>
      <c r="AG141" t="s">
        <v>182</v>
      </c>
    </row>
    <row r="142" spans="1:33">
      <c r="A142" s="1" t="s">
        <v>1118</v>
      </c>
      <c r="B142">
        <v>2022</v>
      </c>
      <c r="C142" t="s">
        <v>161</v>
      </c>
      <c r="D142" s="1" t="s">
        <v>152</v>
      </c>
      <c r="E142" t="s">
        <v>443</v>
      </c>
      <c r="F142" t="s">
        <v>154</v>
      </c>
      <c r="G142" t="s">
        <v>255</v>
      </c>
      <c r="H142">
        <v>44.5</v>
      </c>
      <c r="I142">
        <v>-63.9</v>
      </c>
      <c r="J142" t="s">
        <v>585</v>
      </c>
      <c r="K142" t="s">
        <v>586</v>
      </c>
      <c r="L142" s="1" t="s">
        <v>999</v>
      </c>
      <c r="M142" t="s">
        <v>1788</v>
      </c>
      <c r="N142" s="1" t="s">
        <v>333</v>
      </c>
      <c r="O142" s="1" t="s">
        <v>246</v>
      </c>
      <c r="P142" t="s">
        <v>237</v>
      </c>
      <c r="Q142" t="s">
        <v>420</v>
      </c>
      <c r="R142" t="s">
        <v>2267</v>
      </c>
      <c r="S142" s="1"/>
      <c r="T142" s="1" t="s">
        <v>190</v>
      </c>
      <c r="V142">
        <v>0.34899999999999998</v>
      </c>
      <c r="W142">
        <f>50/V142</f>
        <v>143.26647564469914</v>
      </c>
      <c r="X142" s="1">
        <v>34.869999999999997</v>
      </c>
      <c r="Y142" s="1">
        <v>0.41199999999999998</v>
      </c>
      <c r="Z142">
        <v>30.2107376116269</v>
      </c>
      <c r="AA142" s="1" t="s">
        <v>190</v>
      </c>
      <c r="AB142" t="s">
        <v>190</v>
      </c>
      <c r="AC142" t="s">
        <v>190</v>
      </c>
      <c r="AF142" t="s">
        <v>2484</v>
      </c>
      <c r="AG142" t="s">
        <v>182</v>
      </c>
    </row>
    <row r="143" spans="1:33">
      <c r="A143" s="1" t="s">
        <v>1118</v>
      </c>
      <c r="B143">
        <v>2022</v>
      </c>
      <c r="C143" t="s">
        <v>161</v>
      </c>
      <c r="D143" s="1" t="s">
        <v>152</v>
      </c>
      <c r="E143" t="s">
        <v>443</v>
      </c>
      <c r="F143" t="s">
        <v>154</v>
      </c>
      <c r="G143" t="s">
        <v>255</v>
      </c>
      <c r="H143">
        <v>50.3</v>
      </c>
      <c r="I143">
        <v>-4.0999999999999996</v>
      </c>
      <c r="J143" t="s">
        <v>160</v>
      </c>
      <c r="K143" t="s">
        <v>155</v>
      </c>
      <c r="L143" s="1" t="s">
        <v>999</v>
      </c>
      <c r="M143" t="s">
        <v>1788</v>
      </c>
      <c r="N143" s="1" t="s">
        <v>333</v>
      </c>
      <c r="O143" s="1" t="s">
        <v>246</v>
      </c>
      <c r="P143" t="s">
        <v>237</v>
      </c>
      <c r="Q143" t="s">
        <v>420</v>
      </c>
      <c r="R143" t="s">
        <v>2274</v>
      </c>
      <c r="S143" s="1"/>
      <c r="T143" s="1" t="s">
        <v>190</v>
      </c>
      <c r="V143">
        <v>0.15770000000000001</v>
      </c>
      <c r="W143">
        <f>50/V143</f>
        <v>317.05770450221939</v>
      </c>
      <c r="X143" s="1">
        <v>35</v>
      </c>
      <c r="Y143" s="1">
        <v>1.91</v>
      </c>
      <c r="Z143">
        <v>24.7751643325714</v>
      </c>
      <c r="AA143" s="1" t="s">
        <v>190</v>
      </c>
      <c r="AB143" t="s">
        <v>190</v>
      </c>
      <c r="AC143" t="s">
        <v>190</v>
      </c>
      <c r="AF143" t="s">
        <v>2484</v>
      </c>
      <c r="AG143" t="s">
        <v>182</v>
      </c>
    </row>
    <row r="144" spans="1:33">
      <c r="A144" s="1" t="s">
        <v>1118</v>
      </c>
      <c r="B144">
        <v>2022</v>
      </c>
      <c r="C144" t="s">
        <v>161</v>
      </c>
      <c r="D144" s="1" t="s">
        <v>152</v>
      </c>
      <c r="E144" t="s">
        <v>443</v>
      </c>
      <c r="F144" t="s">
        <v>154</v>
      </c>
      <c r="G144" t="s">
        <v>255</v>
      </c>
      <c r="H144">
        <v>56.5</v>
      </c>
      <c r="I144">
        <v>-5.5</v>
      </c>
      <c r="J144" t="s">
        <v>160</v>
      </c>
      <c r="K144" t="s">
        <v>155</v>
      </c>
      <c r="L144" s="1" t="s">
        <v>999</v>
      </c>
      <c r="M144" t="s">
        <v>1788</v>
      </c>
      <c r="N144" s="1" t="s">
        <v>333</v>
      </c>
      <c r="O144" s="1" t="s">
        <v>246</v>
      </c>
      <c r="P144" t="s">
        <v>237</v>
      </c>
      <c r="Q144" t="s">
        <v>420</v>
      </c>
      <c r="R144" t="s">
        <v>2259</v>
      </c>
      <c r="S144" s="1"/>
      <c r="T144" s="1" t="s">
        <v>190</v>
      </c>
      <c r="U144">
        <v>7.1999999999999998E-3</v>
      </c>
      <c r="W144">
        <v>118.8</v>
      </c>
      <c r="X144" s="1">
        <v>35.17</v>
      </c>
      <c r="Y144" s="1">
        <v>1.28</v>
      </c>
      <c r="Z144">
        <v>18.4035875027317</v>
      </c>
      <c r="AA144" s="1" t="s">
        <v>190</v>
      </c>
      <c r="AB144" t="s">
        <v>190</v>
      </c>
      <c r="AC144" t="s">
        <v>190</v>
      </c>
      <c r="AF144" t="s">
        <v>2484</v>
      </c>
      <c r="AG144" t="s">
        <v>182</v>
      </c>
    </row>
    <row r="145" spans="1:33">
      <c r="A145" s="1" t="s">
        <v>1118</v>
      </c>
      <c r="B145">
        <v>2022</v>
      </c>
      <c r="C145" t="s">
        <v>161</v>
      </c>
      <c r="D145" s="1" t="s">
        <v>152</v>
      </c>
      <c r="E145" t="s">
        <v>443</v>
      </c>
      <c r="F145" t="s">
        <v>154</v>
      </c>
      <c r="G145" t="s">
        <v>255</v>
      </c>
      <c r="H145">
        <v>48.7</v>
      </c>
      <c r="I145">
        <v>-3.9</v>
      </c>
      <c r="J145" t="s">
        <v>310</v>
      </c>
      <c r="K145" t="s">
        <v>155</v>
      </c>
      <c r="L145" s="1" t="s">
        <v>999</v>
      </c>
      <c r="M145" t="s">
        <v>1788</v>
      </c>
      <c r="N145" s="1" t="s">
        <v>333</v>
      </c>
      <c r="O145" s="1" t="s">
        <v>246</v>
      </c>
      <c r="P145" t="s">
        <v>237</v>
      </c>
      <c r="Q145" t="s">
        <v>420</v>
      </c>
      <c r="R145" t="s">
        <v>2272</v>
      </c>
      <c r="S145" s="1"/>
      <c r="T145" s="1" t="s">
        <v>190</v>
      </c>
      <c r="V145">
        <v>0.4652</v>
      </c>
      <c r="W145">
        <f>50/V145</f>
        <v>107.48065348237317</v>
      </c>
      <c r="X145" s="1">
        <v>35.94</v>
      </c>
      <c r="Y145" s="1">
        <v>1</v>
      </c>
      <c r="Z145">
        <v>20.238397085376501</v>
      </c>
      <c r="AA145" s="1" t="s">
        <v>190</v>
      </c>
      <c r="AB145" t="s">
        <v>190</v>
      </c>
      <c r="AC145" t="s">
        <v>190</v>
      </c>
      <c r="AF145" t="s">
        <v>2484</v>
      </c>
      <c r="AG145" t="s">
        <v>182</v>
      </c>
    </row>
    <row r="146" spans="1:33">
      <c r="A146" s="1" t="s">
        <v>1118</v>
      </c>
      <c r="B146">
        <v>2022</v>
      </c>
      <c r="C146" t="s">
        <v>161</v>
      </c>
      <c r="D146" s="1" t="s">
        <v>152</v>
      </c>
      <c r="E146" t="s">
        <v>443</v>
      </c>
      <c r="F146" t="s">
        <v>154</v>
      </c>
      <c r="G146" t="s">
        <v>255</v>
      </c>
      <c r="H146">
        <v>47.7</v>
      </c>
      <c r="I146">
        <v>-70.400000000000006</v>
      </c>
      <c r="J146" t="s">
        <v>585</v>
      </c>
      <c r="K146" t="s">
        <v>586</v>
      </c>
      <c r="L146" s="1" t="s">
        <v>999</v>
      </c>
      <c r="M146" t="s">
        <v>1788</v>
      </c>
      <c r="N146" s="1" t="s">
        <v>333</v>
      </c>
      <c r="O146" s="1" t="s">
        <v>246</v>
      </c>
      <c r="P146" t="s">
        <v>237</v>
      </c>
      <c r="Q146" t="s">
        <v>420</v>
      </c>
      <c r="R146" t="s">
        <v>2260</v>
      </c>
      <c r="S146" s="1"/>
      <c r="T146" s="1" t="s">
        <v>190</v>
      </c>
      <c r="U146">
        <v>2.81E-2</v>
      </c>
      <c r="W146">
        <v>32.51</v>
      </c>
      <c r="X146" s="1">
        <v>36.08</v>
      </c>
      <c r="Y146" s="1">
        <v>1.49</v>
      </c>
      <c r="Z146">
        <v>32.043276683435998</v>
      </c>
      <c r="AA146" s="1" t="s">
        <v>190</v>
      </c>
      <c r="AB146" t="s">
        <v>190</v>
      </c>
      <c r="AC146" t="s">
        <v>190</v>
      </c>
      <c r="AF146" t="s">
        <v>2484</v>
      </c>
      <c r="AG146" t="s">
        <v>182</v>
      </c>
    </row>
    <row r="147" spans="1:33">
      <c r="A147" s="1" t="s">
        <v>1118</v>
      </c>
      <c r="B147">
        <v>2022</v>
      </c>
      <c r="C147" t="s">
        <v>161</v>
      </c>
      <c r="D147" s="1" t="s">
        <v>152</v>
      </c>
      <c r="E147" t="s">
        <v>443</v>
      </c>
      <c r="F147" t="s">
        <v>154</v>
      </c>
      <c r="G147" t="s">
        <v>255</v>
      </c>
      <c r="H147">
        <v>48.7</v>
      </c>
      <c r="I147">
        <v>-123.4</v>
      </c>
      <c r="J147" t="s">
        <v>585</v>
      </c>
      <c r="K147" t="s">
        <v>275</v>
      </c>
      <c r="L147" s="1" t="s">
        <v>999</v>
      </c>
      <c r="M147" t="s">
        <v>1788</v>
      </c>
      <c r="N147" s="1" t="s">
        <v>333</v>
      </c>
      <c r="O147" s="1" t="s">
        <v>246</v>
      </c>
      <c r="P147" t="s">
        <v>237</v>
      </c>
      <c r="Q147" t="s">
        <v>420</v>
      </c>
      <c r="R147" t="s">
        <v>2258</v>
      </c>
      <c r="S147" s="1"/>
      <c r="T147" s="1" t="s">
        <v>190</v>
      </c>
      <c r="V147">
        <v>0.496</v>
      </c>
      <c r="W147">
        <f>50/V147</f>
        <v>100.80645161290323</v>
      </c>
      <c r="X147" s="1">
        <v>36.26</v>
      </c>
      <c r="Y147" s="1">
        <v>2.56</v>
      </c>
      <c r="Z147">
        <v>14.175698359212999</v>
      </c>
      <c r="AA147" s="1" t="s">
        <v>190</v>
      </c>
      <c r="AB147" t="s">
        <v>190</v>
      </c>
      <c r="AC147" t="s">
        <v>190</v>
      </c>
      <c r="AF147" t="s">
        <v>2484</v>
      </c>
      <c r="AG147" t="s">
        <v>182</v>
      </c>
    </row>
    <row r="148" spans="1:33">
      <c r="A148" s="1" t="s">
        <v>1118</v>
      </c>
      <c r="B148">
        <v>2022</v>
      </c>
      <c r="C148" t="s">
        <v>161</v>
      </c>
      <c r="D148" s="1" t="s">
        <v>152</v>
      </c>
      <c r="E148" t="s">
        <v>443</v>
      </c>
      <c r="F148" t="s">
        <v>156</v>
      </c>
      <c r="G148" t="s">
        <v>158</v>
      </c>
      <c r="H148">
        <v>56.5</v>
      </c>
      <c r="I148">
        <v>-5.5</v>
      </c>
      <c r="J148" t="s">
        <v>160</v>
      </c>
      <c r="K148" t="s">
        <v>155</v>
      </c>
      <c r="L148" s="1" t="s">
        <v>999</v>
      </c>
      <c r="M148" t="s">
        <v>1788</v>
      </c>
      <c r="N148" s="1" t="s">
        <v>333</v>
      </c>
      <c r="O148" s="1" t="s">
        <v>246</v>
      </c>
      <c r="P148" t="s">
        <v>237</v>
      </c>
      <c r="Q148" t="s">
        <v>420</v>
      </c>
      <c r="R148" t="s">
        <v>2259</v>
      </c>
      <c r="S148" s="1"/>
      <c r="T148" s="1" t="s">
        <v>190</v>
      </c>
      <c r="U148">
        <v>5.2699999999999997E-2</v>
      </c>
      <c r="W148" t="s">
        <v>190</v>
      </c>
      <c r="X148" s="1">
        <v>36.29</v>
      </c>
      <c r="Y148" s="1">
        <v>1.36</v>
      </c>
      <c r="Z148">
        <v>16.7197706470151</v>
      </c>
      <c r="AA148" s="1" t="s">
        <v>190</v>
      </c>
      <c r="AB148" t="s">
        <v>190</v>
      </c>
      <c r="AC148" t="s">
        <v>190</v>
      </c>
      <c r="AF148" t="s">
        <v>2484</v>
      </c>
      <c r="AG148" t="s">
        <v>182</v>
      </c>
    </row>
    <row r="149" spans="1:33">
      <c r="A149" s="1" t="s">
        <v>1118</v>
      </c>
      <c r="B149">
        <v>2022</v>
      </c>
      <c r="C149" t="s">
        <v>161</v>
      </c>
      <c r="D149" s="1" t="s">
        <v>152</v>
      </c>
      <c r="E149" t="s">
        <v>443</v>
      </c>
      <c r="F149" t="s">
        <v>154</v>
      </c>
      <c r="G149" t="s">
        <v>255</v>
      </c>
      <c r="H149">
        <v>58.4</v>
      </c>
      <c r="I149">
        <v>8.6999999999999993</v>
      </c>
      <c r="J149" t="s">
        <v>291</v>
      </c>
      <c r="K149" t="s">
        <v>155</v>
      </c>
      <c r="L149" s="1" t="s">
        <v>999</v>
      </c>
      <c r="M149" t="s">
        <v>1788</v>
      </c>
      <c r="N149" s="1" t="s">
        <v>333</v>
      </c>
      <c r="O149" s="1" t="s">
        <v>246</v>
      </c>
      <c r="P149" t="s">
        <v>475</v>
      </c>
      <c r="Q149" t="s">
        <v>420</v>
      </c>
      <c r="R149" t="s">
        <v>2261</v>
      </c>
      <c r="S149" s="1"/>
      <c r="T149" s="1" t="s">
        <v>190</v>
      </c>
      <c r="U149" s="1"/>
      <c r="V149" s="1">
        <v>0.61850000000000005</v>
      </c>
      <c r="W149">
        <f>50/V149</f>
        <v>80.840743734842349</v>
      </c>
      <c r="X149" s="1">
        <v>37.07</v>
      </c>
      <c r="Y149" s="1">
        <v>1.06</v>
      </c>
      <c r="Z149">
        <v>88.677935476389905</v>
      </c>
      <c r="AA149" s="1" t="s">
        <v>190</v>
      </c>
      <c r="AB149" t="s">
        <v>190</v>
      </c>
      <c r="AC149" t="s">
        <v>190</v>
      </c>
      <c r="AF149" t="s">
        <v>2484</v>
      </c>
      <c r="AG149" t="s">
        <v>182</v>
      </c>
    </row>
    <row r="150" spans="1:33">
      <c r="A150" s="1" t="s">
        <v>1118</v>
      </c>
      <c r="B150">
        <v>2022</v>
      </c>
      <c r="C150" t="s">
        <v>161</v>
      </c>
      <c r="D150" s="1" t="s">
        <v>152</v>
      </c>
      <c r="E150" t="s">
        <v>443</v>
      </c>
      <c r="F150" t="s">
        <v>156</v>
      </c>
      <c r="G150" t="s">
        <v>158</v>
      </c>
      <c r="H150">
        <v>58.4</v>
      </c>
      <c r="I150">
        <v>8.6999999999999993</v>
      </c>
      <c r="J150" t="s">
        <v>291</v>
      </c>
      <c r="K150" t="s">
        <v>155</v>
      </c>
      <c r="L150" s="1" t="s">
        <v>999</v>
      </c>
      <c r="M150" t="s">
        <v>1788</v>
      </c>
      <c r="N150" s="1" t="s">
        <v>333</v>
      </c>
      <c r="O150" s="1" t="s">
        <v>246</v>
      </c>
      <c r="P150" t="s">
        <v>475</v>
      </c>
      <c r="Q150" t="s">
        <v>420</v>
      </c>
      <c r="R150" t="s">
        <v>2486</v>
      </c>
      <c r="S150" s="1"/>
      <c r="T150" s="1" t="s">
        <v>190</v>
      </c>
      <c r="V150">
        <v>0.50119999999999998</v>
      </c>
      <c r="W150">
        <f>50/V150</f>
        <v>99.760574620909821</v>
      </c>
      <c r="X150" s="1">
        <v>37.08</v>
      </c>
      <c r="Y150" s="1">
        <v>1.06</v>
      </c>
      <c r="Z150">
        <v>20.6903230993953</v>
      </c>
      <c r="AA150" s="1" t="s">
        <v>190</v>
      </c>
      <c r="AB150" t="s">
        <v>190</v>
      </c>
      <c r="AC150" t="s">
        <v>190</v>
      </c>
      <c r="AF150" t="s">
        <v>2484</v>
      </c>
      <c r="AG150" t="s">
        <v>182</v>
      </c>
    </row>
    <row r="151" spans="1:33">
      <c r="A151" s="1" t="s">
        <v>1118</v>
      </c>
      <c r="B151">
        <v>2022</v>
      </c>
      <c r="C151" t="s">
        <v>161</v>
      </c>
      <c r="D151" s="1" t="s">
        <v>152</v>
      </c>
      <c r="E151" t="s">
        <v>443</v>
      </c>
      <c r="F151" t="s">
        <v>156</v>
      </c>
      <c r="G151" t="s">
        <v>158</v>
      </c>
      <c r="H151">
        <v>48.7</v>
      </c>
      <c r="I151">
        <v>-3.9</v>
      </c>
      <c r="J151" t="s">
        <v>310</v>
      </c>
      <c r="K151" t="s">
        <v>155</v>
      </c>
      <c r="L151" s="1" t="s">
        <v>999</v>
      </c>
      <c r="M151" t="s">
        <v>1788</v>
      </c>
      <c r="N151" s="1" t="s">
        <v>333</v>
      </c>
      <c r="O151" s="1" t="s">
        <v>246</v>
      </c>
      <c r="P151" t="s">
        <v>237</v>
      </c>
      <c r="Q151" t="s">
        <v>420</v>
      </c>
      <c r="R151" t="s">
        <v>2271</v>
      </c>
      <c r="S151" s="1"/>
      <c r="T151" s="1" t="s">
        <v>190</v>
      </c>
      <c r="U151">
        <v>0.6633</v>
      </c>
      <c r="W151" t="s">
        <v>190</v>
      </c>
      <c r="X151" s="1">
        <v>37.545000000000002</v>
      </c>
      <c r="Y151" s="1">
        <v>1.3959999999999999</v>
      </c>
      <c r="Z151">
        <v>36.509772051414203</v>
      </c>
      <c r="AA151" s="1" t="s">
        <v>190</v>
      </c>
      <c r="AB151" t="s">
        <v>190</v>
      </c>
      <c r="AC151" t="s">
        <v>190</v>
      </c>
      <c r="AF151" t="s">
        <v>2484</v>
      </c>
      <c r="AG151" t="s">
        <v>182</v>
      </c>
    </row>
    <row r="152" spans="1:33">
      <c r="A152" s="1" t="s">
        <v>1118</v>
      </c>
      <c r="B152">
        <v>2022</v>
      </c>
      <c r="C152" t="s">
        <v>161</v>
      </c>
      <c r="D152" s="1" t="s">
        <v>152</v>
      </c>
      <c r="E152" t="s">
        <v>443</v>
      </c>
      <c r="F152" t="s">
        <v>154</v>
      </c>
      <c r="G152" t="s">
        <v>255</v>
      </c>
      <c r="H152">
        <v>41.4</v>
      </c>
      <c r="I152">
        <v>-71.3</v>
      </c>
      <c r="J152" t="s">
        <v>276</v>
      </c>
      <c r="K152" t="s">
        <v>586</v>
      </c>
      <c r="L152" s="1" t="s">
        <v>999</v>
      </c>
      <c r="M152" t="s">
        <v>1788</v>
      </c>
      <c r="N152" s="1" t="s">
        <v>333</v>
      </c>
      <c r="O152" s="1" t="s">
        <v>246</v>
      </c>
      <c r="P152" t="s">
        <v>253</v>
      </c>
      <c r="Q152" t="s">
        <v>254</v>
      </c>
      <c r="R152" t="s">
        <v>2264</v>
      </c>
      <c r="S152" s="1"/>
      <c r="T152" s="1" t="s">
        <v>190</v>
      </c>
      <c r="U152">
        <v>7.0900000000000005E-2</v>
      </c>
      <c r="W152">
        <f>LN(2)/U152</f>
        <v>9.7764059317340646</v>
      </c>
      <c r="X152" s="1">
        <v>38.35</v>
      </c>
      <c r="Y152" s="1">
        <v>1.96</v>
      </c>
      <c r="Z152">
        <v>14.815486391679499</v>
      </c>
      <c r="AA152" s="1" t="s">
        <v>190</v>
      </c>
      <c r="AB152" t="s">
        <v>190</v>
      </c>
      <c r="AC152" t="s">
        <v>190</v>
      </c>
      <c r="AF152" t="s">
        <v>2484</v>
      </c>
      <c r="AG152" t="s">
        <v>182</v>
      </c>
    </row>
    <row r="153" spans="1:33">
      <c r="A153" s="1" t="s">
        <v>1118</v>
      </c>
      <c r="B153">
        <v>2022</v>
      </c>
      <c r="C153" t="s">
        <v>161</v>
      </c>
      <c r="D153" s="1" t="s">
        <v>152</v>
      </c>
      <c r="E153" t="s">
        <v>443</v>
      </c>
      <c r="F153" t="s">
        <v>154</v>
      </c>
      <c r="G153" t="s">
        <v>255</v>
      </c>
      <c r="H153">
        <v>42.5</v>
      </c>
      <c r="I153">
        <v>-70.790000000000006</v>
      </c>
      <c r="J153" t="s">
        <v>276</v>
      </c>
      <c r="K153" t="s">
        <v>586</v>
      </c>
      <c r="L153" s="1" t="s">
        <v>999</v>
      </c>
      <c r="M153" t="s">
        <v>1788</v>
      </c>
      <c r="N153" s="1" t="s">
        <v>333</v>
      </c>
      <c r="O153" s="1" t="s">
        <v>246</v>
      </c>
      <c r="P153" t="s">
        <v>237</v>
      </c>
      <c r="Q153" t="s">
        <v>420</v>
      </c>
      <c r="R153" t="s">
        <v>2263</v>
      </c>
      <c r="S153" s="1"/>
      <c r="T153" s="1" t="s">
        <v>190</v>
      </c>
      <c r="V153">
        <v>1.8</v>
      </c>
      <c r="W153">
        <v>27</v>
      </c>
      <c r="X153" s="1">
        <v>38.450000000000003</v>
      </c>
      <c r="Y153" s="1">
        <v>1.28</v>
      </c>
      <c r="Z153">
        <v>37.345947221323499</v>
      </c>
      <c r="AA153" s="1" t="s">
        <v>190</v>
      </c>
      <c r="AB153" t="s">
        <v>190</v>
      </c>
      <c r="AC153" t="s">
        <v>190</v>
      </c>
      <c r="AF153" t="s">
        <v>2484</v>
      </c>
      <c r="AG153" t="s">
        <v>182</v>
      </c>
    </row>
    <row r="154" spans="1:33">
      <c r="A154" t="s">
        <v>683</v>
      </c>
      <c r="B154">
        <v>1983</v>
      </c>
      <c r="C154" t="s">
        <v>187</v>
      </c>
      <c r="D154" t="s">
        <v>1976</v>
      </c>
      <c r="E154" t="s">
        <v>444</v>
      </c>
      <c r="F154" t="s">
        <v>448</v>
      </c>
      <c r="G154" t="s">
        <v>799</v>
      </c>
      <c r="H154">
        <v>-32.583581768462999</v>
      </c>
      <c r="I154">
        <v>115.66754400000001</v>
      </c>
      <c r="J154" t="s">
        <v>349</v>
      </c>
      <c r="K154" t="s">
        <v>802</v>
      </c>
      <c r="L154" t="s">
        <v>999</v>
      </c>
      <c r="M154" t="s">
        <v>1788</v>
      </c>
      <c r="N154" t="s">
        <v>333</v>
      </c>
      <c r="O154" t="s">
        <v>246</v>
      </c>
      <c r="P154" t="s">
        <v>880</v>
      </c>
      <c r="Q154" t="s">
        <v>254</v>
      </c>
      <c r="T154" s="1" t="s">
        <v>190</v>
      </c>
      <c r="U154">
        <v>1.18E-2</v>
      </c>
      <c r="W154">
        <v>82.44</v>
      </c>
      <c r="X154" s="1">
        <v>43.5</v>
      </c>
      <c r="Y154" s="1">
        <v>3.92</v>
      </c>
      <c r="Z154">
        <f>435/39.2</f>
        <v>11.096938775510203</v>
      </c>
      <c r="AA154" s="1" t="s">
        <v>190</v>
      </c>
      <c r="AB154" s="1" t="s">
        <v>190</v>
      </c>
      <c r="AC154" s="1" t="s">
        <v>190</v>
      </c>
      <c r="AF154" t="s">
        <v>2484</v>
      </c>
      <c r="AG154" t="s">
        <v>182</v>
      </c>
    </row>
    <row r="155" spans="1:33">
      <c r="A155" t="s">
        <v>2301</v>
      </c>
      <c r="B155">
        <v>1983</v>
      </c>
      <c r="C155" t="s">
        <v>187</v>
      </c>
      <c r="D155" t="s">
        <v>1976</v>
      </c>
      <c r="E155" t="s">
        <v>444</v>
      </c>
      <c r="F155" t="s">
        <v>448</v>
      </c>
      <c r="G155" t="s">
        <v>799</v>
      </c>
      <c r="H155">
        <v>-32.583581768462999</v>
      </c>
      <c r="I155">
        <v>115.66754400000001</v>
      </c>
      <c r="J155" t="s">
        <v>349</v>
      </c>
      <c r="K155" t="s">
        <v>802</v>
      </c>
      <c r="L155" t="s">
        <v>999</v>
      </c>
      <c r="M155" t="s">
        <v>1788</v>
      </c>
      <c r="N155" t="s">
        <v>333</v>
      </c>
      <c r="O155" t="s">
        <v>246</v>
      </c>
      <c r="P155" t="s">
        <v>670</v>
      </c>
      <c r="Q155" t="s">
        <v>385</v>
      </c>
      <c r="T155" s="1" t="s">
        <v>190</v>
      </c>
      <c r="V155">
        <v>0.3296</v>
      </c>
      <c r="W155">
        <f>50/V155</f>
        <v>151.69902912621359</v>
      </c>
      <c r="X155" s="1">
        <v>43.4</v>
      </c>
      <c r="Y155" s="1">
        <v>3.21</v>
      </c>
      <c r="Z155">
        <f>434/32.1</f>
        <v>13.5202492211838</v>
      </c>
      <c r="AA155" s="1" t="s">
        <v>190</v>
      </c>
      <c r="AB155" s="1" t="s">
        <v>190</v>
      </c>
      <c r="AC155" s="1" t="s">
        <v>190</v>
      </c>
      <c r="AF155" t="s">
        <v>2484</v>
      </c>
      <c r="AG155" t="s">
        <v>182</v>
      </c>
    </row>
    <row r="156" spans="1:33">
      <c r="A156" t="s">
        <v>2302</v>
      </c>
      <c r="B156">
        <v>1983</v>
      </c>
      <c r="C156" t="s">
        <v>187</v>
      </c>
      <c r="D156" t="s">
        <v>1976</v>
      </c>
      <c r="E156" t="s">
        <v>444</v>
      </c>
      <c r="F156" t="s">
        <v>448</v>
      </c>
      <c r="G156" t="s">
        <v>799</v>
      </c>
      <c r="H156">
        <v>-32.583581768462999</v>
      </c>
      <c r="I156">
        <v>115.66754400000001</v>
      </c>
      <c r="J156" t="s">
        <v>349</v>
      </c>
      <c r="K156" t="s">
        <v>802</v>
      </c>
      <c r="L156" t="s">
        <v>999</v>
      </c>
      <c r="M156" t="s">
        <v>1788</v>
      </c>
      <c r="N156" t="s">
        <v>333</v>
      </c>
      <c r="O156" t="s">
        <v>246</v>
      </c>
      <c r="P156" t="s">
        <v>327</v>
      </c>
      <c r="Q156" t="s">
        <v>385</v>
      </c>
      <c r="T156" s="1" t="s">
        <v>190</v>
      </c>
      <c r="V156">
        <v>0.3644</v>
      </c>
      <c r="W156">
        <f>50/V156</f>
        <v>137.211855104281</v>
      </c>
      <c r="X156" s="1">
        <v>40.700000000000003</v>
      </c>
      <c r="Y156" s="1">
        <v>3.44</v>
      </c>
      <c r="Z156">
        <f>407/34.4</f>
        <v>11.83139534883721</v>
      </c>
      <c r="AA156" s="1" t="s">
        <v>190</v>
      </c>
      <c r="AB156" s="1" t="s">
        <v>190</v>
      </c>
      <c r="AC156" s="1" t="s">
        <v>190</v>
      </c>
      <c r="AF156" t="s">
        <v>2484</v>
      </c>
      <c r="AG156" t="s">
        <v>182</v>
      </c>
    </row>
    <row r="157" spans="1:33">
      <c r="A157" t="s">
        <v>2303</v>
      </c>
      <c r="B157">
        <v>1983</v>
      </c>
      <c r="C157" t="s">
        <v>187</v>
      </c>
      <c r="D157" t="s">
        <v>1976</v>
      </c>
      <c r="E157" t="s">
        <v>444</v>
      </c>
      <c r="F157" t="s">
        <v>448</v>
      </c>
      <c r="G157" t="s">
        <v>799</v>
      </c>
      <c r="H157">
        <v>-32.583581768462999</v>
      </c>
      <c r="I157">
        <v>115.66754400000001</v>
      </c>
      <c r="J157" t="s">
        <v>349</v>
      </c>
      <c r="K157" t="s">
        <v>802</v>
      </c>
      <c r="L157" t="s">
        <v>999</v>
      </c>
      <c r="M157" t="s">
        <v>1788</v>
      </c>
      <c r="N157" t="s">
        <v>333</v>
      </c>
      <c r="O157" t="s">
        <v>246</v>
      </c>
      <c r="P157" t="s">
        <v>384</v>
      </c>
      <c r="Q157" t="s">
        <v>385</v>
      </c>
      <c r="T157" s="1" t="s">
        <v>190</v>
      </c>
      <c r="V157">
        <v>0.57330000000000003</v>
      </c>
      <c r="W157">
        <f>50/V157</f>
        <v>87.214372928658634</v>
      </c>
      <c r="X157" s="1">
        <v>40.299999999999997</v>
      </c>
      <c r="Y157" s="1">
        <v>2.73</v>
      </c>
      <c r="Z157">
        <f>403/27.3</f>
        <v>14.761904761904761</v>
      </c>
      <c r="AA157" s="1" t="s">
        <v>190</v>
      </c>
      <c r="AB157" s="1" t="s">
        <v>190</v>
      </c>
      <c r="AC157" s="1" t="s">
        <v>190</v>
      </c>
      <c r="AF157" t="s">
        <v>2484</v>
      </c>
      <c r="AG157" t="s">
        <v>182</v>
      </c>
    </row>
    <row r="158" spans="1:33">
      <c r="A158" t="s">
        <v>252</v>
      </c>
      <c r="B158">
        <v>2021</v>
      </c>
      <c r="C158" t="s">
        <v>1991</v>
      </c>
      <c r="D158" t="s">
        <v>152</v>
      </c>
      <c r="E158" t="s">
        <v>443</v>
      </c>
      <c r="F158" t="s">
        <v>156</v>
      </c>
      <c r="G158" t="s">
        <v>157</v>
      </c>
      <c r="H158">
        <v>55.264000000000003</v>
      </c>
      <c r="I158">
        <v>-7.6749999999999998</v>
      </c>
      <c r="J158" t="s">
        <v>160</v>
      </c>
      <c r="K158" t="s">
        <v>155</v>
      </c>
      <c r="L158" t="s">
        <v>999</v>
      </c>
      <c r="M158" t="s">
        <v>424</v>
      </c>
      <c r="N158" t="s">
        <v>333</v>
      </c>
      <c r="O158" t="s">
        <v>246</v>
      </c>
      <c r="P158" t="s">
        <v>253</v>
      </c>
      <c r="Q158" t="s">
        <v>254</v>
      </c>
      <c r="T158">
        <v>28</v>
      </c>
      <c r="Z158" t="s">
        <v>190</v>
      </c>
      <c r="AA158">
        <v>21.5</v>
      </c>
      <c r="AB158" s="1" t="s">
        <v>190</v>
      </c>
      <c r="AC158" s="1" t="s">
        <v>190</v>
      </c>
      <c r="AE158" t="s">
        <v>2304</v>
      </c>
      <c r="AF158" s="1" t="s">
        <v>2485</v>
      </c>
      <c r="AG158" t="s">
        <v>182</v>
      </c>
    </row>
    <row r="159" spans="1:33">
      <c r="A159" t="s">
        <v>252</v>
      </c>
      <c r="B159">
        <v>2021</v>
      </c>
      <c r="C159" t="s">
        <v>1991</v>
      </c>
      <c r="D159" t="s">
        <v>152</v>
      </c>
      <c r="E159" t="s">
        <v>443</v>
      </c>
      <c r="F159" t="s">
        <v>156</v>
      </c>
      <c r="G159" t="s">
        <v>158</v>
      </c>
      <c r="H159">
        <v>55.264000000000003</v>
      </c>
      <c r="I159">
        <v>-7.6749999999999998</v>
      </c>
      <c r="J159" t="s">
        <v>160</v>
      </c>
      <c r="K159" t="s">
        <v>155</v>
      </c>
      <c r="L159" t="s">
        <v>999</v>
      </c>
      <c r="M159" t="s">
        <v>424</v>
      </c>
      <c r="N159" t="s">
        <v>333</v>
      </c>
      <c r="O159" t="s">
        <v>246</v>
      </c>
      <c r="P159" t="s">
        <v>253</v>
      </c>
      <c r="Q159" t="s">
        <v>254</v>
      </c>
      <c r="T159">
        <v>28</v>
      </c>
      <c r="Z159" t="s">
        <v>190</v>
      </c>
      <c r="AA159">
        <v>42.8</v>
      </c>
      <c r="AB159" s="1" t="s">
        <v>190</v>
      </c>
      <c r="AC159" s="1" t="s">
        <v>190</v>
      </c>
      <c r="AE159" t="s">
        <v>2304</v>
      </c>
      <c r="AF159" s="1" t="s">
        <v>2485</v>
      </c>
      <c r="AG159" t="s">
        <v>182</v>
      </c>
    </row>
    <row r="160" spans="1:33">
      <c r="A160" t="s">
        <v>252</v>
      </c>
      <c r="B160">
        <v>2021</v>
      </c>
      <c r="C160" t="s">
        <v>1991</v>
      </c>
      <c r="D160" t="s">
        <v>152</v>
      </c>
      <c r="E160" t="s">
        <v>443</v>
      </c>
      <c r="F160" t="s">
        <v>154</v>
      </c>
      <c r="G160" t="s">
        <v>255</v>
      </c>
      <c r="H160">
        <v>55.264000000000003</v>
      </c>
      <c r="I160">
        <v>-7.6749999999999998</v>
      </c>
      <c r="J160" t="s">
        <v>160</v>
      </c>
      <c r="K160" t="s">
        <v>155</v>
      </c>
      <c r="L160" t="s">
        <v>999</v>
      </c>
      <c r="M160" t="s">
        <v>424</v>
      </c>
      <c r="N160" t="s">
        <v>333</v>
      </c>
      <c r="O160" t="s">
        <v>246</v>
      </c>
      <c r="P160" t="s">
        <v>253</v>
      </c>
      <c r="Q160" t="s">
        <v>254</v>
      </c>
      <c r="T160">
        <v>28</v>
      </c>
      <c r="Z160" t="s">
        <v>190</v>
      </c>
      <c r="AA160">
        <v>32.9</v>
      </c>
      <c r="AB160" s="1" t="s">
        <v>190</v>
      </c>
      <c r="AC160" s="1" t="s">
        <v>190</v>
      </c>
      <c r="AE160" t="s">
        <v>2304</v>
      </c>
      <c r="AF160" s="1" t="s">
        <v>2485</v>
      </c>
      <c r="AG160" t="s">
        <v>182</v>
      </c>
    </row>
    <row r="161" spans="1:33">
      <c r="A161" t="s">
        <v>252</v>
      </c>
      <c r="B161">
        <v>2021</v>
      </c>
      <c r="C161" t="s">
        <v>1991</v>
      </c>
      <c r="D161" t="s">
        <v>152</v>
      </c>
      <c r="E161" t="s">
        <v>443</v>
      </c>
      <c r="F161" t="s">
        <v>256</v>
      </c>
      <c r="G161" t="s">
        <v>257</v>
      </c>
      <c r="H161">
        <v>55.264000000000003</v>
      </c>
      <c r="I161">
        <v>-7.6749999999999998</v>
      </c>
      <c r="J161" t="s">
        <v>160</v>
      </c>
      <c r="K161" t="s">
        <v>155</v>
      </c>
      <c r="L161" t="s">
        <v>999</v>
      </c>
      <c r="M161" t="s">
        <v>424</v>
      </c>
      <c r="N161" t="s">
        <v>333</v>
      </c>
      <c r="O161" t="s">
        <v>246</v>
      </c>
      <c r="P161" t="s">
        <v>253</v>
      </c>
      <c r="Q161" t="s">
        <v>254</v>
      </c>
      <c r="T161">
        <v>28</v>
      </c>
      <c r="Z161" t="s">
        <v>190</v>
      </c>
      <c r="AA161">
        <v>25</v>
      </c>
      <c r="AB161" s="1" t="s">
        <v>190</v>
      </c>
      <c r="AC161" s="1" t="s">
        <v>190</v>
      </c>
      <c r="AE161" t="s">
        <v>2304</v>
      </c>
      <c r="AF161" s="1" t="s">
        <v>2485</v>
      </c>
      <c r="AG161" t="s">
        <v>182</v>
      </c>
    </row>
    <row r="162" spans="1:33">
      <c r="A162" t="s">
        <v>252</v>
      </c>
      <c r="B162">
        <v>2021</v>
      </c>
      <c r="C162" t="s">
        <v>1991</v>
      </c>
      <c r="D162" t="s">
        <v>152</v>
      </c>
      <c r="E162" t="s">
        <v>443</v>
      </c>
      <c r="F162" t="s">
        <v>156</v>
      </c>
      <c r="G162" t="s">
        <v>157</v>
      </c>
      <c r="H162">
        <v>55.264000000000003</v>
      </c>
      <c r="I162">
        <v>-7.6749999999999998</v>
      </c>
      <c r="J162" t="s">
        <v>160</v>
      </c>
      <c r="K162" t="s">
        <v>155</v>
      </c>
      <c r="L162" t="s">
        <v>999</v>
      </c>
      <c r="M162" t="s">
        <v>424</v>
      </c>
      <c r="N162" t="s">
        <v>333</v>
      </c>
      <c r="O162" t="s">
        <v>246</v>
      </c>
      <c r="P162" t="s">
        <v>253</v>
      </c>
      <c r="Q162" t="s">
        <v>254</v>
      </c>
      <c r="T162">
        <v>28</v>
      </c>
      <c r="Z162" t="s">
        <v>190</v>
      </c>
      <c r="AA162">
        <v>20.5</v>
      </c>
      <c r="AB162" s="1" t="s">
        <v>190</v>
      </c>
      <c r="AC162" s="1" t="s">
        <v>190</v>
      </c>
      <c r="AE162" t="s">
        <v>2305</v>
      </c>
      <c r="AF162" s="1" t="s">
        <v>2485</v>
      </c>
      <c r="AG162" t="s">
        <v>182</v>
      </c>
    </row>
    <row r="163" spans="1:33">
      <c r="A163" t="s">
        <v>252</v>
      </c>
      <c r="B163">
        <v>2021</v>
      </c>
      <c r="C163" t="s">
        <v>1991</v>
      </c>
      <c r="D163" t="s">
        <v>152</v>
      </c>
      <c r="E163" t="s">
        <v>443</v>
      </c>
      <c r="F163" t="s">
        <v>156</v>
      </c>
      <c r="G163" t="s">
        <v>158</v>
      </c>
      <c r="H163">
        <v>55.264000000000003</v>
      </c>
      <c r="I163">
        <v>-7.6749999999999998</v>
      </c>
      <c r="J163" t="s">
        <v>160</v>
      </c>
      <c r="K163" t="s">
        <v>155</v>
      </c>
      <c r="L163" t="s">
        <v>999</v>
      </c>
      <c r="M163" t="s">
        <v>424</v>
      </c>
      <c r="N163" t="s">
        <v>333</v>
      </c>
      <c r="O163" t="s">
        <v>246</v>
      </c>
      <c r="P163" t="s">
        <v>253</v>
      </c>
      <c r="Q163" t="s">
        <v>254</v>
      </c>
      <c r="T163">
        <v>28</v>
      </c>
      <c r="Z163" t="s">
        <v>190</v>
      </c>
      <c r="AA163">
        <v>37.200000000000003</v>
      </c>
      <c r="AB163" s="1" t="s">
        <v>190</v>
      </c>
      <c r="AC163" s="1" t="s">
        <v>190</v>
      </c>
      <c r="AE163" t="s">
        <v>2305</v>
      </c>
      <c r="AF163" s="1" t="s">
        <v>2485</v>
      </c>
      <c r="AG163" t="s">
        <v>182</v>
      </c>
    </row>
    <row r="164" spans="1:33">
      <c r="A164" t="s">
        <v>252</v>
      </c>
      <c r="B164">
        <v>2021</v>
      </c>
      <c r="C164" t="s">
        <v>1991</v>
      </c>
      <c r="D164" t="s">
        <v>152</v>
      </c>
      <c r="E164" t="s">
        <v>443</v>
      </c>
      <c r="F164" t="s">
        <v>154</v>
      </c>
      <c r="G164" t="s">
        <v>255</v>
      </c>
      <c r="H164">
        <v>55.264000000000003</v>
      </c>
      <c r="I164">
        <v>-7.6749999999999998</v>
      </c>
      <c r="J164" t="s">
        <v>160</v>
      </c>
      <c r="K164" t="s">
        <v>155</v>
      </c>
      <c r="L164" t="s">
        <v>999</v>
      </c>
      <c r="M164" t="s">
        <v>424</v>
      </c>
      <c r="N164" t="s">
        <v>333</v>
      </c>
      <c r="O164" t="s">
        <v>246</v>
      </c>
      <c r="P164" t="s">
        <v>253</v>
      </c>
      <c r="Q164" t="s">
        <v>254</v>
      </c>
      <c r="T164">
        <v>28</v>
      </c>
      <c r="Z164" t="s">
        <v>190</v>
      </c>
      <c r="AA164">
        <v>26</v>
      </c>
      <c r="AB164" s="1" t="s">
        <v>190</v>
      </c>
      <c r="AC164" s="1" t="s">
        <v>190</v>
      </c>
      <c r="AE164" t="s">
        <v>2305</v>
      </c>
      <c r="AF164" s="1" t="s">
        <v>2485</v>
      </c>
      <c r="AG164" t="s">
        <v>182</v>
      </c>
    </row>
    <row r="165" spans="1:33">
      <c r="A165" t="s">
        <v>252</v>
      </c>
      <c r="B165">
        <v>2021</v>
      </c>
      <c r="C165" t="s">
        <v>1991</v>
      </c>
      <c r="D165" t="s">
        <v>152</v>
      </c>
      <c r="E165" t="s">
        <v>443</v>
      </c>
      <c r="F165" t="s">
        <v>256</v>
      </c>
      <c r="G165" t="s">
        <v>257</v>
      </c>
      <c r="H165">
        <v>55.264000000000003</v>
      </c>
      <c r="I165">
        <v>-7.6749999999999998</v>
      </c>
      <c r="J165" t="s">
        <v>160</v>
      </c>
      <c r="K165" t="s">
        <v>155</v>
      </c>
      <c r="L165" t="s">
        <v>999</v>
      </c>
      <c r="M165" t="s">
        <v>424</v>
      </c>
      <c r="N165" t="s">
        <v>333</v>
      </c>
      <c r="O165" t="s">
        <v>246</v>
      </c>
      <c r="P165" t="s">
        <v>253</v>
      </c>
      <c r="Q165" t="s">
        <v>254</v>
      </c>
      <c r="T165">
        <v>28</v>
      </c>
      <c r="Z165" t="s">
        <v>190</v>
      </c>
      <c r="AA165">
        <v>26.3</v>
      </c>
      <c r="AB165" s="1" t="s">
        <v>190</v>
      </c>
      <c r="AC165" s="1" t="s">
        <v>190</v>
      </c>
      <c r="AE165" t="s">
        <v>2305</v>
      </c>
      <c r="AF165" s="1" t="s">
        <v>2485</v>
      </c>
      <c r="AG165" t="s">
        <v>182</v>
      </c>
    </row>
    <row r="166" spans="1:33">
      <c r="A166" t="s">
        <v>535</v>
      </c>
      <c r="B166">
        <v>2016</v>
      </c>
      <c r="C166" t="s">
        <v>161</v>
      </c>
      <c r="D166" t="s">
        <v>152</v>
      </c>
      <c r="E166" t="s">
        <v>443</v>
      </c>
      <c r="F166" t="s">
        <v>347</v>
      </c>
      <c r="G166" t="s">
        <v>348</v>
      </c>
      <c r="H166">
        <v>-36.738694440000003</v>
      </c>
      <c r="I166">
        <v>175.65077778</v>
      </c>
      <c r="J166" t="s">
        <v>483</v>
      </c>
      <c r="K166" t="s">
        <v>802</v>
      </c>
      <c r="L166" t="s">
        <v>184</v>
      </c>
      <c r="M166" t="s">
        <v>1788</v>
      </c>
      <c r="N166" t="s">
        <v>1726</v>
      </c>
      <c r="O166" t="s">
        <v>182</v>
      </c>
      <c r="P166" t="s">
        <v>384</v>
      </c>
      <c r="Q166" t="s">
        <v>217</v>
      </c>
      <c r="T166" t="s">
        <v>190</v>
      </c>
      <c r="U166">
        <v>0.2661</v>
      </c>
      <c r="W166">
        <v>2.6</v>
      </c>
      <c r="X166">
        <v>33.6</v>
      </c>
      <c r="Y166">
        <v>1.83</v>
      </c>
      <c r="Z166">
        <v>18.39</v>
      </c>
      <c r="AA166" t="s">
        <v>190</v>
      </c>
      <c r="AB166" s="1" t="s">
        <v>190</v>
      </c>
      <c r="AC166" s="1" t="s">
        <v>190</v>
      </c>
      <c r="AF166" s="1" t="s">
        <v>2484</v>
      </c>
      <c r="AG166" t="s">
        <v>182</v>
      </c>
    </row>
    <row r="167" spans="1:33">
      <c r="A167" t="s">
        <v>1987</v>
      </c>
      <c r="B167">
        <v>2003</v>
      </c>
      <c r="C167" t="s">
        <v>187</v>
      </c>
      <c r="D167" t="s">
        <v>272</v>
      </c>
      <c r="E167" t="s">
        <v>443</v>
      </c>
      <c r="F167" t="s">
        <v>611</v>
      </c>
      <c r="G167" t="s">
        <v>613</v>
      </c>
      <c r="H167">
        <v>55.456393550865201</v>
      </c>
      <c r="I167">
        <v>10.6653910174669</v>
      </c>
      <c r="J167" t="s">
        <v>973</v>
      </c>
      <c r="K167" t="s">
        <v>155</v>
      </c>
      <c r="L167" t="s">
        <v>184</v>
      </c>
      <c r="M167" t="s">
        <v>1788</v>
      </c>
      <c r="N167" t="s">
        <v>2084</v>
      </c>
      <c r="O167" t="s">
        <v>182</v>
      </c>
      <c r="T167" t="s">
        <v>190</v>
      </c>
      <c r="U167">
        <f>AVERAGE([1]all_obs_old!BK217:BK218,[1]all_obs_old!BK227:BK228)</f>
        <v>7.8149999999999997E-2</v>
      </c>
      <c r="W167">
        <f>AVERAGE([1]all_obs_old!BM217:BM218,[1]all_obs_old!BM227:BM228)</f>
        <v>24.273297024865784</v>
      </c>
      <c r="Z167">
        <v>9</v>
      </c>
      <c r="AA167" t="s">
        <v>190</v>
      </c>
      <c r="AB167" t="s">
        <v>190</v>
      </c>
      <c r="AC167" t="s">
        <v>190</v>
      </c>
      <c r="AD167" t="s">
        <v>190</v>
      </c>
      <c r="AF167" t="s">
        <v>2484</v>
      </c>
      <c r="AG167" t="s">
        <v>182</v>
      </c>
    </row>
    <row r="168" spans="1:33">
      <c r="A168" t="s">
        <v>1987</v>
      </c>
      <c r="B168">
        <v>2003</v>
      </c>
      <c r="C168" t="s">
        <v>187</v>
      </c>
      <c r="D168" t="s">
        <v>272</v>
      </c>
      <c r="E168" t="s">
        <v>443</v>
      </c>
      <c r="F168" t="s">
        <v>611</v>
      </c>
      <c r="G168" t="s">
        <v>613</v>
      </c>
      <c r="H168">
        <v>55.456393550865201</v>
      </c>
      <c r="I168">
        <v>10.6653910174669</v>
      </c>
      <c r="J168" t="s">
        <v>973</v>
      </c>
      <c r="K168" t="s">
        <v>155</v>
      </c>
      <c r="L168" t="s">
        <v>184</v>
      </c>
      <c r="M168" t="s">
        <v>1788</v>
      </c>
      <c r="N168" t="s">
        <v>1999</v>
      </c>
      <c r="O168" t="s">
        <v>182</v>
      </c>
      <c r="T168" t="s">
        <v>190</v>
      </c>
      <c r="U168">
        <f>AVERAGE([1]all_obs_old!BK214:BK216,[1]all_obs_old!BK219:BK220)</f>
        <v>0.65062500000000001</v>
      </c>
      <c r="W168">
        <f>AVERAGE([1]all_obs_old!BM214:BM216,[1]all_obs_old!BM219:BM220)</f>
        <v>34.067365367093458</v>
      </c>
      <c r="Z168">
        <v>17</v>
      </c>
      <c r="AA168" t="s">
        <v>190</v>
      </c>
      <c r="AB168" t="s">
        <v>190</v>
      </c>
      <c r="AC168" t="s">
        <v>190</v>
      </c>
      <c r="AD168" t="s">
        <v>190</v>
      </c>
      <c r="AF168" t="s">
        <v>2484</v>
      </c>
      <c r="AG168" t="s">
        <v>182</v>
      </c>
    </row>
    <row r="169" spans="1:33">
      <c r="A169" t="s">
        <v>1823</v>
      </c>
      <c r="B169">
        <v>2023</v>
      </c>
      <c r="C169" t="s">
        <v>187</v>
      </c>
      <c r="D169" t="s">
        <v>152</v>
      </c>
      <c r="E169" t="s">
        <v>443</v>
      </c>
      <c r="F169" t="s">
        <v>347</v>
      </c>
      <c r="G169" t="s">
        <v>348</v>
      </c>
      <c r="H169">
        <v>-30.26772222</v>
      </c>
      <c r="I169">
        <v>153.14449999999999</v>
      </c>
      <c r="J169" t="s">
        <v>349</v>
      </c>
      <c r="K169" t="s">
        <v>802</v>
      </c>
      <c r="L169" t="s">
        <v>999</v>
      </c>
      <c r="M169" t="s">
        <v>1788</v>
      </c>
      <c r="N169" t="s">
        <v>333</v>
      </c>
      <c r="O169" t="s">
        <v>246</v>
      </c>
      <c r="Q169" t="s">
        <v>420</v>
      </c>
      <c r="T169" t="s">
        <v>190</v>
      </c>
      <c r="U169">
        <v>2.8000000000000001E-2</v>
      </c>
      <c r="W169">
        <f>LN(2)/U169</f>
        <v>24.755256448569472</v>
      </c>
      <c r="Z169">
        <v>30</v>
      </c>
      <c r="AA169" t="s">
        <v>190</v>
      </c>
      <c r="AB169" t="s">
        <v>190</v>
      </c>
      <c r="AC169" t="s">
        <v>190</v>
      </c>
      <c r="AD169" t="s">
        <v>190</v>
      </c>
      <c r="AF169" t="s">
        <v>2484</v>
      </c>
      <c r="AG169" t="s">
        <v>182</v>
      </c>
    </row>
    <row r="170" spans="1:33">
      <c r="A170" t="s">
        <v>1823</v>
      </c>
      <c r="B170">
        <v>2024</v>
      </c>
      <c r="C170" t="s">
        <v>187</v>
      </c>
      <c r="D170" t="s">
        <v>152</v>
      </c>
      <c r="E170" t="s">
        <v>443</v>
      </c>
      <c r="F170" t="s">
        <v>347</v>
      </c>
      <c r="G170" t="s">
        <v>348</v>
      </c>
      <c r="H170">
        <v>-30.26772222</v>
      </c>
      <c r="I170">
        <v>153.14449999999999</v>
      </c>
      <c r="J170" t="s">
        <v>349</v>
      </c>
      <c r="K170" t="s">
        <v>802</v>
      </c>
      <c r="L170" t="s">
        <v>999</v>
      </c>
      <c r="M170" t="s">
        <v>1788</v>
      </c>
      <c r="N170" t="s">
        <v>333</v>
      </c>
      <c r="O170" t="s">
        <v>246</v>
      </c>
      <c r="Q170" t="s">
        <v>420</v>
      </c>
      <c r="T170" t="s">
        <v>190</v>
      </c>
      <c r="U170">
        <v>0.25940000000000002</v>
      </c>
      <c r="W170" t="s">
        <v>190</v>
      </c>
      <c r="Z170">
        <v>30</v>
      </c>
      <c r="AA170" t="s">
        <v>190</v>
      </c>
      <c r="AB170" t="s">
        <v>190</v>
      </c>
      <c r="AC170" t="s">
        <v>190</v>
      </c>
      <c r="AD170" t="s">
        <v>190</v>
      </c>
      <c r="AF170" t="s">
        <v>2484</v>
      </c>
      <c r="AG170" t="s">
        <v>182</v>
      </c>
    </row>
    <row r="171" spans="1:33" ht="16">
      <c r="A171" t="s">
        <v>2844</v>
      </c>
      <c r="B171">
        <v>2020</v>
      </c>
      <c r="C171" t="s">
        <v>187</v>
      </c>
      <c r="D171" t="s">
        <v>272</v>
      </c>
      <c r="E171" t="s">
        <v>443</v>
      </c>
      <c r="F171" t="s">
        <v>611</v>
      </c>
      <c r="G171" t="s">
        <v>612</v>
      </c>
      <c r="H171" s="28">
        <v>55.454999999999998</v>
      </c>
      <c r="I171" s="28">
        <v>10.4588</v>
      </c>
      <c r="J171" t="s">
        <v>973</v>
      </c>
      <c r="K171" t="s">
        <v>155</v>
      </c>
      <c r="L171" t="s">
        <v>725</v>
      </c>
      <c r="M171" t="s">
        <v>1788</v>
      </c>
      <c r="N171" t="s">
        <v>333</v>
      </c>
      <c r="O171" t="s">
        <v>246</v>
      </c>
      <c r="R171" t="s">
        <v>187</v>
      </c>
      <c r="S171" t="s">
        <v>1745</v>
      </c>
      <c r="T171">
        <v>27</v>
      </c>
      <c r="X171" s="28">
        <v>41.4</v>
      </c>
      <c r="Z171" s="28">
        <v>21.6</v>
      </c>
      <c r="AA171" s="28"/>
      <c r="AB171" t="s">
        <v>190</v>
      </c>
      <c r="AF171" t="s">
        <v>2484</v>
      </c>
      <c r="AG171" t="s">
        <v>182</v>
      </c>
    </row>
    <row r="172" spans="1:33">
      <c r="A172" s="23" t="s">
        <v>151</v>
      </c>
      <c r="B172">
        <v>2022</v>
      </c>
      <c r="C172" t="s">
        <v>161</v>
      </c>
      <c r="D172" t="s">
        <v>152</v>
      </c>
      <c r="E172" t="s">
        <v>443</v>
      </c>
      <c r="F172" t="s">
        <v>156</v>
      </c>
      <c r="G172" t="s">
        <v>157</v>
      </c>
      <c r="H172">
        <v>50.363629000000003</v>
      </c>
      <c r="I172">
        <v>-4.1449780000000001</v>
      </c>
      <c r="J172" t="s">
        <v>160</v>
      </c>
      <c r="K172" t="s">
        <v>155</v>
      </c>
      <c r="L172" t="s">
        <v>999</v>
      </c>
      <c r="M172" t="s">
        <v>1788</v>
      </c>
      <c r="N172" t="s">
        <v>333</v>
      </c>
      <c r="O172" t="s">
        <v>246</v>
      </c>
      <c r="P172" t="s">
        <v>297</v>
      </c>
      <c r="Q172" t="s">
        <v>298</v>
      </c>
      <c r="T172">
        <v>32</v>
      </c>
      <c r="Z172" t="s">
        <v>190</v>
      </c>
      <c r="AA172">
        <v>15.04497966111111</v>
      </c>
      <c r="AB172" t="s">
        <v>190</v>
      </c>
      <c r="AD172">
        <f t="shared" ref="AD172:AD204" si="10">AC172/T172</f>
        <v>0</v>
      </c>
      <c r="AF172" t="s">
        <v>246</v>
      </c>
      <c r="AG172" t="s">
        <v>182</v>
      </c>
    </row>
    <row r="173" spans="1:33">
      <c r="A173" s="23" t="s">
        <v>151</v>
      </c>
      <c r="B173">
        <v>2022</v>
      </c>
      <c r="C173" t="s">
        <v>161</v>
      </c>
      <c r="D173" t="s">
        <v>152</v>
      </c>
      <c r="E173" t="s">
        <v>443</v>
      </c>
      <c r="F173" t="s">
        <v>156</v>
      </c>
      <c r="G173" t="s">
        <v>158</v>
      </c>
      <c r="H173">
        <v>50.363629000000003</v>
      </c>
      <c r="I173">
        <v>-4.1449780000000001</v>
      </c>
      <c r="J173" t="s">
        <v>160</v>
      </c>
      <c r="K173" t="s">
        <v>155</v>
      </c>
      <c r="L173" t="s">
        <v>999</v>
      </c>
      <c r="M173" t="s">
        <v>1788</v>
      </c>
      <c r="N173" t="s">
        <v>333</v>
      </c>
      <c r="O173" t="s">
        <v>246</v>
      </c>
      <c r="P173" t="s">
        <v>297</v>
      </c>
      <c r="Q173" t="s">
        <v>298</v>
      </c>
      <c r="T173">
        <v>32</v>
      </c>
      <c r="Z173" t="s">
        <v>190</v>
      </c>
      <c r="AA173">
        <v>15.771171041111112</v>
      </c>
      <c r="AB173" t="s">
        <v>190</v>
      </c>
      <c r="AD173">
        <f t="shared" si="10"/>
        <v>0</v>
      </c>
      <c r="AF173" t="s">
        <v>246</v>
      </c>
      <c r="AG173" t="s">
        <v>182</v>
      </c>
    </row>
    <row r="174" spans="1:33">
      <c r="A174" s="23" t="s">
        <v>151</v>
      </c>
      <c r="B174">
        <v>2022</v>
      </c>
      <c r="C174" t="s">
        <v>161</v>
      </c>
      <c r="D174" t="s">
        <v>152</v>
      </c>
      <c r="E174" t="s">
        <v>443</v>
      </c>
      <c r="F174" t="s">
        <v>156</v>
      </c>
      <c r="G174" t="s">
        <v>159</v>
      </c>
      <c r="H174">
        <v>50.343058999999997</v>
      </c>
      <c r="I174">
        <v>-4.1449780000000001</v>
      </c>
      <c r="J174" t="s">
        <v>160</v>
      </c>
      <c r="K174" t="s">
        <v>155</v>
      </c>
      <c r="L174" t="s">
        <v>999</v>
      </c>
      <c r="M174" t="s">
        <v>1788</v>
      </c>
      <c r="N174" t="s">
        <v>333</v>
      </c>
      <c r="O174" t="s">
        <v>246</v>
      </c>
      <c r="P174" t="s">
        <v>297</v>
      </c>
      <c r="Q174" t="s">
        <v>298</v>
      </c>
      <c r="T174">
        <v>32</v>
      </c>
      <c r="Z174" t="s">
        <v>190</v>
      </c>
      <c r="AA174">
        <v>15.589395392222222</v>
      </c>
      <c r="AB174" t="s">
        <v>190</v>
      </c>
      <c r="AD174">
        <f t="shared" si="10"/>
        <v>0</v>
      </c>
      <c r="AF174" t="s">
        <v>2485</v>
      </c>
      <c r="AG174" t="s">
        <v>182</v>
      </c>
    </row>
    <row r="175" spans="1:33">
      <c r="A175" t="s">
        <v>690</v>
      </c>
      <c r="B175">
        <v>1994</v>
      </c>
      <c r="C175" t="s">
        <v>187</v>
      </c>
      <c r="D175" t="s">
        <v>1976</v>
      </c>
      <c r="E175" t="s">
        <v>444</v>
      </c>
      <c r="F175" t="s">
        <v>445</v>
      </c>
      <c r="G175" t="s">
        <v>704</v>
      </c>
      <c r="H175">
        <v>41.531625716497402</v>
      </c>
      <c r="I175">
        <v>-70.673833441424094</v>
      </c>
      <c r="J175" t="s">
        <v>276</v>
      </c>
      <c r="K175" t="s">
        <v>586</v>
      </c>
      <c r="L175" t="s">
        <v>999</v>
      </c>
      <c r="M175" t="s">
        <v>1788</v>
      </c>
      <c r="N175" t="s">
        <v>1728</v>
      </c>
      <c r="O175" t="s">
        <v>182</v>
      </c>
      <c r="T175" s="2">
        <v>3</v>
      </c>
      <c r="U175" s="2">
        <v>0.2475</v>
      </c>
      <c r="V175" s="2"/>
      <c r="W175" s="2">
        <v>2.7</v>
      </c>
      <c r="Z175">
        <v>16.3</v>
      </c>
      <c r="AA175">
        <v>15.5</v>
      </c>
      <c r="AB175" t="s">
        <v>2200</v>
      </c>
      <c r="AC175">
        <f t="shared" ref="AC175:AC204" si="11">(AA175-Z175)/Z175*100</f>
        <v>-4.9079754601227039</v>
      </c>
      <c r="AD175">
        <f t="shared" si="10"/>
        <v>-1.6359918200409014</v>
      </c>
      <c r="AF175" s="1" t="s">
        <v>182</v>
      </c>
      <c r="AG175" t="s">
        <v>182</v>
      </c>
    </row>
    <row r="176" spans="1:33">
      <c r="A176" t="s">
        <v>690</v>
      </c>
      <c r="B176">
        <v>1994</v>
      </c>
      <c r="C176" t="s">
        <v>187</v>
      </c>
      <c r="D176" t="s">
        <v>1976</v>
      </c>
      <c r="E176" t="s">
        <v>446</v>
      </c>
      <c r="F176" t="s">
        <v>702</v>
      </c>
      <c r="G176" t="s">
        <v>703</v>
      </c>
      <c r="H176">
        <v>41.531625716497402</v>
      </c>
      <c r="I176">
        <v>-70.673833441424094</v>
      </c>
      <c r="J176" t="s">
        <v>276</v>
      </c>
      <c r="K176" t="s">
        <v>586</v>
      </c>
      <c r="L176" t="s">
        <v>999</v>
      </c>
      <c r="M176" t="s">
        <v>1788</v>
      </c>
      <c r="N176" t="s">
        <v>1728</v>
      </c>
      <c r="O176" t="s">
        <v>182</v>
      </c>
      <c r="T176" s="2">
        <v>4</v>
      </c>
      <c r="U176" s="2">
        <v>0.24529999999999999</v>
      </c>
      <c r="V176" s="2"/>
      <c r="W176" s="2">
        <v>2.8</v>
      </c>
      <c r="Z176">
        <v>12.9</v>
      </c>
      <c r="AA176">
        <v>12.6</v>
      </c>
      <c r="AB176" t="s">
        <v>2200</v>
      </c>
      <c r="AC176">
        <f t="shared" si="11"/>
        <v>-2.3255813953488427</v>
      </c>
      <c r="AD176">
        <f t="shared" si="10"/>
        <v>-0.58139534883721067</v>
      </c>
      <c r="AF176" s="1" t="s">
        <v>182</v>
      </c>
      <c r="AG176" t="s">
        <v>182</v>
      </c>
    </row>
    <row r="177" spans="1:43">
      <c r="A177" t="s">
        <v>690</v>
      </c>
      <c r="B177">
        <v>1994</v>
      </c>
      <c r="C177" t="s">
        <v>187</v>
      </c>
      <c r="D177" t="s">
        <v>1976</v>
      </c>
      <c r="E177" t="s">
        <v>446</v>
      </c>
      <c r="F177" t="s">
        <v>702</v>
      </c>
      <c r="G177" t="s">
        <v>703</v>
      </c>
      <c r="H177">
        <v>41.531625716497402</v>
      </c>
      <c r="I177">
        <v>-70.673833441424094</v>
      </c>
      <c r="J177" t="s">
        <v>276</v>
      </c>
      <c r="K177" t="s">
        <v>586</v>
      </c>
      <c r="L177" t="s">
        <v>999</v>
      </c>
      <c r="M177" t="s">
        <v>1788</v>
      </c>
      <c r="N177" t="s">
        <v>1728</v>
      </c>
      <c r="O177" t="s">
        <v>182</v>
      </c>
      <c r="T177" s="2">
        <v>4</v>
      </c>
      <c r="U177" s="2">
        <v>0.19520000000000001</v>
      </c>
      <c r="V177" s="2"/>
      <c r="W177" s="2">
        <v>3.6</v>
      </c>
      <c r="Z177">
        <v>13.8</v>
      </c>
      <c r="AA177">
        <v>14.2</v>
      </c>
      <c r="AB177" t="s">
        <v>2200</v>
      </c>
      <c r="AC177">
        <f t="shared" si="11"/>
        <v>2.8985507246376709</v>
      </c>
      <c r="AD177">
        <f t="shared" si="10"/>
        <v>0.72463768115941773</v>
      </c>
      <c r="AF177" s="1" t="s">
        <v>182</v>
      </c>
      <c r="AG177" t="s">
        <v>182</v>
      </c>
    </row>
    <row r="178" spans="1:43">
      <c r="A178" t="s">
        <v>690</v>
      </c>
      <c r="B178">
        <v>1994</v>
      </c>
      <c r="C178" t="s">
        <v>187</v>
      </c>
      <c r="D178" t="s">
        <v>272</v>
      </c>
      <c r="E178" t="s">
        <v>443</v>
      </c>
      <c r="F178" t="s">
        <v>611</v>
      </c>
      <c r="G178" t="s">
        <v>612</v>
      </c>
      <c r="H178">
        <v>41.531625716497402</v>
      </c>
      <c r="I178">
        <v>-70.673833441424094</v>
      </c>
      <c r="J178" t="s">
        <v>276</v>
      </c>
      <c r="K178" t="s">
        <v>586</v>
      </c>
      <c r="L178" t="s">
        <v>999</v>
      </c>
      <c r="M178" t="s">
        <v>1788</v>
      </c>
      <c r="N178" t="s">
        <v>1728</v>
      </c>
      <c r="O178" t="s">
        <v>182</v>
      </c>
      <c r="T178" s="2">
        <v>5</v>
      </c>
      <c r="U178" s="2">
        <v>0.308</v>
      </c>
      <c r="V178" s="2"/>
      <c r="W178" s="2">
        <v>2.2000000000000002</v>
      </c>
      <c r="Z178">
        <v>23.7</v>
      </c>
      <c r="AA178">
        <v>25.2</v>
      </c>
      <c r="AB178" t="s">
        <v>2200</v>
      </c>
      <c r="AC178">
        <f t="shared" si="11"/>
        <v>6.3291139240506329</v>
      </c>
      <c r="AD178">
        <f t="shared" si="10"/>
        <v>1.2658227848101267</v>
      </c>
      <c r="AF178" s="1" t="s">
        <v>182</v>
      </c>
      <c r="AG178" t="s">
        <v>182</v>
      </c>
    </row>
    <row r="179" spans="1:43">
      <c r="A179" t="s">
        <v>526</v>
      </c>
      <c r="B179">
        <v>1991</v>
      </c>
      <c r="C179" t="s">
        <v>161</v>
      </c>
      <c r="D179" t="s">
        <v>272</v>
      </c>
      <c r="E179" t="s">
        <v>443</v>
      </c>
      <c r="F179" t="s">
        <v>611</v>
      </c>
      <c r="G179" t="s">
        <v>612</v>
      </c>
      <c r="H179">
        <v>41.525787683696002</v>
      </c>
      <c r="I179">
        <v>-70.672420904043307</v>
      </c>
      <c r="J179" t="s">
        <v>276</v>
      </c>
      <c r="K179" t="s">
        <v>586</v>
      </c>
      <c r="L179" t="s">
        <v>999</v>
      </c>
      <c r="M179" t="s">
        <v>1788</v>
      </c>
      <c r="N179" t="s">
        <v>1241</v>
      </c>
      <c r="O179" t="s">
        <v>182</v>
      </c>
      <c r="P179" t="s">
        <v>234</v>
      </c>
      <c r="Q179" t="s">
        <v>170</v>
      </c>
      <c r="T179">
        <v>60</v>
      </c>
      <c r="U179">
        <v>0.24340000000000001</v>
      </c>
      <c r="W179">
        <v>2.8</v>
      </c>
      <c r="Y179">
        <v>1.62</v>
      </c>
      <c r="Z179">
        <v>25</v>
      </c>
      <c r="AA179">
        <v>26</v>
      </c>
      <c r="AB179" t="s">
        <v>2200</v>
      </c>
      <c r="AC179">
        <f t="shared" si="11"/>
        <v>4</v>
      </c>
      <c r="AD179">
        <f t="shared" si="10"/>
        <v>6.6666666666666666E-2</v>
      </c>
      <c r="AF179" s="1" t="s">
        <v>182</v>
      </c>
      <c r="AG179" t="s">
        <v>182</v>
      </c>
    </row>
    <row r="180" spans="1:43">
      <c r="A180" t="s">
        <v>526</v>
      </c>
      <c r="B180">
        <v>1991</v>
      </c>
      <c r="C180" t="s">
        <v>161</v>
      </c>
      <c r="D180" t="s">
        <v>1976</v>
      </c>
      <c r="E180" t="s">
        <v>444</v>
      </c>
      <c r="F180" t="s">
        <v>445</v>
      </c>
      <c r="G180" t="s">
        <v>704</v>
      </c>
      <c r="H180">
        <v>41.525787683696002</v>
      </c>
      <c r="I180">
        <v>-70.672420904043307</v>
      </c>
      <c r="J180" t="s">
        <v>276</v>
      </c>
      <c r="K180" t="s">
        <v>586</v>
      </c>
      <c r="L180" t="s">
        <v>999</v>
      </c>
      <c r="M180" t="s">
        <v>1788</v>
      </c>
      <c r="N180" t="s">
        <v>1241</v>
      </c>
      <c r="O180" t="s">
        <v>182</v>
      </c>
      <c r="P180" t="s">
        <v>234</v>
      </c>
      <c r="Q180" t="s">
        <v>170</v>
      </c>
      <c r="T180">
        <v>30</v>
      </c>
      <c r="V180">
        <v>3.677</v>
      </c>
      <c r="W180">
        <f>50/V180</f>
        <v>13.598041881968996</v>
      </c>
      <c r="Y180">
        <v>5.21</v>
      </c>
      <c r="Z180">
        <v>10</v>
      </c>
      <c r="AA180">
        <v>11</v>
      </c>
      <c r="AB180" t="s">
        <v>2200</v>
      </c>
      <c r="AC180">
        <f t="shared" si="11"/>
        <v>10</v>
      </c>
      <c r="AD180">
        <f t="shared" si="10"/>
        <v>0.33333333333333331</v>
      </c>
      <c r="AF180" s="1" t="s">
        <v>182</v>
      </c>
      <c r="AG180" t="s">
        <v>182</v>
      </c>
    </row>
    <row r="181" spans="1:43">
      <c r="A181" t="s">
        <v>607</v>
      </c>
      <c r="B181">
        <v>2012</v>
      </c>
      <c r="C181" t="s">
        <v>1991</v>
      </c>
      <c r="D181" t="s">
        <v>272</v>
      </c>
      <c r="E181" t="s">
        <v>443</v>
      </c>
      <c r="F181" t="s">
        <v>562</v>
      </c>
      <c r="G181" t="s">
        <v>563</v>
      </c>
      <c r="H181">
        <v>-45.860652665141799</v>
      </c>
      <c r="I181">
        <v>170.66683685313399</v>
      </c>
      <c r="J181" t="s">
        <v>483</v>
      </c>
      <c r="K181" t="s">
        <v>802</v>
      </c>
      <c r="L181" t="s">
        <v>999</v>
      </c>
      <c r="M181" t="s">
        <v>1788</v>
      </c>
      <c r="N181" t="s">
        <v>333</v>
      </c>
      <c r="O181" t="s">
        <v>246</v>
      </c>
      <c r="Q181" t="s">
        <v>385</v>
      </c>
      <c r="T181">
        <v>30</v>
      </c>
      <c r="U181">
        <v>1.5206999999999999</v>
      </c>
      <c r="W181" t="s">
        <v>190</v>
      </c>
      <c r="X181">
        <f>AVERAGE(23, 33.1)</f>
        <v>28.05</v>
      </c>
      <c r="Y181">
        <f>AVERAGE(0.84, 1.26)</f>
        <v>1.05</v>
      </c>
      <c r="Z181">
        <v>48</v>
      </c>
      <c r="AA181">
        <v>47</v>
      </c>
      <c r="AB181" t="s">
        <v>2200</v>
      </c>
      <c r="AC181">
        <f t="shared" si="11"/>
        <v>-2.083333333333333</v>
      </c>
      <c r="AD181">
        <f t="shared" si="10"/>
        <v>-6.9444444444444434E-2</v>
      </c>
      <c r="AF181" s="1" t="s">
        <v>182</v>
      </c>
      <c r="AG181" t="s">
        <v>182</v>
      </c>
    </row>
    <row r="182" spans="1:43">
      <c r="A182" t="s">
        <v>607</v>
      </c>
      <c r="B182">
        <v>2012</v>
      </c>
      <c r="C182" t="s">
        <v>1991</v>
      </c>
      <c r="D182" t="s">
        <v>272</v>
      </c>
      <c r="E182" t="s">
        <v>443</v>
      </c>
      <c r="F182" t="s">
        <v>562</v>
      </c>
      <c r="G182" t="s">
        <v>563</v>
      </c>
      <c r="H182">
        <v>-45.860652665141799</v>
      </c>
      <c r="I182">
        <v>170.66683685313399</v>
      </c>
      <c r="J182" t="s">
        <v>483</v>
      </c>
      <c r="K182" t="s">
        <v>802</v>
      </c>
      <c r="L182" t="s">
        <v>999</v>
      </c>
      <c r="M182" t="s">
        <v>1788</v>
      </c>
      <c r="N182" t="s">
        <v>333</v>
      </c>
      <c r="O182" t="s">
        <v>246</v>
      </c>
      <c r="Q182" t="s">
        <v>254</v>
      </c>
      <c r="T182">
        <v>30</v>
      </c>
      <c r="U182">
        <v>0.82420000000000004</v>
      </c>
      <c r="W182">
        <v>2.96</v>
      </c>
      <c r="X182">
        <f>AVERAGE(22.1, 34.5)</f>
        <v>28.3</v>
      </c>
      <c r="Y182">
        <f>AVERAGE(0.78, 1.14)</f>
        <v>0.96</v>
      </c>
      <c r="Z182">
        <v>48</v>
      </c>
      <c r="AA182">
        <v>47</v>
      </c>
      <c r="AB182" t="s">
        <v>2200</v>
      </c>
      <c r="AC182">
        <f t="shared" si="11"/>
        <v>-2.083333333333333</v>
      </c>
      <c r="AD182">
        <f t="shared" si="10"/>
        <v>-6.9444444444444434E-2</v>
      </c>
      <c r="AF182" s="1" t="s">
        <v>182</v>
      </c>
      <c r="AG182" t="s">
        <v>182</v>
      </c>
    </row>
    <row r="183" spans="1:43">
      <c r="A183" t="s">
        <v>1250</v>
      </c>
      <c r="B183">
        <v>1993</v>
      </c>
      <c r="C183" t="s">
        <v>187</v>
      </c>
      <c r="D183" t="s">
        <v>1976</v>
      </c>
      <c r="E183" t="s">
        <v>446</v>
      </c>
      <c r="F183" t="s">
        <v>707</v>
      </c>
      <c r="G183" t="s">
        <v>897</v>
      </c>
      <c r="H183">
        <v>27.8322652203594</v>
      </c>
      <c r="I183">
        <v>-82.522622491304801</v>
      </c>
      <c r="J183" t="s">
        <v>276</v>
      </c>
      <c r="K183" t="s">
        <v>586</v>
      </c>
      <c r="L183" t="s">
        <v>999</v>
      </c>
      <c r="M183" t="s">
        <v>1788</v>
      </c>
      <c r="N183" t="s">
        <v>333</v>
      </c>
      <c r="O183" t="s">
        <v>246</v>
      </c>
      <c r="T183">
        <v>63</v>
      </c>
      <c r="U183">
        <v>4.5999999999999999E-2</v>
      </c>
      <c r="W183">
        <f>LN(2)/U183</f>
        <v>15.068416968694462</v>
      </c>
      <c r="Y183">
        <v>2</v>
      </c>
      <c r="Z183">
        <v>6.6</v>
      </c>
      <c r="AA183">
        <v>6.9</v>
      </c>
      <c r="AB183" s="1" t="s">
        <v>2200</v>
      </c>
      <c r="AC183">
        <f t="shared" si="11"/>
        <v>4.5454545454545565</v>
      </c>
      <c r="AD183">
        <f t="shared" si="10"/>
        <v>7.2150072150072325E-2</v>
      </c>
      <c r="AF183" s="1" t="s">
        <v>182</v>
      </c>
      <c r="AG183" t="s">
        <v>182</v>
      </c>
      <c r="AQ183" s="8"/>
    </row>
    <row r="184" spans="1:43">
      <c r="A184" s="23" t="s">
        <v>2179</v>
      </c>
      <c r="B184">
        <v>2023</v>
      </c>
      <c r="C184" t="s">
        <v>187</v>
      </c>
      <c r="D184" t="s">
        <v>1976</v>
      </c>
      <c r="E184" t="s">
        <v>446</v>
      </c>
      <c r="F184" t="s">
        <v>702</v>
      </c>
      <c r="G184" t="s">
        <v>1992</v>
      </c>
      <c r="H184">
        <v>23.45</v>
      </c>
      <c r="I184">
        <v>117.06</v>
      </c>
      <c r="J184" t="s">
        <v>185</v>
      </c>
      <c r="K184" t="s">
        <v>380</v>
      </c>
      <c r="L184" t="s">
        <v>999</v>
      </c>
      <c r="M184" t="s">
        <v>1788</v>
      </c>
      <c r="N184" t="s">
        <v>333</v>
      </c>
      <c r="O184" t="s">
        <v>246</v>
      </c>
      <c r="T184">
        <v>20</v>
      </c>
      <c r="Z184">
        <v>8.6875</v>
      </c>
      <c r="AA184">
        <v>7.9479553903345721</v>
      </c>
      <c r="AB184" t="s">
        <v>2200</v>
      </c>
      <c r="AC184">
        <f t="shared" si="11"/>
        <v>-8.5127437083790269</v>
      </c>
      <c r="AD184">
        <f t="shared" si="10"/>
        <v>-0.42563718541895135</v>
      </c>
      <c r="AF184" s="1" t="s">
        <v>182</v>
      </c>
      <c r="AG184" t="s">
        <v>182</v>
      </c>
    </row>
    <row r="185" spans="1:43">
      <c r="A185" s="23" t="s">
        <v>2179</v>
      </c>
      <c r="B185">
        <v>2023</v>
      </c>
      <c r="C185" t="s">
        <v>187</v>
      </c>
      <c r="D185" t="s">
        <v>1976</v>
      </c>
      <c r="E185" t="s">
        <v>446</v>
      </c>
      <c r="F185" t="s">
        <v>702</v>
      </c>
      <c r="G185" t="s">
        <v>1992</v>
      </c>
      <c r="H185">
        <v>23.45</v>
      </c>
      <c r="I185">
        <v>117.06</v>
      </c>
      <c r="J185" t="s">
        <v>185</v>
      </c>
      <c r="K185" t="s">
        <v>380</v>
      </c>
      <c r="L185" t="s">
        <v>999</v>
      </c>
      <c r="M185" t="s">
        <v>1788</v>
      </c>
      <c r="N185" t="s">
        <v>333</v>
      </c>
      <c r="O185" t="s">
        <v>246</v>
      </c>
      <c r="T185">
        <v>60</v>
      </c>
      <c r="Z185">
        <v>8.6875</v>
      </c>
      <c r="AA185">
        <v>8.1204188481675388</v>
      </c>
      <c r="AB185" t="s">
        <v>2200</v>
      </c>
      <c r="AC185">
        <f t="shared" si="11"/>
        <v>-6.527552826848475</v>
      </c>
      <c r="AD185">
        <f t="shared" si="10"/>
        <v>-0.10879254711414126</v>
      </c>
      <c r="AF185" s="1" t="s">
        <v>182</v>
      </c>
      <c r="AG185" t="s">
        <v>182</v>
      </c>
    </row>
    <row r="186" spans="1:43">
      <c r="A186" s="23" t="s">
        <v>2179</v>
      </c>
      <c r="B186">
        <v>2023</v>
      </c>
      <c r="C186" t="s">
        <v>161</v>
      </c>
      <c r="D186" t="s">
        <v>1976</v>
      </c>
      <c r="E186" t="s">
        <v>446</v>
      </c>
      <c r="F186" t="s">
        <v>702</v>
      </c>
      <c r="G186" t="s">
        <v>1992</v>
      </c>
      <c r="H186">
        <v>23.45</v>
      </c>
      <c r="I186">
        <v>117.06</v>
      </c>
      <c r="J186" t="s">
        <v>185</v>
      </c>
      <c r="K186" t="s">
        <v>380</v>
      </c>
      <c r="L186" t="s">
        <v>999</v>
      </c>
      <c r="M186" t="s">
        <v>1788</v>
      </c>
      <c r="N186" t="s">
        <v>333</v>
      </c>
      <c r="O186" t="s">
        <v>246</v>
      </c>
      <c r="T186">
        <v>20</v>
      </c>
      <c r="Z186">
        <v>6.14341295080858</v>
      </c>
      <c r="AA186">
        <v>5.9356566750932949</v>
      </c>
      <c r="AB186" t="s">
        <v>2200</v>
      </c>
      <c r="AC186">
        <f t="shared" si="11"/>
        <v>-3.3817729229473459</v>
      </c>
      <c r="AD186">
        <f t="shared" si="10"/>
        <v>-0.16908864614736729</v>
      </c>
      <c r="AF186" s="1" t="s">
        <v>182</v>
      </c>
      <c r="AG186" t="s">
        <v>182</v>
      </c>
    </row>
    <row r="187" spans="1:43">
      <c r="A187" s="23" t="s">
        <v>2179</v>
      </c>
      <c r="B187">
        <v>2023</v>
      </c>
      <c r="C187" t="s">
        <v>161</v>
      </c>
      <c r="D187" t="s">
        <v>1976</v>
      </c>
      <c r="E187" t="s">
        <v>446</v>
      </c>
      <c r="F187" t="s">
        <v>702</v>
      </c>
      <c r="G187" t="s">
        <v>1992</v>
      </c>
      <c r="H187">
        <v>23.45</v>
      </c>
      <c r="I187">
        <v>117.06</v>
      </c>
      <c r="J187" t="s">
        <v>185</v>
      </c>
      <c r="K187" t="s">
        <v>380</v>
      </c>
      <c r="L187" t="s">
        <v>999</v>
      </c>
      <c r="M187" t="s">
        <v>1788</v>
      </c>
      <c r="N187" t="s">
        <v>2054</v>
      </c>
      <c r="O187" t="s">
        <v>182</v>
      </c>
      <c r="T187">
        <v>20</v>
      </c>
      <c r="Z187">
        <v>5.9234482758620688</v>
      </c>
      <c r="AA187">
        <v>5.8433134582623509</v>
      </c>
      <c r="AB187" t="s">
        <v>2200</v>
      </c>
      <c r="AC187">
        <f t="shared" si="11"/>
        <v>-1.3528406743461507</v>
      </c>
      <c r="AD187">
        <f t="shared" si="10"/>
        <v>-6.7642033717307537E-2</v>
      </c>
      <c r="AF187" s="1" t="s">
        <v>182</v>
      </c>
      <c r="AG187" t="s">
        <v>182</v>
      </c>
    </row>
    <row r="188" spans="1:43">
      <c r="A188" s="23" t="s">
        <v>2179</v>
      </c>
      <c r="B188">
        <v>2023</v>
      </c>
      <c r="C188" t="s">
        <v>161</v>
      </c>
      <c r="D188" t="s">
        <v>1976</v>
      </c>
      <c r="E188" t="s">
        <v>446</v>
      </c>
      <c r="F188" t="s">
        <v>702</v>
      </c>
      <c r="G188" t="s">
        <v>1992</v>
      </c>
      <c r="H188">
        <v>23.45</v>
      </c>
      <c r="I188">
        <v>117.06</v>
      </c>
      <c r="J188" t="s">
        <v>185</v>
      </c>
      <c r="K188" t="s">
        <v>380</v>
      </c>
      <c r="L188" t="s">
        <v>999</v>
      </c>
      <c r="M188" t="s">
        <v>1788</v>
      </c>
      <c r="N188" t="s">
        <v>2054</v>
      </c>
      <c r="O188" t="s">
        <v>182</v>
      </c>
      <c r="T188">
        <v>5</v>
      </c>
      <c r="Z188">
        <v>5.9234482758620688</v>
      </c>
      <c r="AA188">
        <v>6.4962473614260023</v>
      </c>
      <c r="AB188" t="s">
        <v>2200</v>
      </c>
      <c r="AC188">
        <f t="shared" si="11"/>
        <v>9.6700276407929184</v>
      </c>
      <c r="AD188">
        <f t="shared" si="10"/>
        <v>1.9340055281585837</v>
      </c>
      <c r="AF188" s="1" t="s">
        <v>182</v>
      </c>
      <c r="AG188" t="s">
        <v>182</v>
      </c>
    </row>
    <row r="189" spans="1:43">
      <c r="A189" t="s">
        <v>681</v>
      </c>
      <c r="B189">
        <v>1980</v>
      </c>
      <c r="C189" t="s">
        <v>161</v>
      </c>
      <c r="D189" t="s">
        <v>272</v>
      </c>
      <c r="E189" t="s">
        <v>443</v>
      </c>
      <c r="F189" t="s">
        <v>611</v>
      </c>
      <c r="G189" t="s">
        <v>612</v>
      </c>
      <c r="H189">
        <v>43.120888047572301</v>
      </c>
      <c r="I189">
        <v>-70.861513657453699</v>
      </c>
      <c r="J189" t="s">
        <v>276</v>
      </c>
      <c r="K189" t="s">
        <v>586</v>
      </c>
      <c r="L189" t="s">
        <v>999</v>
      </c>
      <c r="M189" t="s">
        <v>1788</v>
      </c>
      <c r="N189" t="s">
        <v>1724</v>
      </c>
      <c r="O189" t="s">
        <v>182</v>
      </c>
      <c r="R189" t="s">
        <v>1306</v>
      </c>
      <c r="S189" t="s">
        <v>1745</v>
      </c>
      <c r="T189">
        <v>60</v>
      </c>
      <c r="U189">
        <v>2.9700000000000001E-2</v>
      </c>
      <c r="W189">
        <v>23.338288907742264</v>
      </c>
      <c r="Y189">
        <v>2</v>
      </c>
      <c r="Z189">
        <v>29.4</v>
      </c>
      <c r="AA189">
        <v>29.4</v>
      </c>
      <c r="AB189" t="s">
        <v>2200</v>
      </c>
      <c r="AC189">
        <f t="shared" si="11"/>
        <v>0</v>
      </c>
      <c r="AD189">
        <f t="shared" si="10"/>
        <v>0</v>
      </c>
      <c r="AF189" s="1" t="s">
        <v>182</v>
      </c>
      <c r="AG189" t="s">
        <v>182</v>
      </c>
    </row>
    <row r="190" spans="1:43">
      <c r="A190" t="s">
        <v>681</v>
      </c>
      <c r="B190">
        <v>1980</v>
      </c>
      <c r="C190" t="s">
        <v>161</v>
      </c>
      <c r="D190" t="s">
        <v>272</v>
      </c>
      <c r="E190" t="s">
        <v>443</v>
      </c>
      <c r="F190" t="s">
        <v>616</v>
      </c>
      <c r="G190" t="s">
        <v>617</v>
      </c>
      <c r="H190">
        <v>43.120888047572301</v>
      </c>
      <c r="I190">
        <v>-70.861513657453699</v>
      </c>
      <c r="J190" t="s">
        <v>276</v>
      </c>
      <c r="K190" t="s">
        <v>586</v>
      </c>
      <c r="L190" t="s">
        <v>999</v>
      </c>
      <c r="M190" t="s">
        <v>1788</v>
      </c>
      <c r="N190" t="s">
        <v>1724</v>
      </c>
      <c r="O190" t="s">
        <v>182</v>
      </c>
      <c r="R190" t="s">
        <v>1123</v>
      </c>
      <c r="S190" t="s">
        <v>173</v>
      </c>
      <c r="T190">
        <v>38</v>
      </c>
      <c r="U190">
        <v>6.25E-2</v>
      </c>
      <c r="W190">
        <v>11.090354888959125</v>
      </c>
      <c r="Y190">
        <v>1.53</v>
      </c>
      <c r="Z190">
        <v>29.83</v>
      </c>
      <c r="AA190">
        <v>30.33</v>
      </c>
      <c r="AB190" t="s">
        <v>2200</v>
      </c>
      <c r="AC190">
        <f t="shared" si="11"/>
        <v>1.6761649346295675</v>
      </c>
      <c r="AD190">
        <f t="shared" si="10"/>
        <v>4.4109603542883354E-2</v>
      </c>
      <c r="AF190" s="1" t="s">
        <v>182</v>
      </c>
      <c r="AG190" t="s">
        <v>182</v>
      </c>
    </row>
    <row r="191" spans="1:43">
      <c r="A191" t="s">
        <v>608</v>
      </c>
      <c r="B191">
        <v>2012</v>
      </c>
      <c r="C191" t="s">
        <v>1991</v>
      </c>
      <c r="D191" t="s">
        <v>444</v>
      </c>
      <c r="E191" t="s">
        <v>444</v>
      </c>
      <c r="F191" t="s">
        <v>587</v>
      </c>
      <c r="G191" t="s">
        <v>588</v>
      </c>
      <c r="H191">
        <v>44.559161109999998</v>
      </c>
      <c r="I191">
        <v>-64.032430559999995</v>
      </c>
      <c r="J191" t="s">
        <v>585</v>
      </c>
      <c r="K191" t="s">
        <v>586</v>
      </c>
      <c r="L191" t="s">
        <v>999</v>
      </c>
      <c r="M191" t="s">
        <v>1788</v>
      </c>
      <c r="N191" t="s">
        <v>333</v>
      </c>
      <c r="O191" t="s">
        <v>246</v>
      </c>
      <c r="P191" t="s">
        <v>475</v>
      </c>
      <c r="Q191" t="s">
        <v>420</v>
      </c>
      <c r="T191">
        <f>4*7</f>
        <v>28</v>
      </c>
      <c r="Z191">
        <v>18.98</v>
      </c>
      <c r="AA191">
        <v>18.760000000000002</v>
      </c>
      <c r="AB191" t="s">
        <v>2200</v>
      </c>
      <c r="AC191">
        <f t="shared" si="11"/>
        <v>-1.1591148577449888</v>
      </c>
      <c r="AD191">
        <f t="shared" si="10"/>
        <v>-4.139695920517817E-2</v>
      </c>
      <c r="AF191" s="1" t="s">
        <v>182</v>
      </c>
      <c r="AG191" t="s">
        <v>182</v>
      </c>
    </row>
    <row r="192" spans="1:43">
      <c r="A192" t="s">
        <v>2420</v>
      </c>
      <c r="B192">
        <v>1981</v>
      </c>
      <c r="C192" t="s">
        <v>187</v>
      </c>
      <c r="D192" t="s">
        <v>152</v>
      </c>
      <c r="E192" t="s">
        <v>443</v>
      </c>
      <c r="F192" t="s">
        <v>156</v>
      </c>
      <c r="G192" t="s">
        <v>778</v>
      </c>
      <c r="H192">
        <v>-34.1357700201387</v>
      </c>
      <c r="I192">
        <v>18.328773208165799</v>
      </c>
      <c r="J192" t="s">
        <v>770</v>
      </c>
      <c r="K192" t="s">
        <v>1721</v>
      </c>
      <c r="L192" t="s">
        <v>184</v>
      </c>
      <c r="M192" t="s">
        <v>1788</v>
      </c>
      <c r="N192" t="s">
        <v>1730</v>
      </c>
      <c r="O192" t="s">
        <v>182</v>
      </c>
      <c r="P192" t="s">
        <v>475</v>
      </c>
      <c r="Q192" t="s">
        <v>385</v>
      </c>
      <c r="T192">
        <v>11</v>
      </c>
      <c r="U192">
        <v>0.62739999999999996</v>
      </c>
      <c r="W192">
        <v>3.3</v>
      </c>
      <c r="Z192">
        <v>5.3</v>
      </c>
      <c r="AA192">
        <v>4.93</v>
      </c>
      <c r="AB192" t="s">
        <v>2200</v>
      </c>
      <c r="AC192">
        <f t="shared" si="11"/>
        <v>-6.9811320754717006</v>
      </c>
      <c r="AD192">
        <f t="shared" si="10"/>
        <v>-0.63464837049742728</v>
      </c>
      <c r="AF192" s="1" t="s">
        <v>182</v>
      </c>
      <c r="AG192" t="s">
        <v>182</v>
      </c>
    </row>
    <row r="193" spans="1:33">
      <c r="A193" s="23" t="s">
        <v>1963</v>
      </c>
      <c r="B193">
        <v>2022</v>
      </c>
      <c r="C193" t="s">
        <v>1991</v>
      </c>
      <c r="D193" t="s">
        <v>1976</v>
      </c>
      <c r="E193" t="s">
        <v>446</v>
      </c>
      <c r="F193" t="s">
        <v>702</v>
      </c>
      <c r="G193" t="s">
        <v>1992</v>
      </c>
      <c r="H193">
        <v>25.759722</v>
      </c>
      <c r="I193">
        <v>117.354167</v>
      </c>
      <c r="J193" t="s">
        <v>185</v>
      </c>
      <c r="K193" t="s">
        <v>380</v>
      </c>
      <c r="L193" t="s">
        <v>999</v>
      </c>
      <c r="M193" t="s">
        <v>1788</v>
      </c>
      <c r="N193" t="s">
        <v>1999</v>
      </c>
      <c r="O193" t="s">
        <v>182</v>
      </c>
      <c r="P193" t="s">
        <v>670</v>
      </c>
      <c r="Q193" t="s">
        <v>385</v>
      </c>
      <c r="T193">
        <v>35</v>
      </c>
      <c r="U193">
        <v>7.8E-2</v>
      </c>
      <c r="W193">
        <f>LN(2)/U193</f>
        <v>8.8865023148710929</v>
      </c>
      <c r="Z193">
        <v>10.77</v>
      </c>
      <c r="AA193">
        <v>10.07</v>
      </c>
      <c r="AB193" t="s">
        <v>2200</v>
      </c>
      <c r="AC193">
        <f t="shared" si="11"/>
        <v>-6.499535747446604</v>
      </c>
      <c r="AD193">
        <f t="shared" si="10"/>
        <v>-0.18570102135561725</v>
      </c>
      <c r="AF193" s="1" t="s">
        <v>182</v>
      </c>
      <c r="AG193" t="s">
        <v>182</v>
      </c>
    </row>
    <row r="194" spans="1:33">
      <c r="A194" s="23" t="s">
        <v>2320</v>
      </c>
      <c r="B194">
        <v>1981</v>
      </c>
      <c r="C194" t="s">
        <v>187</v>
      </c>
      <c r="D194" t="s">
        <v>1976</v>
      </c>
      <c r="E194" t="s">
        <v>446</v>
      </c>
      <c r="F194" t="s">
        <v>702</v>
      </c>
      <c r="G194" t="s">
        <v>1001</v>
      </c>
      <c r="H194">
        <v>41.528961694111999</v>
      </c>
      <c r="I194">
        <v>-70.674006719657896</v>
      </c>
      <c r="J194" t="s">
        <v>276</v>
      </c>
      <c r="K194" t="s">
        <v>586</v>
      </c>
      <c r="L194" t="s">
        <v>184</v>
      </c>
      <c r="M194" t="s">
        <v>1788</v>
      </c>
      <c r="N194" t="s">
        <v>1735</v>
      </c>
      <c r="O194" t="s">
        <v>182</v>
      </c>
      <c r="P194" t="s">
        <v>475</v>
      </c>
      <c r="Q194" t="s">
        <v>420</v>
      </c>
      <c r="T194">
        <v>150</v>
      </c>
      <c r="U194">
        <v>4.7399999999999998E-2</v>
      </c>
      <c r="W194">
        <v>96.34</v>
      </c>
      <c r="X194">
        <v>42.38</v>
      </c>
      <c r="Y194">
        <v>2.645</v>
      </c>
      <c r="Z194">
        <v>18.399999999999999</v>
      </c>
      <c r="AA194">
        <v>17.100000000000001</v>
      </c>
      <c r="AB194" t="s">
        <v>2200</v>
      </c>
      <c r="AC194">
        <f t="shared" si="11"/>
        <v>-7.0652173913043335</v>
      </c>
      <c r="AD194">
        <f t="shared" si="10"/>
        <v>-4.7101449275362223E-2</v>
      </c>
      <c r="AF194" s="1" t="s">
        <v>182</v>
      </c>
      <c r="AG194" t="s">
        <v>182</v>
      </c>
    </row>
    <row r="195" spans="1:33">
      <c r="A195" t="s">
        <v>1252</v>
      </c>
      <c r="B195">
        <v>1989</v>
      </c>
      <c r="C195" t="s">
        <v>161</v>
      </c>
      <c r="D195" t="s">
        <v>1976</v>
      </c>
      <c r="E195" t="s">
        <v>446</v>
      </c>
      <c r="F195" t="s">
        <v>1017</v>
      </c>
      <c r="G195" t="s">
        <v>1018</v>
      </c>
      <c r="H195">
        <v>54.183204820530399</v>
      </c>
      <c r="I195">
        <v>7.8837679967502199</v>
      </c>
      <c r="J195" t="s">
        <v>1718</v>
      </c>
      <c r="K195" t="s">
        <v>155</v>
      </c>
      <c r="L195" t="s">
        <v>999</v>
      </c>
      <c r="M195" t="s">
        <v>1788</v>
      </c>
      <c r="N195" t="s">
        <v>1729</v>
      </c>
      <c r="O195" t="s">
        <v>182</v>
      </c>
      <c r="P195" t="s">
        <v>319</v>
      </c>
      <c r="Q195" t="s">
        <v>170</v>
      </c>
      <c r="T195">
        <v>30</v>
      </c>
      <c r="V195">
        <v>1.7806999999999999</v>
      </c>
      <c r="W195">
        <f>50/V195</f>
        <v>28.078845397877242</v>
      </c>
      <c r="Z195">
        <v>13</v>
      </c>
      <c r="AA195">
        <v>7.1</v>
      </c>
      <c r="AB195" t="s">
        <v>2200</v>
      </c>
      <c r="AC195">
        <f t="shared" si="11"/>
        <v>-45.384615384615387</v>
      </c>
      <c r="AD195">
        <f t="shared" si="10"/>
        <v>-1.512820512820513</v>
      </c>
      <c r="AF195" s="1" t="s">
        <v>182</v>
      </c>
      <c r="AG195" t="s">
        <v>182</v>
      </c>
    </row>
    <row r="196" spans="1:33">
      <c r="A196" t="s">
        <v>1252</v>
      </c>
      <c r="B196">
        <v>1989</v>
      </c>
      <c r="C196" t="s">
        <v>161</v>
      </c>
      <c r="D196" t="s">
        <v>1976</v>
      </c>
      <c r="E196" t="s">
        <v>446</v>
      </c>
      <c r="F196" t="s">
        <v>1021</v>
      </c>
      <c r="G196" t="s">
        <v>1220</v>
      </c>
      <c r="H196">
        <v>54.183204820530399</v>
      </c>
      <c r="I196">
        <v>7.8837679967502199</v>
      </c>
      <c r="J196" t="s">
        <v>1718</v>
      </c>
      <c r="K196" t="s">
        <v>155</v>
      </c>
      <c r="L196" t="s">
        <v>999</v>
      </c>
      <c r="M196" t="s">
        <v>1788</v>
      </c>
      <c r="N196" t="s">
        <v>1729</v>
      </c>
      <c r="O196" t="s">
        <v>182</v>
      </c>
      <c r="P196" t="s">
        <v>743</v>
      </c>
      <c r="Q196" t="s">
        <v>328</v>
      </c>
      <c r="T196">
        <v>30</v>
      </c>
      <c r="U196">
        <v>6.8599999999999994E-2</v>
      </c>
      <c r="W196">
        <v>10.1</v>
      </c>
      <c r="Z196">
        <v>9.6999999999999993</v>
      </c>
      <c r="AA196">
        <v>9.1999999999999993</v>
      </c>
      <c r="AB196" t="s">
        <v>2200</v>
      </c>
      <c r="AC196">
        <f t="shared" si="11"/>
        <v>-5.1546391752577323</v>
      </c>
      <c r="AD196">
        <f t="shared" si="10"/>
        <v>-0.1718213058419244</v>
      </c>
      <c r="AF196" s="1" t="s">
        <v>182</v>
      </c>
      <c r="AG196" t="s">
        <v>182</v>
      </c>
    </row>
    <row r="197" spans="1:33">
      <c r="A197" t="s">
        <v>1252</v>
      </c>
      <c r="B197">
        <v>1989</v>
      </c>
      <c r="C197" t="s">
        <v>161</v>
      </c>
      <c r="D197" t="s">
        <v>443</v>
      </c>
      <c r="E197" t="s">
        <v>443</v>
      </c>
      <c r="F197" t="s">
        <v>540</v>
      </c>
      <c r="G197" t="s">
        <v>1019</v>
      </c>
      <c r="H197">
        <v>54.183204820530399</v>
      </c>
      <c r="I197">
        <v>7.8837679967502199</v>
      </c>
      <c r="J197" t="s">
        <v>1718</v>
      </c>
      <c r="K197" t="s">
        <v>155</v>
      </c>
      <c r="L197" t="s">
        <v>999</v>
      </c>
      <c r="M197" t="s">
        <v>1788</v>
      </c>
      <c r="N197" t="s">
        <v>1729</v>
      </c>
      <c r="O197" t="s">
        <v>182</v>
      </c>
      <c r="P197" t="s">
        <v>319</v>
      </c>
      <c r="Q197" t="s">
        <v>170</v>
      </c>
      <c r="T197">
        <v>43</v>
      </c>
      <c r="U197">
        <v>6.0000000000000001E-3</v>
      </c>
      <c r="W197">
        <v>115.5</v>
      </c>
      <c r="Z197">
        <v>16.5</v>
      </c>
      <c r="AA197">
        <v>16.2</v>
      </c>
      <c r="AB197" t="s">
        <v>2200</v>
      </c>
      <c r="AC197">
        <f t="shared" si="11"/>
        <v>-1.8181818181818226</v>
      </c>
      <c r="AD197">
        <f t="shared" si="10"/>
        <v>-4.228329809725169E-2</v>
      </c>
      <c r="AF197" s="1" t="s">
        <v>182</v>
      </c>
      <c r="AG197" t="s">
        <v>182</v>
      </c>
    </row>
    <row r="198" spans="1:33">
      <c r="A198" s="23" t="s">
        <v>579</v>
      </c>
      <c r="B198">
        <v>1984</v>
      </c>
      <c r="C198" t="s">
        <v>187</v>
      </c>
      <c r="D198" t="s">
        <v>446</v>
      </c>
      <c r="E198" t="s">
        <v>446</v>
      </c>
      <c r="F198" t="s">
        <v>702</v>
      </c>
      <c r="G198" t="s">
        <v>1148</v>
      </c>
      <c r="H198">
        <v>38.987039193087597</v>
      </c>
      <c r="I198">
        <v>-76.9424899304787</v>
      </c>
      <c r="J198" t="s">
        <v>276</v>
      </c>
      <c r="K198" t="s">
        <v>1720</v>
      </c>
      <c r="L198" t="s">
        <v>184</v>
      </c>
      <c r="M198" t="s">
        <v>1788</v>
      </c>
      <c r="N198" t="s">
        <v>1737</v>
      </c>
      <c r="O198" t="s">
        <v>182</v>
      </c>
      <c r="T198">
        <v>16</v>
      </c>
      <c r="U198">
        <v>0.23380000000000001</v>
      </c>
      <c r="W198">
        <v>4.6500000000000004</v>
      </c>
      <c r="Z198">
        <v>12.1</v>
      </c>
      <c r="AA198">
        <v>11.4</v>
      </c>
      <c r="AB198" t="s">
        <v>2200</v>
      </c>
      <c r="AC198">
        <f t="shared" si="11"/>
        <v>-5.7851239669421437</v>
      </c>
      <c r="AD198">
        <f t="shared" si="10"/>
        <v>-0.36157024793388398</v>
      </c>
      <c r="AF198" s="1" t="s">
        <v>182</v>
      </c>
      <c r="AG198" t="s">
        <v>182</v>
      </c>
    </row>
    <row r="199" spans="1:33">
      <c r="A199" t="s">
        <v>658</v>
      </c>
      <c r="B199">
        <v>1984</v>
      </c>
      <c r="C199" t="s">
        <v>161</v>
      </c>
      <c r="D199" t="s">
        <v>444</v>
      </c>
      <c r="E199" t="s">
        <v>444</v>
      </c>
      <c r="F199" t="s">
        <v>1095</v>
      </c>
      <c r="G199" t="s">
        <v>1096</v>
      </c>
      <c r="H199">
        <v>17.7557629994518</v>
      </c>
      <c r="I199">
        <v>-64.6065295229443</v>
      </c>
      <c r="J199" t="s">
        <v>1097</v>
      </c>
      <c r="K199" t="s">
        <v>586</v>
      </c>
      <c r="L199" t="s">
        <v>999</v>
      </c>
      <c r="M199" t="s">
        <v>1788</v>
      </c>
      <c r="N199" t="s">
        <v>333</v>
      </c>
      <c r="O199" t="s">
        <v>246</v>
      </c>
      <c r="P199" t="s">
        <v>297</v>
      </c>
      <c r="Q199" t="s">
        <v>298</v>
      </c>
      <c r="R199" t="s">
        <v>218</v>
      </c>
      <c r="T199">
        <v>35</v>
      </c>
      <c r="U199">
        <v>0.2016</v>
      </c>
      <c r="W199">
        <v>5.22</v>
      </c>
      <c r="X199">
        <v>27.21</v>
      </c>
      <c r="Y199">
        <v>1.7</v>
      </c>
      <c r="Z199">
        <v>16.010000000000002</v>
      </c>
      <c r="AA199">
        <v>15.09</v>
      </c>
      <c r="AB199" t="s">
        <v>2200</v>
      </c>
      <c r="AC199">
        <f t="shared" si="11"/>
        <v>-5.7464084946908285</v>
      </c>
      <c r="AD199">
        <f t="shared" si="10"/>
        <v>-0.16418309984830939</v>
      </c>
      <c r="AF199" s="1" t="s">
        <v>182</v>
      </c>
      <c r="AG199" t="s">
        <v>182</v>
      </c>
    </row>
    <row r="200" spans="1:33">
      <c r="A200" t="s">
        <v>658</v>
      </c>
      <c r="B200">
        <v>1984</v>
      </c>
      <c r="C200" t="s">
        <v>161</v>
      </c>
      <c r="D200" t="s">
        <v>444</v>
      </c>
      <c r="E200" t="s">
        <v>444</v>
      </c>
      <c r="F200" t="s">
        <v>1095</v>
      </c>
      <c r="G200" t="s">
        <v>1096</v>
      </c>
      <c r="H200">
        <v>17.7557629994518</v>
      </c>
      <c r="I200">
        <v>-64.6065295229443</v>
      </c>
      <c r="J200" t="s">
        <v>1097</v>
      </c>
      <c r="K200" t="s">
        <v>586</v>
      </c>
      <c r="L200" t="s">
        <v>999</v>
      </c>
      <c r="M200" t="s">
        <v>1788</v>
      </c>
      <c r="N200" t="s">
        <v>333</v>
      </c>
      <c r="O200" t="s">
        <v>246</v>
      </c>
      <c r="P200" t="s">
        <v>297</v>
      </c>
      <c r="Q200" t="s">
        <v>298</v>
      </c>
      <c r="R200" t="s">
        <v>2489</v>
      </c>
      <c r="T200">
        <v>35</v>
      </c>
      <c r="U200">
        <v>0.1847</v>
      </c>
      <c r="W200">
        <v>4.5599999999999996</v>
      </c>
      <c r="X200">
        <v>27.21</v>
      </c>
      <c r="Y200">
        <v>1.7</v>
      </c>
      <c r="Z200">
        <v>16.010000000000002</v>
      </c>
      <c r="AA200">
        <v>15.9</v>
      </c>
      <c r="AB200" t="s">
        <v>2200</v>
      </c>
      <c r="AC200">
        <f t="shared" si="11"/>
        <v>-0.68707058088695316</v>
      </c>
      <c r="AD200">
        <f t="shared" si="10"/>
        <v>-1.9630588025341518E-2</v>
      </c>
      <c r="AF200" s="1" t="s">
        <v>182</v>
      </c>
      <c r="AG200" t="s">
        <v>182</v>
      </c>
    </row>
    <row r="201" spans="1:33">
      <c r="A201" t="s">
        <v>2336</v>
      </c>
      <c r="B201">
        <v>1997</v>
      </c>
      <c r="C201" t="s">
        <v>187</v>
      </c>
      <c r="D201" t="s">
        <v>152</v>
      </c>
      <c r="E201" t="s">
        <v>443</v>
      </c>
      <c r="F201" t="s">
        <v>473</v>
      </c>
      <c r="G201" t="s">
        <v>2337</v>
      </c>
      <c r="H201">
        <v>48.5455932828066</v>
      </c>
      <c r="I201">
        <v>-123.014097915996</v>
      </c>
      <c r="J201" t="s">
        <v>276</v>
      </c>
      <c r="K201" t="s">
        <v>275</v>
      </c>
      <c r="L201" t="s">
        <v>184</v>
      </c>
      <c r="M201" t="s">
        <v>1788</v>
      </c>
      <c r="N201" t="s">
        <v>2344</v>
      </c>
      <c r="O201" t="s">
        <v>182</v>
      </c>
      <c r="T201">
        <v>14</v>
      </c>
      <c r="Z201">
        <v>10.31</v>
      </c>
      <c r="AA201">
        <v>9.4700000000000006</v>
      </c>
      <c r="AB201" t="s">
        <v>2200</v>
      </c>
      <c r="AC201">
        <f t="shared" si="11"/>
        <v>-8.1474296799224035</v>
      </c>
      <c r="AD201">
        <f t="shared" si="10"/>
        <v>-0.58195926285160027</v>
      </c>
      <c r="AF201" s="1" t="s">
        <v>182</v>
      </c>
      <c r="AG201" t="s">
        <v>2324</v>
      </c>
    </row>
    <row r="202" spans="1:33">
      <c r="A202" t="s">
        <v>2343</v>
      </c>
      <c r="B202">
        <v>2002</v>
      </c>
      <c r="C202" t="s">
        <v>187</v>
      </c>
      <c r="D202" t="s">
        <v>152</v>
      </c>
      <c r="E202" t="s">
        <v>443</v>
      </c>
      <c r="F202" t="s">
        <v>2340</v>
      </c>
      <c r="G202" t="s">
        <v>2341</v>
      </c>
      <c r="H202">
        <v>48.5455932828066</v>
      </c>
      <c r="I202">
        <v>-123.014097915996</v>
      </c>
      <c r="J202" t="s">
        <v>276</v>
      </c>
      <c r="K202" t="s">
        <v>275</v>
      </c>
      <c r="L202" t="s">
        <v>184</v>
      </c>
      <c r="M202" t="s">
        <v>1788</v>
      </c>
      <c r="N202" t="s">
        <v>2338</v>
      </c>
      <c r="O202" t="s">
        <v>182</v>
      </c>
      <c r="T202">
        <v>4</v>
      </c>
      <c r="Z202">
        <v>5.9</v>
      </c>
      <c r="AA202">
        <v>5.5</v>
      </c>
      <c r="AB202" t="s">
        <v>2200</v>
      </c>
      <c r="AC202">
        <f t="shared" si="11"/>
        <v>-6.7796610169491585</v>
      </c>
      <c r="AD202">
        <f t="shared" si="10"/>
        <v>-1.6949152542372896</v>
      </c>
      <c r="AF202" s="1" t="s">
        <v>182</v>
      </c>
      <c r="AG202" t="s">
        <v>2324</v>
      </c>
    </row>
    <row r="203" spans="1:33">
      <c r="A203" t="s">
        <v>2339</v>
      </c>
      <c r="B203">
        <v>2002</v>
      </c>
      <c r="C203" t="s">
        <v>187</v>
      </c>
      <c r="D203" t="s">
        <v>152</v>
      </c>
      <c r="E203" t="s">
        <v>443</v>
      </c>
      <c r="F203" t="s">
        <v>508</v>
      </c>
      <c r="G203" t="s">
        <v>509</v>
      </c>
      <c r="H203">
        <v>48.5455932828066</v>
      </c>
      <c r="I203">
        <v>-123.014097915996</v>
      </c>
      <c r="J203" t="s">
        <v>276</v>
      </c>
      <c r="K203" t="s">
        <v>275</v>
      </c>
      <c r="L203" t="s">
        <v>184</v>
      </c>
      <c r="M203" t="s">
        <v>1788</v>
      </c>
      <c r="N203" t="s">
        <v>2338</v>
      </c>
      <c r="O203" t="s">
        <v>182</v>
      </c>
      <c r="T203">
        <v>4</v>
      </c>
      <c r="Z203">
        <v>8.23</v>
      </c>
      <c r="AA203">
        <v>7.93</v>
      </c>
      <c r="AB203" t="s">
        <v>2200</v>
      </c>
      <c r="AC203">
        <f t="shared" si="11"/>
        <v>-3.6452004860267402</v>
      </c>
      <c r="AD203">
        <f t="shared" si="10"/>
        <v>-0.91130012150668505</v>
      </c>
      <c r="AF203" s="1" t="s">
        <v>182</v>
      </c>
      <c r="AG203" t="s">
        <v>2324</v>
      </c>
    </row>
    <row r="204" spans="1:33" s="2" customFormat="1">
      <c r="A204" t="s">
        <v>2328</v>
      </c>
      <c r="B204">
        <v>2021</v>
      </c>
      <c r="C204" t="s">
        <v>187</v>
      </c>
      <c r="D204" t="s">
        <v>443</v>
      </c>
      <c r="E204" t="s">
        <v>443</v>
      </c>
      <c r="F204" t="s">
        <v>2333</v>
      </c>
      <c r="G204" t="s">
        <v>614</v>
      </c>
      <c r="H204">
        <v>33.450000000000003</v>
      </c>
      <c r="I204">
        <v>-118.5</v>
      </c>
      <c r="J204" t="s">
        <v>276</v>
      </c>
      <c r="K204" t="s">
        <v>275</v>
      </c>
      <c r="L204" t="s">
        <v>999</v>
      </c>
      <c r="M204" t="s">
        <v>1788</v>
      </c>
      <c r="N204" t="s">
        <v>333</v>
      </c>
      <c r="O204" t="s">
        <v>246</v>
      </c>
      <c r="P204"/>
      <c r="Q204"/>
      <c r="R204"/>
      <c r="S204"/>
      <c r="T204">
        <v>16</v>
      </c>
      <c r="U204"/>
      <c r="V204"/>
      <c r="W204"/>
      <c r="X204"/>
      <c r="Y204"/>
      <c r="Z204">
        <v>16.100000000000001</v>
      </c>
      <c r="AA204">
        <v>15.4</v>
      </c>
      <c r="AB204" t="s">
        <v>2200</v>
      </c>
      <c r="AC204">
        <f t="shared" si="11"/>
        <v>-4.3478260869565277</v>
      </c>
      <c r="AD204">
        <f t="shared" si="10"/>
        <v>-0.27173913043478298</v>
      </c>
      <c r="AE204" t="s">
        <v>1199</v>
      </c>
      <c r="AF204" s="1" t="s">
        <v>182</v>
      </c>
      <c r="AG204" t="s">
        <v>2324</v>
      </c>
    </row>
    <row r="205" spans="1:33" s="2" customFormat="1">
      <c r="A205" t="s">
        <v>970</v>
      </c>
      <c r="B205">
        <v>2010</v>
      </c>
      <c r="C205" t="s">
        <v>161</v>
      </c>
      <c r="D205" t="s">
        <v>1976</v>
      </c>
      <c r="E205" t="s">
        <v>444</v>
      </c>
      <c r="F205" t="s">
        <v>448</v>
      </c>
      <c r="G205" t="s">
        <v>1188</v>
      </c>
      <c r="H205">
        <v>58.370534545157803</v>
      </c>
      <c r="I205">
        <v>22.975764849170499</v>
      </c>
      <c r="J205" t="s">
        <v>1323</v>
      </c>
      <c r="K205" t="s">
        <v>155</v>
      </c>
      <c r="L205" t="s">
        <v>999</v>
      </c>
      <c r="M205" t="s">
        <v>1788</v>
      </c>
      <c r="N205" t="s">
        <v>333</v>
      </c>
      <c r="O205" t="s">
        <v>246</v>
      </c>
      <c r="P205"/>
      <c r="Q205" t="s">
        <v>170</v>
      </c>
      <c r="R205"/>
      <c r="S205"/>
      <c r="T205">
        <v>29</v>
      </c>
      <c r="U205" t="s">
        <v>190</v>
      </c>
      <c r="V205"/>
      <c r="W205" t="s">
        <v>190</v>
      </c>
      <c r="X205"/>
      <c r="Y205" s="1">
        <v>1.06</v>
      </c>
      <c r="Z205"/>
      <c r="AA205"/>
      <c r="AB205"/>
      <c r="AC205"/>
      <c r="AD205"/>
      <c r="AE205"/>
      <c r="AF205" s="1" t="s">
        <v>2484</v>
      </c>
      <c r="AG205" t="s">
        <v>182</v>
      </c>
    </row>
    <row r="206" spans="1:33" s="2" customFormat="1">
      <c r="A206" t="s">
        <v>970</v>
      </c>
      <c r="B206">
        <v>2010</v>
      </c>
      <c r="C206" t="s">
        <v>161</v>
      </c>
      <c r="D206" t="s">
        <v>1976</v>
      </c>
      <c r="E206" t="s">
        <v>444</v>
      </c>
      <c r="F206" t="s">
        <v>448</v>
      </c>
      <c r="G206" t="s">
        <v>1188</v>
      </c>
      <c r="H206">
        <v>58.370534545157803</v>
      </c>
      <c r="I206">
        <v>22.975764849170499</v>
      </c>
      <c r="J206" t="s">
        <v>1323</v>
      </c>
      <c r="K206" t="s">
        <v>155</v>
      </c>
      <c r="L206" t="s">
        <v>999</v>
      </c>
      <c r="M206" t="s">
        <v>1788</v>
      </c>
      <c r="N206" t="s">
        <v>333</v>
      </c>
      <c r="O206" t="s">
        <v>246</v>
      </c>
      <c r="P206"/>
      <c r="Q206" t="s">
        <v>170</v>
      </c>
      <c r="R206"/>
      <c r="S206"/>
      <c r="T206">
        <v>29</v>
      </c>
      <c r="U206" t="s">
        <v>190</v>
      </c>
      <c r="V206"/>
      <c r="W206" t="s">
        <v>190</v>
      </c>
      <c r="X206"/>
      <c r="Y206" s="1">
        <v>1.06</v>
      </c>
      <c r="Z206"/>
      <c r="AA206"/>
      <c r="AB206"/>
      <c r="AC206"/>
      <c r="AD206"/>
      <c r="AE206"/>
      <c r="AF206" s="1" t="s">
        <v>2484</v>
      </c>
      <c r="AG206" t="s">
        <v>182</v>
      </c>
    </row>
    <row r="207" spans="1:33" s="2" customFormat="1">
      <c r="A207" t="s">
        <v>970</v>
      </c>
      <c r="B207">
        <v>2010</v>
      </c>
      <c r="C207" t="s">
        <v>161</v>
      </c>
      <c r="D207" t="s">
        <v>1976</v>
      </c>
      <c r="E207" t="s">
        <v>444</v>
      </c>
      <c r="F207" t="s">
        <v>448</v>
      </c>
      <c r="G207" t="s">
        <v>1188</v>
      </c>
      <c r="H207">
        <v>58.370534545157803</v>
      </c>
      <c r="I207">
        <v>22.975764849170499</v>
      </c>
      <c r="J207" t="s">
        <v>1323</v>
      </c>
      <c r="K207" t="s">
        <v>155</v>
      </c>
      <c r="L207" t="s">
        <v>999</v>
      </c>
      <c r="M207" t="s">
        <v>1788</v>
      </c>
      <c r="N207" t="s">
        <v>333</v>
      </c>
      <c r="O207" t="s">
        <v>246</v>
      </c>
      <c r="P207"/>
      <c r="Q207" t="s">
        <v>170</v>
      </c>
      <c r="R207"/>
      <c r="S207"/>
      <c r="T207">
        <v>29</v>
      </c>
      <c r="U207" t="s">
        <v>190</v>
      </c>
      <c r="V207"/>
      <c r="W207" t="s">
        <v>190</v>
      </c>
      <c r="X207"/>
      <c r="Y207" s="1">
        <v>1.06</v>
      </c>
      <c r="Z207"/>
      <c r="AA207"/>
      <c r="AB207"/>
      <c r="AC207"/>
      <c r="AD207"/>
      <c r="AE207"/>
      <c r="AF207" s="1" t="s">
        <v>2484</v>
      </c>
      <c r="AG207" t="s">
        <v>182</v>
      </c>
    </row>
    <row r="208" spans="1:33">
      <c r="A208" t="s">
        <v>970</v>
      </c>
      <c r="B208">
        <v>2010</v>
      </c>
      <c r="C208" t="s">
        <v>161</v>
      </c>
      <c r="D208" t="s">
        <v>1976</v>
      </c>
      <c r="E208" t="s">
        <v>444</v>
      </c>
      <c r="F208" t="s">
        <v>448</v>
      </c>
      <c r="G208" t="s">
        <v>1188</v>
      </c>
      <c r="H208">
        <v>58.370534545157803</v>
      </c>
      <c r="I208">
        <v>22.975764849170499</v>
      </c>
      <c r="J208" t="s">
        <v>1323</v>
      </c>
      <c r="K208" t="s">
        <v>155</v>
      </c>
      <c r="L208" t="s">
        <v>999</v>
      </c>
      <c r="M208" t="s">
        <v>1788</v>
      </c>
      <c r="N208" t="s">
        <v>333</v>
      </c>
      <c r="O208" t="s">
        <v>246</v>
      </c>
      <c r="Q208" t="s">
        <v>170</v>
      </c>
      <c r="T208">
        <v>29</v>
      </c>
      <c r="U208" t="s">
        <v>190</v>
      </c>
      <c r="W208" t="s">
        <v>190</v>
      </c>
      <c r="Y208" s="1">
        <v>1.06</v>
      </c>
      <c r="AF208" s="1" t="s">
        <v>2484</v>
      </c>
      <c r="AG208" t="s">
        <v>182</v>
      </c>
    </row>
    <row r="209" spans="1:33">
      <c r="A209" t="s">
        <v>970</v>
      </c>
      <c r="B209">
        <v>2010</v>
      </c>
      <c r="C209" t="s">
        <v>161</v>
      </c>
      <c r="D209" t="s">
        <v>1976</v>
      </c>
      <c r="E209" t="s">
        <v>444</v>
      </c>
      <c r="F209" t="s">
        <v>448</v>
      </c>
      <c r="G209" t="s">
        <v>1188</v>
      </c>
      <c r="H209">
        <v>58.370534545157803</v>
      </c>
      <c r="I209">
        <v>22.975764849170499</v>
      </c>
      <c r="J209" t="s">
        <v>1323</v>
      </c>
      <c r="K209" t="s">
        <v>155</v>
      </c>
      <c r="L209" t="s">
        <v>999</v>
      </c>
      <c r="M209" t="s">
        <v>1788</v>
      </c>
      <c r="N209" t="s">
        <v>333</v>
      </c>
      <c r="O209" t="s">
        <v>246</v>
      </c>
      <c r="Q209" t="s">
        <v>217</v>
      </c>
      <c r="T209">
        <v>30</v>
      </c>
      <c r="U209">
        <v>2.8000000000000001E-2</v>
      </c>
      <c r="W209">
        <f>LN(2)/U209</f>
        <v>24.755256448569472</v>
      </c>
      <c r="Y209">
        <v>1.1180000000000001</v>
      </c>
      <c r="AF209" s="1" t="s">
        <v>2484</v>
      </c>
      <c r="AG209" t="s">
        <v>182</v>
      </c>
    </row>
    <row r="210" spans="1:33">
      <c r="A210" t="s">
        <v>970</v>
      </c>
      <c r="B210">
        <v>2010</v>
      </c>
      <c r="C210" t="s">
        <v>161</v>
      </c>
      <c r="D210" t="s">
        <v>1976</v>
      </c>
      <c r="E210" t="s">
        <v>444</v>
      </c>
      <c r="F210" t="s">
        <v>448</v>
      </c>
      <c r="G210" t="s">
        <v>1188</v>
      </c>
      <c r="H210">
        <v>58.370534545157803</v>
      </c>
      <c r="I210">
        <v>22.975764849170499</v>
      </c>
      <c r="J210" t="s">
        <v>1323</v>
      </c>
      <c r="K210" t="s">
        <v>155</v>
      </c>
      <c r="L210" t="s">
        <v>999</v>
      </c>
      <c r="M210" t="s">
        <v>1788</v>
      </c>
      <c r="N210" t="s">
        <v>333</v>
      </c>
      <c r="O210" t="s">
        <v>246</v>
      </c>
      <c r="Q210" t="s">
        <v>217</v>
      </c>
      <c r="T210">
        <v>30</v>
      </c>
      <c r="U210">
        <v>2.2100000000000002E-2</v>
      </c>
      <c r="W210">
        <v>25.38</v>
      </c>
      <c r="Y210">
        <v>1.1180000000000001</v>
      </c>
      <c r="AF210" s="1" t="s">
        <v>2484</v>
      </c>
      <c r="AG210" t="s">
        <v>182</v>
      </c>
    </row>
    <row r="211" spans="1:33">
      <c r="A211" t="s">
        <v>970</v>
      </c>
      <c r="B211">
        <v>2010</v>
      </c>
      <c r="C211" t="s">
        <v>161</v>
      </c>
      <c r="D211" t="s">
        <v>1976</v>
      </c>
      <c r="E211" t="s">
        <v>444</v>
      </c>
      <c r="F211" t="s">
        <v>448</v>
      </c>
      <c r="G211" t="s">
        <v>1188</v>
      </c>
      <c r="H211">
        <v>58.370534545157803</v>
      </c>
      <c r="I211">
        <v>22.975764849170499</v>
      </c>
      <c r="J211" t="s">
        <v>1323</v>
      </c>
      <c r="K211" t="s">
        <v>155</v>
      </c>
      <c r="L211" t="s">
        <v>999</v>
      </c>
      <c r="M211" t="s">
        <v>1788</v>
      </c>
      <c r="N211" t="s">
        <v>333</v>
      </c>
      <c r="O211" t="s">
        <v>246</v>
      </c>
      <c r="Q211" t="s">
        <v>217</v>
      </c>
      <c r="T211">
        <v>30</v>
      </c>
      <c r="U211">
        <v>1.55E-2</v>
      </c>
      <c r="W211">
        <v>28.76</v>
      </c>
      <c r="Y211">
        <v>1.1180000000000001</v>
      </c>
      <c r="AF211" s="1" t="s">
        <v>2484</v>
      </c>
      <c r="AG211" t="s">
        <v>182</v>
      </c>
    </row>
    <row r="212" spans="1:33">
      <c r="A212" t="s">
        <v>970</v>
      </c>
      <c r="B212">
        <v>2010</v>
      </c>
      <c r="C212" t="s">
        <v>161</v>
      </c>
      <c r="D212" t="s">
        <v>1976</v>
      </c>
      <c r="E212" t="s">
        <v>444</v>
      </c>
      <c r="F212" t="s">
        <v>448</v>
      </c>
      <c r="G212" t="s">
        <v>1188</v>
      </c>
      <c r="H212">
        <v>58.370534545157803</v>
      </c>
      <c r="I212">
        <v>22.975764849170499</v>
      </c>
      <c r="J212" t="s">
        <v>1323</v>
      </c>
      <c r="K212" t="s">
        <v>155</v>
      </c>
      <c r="L212" t="s">
        <v>999</v>
      </c>
      <c r="M212" t="s">
        <v>1788</v>
      </c>
      <c r="N212" t="s">
        <v>333</v>
      </c>
      <c r="O212" t="s">
        <v>246</v>
      </c>
      <c r="Q212" t="s">
        <v>217</v>
      </c>
      <c r="T212">
        <v>30</v>
      </c>
      <c r="U212">
        <v>1.24E-2</v>
      </c>
      <c r="W212">
        <v>30.87</v>
      </c>
      <c r="Y212">
        <v>1.1180000000000001</v>
      </c>
      <c r="AF212" s="1" t="s">
        <v>2484</v>
      </c>
      <c r="AG212" t="s">
        <v>182</v>
      </c>
    </row>
    <row r="213" spans="1:33">
      <c r="A213" t="s">
        <v>970</v>
      </c>
      <c r="B213">
        <v>2010</v>
      </c>
      <c r="C213" t="s">
        <v>161</v>
      </c>
      <c r="D213" t="s">
        <v>1976</v>
      </c>
      <c r="E213" t="s">
        <v>443</v>
      </c>
      <c r="F213" t="s">
        <v>1189</v>
      </c>
      <c r="G213" t="s">
        <v>1190</v>
      </c>
      <c r="H213">
        <v>58.370534545157803</v>
      </c>
      <c r="I213">
        <v>22.975764849170499</v>
      </c>
      <c r="J213" t="s">
        <v>1323</v>
      </c>
      <c r="K213" t="s">
        <v>155</v>
      </c>
      <c r="L213" t="s">
        <v>999</v>
      </c>
      <c r="M213" t="s">
        <v>1788</v>
      </c>
      <c r="N213" t="s">
        <v>333</v>
      </c>
      <c r="O213" t="s">
        <v>246</v>
      </c>
      <c r="P213" s="2"/>
      <c r="Q213" t="s">
        <v>170</v>
      </c>
      <c r="R213" s="2"/>
      <c r="S213" s="2"/>
      <c r="T213">
        <v>29</v>
      </c>
      <c r="U213">
        <v>6.7500000000000004E-2</v>
      </c>
      <c r="W213">
        <v>40.68</v>
      </c>
      <c r="X213" s="2"/>
      <c r="Y213" s="1">
        <v>1.1970000000000001</v>
      </c>
      <c r="Z213" s="2"/>
      <c r="AA213" s="2"/>
      <c r="AB213" s="2"/>
      <c r="AC213" s="2"/>
      <c r="AD213" s="2"/>
      <c r="AE213" s="2"/>
      <c r="AF213" s="1" t="s">
        <v>2484</v>
      </c>
      <c r="AG213" t="s">
        <v>182</v>
      </c>
    </row>
    <row r="214" spans="1:33">
      <c r="A214" t="s">
        <v>970</v>
      </c>
      <c r="B214">
        <v>2010</v>
      </c>
      <c r="C214" t="s">
        <v>161</v>
      </c>
      <c r="D214" t="s">
        <v>1976</v>
      </c>
      <c r="E214" t="s">
        <v>443</v>
      </c>
      <c r="F214" t="s">
        <v>1189</v>
      </c>
      <c r="G214" t="s">
        <v>1190</v>
      </c>
      <c r="H214">
        <v>58.370534545157803</v>
      </c>
      <c r="I214">
        <v>22.975764849170499</v>
      </c>
      <c r="J214" t="s">
        <v>1323</v>
      </c>
      <c r="K214" t="s">
        <v>155</v>
      </c>
      <c r="L214" t="s">
        <v>999</v>
      </c>
      <c r="M214" t="s">
        <v>1788</v>
      </c>
      <c r="N214" t="s">
        <v>333</v>
      </c>
      <c r="O214" t="s">
        <v>246</v>
      </c>
      <c r="Q214" t="s">
        <v>170</v>
      </c>
      <c r="T214">
        <v>29</v>
      </c>
      <c r="U214">
        <v>0.29499999999999998</v>
      </c>
      <c r="W214" t="s">
        <v>190</v>
      </c>
      <c r="X214" s="2"/>
      <c r="Y214" s="1">
        <v>1.1970000000000001</v>
      </c>
      <c r="AF214" s="1" t="s">
        <v>2484</v>
      </c>
      <c r="AG214" t="s">
        <v>182</v>
      </c>
    </row>
    <row r="215" spans="1:33">
      <c r="A215" t="s">
        <v>970</v>
      </c>
      <c r="B215">
        <v>2010</v>
      </c>
      <c r="C215" t="s">
        <v>161</v>
      </c>
      <c r="D215" t="s">
        <v>1976</v>
      </c>
      <c r="E215" t="s">
        <v>443</v>
      </c>
      <c r="F215" t="s">
        <v>1189</v>
      </c>
      <c r="G215" t="s">
        <v>1190</v>
      </c>
      <c r="H215">
        <v>58.370534545157803</v>
      </c>
      <c r="I215">
        <v>22.975764849170499</v>
      </c>
      <c r="J215" t="s">
        <v>1323</v>
      </c>
      <c r="K215" t="s">
        <v>155</v>
      </c>
      <c r="L215" t="s">
        <v>999</v>
      </c>
      <c r="M215" t="s">
        <v>1788</v>
      </c>
      <c r="N215" t="s">
        <v>333</v>
      </c>
      <c r="O215" t="s">
        <v>246</v>
      </c>
      <c r="Q215" t="s">
        <v>170</v>
      </c>
      <c r="T215">
        <v>29</v>
      </c>
      <c r="U215">
        <v>0.29239999999999999</v>
      </c>
      <c r="W215" t="s">
        <v>190</v>
      </c>
      <c r="Y215" s="1">
        <v>1.1970000000000001</v>
      </c>
      <c r="AF215" s="1" t="s">
        <v>2484</v>
      </c>
      <c r="AG215" t="s">
        <v>182</v>
      </c>
    </row>
    <row r="216" spans="1:33">
      <c r="A216" t="s">
        <v>970</v>
      </c>
      <c r="B216">
        <v>2010</v>
      </c>
      <c r="C216" t="s">
        <v>161</v>
      </c>
      <c r="D216" t="s">
        <v>1976</v>
      </c>
      <c r="E216" t="s">
        <v>443</v>
      </c>
      <c r="F216" t="s">
        <v>1189</v>
      </c>
      <c r="G216" t="s">
        <v>1190</v>
      </c>
      <c r="H216">
        <v>58.370534545157803</v>
      </c>
      <c r="I216">
        <v>22.975764849170499</v>
      </c>
      <c r="J216" t="s">
        <v>1323</v>
      </c>
      <c r="K216" t="s">
        <v>155</v>
      </c>
      <c r="L216" t="s">
        <v>999</v>
      </c>
      <c r="M216" t="s">
        <v>1788</v>
      </c>
      <c r="N216" t="s">
        <v>333</v>
      </c>
      <c r="O216" t="s">
        <v>246</v>
      </c>
      <c r="Q216" t="s">
        <v>170</v>
      </c>
      <c r="T216">
        <v>29</v>
      </c>
      <c r="U216">
        <v>6.7500000000000004E-2</v>
      </c>
      <c r="W216">
        <v>45.84</v>
      </c>
      <c r="Y216" s="1">
        <v>1.1970000000000001</v>
      </c>
      <c r="AF216" s="1" t="s">
        <v>2484</v>
      </c>
      <c r="AG216" t="s">
        <v>182</v>
      </c>
    </row>
    <row r="217" spans="1:33">
      <c r="A217" t="s">
        <v>970</v>
      </c>
      <c r="B217">
        <v>2010</v>
      </c>
      <c r="C217" t="s">
        <v>161</v>
      </c>
      <c r="D217" t="s">
        <v>1976</v>
      </c>
      <c r="E217" t="s">
        <v>443</v>
      </c>
      <c r="F217" t="s">
        <v>1189</v>
      </c>
      <c r="G217" t="s">
        <v>1190</v>
      </c>
      <c r="H217">
        <v>58.370534545157803</v>
      </c>
      <c r="I217">
        <v>22.975764849170499</v>
      </c>
      <c r="J217" t="s">
        <v>1323</v>
      </c>
      <c r="K217" t="s">
        <v>155</v>
      </c>
      <c r="L217" t="s">
        <v>999</v>
      </c>
      <c r="M217" t="s">
        <v>1788</v>
      </c>
      <c r="N217" t="s">
        <v>333</v>
      </c>
      <c r="O217" t="s">
        <v>246</v>
      </c>
      <c r="Q217" t="s">
        <v>217</v>
      </c>
      <c r="T217">
        <v>70</v>
      </c>
      <c r="U217">
        <v>4.0599999999999997E-2</v>
      </c>
      <c r="W217">
        <f>LN(2)/U217</f>
        <v>17.072590654185845</v>
      </c>
      <c r="Y217">
        <v>1.57</v>
      </c>
      <c r="AF217" s="1" t="s">
        <v>2484</v>
      </c>
      <c r="AG217" t="s">
        <v>182</v>
      </c>
    </row>
    <row r="218" spans="1:33">
      <c r="A218" t="s">
        <v>970</v>
      </c>
      <c r="B218">
        <v>2010</v>
      </c>
      <c r="C218" t="s">
        <v>161</v>
      </c>
      <c r="D218" t="s">
        <v>1976</v>
      </c>
      <c r="E218" t="s">
        <v>443</v>
      </c>
      <c r="F218" t="s">
        <v>1189</v>
      </c>
      <c r="G218" t="s">
        <v>1190</v>
      </c>
      <c r="H218">
        <v>58.370534545157803</v>
      </c>
      <c r="I218">
        <v>22.975764849170499</v>
      </c>
      <c r="J218" t="s">
        <v>1323</v>
      </c>
      <c r="K218" t="s">
        <v>155</v>
      </c>
      <c r="L218" t="s">
        <v>999</v>
      </c>
      <c r="M218" t="s">
        <v>1788</v>
      </c>
      <c r="N218" t="s">
        <v>333</v>
      </c>
      <c r="O218" t="s">
        <v>246</v>
      </c>
      <c r="P218" s="2"/>
      <c r="Q218" t="s">
        <v>217</v>
      </c>
      <c r="R218" s="2"/>
      <c r="S218" s="2"/>
      <c r="T218">
        <v>70</v>
      </c>
      <c r="U218">
        <v>4.0399999999999998E-2</v>
      </c>
      <c r="W218">
        <f>LN(2)/U218</f>
        <v>17.157108429701616</v>
      </c>
      <c r="X218" s="2"/>
      <c r="Y218">
        <v>1.57</v>
      </c>
      <c r="Z218" s="2"/>
      <c r="AA218" s="2"/>
      <c r="AB218" s="2"/>
      <c r="AC218" s="2"/>
      <c r="AD218" s="2"/>
      <c r="AE218" s="2"/>
      <c r="AF218" s="1" t="s">
        <v>2484</v>
      </c>
      <c r="AG218" t="s">
        <v>182</v>
      </c>
    </row>
    <row r="219" spans="1:33">
      <c r="A219" t="s">
        <v>970</v>
      </c>
      <c r="B219">
        <v>2010</v>
      </c>
      <c r="C219" t="s">
        <v>161</v>
      </c>
      <c r="D219" t="s">
        <v>1976</v>
      </c>
      <c r="E219" t="s">
        <v>443</v>
      </c>
      <c r="F219" t="s">
        <v>1189</v>
      </c>
      <c r="G219" t="s">
        <v>1190</v>
      </c>
      <c r="H219">
        <v>58.370534545157803</v>
      </c>
      <c r="I219">
        <v>22.975764849170499</v>
      </c>
      <c r="J219" t="s">
        <v>1323</v>
      </c>
      <c r="K219" t="s">
        <v>155</v>
      </c>
      <c r="L219" t="s">
        <v>999</v>
      </c>
      <c r="M219" t="s">
        <v>1788</v>
      </c>
      <c r="N219" t="s">
        <v>333</v>
      </c>
      <c r="O219" t="s">
        <v>246</v>
      </c>
      <c r="P219" s="2"/>
      <c r="Q219" t="s">
        <v>217</v>
      </c>
      <c r="R219" s="2"/>
      <c r="S219" s="2"/>
      <c r="T219">
        <v>70</v>
      </c>
      <c r="U219">
        <v>3.7600000000000001E-2</v>
      </c>
      <c r="W219">
        <f>LN(2)/U219</f>
        <v>18.434765440424076</v>
      </c>
      <c r="X219" s="2"/>
      <c r="Y219">
        <v>1.57</v>
      </c>
      <c r="Z219" s="2"/>
      <c r="AA219" s="2"/>
      <c r="AB219" s="2"/>
      <c r="AC219" s="2"/>
      <c r="AD219" s="2"/>
      <c r="AE219" s="2"/>
      <c r="AF219" s="1" t="s">
        <v>2484</v>
      </c>
      <c r="AG219" t="s">
        <v>182</v>
      </c>
    </row>
    <row r="220" spans="1:33">
      <c r="A220" t="s">
        <v>970</v>
      </c>
      <c r="B220">
        <v>2010</v>
      </c>
      <c r="C220" t="s">
        <v>161</v>
      </c>
      <c r="D220" t="s">
        <v>1976</v>
      </c>
      <c r="E220" t="s">
        <v>443</v>
      </c>
      <c r="F220" t="s">
        <v>1189</v>
      </c>
      <c r="G220" t="s">
        <v>1190</v>
      </c>
      <c r="H220">
        <v>58.370534545157803</v>
      </c>
      <c r="I220">
        <v>22.975764849170499</v>
      </c>
      <c r="J220" t="s">
        <v>1323</v>
      </c>
      <c r="K220" t="s">
        <v>155</v>
      </c>
      <c r="L220" t="s">
        <v>999</v>
      </c>
      <c r="M220" t="s">
        <v>1788</v>
      </c>
      <c r="N220" t="s">
        <v>333</v>
      </c>
      <c r="O220" t="s">
        <v>246</v>
      </c>
      <c r="P220" s="2"/>
      <c r="Q220" t="s">
        <v>217</v>
      </c>
      <c r="R220" s="2"/>
      <c r="S220" s="2"/>
      <c r="T220">
        <v>70</v>
      </c>
      <c r="U220">
        <v>5.21E-2</v>
      </c>
      <c r="W220">
        <f>LN(2)/U220</f>
        <v>13.304168532820446</v>
      </c>
      <c r="X220" s="2"/>
      <c r="Y220">
        <v>1.57</v>
      </c>
      <c r="Z220" s="2"/>
      <c r="AA220" s="2"/>
      <c r="AB220" s="2"/>
      <c r="AC220" s="2"/>
      <c r="AD220" s="2"/>
      <c r="AE220" s="2"/>
      <c r="AF220" s="1" t="s">
        <v>2484</v>
      </c>
      <c r="AG220" t="s">
        <v>182</v>
      </c>
    </row>
    <row r="221" spans="1:33">
      <c r="A221" t="s">
        <v>862</v>
      </c>
      <c r="B221">
        <v>2002</v>
      </c>
      <c r="C221" t="s">
        <v>187</v>
      </c>
      <c r="D221" t="s">
        <v>1976</v>
      </c>
      <c r="E221" t="s">
        <v>443</v>
      </c>
      <c r="F221" t="s">
        <v>1189</v>
      </c>
      <c r="G221" t="s">
        <v>1190</v>
      </c>
      <c r="H221">
        <v>58.465236594728601</v>
      </c>
      <c r="I221">
        <v>24.4753147885563</v>
      </c>
      <c r="J221" t="s">
        <v>1323</v>
      </c>
      <c r="K221" t="s">
        <v>155</v>
      </c>
      <c r="L221" t="s">
        <v>999</v>
      </c>
      <c r="M221" t="s">
        <v>1788</v>
      </c>
      <c r="N221" t="s">
        <v>333</v>
      </c>
      <c r="O221" t="s">
        <v>246</v>
      </c>
      <c r="T221">
        <v>10</v>
      </c>
      <c r="U221">
        <v>0.1547</v>
      </c>
      <c r="W221" t="s">
        <v>190</v>
      </c>
      <c r="Y221">
        <v>0.68799999999999994</v>
      </c>
      <c r="AE221" t="s">
        <v>881</v>
      </c>
      <c r="AF221" s="1" t="s">
        <v>2484</v>
      </c>
      <c r="AG221" t="s">
        <v>182</v>
      </c>
    </row>
    <row r="222" spans="1:33">
      <c r="A222" t="s">
        <v>862</v>
      </c>
      <c r="B222">
        <v>2002</v>
      </c>
      <c r="C222" t="s">
        <v>187</v>
      </c>
      <c r="D222" t="s">
        <v>1976</v>
      </c>
      <c r="E222" t="s">
        <v>443</v>
      </c>
      <c r="F222" t="s">
        <v>1189</v>
      </c>
      <c r="G222" t="s">
        <v>1190</v>
      </c>
      <c r="H222">
        <v>58.465236594728601</v>
      </c>
      <c r="I222">
        <v>24.4753147885563</v>
      </c>
      <c r="J222" t="s">
        <v>1323</v>
      </c>
      <c r="K222" t="s">
        <v>155</v>
      </c>
      <c r="L222" t="s">
        <v>999</v>
      </c>
      <c r="M222" t="s">
        <v>1788</v>
      </c>
      <c r="N222" t="s">
        <v>333</v>
      </c>
      <c r="O222" t="s">
        <v>246</v>
      </c>
      <c r="T222">
        <v>10</v>
      </c>
      <c r="V222">
        <v>2.9573</v>
      </c>
      <c r="W222">
        <f>50/V222</f>
        <v>16.907314104081426</v>
      </c>
      <c r="Y222">
        <v>0.73</v>
      </c>
      <c r="AE222" t="s">
        <v>2490</v>
      </c>
      <c r="AF222" s="1" t="s">
        <v>2484</v>
      </c>
      <c r="AG222" t="s">
        <v>182</v>
      </c>
    </row>
    <row r="223" spans="1:33">
      <c r="A223" t="s">
        <v>862</v>
      </c>
      <c r="B223">
        <v>2002</v>
      </c>
      <c r="C223" t="s">
        <v>187</v>
      </c>
      <c r="D223" t="s">
        <v>1976</v>
      </c>
      <c r="E223" t="s">
        <v>444</v>
      </c>
      <c r="F223" t="s">
        <v>448</v>
      </c>
      <c r="G223" t="s">
        <v>1188</v>
      </c>
      <c r="H223">
        <v>58.465236594728601</v>
      </c>
      <c r="I223">
        <v>24.4753147885563</v>
      </c>
      <c r="J223" t="s">
        <v>1323</v>
      </c>
      <c r="K223" t="s">
        <v>155</v>
      </c>
      <c r="L223" t="s">
        <v>999</v>
      </c>
      <c r="M223" t="s">
        <v>1788</v>
      </c>
      <c r="N223" t="s">
        <v>333</v>
      </c>
      <c r="O223" t="s">
        <v>246</v>
      </c>
      <c r="T223">
        <v>10</v>
      </c>
      <c r="U223">
        <v>0.12559999999999999</v>
      </c>
      <c r="W223" s="1">
        <v>19.71</v>
      </c>
      <c r="Y223">
        <v>1.44</v>
      </c>
      <c r="AE223" t="s">
        <v>881</v>
      </c>
      <c r="AF223" s="1" t="s">
        <v>2484</v>
      </c>
      <c r="AG223" t="s">
        <v>182</v>
      </c>
    </row>
    <row r="224" spans="1:33">
      <c r="A224" t="s">
        <v>862</v>
      </c>
      <c r="B224">
        <v>2002</v>
      </c>
      <c r="C224" t="s">
        <v>187</v>
      </c>
      <c r="D224" t="s">
        <v>1976</v>
      </c>
      <c r="E224" t="s">
        <v>444</v>
      </c>
      <c r="F224" t="s">
        <v>448</v>
      </c>
      <c r="G224" t="s">
        <v>1188</v>
      </c>
      <c r="H224">
        <v>58.465236594728601</v>
      </c>
      <c r="I224">
        <v>24.4753147885563</v>
      </c>
      <c r="J224" t="s">
        <v>1323</v>
      </c>
      <c r="K224" t="s">
        <v>155</v>
      </c>
      <c r="L224" t="s">
        <v>999</v>
      </c>
      <c r="M224" t="s">
        <v>1788</v>
      </c>
      <c r="N224" t="s">
        <v>333</v>
      </c>
      <c r="O224" t="s">
        <v>246</v>
      </c>
      <c r="T224">
        <v>10</v>
      </c>
      <c r="U224">
        <v>1.9599999999999999E-2</v>
      </c>
      <c r="W224">
        <f>LN(2)/U224</f>
        <v>35.364652069384967</v>
      </c>
      <c r="Y224">
        <v>1.52</v>
      </c>
      <c r="AE224" t="s">
        <v>2490</v>
      </c>
      <c r="AF224" s="1" t="s">
        <v>2484</v>
      </c>
      <c r="AG224" t="s">
        <v>182</v>
      </c>
    </row>
    <row r="225" spans="1:33">
      <c r="A225" t="s">
        <v>2106</v>
      </c>
      <c r="B225">
        <v>1982</v>
      </c>
      <c r="C225" t="s">
        <v>187</v>
      </c>
      <c r="D225" t="s">
        <v>443</v>
      </c>
      <c r="E225" t="s">
        <v>443</v>
      </c>
      <c r="F225" t="s">
        <v>1004</v>
      </c>
      <c r="G225" t="s">
        <v>1005</v>
      </c>
      <c r="H225">
        <v>31.9856425834219</v>
      </c>
      <c r="I225">
        <v>-81.048545308199706</v>
      </c>
      <c r="J225" t="s">
        <v>276</v>
      </c>
      <c r="K225" t="s">
        <v>586</v>
      </c>
      <c r="L225" t="s">
        <v>184</v>
      </c>
      <c r="M225" t="s">
        <v>424</v>
      </c>
      <c r="N225" t="s">
        <v>2114</v>
      </c>
      <c r="O225" t="s">
        <v>182</v>
      </c>
      <c r="T225">
        <v>150</v>
      </c>
      <c r="V225">
        <v>0.32</v>
      </c>
      <c r="W225">
        <v>156.25</v>
      </c>
      <c r="X225">
        <v>47.2</v>
      </c>
      <c r="Y225">
        <v>3.01</v>
      </c>
      <c r="AF225" s="1" t="s">
        <v>2484</v>
      </c>
      <c r="AG225" t="s">
        <v>182</v>
      </c>
    </row>
    <row r="226" spans="1:33">
      <c r="A226" t="s">
        <v>2106</v>
      </c>
      <c r="B226">
        <v>1982</v>
      </c>
      <c r="C226" t="s">
        <v>187</v>
      </c>
      <c r="D226" t="s">
        <v>1976</v>
      </c>
      <c r="E226" t="s">
        <v>446</v>
      </c>
      <c r="F226" t="s">
        <v>702</v>
      </c>
      <c r="G226" t="s">
        <v>1001</v>
      </c>
      <c r="H226">
        <v>31.9856425834219</v>
      </c>
      <c r="I226">
        <v>-81.048545308199706</v>
      </c>
      <c r="J226" t="s">
        <v>276</v>
      </c>
      <c r="K226" t="s">
        <v>586</v>
      </c>
      <c r="L226" t="s">
        <v>184</v>
      </c>
      <c r="M226" t="s">
        <v>424</v>
      </c>
      <c r="N226" t="s">
        <v>2114</v>
      </c>
      <c r="O226" t="s">
        <v>182</v>
      </c>
      <c r="T226">
        <v>150</v>
      </c>
      <c r="V226">
        <v>0.34670000000000001</v>
      </c>
      <c r="W226">
        <v>144.21690222094028</v>
      </c>
      <c r="X226">
        <v>51.3</v>
      </c>
      <c r="Y226">
        <v>3.29</v>
      </c>
      <c r="AF226" s="1" t="s">
        <v>2484</v>
      </c>
      <c r="AG226" t="s">
        <v>182</v>
      </c>
    </row>
  </sheetData>
  <sortState xmlns:xlrd2="http://schemas.microsoft.com/office/spreadsheetml/2017/richdata2" ref="A2:AG226">
    <sortCondition ref="AB2:AB226"/>
  </sortState>
  <phoneticPr fontId="10"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444"/>
  <sheetViews>
    <sheetView topLeftCell="A92" workbookViewId="0">
      <selection activeCell="C115" sqref="C115"/>
    </sheetView>
  </sheetViews>
  <sheetFormatPr baseColWidth="10" defaultColWidth="8.83203125" defaultRowHeight="15"/>
  <cols>
    <col min="1" max="1" width="100.1640625" customWidth="1"/>
    <col min="2" max="2" width="16" customWidth="1"/>
    <col min="3" max="3" width="82.1640625" customWidth="1"/>
  </cols>
  <sheetData>
    <row r="1" spans="1:41" s="6" customFormat="1">
      <c r="A1" s="13" t="s">
        <v>2734</v>
      </c>
      <c r="B1" s="13" t="s">
        <v>2733</v>
      </c>
      <c r="C1" s="13" t="s">
        <v>1827</v>
      </c>
      <c r="D1" s="1"/>
      <c r="E1" s="1"/>
      <c r="F1" s="1"/>
      <c r="G1" s="1"/>
      <c r="H1" s="1"/>
      <c r="AM1" s="13"/>
      <c r="AN1" s="13"/>
      <c r="AO1" s="13"/>
    </row>
    <row r="2" spans="1:41" s="77" customFormat="1">
      <c r="A2" s="35" t="s">
        <v>90</v>
      </c>
      <c r="B2" s="35">
        <v>1</v>
      </c>
      <c r="C2" s="35" t="s">
        <v>555</v>
      </c>
      <c r="D2" s="1"/>
      <c r="E2" s="1"/>
      <c r="F2" s="1"/>
      <c r="G2" s="1"/>
      <c r="H2" s="1"/>
      <c r="I2"/>
      <c r="J2"/>
      <c r="K2"/>
      <c r="L2"/>
      <c r="M2"/>
      <c r="N2"/>
      <c r="O2"/>
      <c r="P2"/>
      <c r="AL2" s="78"/>
      <c r="AM2" s="76"/>
      <c r="AN2" s="76"/>
      <c r="AO2" s="76"/>
    </row>
    <row r="3" spans="1:41" s="25" customFormat="1">
      <c r="A3" s="35" t="s">
        <v>27</v>
      </c>
      <c r="B3" s="35">
        <v>1</v>
      </c>
      <c r="C3" s="35" t="s">
        <v>346</v>
      </c>
      <c r="D3" s="1"/>
      <c r="E3" s="1"/>
      <c r="F3" s="1"/>
      <c r="G3" s="1"/>
      <c r="H3" s="1"/>
      <c r="I3"/>
      <c r="J3"/>
      <c r="K3"/>
      <c r="L3"/>
      <c r="M3"/>
      <c r="N3"/>
      <c r="O3"/>
      <c r="P3"/>
      <c r="AL3" s="48"/>
      <c r="AM3" s="47"/>
      <c r="AN3" s="47"/>
      <c r="AO3" s="47"/>
    </row>
    <row r="4" spans="1:41" s="25" customFormat="1">
      <c r="A4" s="35" t="s">
        <v>395</v>
      </c>
      <c r="B4" s="35">
        <v>1</v>
      </c>
      <c r="C4" s="35" t="s">
        <v>396</v>
      </c>
      <c r="D4" s="1"/>
      <c r="E4" s="1"/>
      <c r="F4" s="1"/>
      <c r="G4" s="1"/>
      <c r="H4" s="1"/>
      <c r="I4"/>
      <c r="J4"/>
      <c r="K4"/>
      <c r="L4"/>
      <c r="M4"/>
      <c r="N4"/>
      <c r="O4"/>
      <c r="P4"/>
      <c r="AL4" s="48"/>
      <c r="AM4" s="47"/>
      <c r="AN4" s="47"/>
      <c r="AO4" s="47"/>
    </row>
    <row r="5" spans="1:41" s="83" customFormat="1">
      <c r="A5" s="35" t="s">
        <v>24</v>
      </c>
      <c r="B5" s="35">
        <v>1</v>
      </c>
      <c r="C5" s="35" t="s">
        <v>323</v>
      </c>
      <c r="D5" s="1"/>
      <c r="E5" s="1"/>
      <c r="F5" s="1"/>
      <c r="G5" s="1"/>
      <c r="H5" s="1"/>
      <c r="I5"/>
      <c r="J5"/>
      <c r="K5"/>
      <c r="L5"/>
      <c r="M5"/>
      <c r="N5"/>
      <c r="O5"/>
      <c r="P5"/>
      <c r="AL5" s="85"/>
      <c r="AM5" s="84"/>
      <c r="AN5" s="84"/>
      <c r="AO5" s="84"/>
    </row>
    <row r="6" spans="1:41" s="25" customFormat="1">
      <c r="A6" s="35" t="s">
        <v>20</v>
      </c>
      <c r="B6" s="35">
        <v>1</v>
      </c>
      <c r="C6" s="35" t="s">
        <v>288</v>
      </c>
      <c r="D6" s="1"/>
      <c r="E6" s="1"/>
      <c r="F6" s="1"/>
      <c r="G6" s="1"/>
      <c r="H6" s="1"/>
      <c r="I6"/>
      <c r="J6"/>
      <c r="K6"/>
      <c r="L6"/>
      <c r="M6"/>
      <c r="N6"/>
      <c r="O6"/>
      <c r="P6"/>
      <c r="AL6" s="48"/>
      <c r="AM6" s="47"/>
      <c r="AN6" s="47"/>
      <c r="AO6" s="47"/>
    </row>
    <row r="7" spans="1:41" s="25" customFormat="1">
      <c r="A7" s="35" t="s">
        <v>85</v>
      </c>
      <c r="B7" s="35">
        <v>1</v>
      </c>
      <c r="C7" s="35" t="s">
        <v>550</v>
      </c>
      <c r="D7" s="1"/>
      <c r="E7" s="1"/>
      <c r="F7" s="1"/>
      <c r="G7" s="1"/>
      <c r="H7" s="1"/>
      <c r="I7"/>
      <c r="J7"/>
      <c r="K7"/>
      <c r="L7"/>
      <c r="M7"/>
      <c r="N7"/>
      <c r="O7"/>
      <c r="P7"/>
      <c r="Z7" s="72"/>
      <c r="AL7" s="48"/>
      <c r="AM7" s="47"/>
      <c r="AN7" s="47"/>
      <c r="AO7" s="47"/>
    </row>
    <row r="8" spans="1:41" s="25" customFormat="1">
      <c r="A8" s="51" t="s">
        <v>2809</v>
      </c>
      <c r="B8" s="35">
        <v>3</v>
      </c>
      <c r="C8" s="35" t="s">
        <v>2743</v>
      </c>
      <c r="D8" s="1"/>
      <c r="E8" s="1"/>
      <c r="F8" s="1"/>
      <c r="G8" s="1"/>
      <c r="H8" s="1"/>
      <c r="I8"/>
      <c r="J8"/>
      <c r="K8"/>
      <c r="L8"/>
      <c r="M8"/>
      <c r="N8"/>
      <c r="O8"/>
      <c r="P8"/>
      <c r="AL8" s="48"/>
      <c r="AM8" s="47"/>
      <c r="AN8" s="47"/>
      <c r="AO8" s="47"/>
    </row>
    <row r="9" spans="1:41" s="25" customFormat="1">
      <c r="A9" s="35" t="s">
        <v>13</v>
      </c>
      <c r="B9" s="35">
        <v>1</v>
      </c>
      <c r="C9" s="35" t="s">
        <v>208</v>
      </c>
      <c r="D9" s="1"/>
      <c r="E9" s="1"/>
      <c r="F9" s="1"/>
      <c r="G9" s="1"/>
      <c r="H9" s="1"/>
      <c r="I9"/>
      <c r="J9"/>
      <c r="K9"/>
      <c r="L9"/>
      <c r="M9"/>
      <c r="N9"/>
      <c r="O9"/>
      <c r="P9"/>
      <c r="AL9" s="48"/>
      <c r="AM9" s="47"/>
      <c r="AN9" s="47"/>
      <c r="AO9" s="47"/>
    </row>
    <row r="10" spans="1:41" s="77" customFormat="1">
      <c r="A10" s="35" t="s">
        <v>70</v>
      </c>
      <c r="B10" s="35">
        <v>1</v>
      </c>
      <c r="C10" s="35" t="s">
        <v>208</v>
      </c>
      <c r="D10" s="1"/>
      <c r="E10" s="1"/>
      <c r="F10" s="1"/>
      <c r="G10" s="1"/>
      <c r="H10" s="1"/>
      <c r="I10"/>
      <c r="J10"/>
      <c r="K10"/>
      <c r="L10"/>
      <c r="M10"/>
      <c r="N10"/>
      <c r="O10"/>
      <c r="P10"/>
      <c r="AL10" s="78"/>
      <c r="AM10" s="76"/>
      <c r="AN10" s="76"/>
      <c r="AO10" s="76"/>
    </row>
    <row r="11" spans="1:41" s="77" customFormat="1">
      <c r="A11" s="35" t="s">
        <v>105</v>
      </c>
      <c r="B11" s="35">
        <v>1</v>
      </c>
      <c r="C11" s="35" t="s">
        <v>208</v>
      </c>
      <c r="D11" s="1"/>
      <c r="E11" s="1"/>
      <c r="F11" s="1"/>
      <c r="G11" s="1"/>
      <c r="H11" s="1"/>
      <c r="I11"/>
      <c r="J11"/>
      <c r="K11"/>
      <c r="L11"/>
      <c r="M11"/>
      <c r="N11"/>
      <c r="O11"/>
      <c r="P11"/>
      <c r="AL11" s="78"/>
      <c r="AM11" s="76"/>
      <c r="AN11" s="76"/>
      <c r="AO11" s="76"/>
    </row>
    <row r="12" spans="1:41" s="77" customFormat="1">
      <c r="A12" s="35" t="s">
        <v>493</v>
      </c>
      <c r="B12" s="35">
        <v>1</v>
      </c>
      <c r="C12" s="35" t="s">
        <v>208</v>
      </c>
      <c r="D12" s="1"/>
      <c r="E12" s="1"/>
      <c r="F12" s="1"/>
      <c r="G12" s="1"/>
      <c r="H12" s="1"/>
      <c r="I12"/>
      <c r="J12"/>
      <c r="K12"/>
      <c r="L12"/>
      <c r="M12"/>
      <c r="N12"/>
      <c r="O12"/>
      <c r="P12"/>
      <c r="AL12" s="78"/>
      <c r="AM12" s="76"/>
      <c r="AN12" s="76"/>
      <c r="AO12" s="76"/>
    </row>
    <row r="13" spans="1:41" s="25" customFormat="1">
      <c r="A13" s="35" t="s">
        <v>429</v>
      </c>
      <c r="B13" s="35">
        <v>1</v>
      </c>
      <c r="C13" s="35" t="s">
        <v>208</v>
      </c>
      <c r="D13" s="1"/>
      <c r="E13" s="1"/>
      <c r="F13" s="1"/>
      <c r="G13" s="1"/>
      <c r="H13" s="1"/>
      <c r="I13"/>
      <c r="J13"/>
      <c r="K13"/>
      <c r="L13"/>
      <c r="M13"/>
      <c r="N13"/>
      <c r="O13"/>
      <c r="P13"/>
      <c r="AL13" s="48"/>
      <c r="AM13" s="47"/>
      <c r="AN13" s="47"/>
      <c r="AO13" s="47"/>
    </row>
    <row r="14" spans="1:41" s="43" customFormat="1">
      <c r="A14" s="35" t="s">
        <v>430</v>
      </c>
      <c r="B14" s="35">
        <v>1</v>
      </c>
      <c r="C14" s="35" t="s">
        <v>208</v>
      </c>
      <c r="D14" s="1"/>
      <c r="E14" s="1"/>
      <c r="F14" s="1"/>
      <c r="G14" s="1"/>
      <c r="H14" s="1"/>
      <c r="I14" s="2"/>
      <c r="J14" s="2"/>
      <c r="K14" s="2"/>
      <c r="L14" s="2"/>
      <c r="M14" s="2"/>
      <c r="N14" s="2"/>
      <c r="O14" s="2"/>
      <c r="P14" s="2"/>
      <c r="AM14" s="41"/>
      <c r="AN14" s="41"/>
      <c r="AO14" s="41"/>
    </row>
    <row r="15" spans="1:41" s="25" customFormat="1">
      <c r="A15" s="35" t="s">
        <v>340</v>
      </c>
      <c r="B15" s="35">
        <v>1</v>
      </c>
      <c r="C15" s="35" t="s">
        <v>929</v>
      </c>
      <c r="D15" s="1"/>
      <c r="E15" s="1"/>
      <c r="F15" s="1"/>
      <c r="G15" s="1"/>
      <c r="H15" s="1"/>
      <c r="I15"/>
      <c r="J15"/>
      <c r="K15"/>
      <c r="L15"/>
      <c r="M15"/>
      <c r="N15"/>
      <c r="O15"/>
      <c r="P15"/>
      <c r="AL15" s="48"/>
      <c r="AM15" s="47"/>
      <c r="AN15" s="47"/>
      <c r="AO15" s="47"/>
    </row>
    <row r="16" spans="1:41" s="42" customFormat="1">
      <c r="A16" s="35" t="s">
        <v>2093</v>
      </c>
      <c r="B16" s="35">
        <v>2</v>
      </c>
      <c r="C16" s="35" t="s">
        <v>929</v>
      </c>
      <c r="D16" s="1"/>
      <c r="E16" s="1"/>
      <c r="F16" s="1"/>
      <c r="G16" s="1"/>
      <c r="H16" s="1"/>
      <c r="I16"/>
      <c r="J16"/>
      <c r="K16"/>
      <c r="L16"/>
      <c r="M16"/>
      <c r="N16"/>
      <c r="O16"/>
      <c r="P16"/>
      <c r="AL16" s="43"/>
      <c r="AM16" s="41"/>
      <c r="AN16" s="41"/>
      <c r="AO16" s="41"/>
    </row>
    <row r="17" spans="1:62" s="25" customFormat="1">
      <c r="A17" s="35" t="s">
        <v>2101</v>
      </c>
      <c r="B17" s="35">
        <v>2</v>
      </c>
      <c r="C17" s="35" t="s">
        <v>929</v>
      </c>
      <c r="D17" s="1"/>
      <c r="E17" s="1"/>
      <c r="F17" s="1"/>
      <c r="G17" s="1"/>
      <c r="H17" s="1"/>
      <c r="I17"/>
      <c r="J17"/>
      <c r="K17"/>
      <c r="L17"/>
      <c r="M17"/>
      <c r="N17"/>
      <c r="O17"/>
      <c r="P17"/>
      <c r="AL17" s="48"/>
      <c r="AM17" s="47"/>
      <c r="AN17" s="47"/>
      <c r="AO17" s="47"/>
    </row>
    <row r="18" spans="1:62" s="25" customFormat="1">
      <c r="A18" s="51" t="s">
        <v>2768</v>
      </c>
      <c r="B18" s="35">
        <v>2</v>
      </c>
      <c r="C18" s="35" t="s">
        <v>929</v>
      </c>
      <c r="D18" s="1"/>
      <c r="E18" s="1"/>
      <c r="F18" s="1"/>
      <c r="G18" s="1"/>
      <c r="H18" s="1"/>
      <c r="I18"/>
      <c r="J18"/>
      <c r="K18"/>
      <c r="L18"/>
      <c r="M18"/>
      <c r="N18"/>
      <c r="O18"/>
      <c r="P18"/>
      <c r="AL18" s="48"/>
      <c r="AM18" s="47"/>
      <c r="AN18" s="47"/>
      <c r="AO18" s="47"/>
      <c r="BJ18" s="48"/>
    </row>
    <row r="19" spans="1:62" s="25" customFormat="1" ht="17">
      <c r="A19" s="52" t="s">
        <v>2971</v>
      </c>
      <c r="B19" s="35">
        <v>3</v>
      </c>
      <c r="C19" s="35" t="s">
        <v>929</v>
      </c>
      <c r="D19" s="1"/>
      <c r="E19" s="1"/>
      <c r="F19" s="1"/>
      <c r="G19" s="1"/>
      <c r="H19" s="1"/>
      <c r="I19"/>
      <c r="J19"/>
      <c r="K19"/>
      <c r="L19"/>
      <c r="M19"/>
      <c r="N19"/>
      <c r="O19"/>
      <c r="P19"/>
      <c r="AL19" s="48"/>
      <c r="AM19" s="47"/>
      <c r="AN19" s="47"/>
      <c r="AO19" s="47"/>
    </row>
    <row r="20" spans="1:62" s="25" customFormat="1" ht="17">
      <c r="A20" s="52" t="s">
        <v>2985</v>
      </c>
      <c r="B20" s="35">
        <v>3</v>
      </c>
      <c r="C20" s="35" t="s">
        <v>929</v>
      </c>
      <c r="D20" s="1"/>
      <c r="E20" s="1"/>
      <c r="F20" s="1"/>
      <c r="G20" s="1"/>
      <c r="H20" s="1"/>
      <c r="I20"/>
      <c r="J20"/>
      <c r="K20"/>
      <c r="L20"/>
      <c r="M20"/>
      <c r="N20"/>
      <c r="O20"/>
      <c r="P20"/>
      <c r="AL20" s="48"/>
      <c r="AM20" s="47"/>
      <c r="AN20" s="47"/>
      <c r="AO20" s="47"/>
    </row>
    <row r="21" spans="1:62" s="25" customFormat="1">
      <c r="A21" s="35" t="s">
        <v>457</v>
      </c>
      <c r="B21" s="35">
        <v>1</v>
      </c>
      <c r="C21" s="35" t="s">
        <v>913</v>
      </c>
      <c r="D21" s="1"/>
      <c r="E21" s="1"/>
      <c r="F21" s="1"/>
      <c r="G21" s="1"/>
      <c r="H21" s="1"/>
      <c r="I21"/>
      <c r="J21"/>
      <c r="K21"/>
      <c r="L21"/>
      <c r="M21"/>
      <c r="N21"/>
      <c r="O21"/>
      <c r="P21"/>
      <c r="AL21" s="48"/>
      <c r="AM21" s="47"/>
      <c r="AN21" s="47"/>
      <c r="AO21" s="47"/>
    </row>
    <row r="22" spans="1:62" s="39" customFormat="1">
      <c r="A22" s="35" t="s">
        <v>16</v>
      </c>
      <c r="B22" s="35">
        <v>1</v>
      </c>
      <c r="C22" s="35" t="s">
        <v>265</v>
      </c>
      <c r="D22" s="1"/>
      <c r="E22" s="1"/>
      <c r="F22" s="1"/>
      <c r="G22" s="1"/>
      <c r="H22" s="1"/>
      <c r="I22"/>
      <c r="J22"/>
      <c r="K22"/>
      <c r="L22"/>
      <c r="M22"/>
      <c r="N22"/>
      <c r="O22"/>
      <c r="P22"/>
      <c r="AL22" s="40"/>
      <c r="AM22" s="38"/>
      <c r="AN22" s="38"/>
      <c r="AO22" s="38"/>
    </row>
    <row r="23" spans="1:62" s="25" customFormat="1">
      <c r="A23" s="35" t="s">
        <v>250</v>
      </c>
      <c r="B23" s="35">
        <v>1</v>
      </c>
      <c r="C23" s="35" t="s">
        <v>251</v>
      </c>
      <c r="D23" s="1"/>
      <c r="E23" s="1"/>
      <c r="F23" s="1"/>
      <c r="G23" s="1"/>
      <c r="H23" s="1"/>
      <c r="I23"/>
      <c r="J23"/>
      <c r="K23"/>
      <c r="L23"/>
      <c r="M23"/>
      <c r="N23"/>
      <c r="O23"/>
      <c r="P23"/>
      <c r="AL23" s="48"/>
      <c r="AM23" s="47"/>
      <c r="AN23" s="47"/>
      <c r="AO23" s="47"/>
    </row>
    <row r="24" spans="1:62" s="25" customFormat="1">
      <c r="A24" s="35" t="s">
        <v>600</v>
      </c>
      <c r="B24" s="35">
        <v>1</v>
      </c>
      <c r="C24" s="35" t="s">
        <v>839</v>
      </c>
      <c r="D24" s="1"/>
      <c r="E24" s="1"/>
      <c r="F24" s="1"/>
      <c r="G24" s="1"/>
      <c r="H24" s="1"/>
      <c r="I24"/>
      <c r="J24"/>
      <c r="K24"/>
      <c r="L24"/>
      <c r="M24"/>
      <c r="N24"/>
      <c r="O24"/>
      <c r="P24"/>
      <c r="AL24" s="48"/>
      <c r="AM24" s="47"/>
      <c r="AN24" s="47"/>
      <c r="AO24" s="47"/>
    </row>
    <row r="25" spans="1:62" s="25" customFormat="1">
      <c r="A25" s="35" t="s">
        <v>1926</v>
      </c>
      <c r="B25" s="35">
        <v>2</v>
      </c>
      <c r="C25" s="35" t="s">
        <v>839</v>
      </c>
      <c r="D25" s="1"/>
      <c r="E25" s="1"/>
      <c r="F25" s="1"/>
      <c r="G25" s="1"/>
      <c r="H25" s="1"/>
      <c r="I25"/>
      <c r="J25"/>
      <c r="K25"/>
      <c r="L25"/>
      <c r="M25"/>
      <c r="N25"/>
      <c r="O25"/>
      <c r="P25"/>
      <c r="AL25" s="48"/>
      <c r="AM25" s="47"/>
      <c r="AN25" s="47"/>
      <c r="AO25" s="47"/>
    </row>
    <row r="26" spans="1:62" s="25" customFormat="1">
      <c r="A26" s="35" t="s">
        <v>863</v>
      </c>
      <c r="B26" s="35">
        <v>2</v>
      </c>
      <c r="C26" s="35" t="s">
        <v>929</v>
      </c>
      <c r="D26" s="1"/>
      <c r="E26" s="1"/>
      <c r="F26" s="1"/>
      <c r="G26" s="1"/>
      <c r="H26" s="1"/>
      <c r="I26"/>
      <c r="J26"/>
      <c r="K26"/>
      <c r="L26"/>
      <c r="M26"/>
      <c r="N26"/>
      <c r="O26"/>
      <c r="P26"/>
      <c r="AL26" s="48"/>
      <c r="AM26" s="47"/>
      <c r="AN26" s="47"/>
      <c r="AO26" s="47"/>
    </row>
    <row r="27" spans="1:62" s="83" customFormat="1">
      <c r="A27" s="35" t="s">
        <v>960</v>
      </c>
      <c r="B27" s="35">
        <v>2</v>
      </c>
      <c r="C27" s="35" t="s">
        <v>929</v>
      </c>
      <c r="D27" s="1"/>
      <c r="E27" s="1"/>
      <c r="F27" s="1"/>
      <c r="G27" s="1"/>
      <c r="H27" s="1"/>
      <c r="I27"/>
      <c r="J27"/>
      <c r="K27"/>
      <c r="L27"/>
      <c r="M27"/>
      <c r="N27"/>
      <c r="O27"/>
      <c r="P27"/>
      <c r="AL27" s="85"/>
      <c r="AM27" s="84"/>
      <c r="AN27" s="84"/>
      <c r="AO27" s="84"/>
    </row>
    <row r="28" spans="1:62" s="83" customFormat="1" ht="17">
      <c r="A28" s="21" t="s">
        <v>2935</v>
      </c>
      <c r="B28" s="1">
        <v>1</v>
      </c>
      <c r="C28" s="1" t="s">
        <v>3068</v>
      </c>
      <c r="D28" s="1"/>
      <c r="E28" s="1"/>
      <c r="F28" s="1"/>
      <c r="G28" s="1"/>
      <c r="H28" s="1"/>
      <c r="I28"/>
      <c r="J28"/>
      <c r="K28"/>
      <c r="L28"/>
      <c r="M28"/>
      <c r="N28"/>
      <c r="O28"/>
      <c r="P28"/>
      <c r="AL28" s="85"/>
      <c r="AM28" s="84"/>
      <c r="AN28" s="84"/>
      <c r="AO28" s="84"/>
    </row>
    <row r="29" spans="1:62" s="25" customFormat="1">
      <c r="A29" t="s">
        <v>2127</v>
      </c>
      <c r="B29" s="1">
        <v>2</v>
      </c>
      <c r="C29" s="1" t="s">
        <v>2505</v>
      </c>
      <c r="E29" s="1"/>
      <c r="F29" s="1"/>
      <c r="G29" s="1"/>
      <c r="H29" s="1"/>
      <c r="I29"/>
      <c r="J29"/>
      <c r="K29"/>
      <c r="L29"/>
      <c r="M29"/>
      <c r="N29"/>
      <c r="O29"/>
      <c r="P29"/>
      <c r="AL29" s="48"/>
      <c r="AM29" s="47"/>
      <c r="AN29" s="47"/>
      <c r="AO29" s="47"/>
    </row>
    <row r="30" spans="1:62" s="25" customFormat="1" ht="17">
      <c r="A30" s="21" t="s">
        <v>2958</v>
      </c>
      <c r="B30" s="1">
        <v>3</v>
      </c>
      <c r="C30" s="1" t="s">
        <v>2959</v>
      </c>
      <c r="D30" s="1"/>
      <c r="E30" s="1"/>
      <c r="F30" s="1"/>
      <c r="G30" s="1"/>
      <c r="H30" s="1"/>
      <c r="I30"/>
      <c r="J30"/>
      <c r="K30"/>
      <c r="L30"/>
      <c r="M30"/>
      <c r="N30"/>
      <c r="O30"/>
      <c r="P30"/>
      <c r="AL30" s="48"/>
      <c r="AM30" s="47"/>
      <c r="AN30" s="47"/>
      <c r="AO30" s="47"/>
    </row>
    <row r="31" spans="1:62" s="58" customFormat="1" ht="17">
      <c r="A31" s="21" t="s">
        <v>2965</v>
      </c>
      <c r="B31" s="1">
        <v>3</v>
      </c>
      <c r="C31" s="1" t="s">
        <v>2966</v>
      </c>
      <c r="D31" s="1"/>
      <c r="E31" s="1"/>
      <c r="F31" s="1"/>
      <c r="G31" s="1"/>
      <c r="H31" s="1"/>
      <c r="I31"/>
      <c r="J31"/>
      <c r="K31"/>
      <c r="L31"/>
      <c r="M31"/>
      <c r="N31"/>
      <c r="O31"/>
      <c r="P31"/>
      <c r="AL31" s="59"/>
      <c r="AM31" s="57"/>
      <c r="AN31" s="57"/>
      <c r="AO31" s="57"/>
    </row>
    <row r="32" spans="1:62" s="42" customFormat="1">
      <c r="A32" s="1" t="s">
        <v>1253</v>
      </c>
      <c r="B32" s="1">
        <v>1</v>
      </c>
      <c r="C32" s="1" t="s">
        <v>3069</v>
      </c>
      <c r="D32" s="1"/>
      <c r="E32" s="1"/>
      <c r="F32" s="1"/>
      <c r="G32" s="1"/>
      <c r="H32" s="1"/>
      <c r="I32"/>
      <c r="J32"/>
      <c r="K32"/>
      <c r="L32"/>
      <c r="M32"/>
      <c r="N32"/>
      <c r="O32"/>
      <c r="P32"/>
      <c r="AL32" s="43"/>
      <c r="AM32" s="41"/>
      <c r="AN32" s="41"/>
      <c r="AO32" s="41"/>
    </row>
    <row r="33" spans="1:41" s="39" customFormat="1">
      <c r="A33" t="s">
        <v>578</v>
      </c>
      <c r="B33" s="1">
        <v>2</v>
      </c>
      <c r="C33" s="1" t="s">
        <v>2592</v>
      </c>
      <c r="D33" s="1"/>
      <c r="E33" s="1"/>
      <c r="F33" s="1"/>
      <c r="G33" s="1"/>
      <c r="H33" s="1"/>
      <c r="I33"/>
      <c r="J33"/>
      <c r="K33"/>
      <c r="L33"/>
      <c r="M33"/>
      <c r="N33"/>
      <c r="O33"/>
      <c r="P33"/>
      <c r="AL33" s="40"/>
    </row>
    <row r="34" spans="1:41" s="77" customFormat="1" ht="17">
      <c r="A34" s="21" t="s">
        <v>2750</v>
      </c>
      <c r="B34" s="1">
        <v>3</v>
      </c>
      <c r="C34" s="1" t="s">
        <v>2860</v>
      </c>
      <c r="D34" s="1"/>
      <c r="E34" s="1"/>
      <c r="F34" s="1"/>
      <c r="G34" s="1"/>
      <c r="H34" s="1"/>
      <c r="I34"/>
      <c r="J34"/>
      <c r="K34"/>
      <c r="L34"/>
      <c r="M34"/>
      <c r="N34"/>
      <c r="O34"/>
      <c r="P34"/>
      <c r="AL34" s="78"/>
    </row>
    <row r="35" spans="1:41" s="64" customFormat="1">
      <c r="A35" s="1" t="s">
        <v>574</v>
      </c>
      <c r="B35" s="1">
        <v>1</v>
      </c>
      <c r="C35" s="1" t="s">
        <v>1023</v>
      </c>
      <c r="D35" s="1"/>
      <c r="E35" s="1"/>
      <c r="F35" s="1"/>
      <c r="G35" s="1"/>
      <c r="H35" s="1"/>
      <c r="I35"/>
      <c r="J35"/>
      <c r="K35"/>
      <c r="L35"/>
      <c r="M35"/>
      <c r="N35"/>
      <c r="O35"/>
      <c r="P35"/>
      <c r="AL35" s="65"/>
    </row>
    <row r="36" spans="1:41" s="64" customFormat="1" ht="17">
      <c r="A36" s="21" t="s">
        <v>2909</v>
      </c>
      <c r="B36" s="1">
        <v>3</v>
      </c>
      <c r="C36" s="1" t="s">
        <v>3006</v>
      </c>
      <c r="D36" s="1"/>
      <c r="E36" s="1"/>
      <c r="F36" s="1"/>
      <c r="G36" s="1"/>
      <c r="H36" s="1"/>
      <c r="I36"/>
      <c r="J36"/>
      <c r="K36"/>
      <c r="L36"/>
      <c r="M36"/>
      <c r="N36"/>
      <c r="O36"/>
      <c r="P36"/>
      <c r="AL36" s="65"/>
    </row>
    <row r="37" spans="1:41" s="25" customFormat="1">
      <c r="A37" s="38" t="s">
        <v>43</v>
      </c>
      <c r="B37" s="38">
        <v>1</v>
      </c>
      <c r="C37" s="38" t="s">
        <v>405</v>
      </c>
      <c r="D37" s="1"/>
      <c r="E37" s="1"/>
      <c r="F37" s="1"/>
      <c r="G37" s="1"/>
      <c r="H37" s="1"/>
      <c r="I37"/>
      <c r="J37"/>
      <c r="K37"/>
      <c r="L37"/>
      <c r="M37"/>
      <c r="N37"/>
      <c r="O37"/>
      <c r="P37"/>
      <c r="AL37" s="48"/>
    </row>
    <row r="38" spans="1:41" s="39" customFormat="1">
      <c r="A38" s="38" t="s">
        <v>599</v>
      </c>
      <c r="B38" s="38">
        <v>1</v>
      </c>
      <c r="C38" s="38" t="s">
        <v>914</v>
      </c>
      <c r="D38" s="1"/>
      <c r="E38" s="1"/>
      <c r="F38" s="1"/>
      <c r="G38" s="1"/>
      <c r="H38" s="1"/>
      <c r="I38"/>
      <c r="J38"/>
      <c r="K38"/>
      <c r="L38"/>
      <c r="M38"/>
      <c r="N38"/>
      <c r="O38"/>
      <c r="P38"/>
      <c r="AL38" s="40"/>
    </row>
    <row r="39" spans="1:41" s="25" customFormat="1">
      <c r="A39" s="38" t="s">
        <v>598</v>
      </c>
      <c r="B39" s="38">
        <v>1</v>
      </c>
      <c r="C39" s="38" t="s">
        <v>877</v>
      </c>
      <c r="D39" s="1"/>
      <c r="E39" s="1"/>
      <c r="F39" s="1"/>
      <c r="G39" s="1"/>
      <c r="H39" s="1"/>
      <c r="I39"/>
      <c r="J39"/>
      <c r="K39"/>
      <c r="L39"/>
      <c r="M39"/>
      <c r="N39"/>
      <c r="O39"/>
      <c r="P39"/>
      <c r="AL39" s="48"/>
    </row>
    <row r="40" spans="1:41" s="25" customFormat="1">
      <c r="A40" s="38" t="s">
        <v>213</v>
      </c>
      <c r="B40" s="38">
        <v>1</v>
      </c>
      <c r="C40" s="38" t="s">
        <v>214</v>
      </c>
      <c r="D40" s="1"/>
      <c r="E40" s="1"/>
      <c r="F40" s="1"/>
      <c r="G40" s="1"/>
      <c r="H40" s="1"/>
      <c r="I40"/>
      <c r="J40"/>
      <c r="K40"/>
      <c r="L40"/>
      <c r="M40"/>
      <c r="N40"/>
      <c r="O40"/>
      <c r="P40"/>
      <c r="AL40" s="48"/>
    </row>
    <row r="41" spans="1:41" s="83" customFormat="1">
      <c r="A41" s="38" t="s">
        <v>65</v>
      </c>
      <c r="B41" s="38">
        <v>1</v>
      </c>
      <c r="C41" s="38" t="s">
        <v>471</v>
      </c>
      <c r="D41" s="1"/>
      <c r="E41" s="1"/>
      <c r="F41" s="1"/>
      <c r="G41" s="1"/>
      <c r="H41" s="1"/>
      <c r="I41"/>
      <c r="J41"/>
      <c r="K41"/>
      <c r="L41"/>
      <c r="M41"/>
      <c r="N41"/>
      <c r="O41"/>
      <c r="P41"/>
      <c r="AL41" s="85"/>
    </row>
    <row r="42" spans="1:41" s="77" customFormat="1">
      <c r="A42" s="38" t="s">
        <v>14</v>
      </c>
      <c r="B42" s="38">
        <v>1</v>
      </c>
      <c r="C42" s="38" t="s">
        <v>215</v>
      </c>
      <c r="D42" s="1"/>
      <c r="E42" s="1"/>
      <c r="F42" s="1"/>
      <c r="G42" s="1"/>
      <c r="H42" s="1"/>
      <c r="I42"/>
      <c r="J42"/>
      <c r="K42"/>
      <c r="L42"/>
      <c r="M42"/>
      <c r="N42"/>
      <c r="O42"/>
      <c r="P42"/>
      <c r="AL42" s="78"/>
    </row>
    <row r="43" spans="1:41">
      <c r="A43" s="38" t="s">
        <v>36</v>
      </c>
      <c r="B43" s="38">
        <v>1</v>
      </c>
      <c r="C43" s="38" t="s">
        <v>400</v>
      </c>
      <c r="D43" s="1"/>
      <c r="E43" s="1"/>
      <c r="F43" s="1"/>
      <c r="G43" s="1"/>
      <c r="H43" s="1"/>
      <c r="AL43" s="2"/>
    </row>
    <row r="44" spans="1:41" s="25" customFormat="1">
      <c r="A44" s="38" t="s">
        <v>209</v>
      </c>
      <c r="B44" s="38">
        <v>1</v>
      </c>
      <c r="C44" s="38" t="s">
        <v>210</v>
      </c>
      <c r="D44" s="1"/>
      <c r="E44" s="1"/>
      <c r="F44" s="1"/>
      <c r="G44" s="1"/>
      <c r="H44" s="1"/>
      <c r="I44"/>
      <c r="J44"/>
      <c r="K44"/>
      <c r="L44"/>
      <c r="M44"/>
      <c r="N44"/>
      <c r="O44"/>
      <c r="P44"/>
      <c r="AL44" s="48"/>
    </row>
    <row r="45" spans="1:41" s="25" customFormat="1">
      <c r="A45" s="38" t="s">
        <v>40</v>
      </c>
      <c r="B45" s="38">
        <v>1</v>
      </c>
      <c r="C45" s="38" t="s">
        <v>210</v>
      </c>
      <c r="D45" s="1"/>
      <c r="E45" s="1"/>
      <c r="F45" s="1"/>
      <c r="G45" s="1"/>
      <c r="H45" s="1"/>
      <c r="I45"/>
      <c r="J45"/>
      <c r="K45"/>
      <c r="L45"/>
      <c r="M45"/>
      <c r="N45"/>
      <c r="O45"/>
      <c r="P45"/>
      <c r="AL45" s="48"/>
      <c r="AM45" s="47"/>
      <c r="AN45" s="47"/>
      <c r="AO45" s="47"/>
    </row>
    <row r="46" spans="1:41" s="25" customFormat="1">
      <c r="A46" s="38" t="s">
        <v>42</v>
      </c>
      <c r="B46" s="38">
        <v>1</v>
      </c>
      <c r="C46" s="38" t="s">
        <v>210</v>
      </c>
      <c r="D46" s="1"/>
      <c r="E46" s="1"/>
      <c r="F46" s="1"/>
      <c r="G46" s="1"/>
      <c r="H46" s="1"/>
      <c r="I46"/>
      <c r="J46"/>
      <c r="K46"/>
      <c r="L46"/>
      <c r="M46"/>
      <c r="N46"/>
      <c r="O46"/>
      <c r="P46"/>
      <c r="AL46" s="48"/>
      <c r="AM46" s="47"/>
      <c r="AN46" s="47"/>
      <c r="AO46" s="47"/>
    </row>
    <row r="47" spans="1:41" s="25" customFormat="1">
      <c r="A47" s="38" t="s">
        <v>44</v>
      </c>
      <c r="B47" s="38">
        <v>1</v>
      </c>
      <c r="C47" s="38" t="s">
        <v>210</v>
      </c>
      <c r="D47" s="1"/>
      <c r="E47" s="1"/>
      <c r="F47" s="1"/>
      <c r="G47" s="1"/>
      <c r="H47" s="1"/>
      <c r="I47"/>
      <c r="J47"/>
      <c r="K47"/>
      <c r="L47"/>
      <c r="M47"/>
      <c r="N47"/>
      <c r="O47"/>
      <c r="P47"/>
      <c r="AL47" s="48"/>
    </row>
    <row r="48" spans="1:41" s="84" customFormat="1">
      <c r="A48" s="38" t="s">
        <v>67</v>
      </c>
      <c r="B48" s="38">
        <v>1</v>
      </c>
      <c r="C48" s="38" t="s">
        <v>210</v>
      </c>
      <c r="D48" s="1"/>
      <c r="E48" s="1"/>
      <c r="F48" s="1"/>
      <c r="G48" s="1"/>
      <c r="H48" s="1"/>
      <c r="I48" s="1"/>
      <c r="J48" s="1"/>
      <c r="K48" s="1"/>
      <c r="L48" s="1"/>
      <c r="M48" s="1"/>
      <c r="N48" s="1"/>
      <c r="O48" s="1"/>
      <c r="P48" s="1"/>
      <c r="Z48" s="88"/>
      <c r="AL48" s="85"/>
    </row>
    <row r="49" spans="1:38" s="25" customFormat="1">
      <c r="A49" s="38" t="s">
        <v>100</v>
      </c>
      <c r="B49" s="38">
        <v>1</v>
      </c>
      <c r="C49" s="38" t="s">
        <v>567</v>
      </c>
      <c r="D49" s="1"/>
      <c r="E49" s="1"/>
      <c r="F49" s="1"/>
      <c r="G49" s="1"/>
      <c r="H49" s="1"/>
      <c r="I49"/>
      <c r="J49"/>
      <c r="K49"/>
      <c r="L49"/>
      <c r="M49"/>
      <c r="N49"/>
      <c r="O49"/>
      <c r="P49"/>
      <c r="AL49" s="48"/>
    </row>
    <row r="50" spans="1:38" s="83" customFormat="1">
      <c r="A50" s="38" t="s">
        <v>31</v>
      </c>
      <c r="B50" s="38">
        <v>1</v>
      </c>
      <c r="C50" s="38" t="s">
        <v>376</v>
      </c>
      <c r="D50" s="1"/>
      <c r="E50" s="1"/>
      <c r="F50" s="1"/>
      <c r="G50" s="1"/>
      <c r="H50" s="1"/>
      <c r="I50"/>
      <c r="J50"/>
      <c r="K50"/>
      <c r="L50"/>
      <c r="M50"/>
      <c r="N50"/>
      <c r="O50"/>
      <c r="P50"/>
      <c r="AL50" s="85"/>
    </row>
    <row r="51" spans="1:38" s="25" customFormat="1">
      <c r="A51" s="38" t="s">
        <v>96</v>
      </c>
      <c r="B51" s="38">
        <v>1</v>
      </c>
      <c r="C51" s="38" t="s">
        <v>376</v>
      </c>
      <c r="D51" s="1"/>
      <c r="E51" s="1"/>
      <c r="F51" s="1"/>
      <c r="G51" s="1"/>
      <c r="H51" s="1"/>
      <c r="I51"/>
      <c r="J51"/>
      <c r="K51"/>
      <c r="L51"/>
      <c r="M51"/>
      <c r="N51"/>
      <c r="O51"/>
      <c r="P51"/>
      <c r="AL51" s="48"/>
    </row>
    <row r="52" spans="1:38" s="25" customFormat="1">
      <c r="A52" s="38" t="s">
        <v>139</v>
      </c>
      <c r="B52" s="38">
        <v>1</v>
      </c>
      <c r="C52" s="38" t="s">
        <v>715</v>
      </c>
      <c r="D52" s="1"/>
      <c r="E52" s="1"/>
      <c r="F52" s="1"/>
      <c r="G52" s="1"/>
      <c r="H52" s="1"/>
      <c r="I52"/>
      <c r="J52"/>
      <c r="K52"/>
      <c r="L52"/>
      <c r="M52"/>
      <c r="N52"/>
      <c r="O52"/>
      <c r="P52"/>
    </row>
    <row r="53" spans="1:38" s="25" customFormat="1">
      <c r="A53" s="38" t="s">
        <v>496</v>
      </c>
      <c r="B53" s="38">
        <v>1</v>
      </c>
      <c r="C53" s="38" t="s">
        <v>924</v>
      </c>
      <c r="D53" s="1"/>
      <c r="E53" s="1"/>
      <c r="F53" s="1"/>
      <c r="G53" s="1"/>
      <c r="H53" s="1"/>
      <c r="I53"/>
      <c r="J53"/>
      <c r="K53"/>
      <c r="L53"/>
      <c r="M53"/>
      <c r="N53"/>
      <c r="O53"/>
      <c r="P53"/>
    </row>
    <row r="54" spans="1:38" s="83" customFormat="1">
      <c r="A54" s="44" t="s">
        <v>2780</v>
      </c>
      <c r="B54" s="38">
        <v>2</v>
      </c>
      <c r="C54" s="38" t="s">
        <v>924</v>
      </c>
      <c r="D54" s="1"/>
      <c r="E54" s="1"/>
      <c r="F54" s="1"/>
      <c r="G54" s="1"/>
      <c r="H54" s="1"/>
      <c r="I54"/>
      <c r="J54"/>
      <c r="K54"/>
      <c r="L54"/>
      <c r="M54"/>
      <c r="N54"/>
      <c r="O54"/>
      <c r="P54"/>
    </row>
    <row r="55" spans="1:38" s="25" customFormat="1" ht="17">
      <c r="A55" s="45" t="s">
        <v>2747</v>
      </c>
      <c r="B55" s="38">
        <v>3</v>
      </c>
      <c r="C55" s="38" t="s">
        <v>924</v>
      </c>
      <c r="D55" s="1"/>
      <c r="E55" s="1"/>
      <c r="F55" s="1"/>
      <c r="G55" s="1"/>
      <c r="H55" s="1"/>
      <c r="I55"/>
      <c r="J55"/>
      <c r="K55"/>
      <c r="L55"/>
      <c r="M55"/>
      <c r="N55"/>
      <c r="O55"/>
      <c r="P55"/>
    </row>
    <row r="56" spans="1:38" s="83" customFormat="1">
      <c r="A56" s="38" t="s">
        <v>596</v>
      </c>
      <c r="B56" s="38">
        <v>1</v>
      </c>
      <c r="C56" s="38" t="s">
        <v>813</v>
      </c>
      <c r="D56" s="1"/>
      <c r="E56" s="1"/>
      <c r="F56" s="1"/>
      <c r="G56" s="1"/>
      <c r="H56" s="1"/>
      <c r="I56"/>
      <c r="J56"/>
      <c r="K56"/>
      <c r="L56"/>
      <c r="M56"/>
      <c r="N56"/>
      <c r="O56"/>
      <c r="P56"/>
    </row>
    <row r="57" spans="1:38">
      <c r="A57" s="38" t="s">
        <v>625</v>
      </c>
      <c r="B57" s="38">
        <v>1</v>
      </c>
      <c r="C57" s="38" t="s">
        <v>823</v>
      </c>
      <c r="D57" s="1"/>
      <c r="E57" s="1"/>
      <c r="F57" s="1"/>
      <c r="G57" s="1"/>
      <c r="H57" s="1"/>
    </row>
    <row r="58" spans="1:38" s="58" customFormat="1">
      <c r="A58" s="38" t="s">
        <v>103</v>
      </c>
      <c r="B58" s="38">
        <v>1</v>
      </c>
      <c r="C58" s="38" t="s">
        <v>570</v>
      </c>
      <c r="D58" s="1"/>
      <c r="E58" s="1"/>
      <c r="F58" s="1"/>
      <c r="G58" s="1"/>
      <c r="H58" s="1"/>
      <c r="I58"/>
      <c r="J58"/>
      <c r="K58"/>
      <c r="L58"/>
      <c r="M58"/>
      <c r="N58"/>
      <c r="O58"/>
      <c r="P58"/>
    </row>
    <row r="59" spans="1:38" s="83" customFormat="1">
      <c r="A59" s="38" t="s">
        <v>45</v>
      </c>
      <c r="B59" s="38">
        <v>1</v>
      </c>
      <c r="C59" s="38" t="s">
        <v>406</v>
      </c>
      <c r="D59" s="1"/>
      <c r="E59" s="1"/>
      <c r="F59" s="1"/>
      <c r="G59" s="1"/>
      <c r="H59" s="1"/>
      <c r="I59"/>
      <c r="J59"/>
      <c r="K59"/>
      <c r="L59"/>
      <c r="M59"/>
      <c r="N59"/>
      <c r="O59"/>
      <c r="P59"/>
    </row>
    <row r="60" spans="1:38" s="83" customFormat="1">
      <c r="A60" s="38" t="s">
        <v>321</v>
      </c>
      <c r="B60" s="38">
        <v>1</v>
      </c>
      <c r="C60" s="38" t="s">
        <v>413</v>
      </c>
      <c r="D60" s="1"/>
      <c r="E60" s="1"/>
      <c r="F60" s="1"/>
      <c r="G60" s="1"/>
      <c r="H60" s="1"/>
      <c r="I60"/>
      <c r="J60"/>
      <c r="K60"/>
      <c r="L60"/>
      <c r="M60"/>
      <c r="N60"/>
      <c r="O60"/>
      <c r="P60"/>
    </row>
    <row r="61" spans="1:38" s="83" customFormat="1">
      <c r="A61" s="38" t="s">
        <v>57</v>
      </c>
      <c r="B61" s="38">
        <v>1</v>
      </c>
      <c r="C61" s="38" t="s">
        <v>464</v>
      </c>
      <c r="D61" s="1"/>
      <c r="E61" s="1"/>
      <c r="F61" s="1"/>
      <c r="G61" s="1"/>
      <c r="H61" s="1"/>
      <c r="I61"/>
      <c r="J61"/>
      <c r="K61"/>
      <c r="L61"/>
      <c r="M61"/>
      <c r="N61"/>
      <c r="O61"/>
      <c r="P61"/>
    </row>
    <row r="62" spans="1:38" s="83" customFormat="1">
      <c r="A62" s="38" t="s">
        <v>26</v>
      </c>
      <c r="B62" s="38">
        <v>1</v>
      </c>
      <c r="C62" s="38" t="s">
        <v>345</v>
      </c>
      <c r="D62" s="1"/>
      <c r="E62" s="1"/>
      <c r="F62" s="1"/>
      <c r="G62" s="1"/>
      <c r="H62" s="1"/>
      <c r="I62"/>
      <c r="J62"/>
      <c r="K62"/>
      <c r="L62"/>
      <c r="M62"/>
      <c r="N62"/>
      <c r="O62"/>
      <c r="P62"/>
    </row>
    <row r="63" spans="1:38" s="83" customFormat="1">
      <c r="A63" s="38" t="s">
        <v>32</v>
      </c>
      <c r="B63" s="38">
        <v>1</v>
      </c>
      <c r="C63" s="38" t="s">
        <v>345</v>
      </c>
      <c r="D63" s="1"/>
      <c r="E63" s="1"/>
      <c r="F63" s="1"/>
      <c r="G63" s="1"/>
      <c r="H63" s="1"/>
      <c r="I63"/>
      <c r="J63"/>
      <c r="K63"/>
      <c r="L63"/>
      <c r="M63"/>
      <c r="N63"/>
      <c r="O63"/>
      <c r="P63"/>
    </row>
    <row r="64" spans="1:38" s="83" customFormat="1">
      <c r="A64" s="38" t="s">
        <v>88</v>
      </c>
      <c r="B64" s="38">
        <v>1</v>
      </c>
      <c r="C64" s="38" t="s">
        <v>345</v>
      </c>
      <c r="D64" s="1"/>
      <c r="E64" s="1"/>
      <c r="F64" s="1"/>
      <c r="G64" s="1"/>
      <c r="H64" s="1"/>
      <c r="I64"/>
      <c r="J64"/>
      <c r="K64"/>
      <c r="L64"/>
      <c r="M64"/>
      <c r="N64"/>
      <c r="O64"/>
      <c r="P64"/>
    </row>
    <row r="65" spans="1:60" s="83" customFormat="1">
      <c r="A65" s="38" t="s">
        <v>121</v>
      </c>
      <c r="B65" s="38">
        <v>1</v>
      </c>
      <c r="C65" s="38" t="s">
        <v>345</v>
      </c>
      <c r="D65" s="1"/>
      <c r="E65" s="1"/>
      <c r="F65" s="1"/>
      <c r="G65" s="1"/>
      <c r="H65" s="1"/>
      <c r="I65"/>
      <c r="J65"/>
      <c r="K65"/>
      <c r="L65"/>
      <c r="M65"/>
      <c r="N65"/>
      <c r="O65"/>
      <c r="P65"/>
    </row>
    <row r="66" spans="1:60" s="83" customFormat="1">
      <c r="A66" s="38" t="s">
        <v>114</v>
      </c>
      <c r="B66" s="38">
        <v>1</v>
      </c>
      <c r="C66" s="38" t="s">
        <v>634</v>
      </c>
      <c r="D66" s="1"/>
      <c r="E66" s="1"/>
      <c r="F66" s="1"/>
      <c r="G66" s="1"/>
      <c r="H66" s="1"/>
      <c r="I66"/>
      <c r="J66"/>
      <c r="K66"/>
      <c r="L66"/>
      <c r="M66"/>
      <c r="N66"/>
      <c r="O66"/>
      <c r="P66"/>
    </row>
    <row r="67" spans="1:60" s="83" customFormat="1">
      <c r="A67" s="38" t="s">
        <v>118</v>
      </c>
      <c r="B67" s="38">
        <v>1</v>
      </c>
      <c r="C67" s="38" t="s">
        <v>638</v>
      </c>
      <c r="D67" s="1"/>
      <c r="E67" s="1"/>
      <c r="F67" s="1"/>
      <c r="G67" s="1"/>
      <c r="H67" s="1"/>
      <c r="I67"/>
      <c r="J67"/>
      <c r="K67"/>
      <c r="L67"/>
      <c r="M67"/>
      <c r="N67"/>
      <c r="O67"/>
      <c r="P67"/>
    </row>
    <row r="68" spans="1:60" s="83" customFormat="1">
      <c r="A68" s="38" t="s">
        <v>73</v>
      </c>
      <c r="B68" s="38">
        <v>1</v>
      </c>
      <c r="C68" s="38" t="s">
        <v>502</v>
      </c>
      <c r="D68" s="1"/>
      <c r="E68" s="1"/>
      <c r="F68" s="1"/>
      <c r="G68" s="1"/>
      <c r="H68" s="1"/>
      <c r="I68"/>
      <c r="J68"/>
      <c r="K68"/>
      <c r="L68"/>
      <c r="M68"/>
      <c r="N68"/>
      <c r="O68"/>
      <c r="P68"/>
      <c r="AL68" s="85"/>
      <c r="AM68" s="84"/>
      <c r="AN68" s="84"/>
      <c r="AO68" s="84"/>
    </row>
    <row r="69" spans="1:60" s="83" customFormat="1">
      <c r="A69" s="38" t="s">
        <v>82</v>
      </c>
      <c r="B69" s="38">
        <v>1</v>
      </c>
      <c r="C69" s="38" t="s">
        <v>502</v>
      </c>
      <c r="D69" s="1"/>
      <c r="E69" s="1"/>
      <c r="F69" s="1"/>
      <c r="G69" s="1"/>
      <c r="H69" s="1"/>
      <c r="I69"/>
      <c r="J69"/>
      <c r="K69"/>
      <c r="L69"/>
      <c r="M69"/>
      <c r="N69"/>
      <c r="O69"/>
      <c r="P69"/>
      <c r="AL69" s="85"/>
      <c r="AM69" s="84"/>
      <c r="AN69" s="84"/>
      <c r="AO69" s="84"/>
    </row>
    <row r="70" spans="1:60" s="83" customFormat="1">
      <c r="A70" s="38" t="s">
        <v>95</v>
      </c>
      <c r="B70" s="38">
        <v>1</v>
      </c>
      <c r="C70" s="38" t="s">
        <v>502</v>
      </c>
      <c r="D70" s="1"/>
      <c r="E70" s="1"/>
      <c r="F70" s="1"/>
      <c r="G70" s="1"/>
      <c r="H70" s="1"/>
      <c r="I70"/>
      <c r="J70"/>
      <c r="K70"/>
      <c r="L70"/>
      <c r="M70"/>
      <c r="N70"/>
      <c r="O70"/>
      <c r="P70"/>
      <c r="AE70" s="83">
        <v>3</v>
      </c>
      <c r="AF70" s="83" t="s">
        <v>439</v>
      </c>
      <c r="AI70" s="83">
        <v>1.1999999999999999E-3</v>
      </c>
      <c r="AJ70" s="83">
        <v>7</v>
      </c>
      <c r="AK70" s="83">
        <v>14</v>
      </c>
      <c r="AL70" s="85"/>
      <c r="AM70" s="84"/>
      <c r="AN70" s="84"/>
      <c r="AO70" s="84"/>
      <c r="BA70" s="83" t="s">
        <v>175</v>
      </c>
      <c r="BB70" s="83">
        <v>4</v>
      </c>
      <c r="BC70" s="83" t="s">
        <v>476</v>
      </c>
      <c r="BD70" s="83" t="s">
        <v>174</v>
      </c>
      <c r="BE70" s="83" t="s">
        <v>477</v>
      </c>
      <c r="BF70" s="83" t="s">
        <v>478</v>
      </c>
      <c r="BG70" s="83" t="s">
        <v>175</v>
      </c>
      <c r="BH70" s="83" t="s">
        <v>479</v>
      </c>
    </row>
    <row r="71" spans="1:60" s="83" customFormat="1">
      <c r="A71" s="38" t="s">
        <v>135</v>
      </c>
      <c r="B71" s="38">
        <v>1</v>
      </c>
      <c r="C71" s="38" t="s">
        <v>502</v>
      </c>
      <c r="D71" s="1"/>
      <c r="E71" s="1"/>
      <c r="F71" s="1"/>
      <c r="G71" s="1"/>
      <c r="H71" s="1"/>
      <c r="I71"/>
      <c r="J71"/>
      <c r="K71"/>
      <c r="L71"/>
      <c r="M71"/>
      <c r="N71"/>
      <c r="O71"/>
      <c r="P71"/>
      <c r="AL71" s="85"/>
      <c r="AM71" s="84"/>
      <c r="AN71" s="84"/>
      <c r="AO71" s="84"/>
    </row>
    <row r="72" spans="1:60" s="83" customFormat="1">
      <c r="A72" s="38" t="s">
        <v>52</v>
      </c>
      <c r="B72" s="38">
        <v>1</v>
      </c>
      <c r="C72" s="38" t="s">
        <v>453</v>
      </c>
      <c r="D72" s="1"/>
      <c r="E72" s="1"/>
      <c r="F72" s="1"/>
      <c r="G72" s="1"/>
      <c r="H72" s="1"/>
      <c r="I72"/>
      <c r="J72"/>
      <c r="K72"/>
      <c r="L72"/>
      <c r="M72"/>
      <c r="N72"/>
      <c r="O72"/>
      <c r="P72"/>
      <c r="AL72" s="85"/>
      <c r="AM72" s="84"/>
      <c r="AN72" s="84"/>
      <c r="AO72" s="84"/>
    </row>
    <row r="73" spans="1:60" s="83" customFormat="1">
      <c r="A73" s="38" t="s">
        <v>841</v>
      </c>
      <c r="B73" s="38">
        <v>2</v>
      </c>
      <c r="C73" s="38" t="s">
        <v>1129</v>
      </c>
      <c r="D73" s="1"/>
      <c r="E73" s="1"/>
      <c r="F73" s="1"/>
      <c r="G73" s="1"/>
      <c r="H73" s="1"/>
      <c r="I73"/>
      <c r="J73"/>
      <c r="K73"/>
      <c r="L73"/>
      <c r="M73"/>
      <c r="N73"/>
      <c r="O73"/>
      <c r="P73"/>
      <c r="AL73" s="85"/>
      <c r="AM73" s="84"/>
      <c r="AN73" s="84"/>
      <c r="AO73" s="84"/>
    </row>
    <row r="74" spans="1:60" s="83" customFormat="1">
      <c r="A74" s="38" t="s">
        <v>111</v>
      </c>
      <c r="B74" s="38">
        <v>1</v>
      </c>
      <c r="C74" s="38" t="s">
        <v>631</v>
      </c>
      <c r="D74" s="1"/>
      <c r="E74" s="1"/>
      <c r="F74" s="1"/>
      <c r="G74" s="1"/>
      <c r="H74" s="1"/>
      <c r="I74"/>
      <c r="J74"/>
      <c r="K74"/>
      <c r="L74"/>
      <c r="M74"/>
      <c r="N74"/>
      <c r="O74"/>
      <c r="P74"/>
      <c r="AL74" s="85"/>
      <c r="AM74" s="84"/>
      <c r="AN74" s="84"/>
      <c r="AO74" s="84"/>
    </row>
    <row r="75" spans="1:60" s="83" customFormat="1">
      <c r="A75" s="38" t="s">
        <v>116</v>
      </c>
      <c r="B75" s="38">
        <v>1</v>
      </c>
      <c r="C75" s="38" t="s">
        <v>636</v>
      </c>
      <c r="D75" s="1"/>
      <c r="E75" s="1"/>
      <c r="F75" s="1"/>
      <c r="G75" s="1"/>
      <c r="H75" s="1"/>
      <c r="I75"/>
      <c r="J75"/>
      <c r="K75"/>
      <c r="L75"/>
      <c r="M75"/>
      <c r="N75"/>
      <c r="O75"/>
      <c r="P75"/>
      <c r="AL75" s="85"/>
      <c r="AM75" s="84"/>
      <c r="AN75" s="84"/>
      <c r="AO75" s="84"/>
    </row>
    <row r="76" spans="1:60" s="83" customFormat="1">
      <c r="A76" s="38" t="s">
        <v>144</v>
      </c>
      <c r="B76" s="38">
        <v>1</v>
      </c>
      <c r="C76" s="38" t="s">
        <v>636</v>
      </c>
      <c r="D76" s="1"/>
      <c r="E76" s="1"/>
      <c r="F76" s="1"/>
      <c r="G76" s="1"/>
      <c r="H76" s="1"/>
      <c r="I76"/>
      <c r="J76"/>
      <c r="K76"/>
      <c r="L76"/>
      <c r="M76"/>
      <c r="N76"/>
      <c r="O76"/>
      <c r="P76"/>
      <c r="AL76" s="85"/>
      <c r="AM76" s="84"/>
      <c r="AN76" s="84"/>
      <c r="AO76" s="84"/>
    </row>
    <row r="77" spans="1:60" s="83" customFormat="1">
      <c r="A77" s="38" t="s">
        <v>146</v>
      </c>
      <c r="B77" s="38">
        <v>1</v>
      </c>
      <c r="C77" s="38" t="s">
        <v>636</v>
      </c>
      <c r="D77" s="1"/>
      <c r="E77" s="1"/>
      <c r="F77" s="1"/>
      <c r="G77" s="1"/>
      <c r="H77" s="1"/>
      <c r="I77"/>
      <c r="J77"/>
      <c r="K77"/>
      <c r="L77"/>
      <c r="M77"/>
      <c r="N77"/>
      <c r="O77"/>
      <c r="P77"/>
      <c r="AL77" s="85"/>
      <c r="AM77" s="84"/>
      <c r="AN77" s="84"/>
      <c r="AO77" s="84"/>
    </row>
    <row r="78" spans="1:60" s="25" customFormat="1">
      <c r="A78" s="38" t="s">
        <v>148</v>
      </c>
      <c r="B78" s="38">
        <v>1</v>
      </c>
      <c r="C78" s="38" t="s">
        <v>636</v>
      </c>
      <c r="D78" s="1"/>
      <c r="E78" s="1"/>
      <c r="F78" s="1"/>
      <c r="G78" s="1"/>
      <c r="H78" s="1"/>
      <c r="I78"/>
      <c r="J78"/>
      <c r="K78"/>
      <c r="L78"/>
      <c r="M78"/>
      <c r="N78"/>
      <c r="O78"/>
      <c r="P78"/>
      <c r="AL78" s="48"/>
      <c r="AM78" s="47"/>
      <c r="AN78" s="47"/>
      <c r="AO78" s="47"/>
    </row>
    <row r="79" spans="1:60" s="25" customFormat="1">
      <c r="A79" s="38" t="s">
        <v>595</v>
      </c>
      <c r="B79" s="38">
        <v>1</v>
      </c>
      <c r="C79" s="38" t="s">
        <v>824</v>
      </c>
      <c r="D79" s="1"/>
      <c r="E79" s="1"/>
      <c r="F79" s="1"/>
      <c r="G79" s="1"/>
      <c r="H79" s="1"/>
      <c r="I79"/>
      <c r="J79"/>
      <c r="K79"/>
      <c r="L79"/>
      <c r="M79"/>
      <c r="N79"/>
      <c r="O79"/>
      <c r="P79"/>
      <c r="AL79" s="48"/>
      <c r="AM79" s="47"/>
      <c r="AN79" s="47"/>
      <c r="AO79" s="47"/>
    </row>
    <row r="80" spans="1:60" s="39" customFormat="1">
      <c r="A80" s="38" t="s">
        <v>76</v>
      </c>
      <c r="B80" s="38">
        <v>1</v>
      </c>
      <c r="C80" s="38" t="s">
        <v>517</v>
      </c>
      <c r="D80" s="1"/>
      <c r="E80" s="1"/>
      <c r="F80" s="1"/>
      <c r="G80" s="1"/>
      <c r="H80" s="1"/>
      <c r="I80"/>
      <c r="J80"/>
      <c r="K80"/>
      <c r="L80"/>
      <c r="M80"/>
      <c r="N80"/>
      <c r="O80"/>
      <c r="P80"/>
      <c r="AL80" s="40"/>
      <c r="AM80" s="38"/>
      <c r="AN80" s="38"/>
      <c r="AO80" s="38"/>
    </row>
    <row r="81" spans="1:62" s="25" customFormat="1">
      <c r="A81" s="38" t="s">
        <v>77</v>
      </c>
      <c r="B81" s="38">
        <v>1</v>
      </c>
      <c r="C81" s="38" t="s">
        <v>517</v>
      </c>
      <c r="D81" s="1"/>
      <c r="E81" s="1"/>
      <c r="F81" s="1"/>
      <c r="G81" s="1"/>
      <c r="H81" s="1"/>
      <c r="I81"/>
      <c r="J81"/>
      <c r="K81"/>
      <c r="L81"/>
      <c r="M81"/>
      <c r="N81"/>
      <c r="O81"/>
      <c r="P81"/>
      <c r="AL81" s="48"/>
      <c r="AM81" s="47"/>
      <c r="AN81" s="47"/>
      <c r="AO81" s="47"/>
    </row>
    <row r="82" spans="1:62" s="25" customFormat="1">
      <c r="A82" s="38" t="s">
        <v>127</v>
      </c>
      <c r="B82" s="38">
        <v>1</v>
      </c>
      <c r="C82" s="38" t="s">
        <v>646</v>
      </c>
      <c r="D82" s="1"/>
      <c r="E82" s="1"/>
      <c r="F82" s="1"/>
      <c r="G82" s="1"/>
      <c r="H82" s="1"/>
      <c r="I82"/>
      <c r="J82"/>
      <c r="K82"/>
      <c r="L82"/>
      <c r="M82"/>
      <c r="N82"/>
      <c r="O82"/>
      <c r="P82"/>
      <c r="AL82" s="48"/>
      <c r="AM82" s="47"/>
      <c r="AN82" s="47"/>
      <c r="AO82" s="47"/>
    </row>
    <row r="83" spans="1:62" s="25" customFormat="1">
      <c r="A83" s="57" t="s">
        <v>498</v>
      </c>
      <c r="B83" s="57">
        <v>1</v>
      </c>
      <c r="C83" s="57" t="s">
        <v>796</v>
      </c>
      <c r="D83" s="1"/>
      <c r="E83" s="1"/>
      <c r="F83" s="1"/>
      <c r="G83" s="1"/>
      <c r="H83" s="1"/>
      <c r="I83"/>
      <c r="J83"/>
      <c r="K83"/>
      <c r="L83"/>
      <c r="M83"/>
      <c r="N83"/>
      <c r="O83"/>
      <c r="P83"/>
      <c r="AL83" s="48"/>
      <c r="AM83" s="47"/>
      <c r="AN83" s="47"/>
      <c r="AO83" s="47"/>
    </row>
    <row r="84" spans="1:62" s="25" customFormat="1">
      <c r="A84" s="56" t="s">
        <v>2760</v>
      </c>
      <c r="B84" s="57">
        <v>2</v>
      </c>
      <c r="C84" s="57" t="s">
        <v>2079</v>
      </c>
      <c r="D84" s="1"/>
      <c r="E84" s="1"/>
      <c r="F84" s="1"/>
      <c r="G84" s="1"/>
      <c r="H84" s="1"/>
      <c r="I84"/>
      <c r="J84"/>
      <c r="K84"/>
      <c r="L84"/>
      <c r="M84"/>
      <c r="N84"/>
      <c r="O84"/>
      <c r="P84"/>
      <c r="AL84" s="48"/>
      <c r="AM84" s="47"/>
      <c r="AN84" s="47"/>
      <c r="AO84" s="47"/>
    </row>
    <row r="85" spans="1:62" s="25" customFormat="1">
      <c r="A85" s="56" t="s">
        <v>2741</v>
      </c>
      <c r="B85" s="57">
        <v>3</v>
      </c>
      <c r="C85" s="57" t="s">
        <v>2742</v>
      </c>
      <c r="D85" s="1"/>
      <c r="E85" s="1"/>
      <c r="F85" s="1"/>
      <c r="G85" s="1"/>
      <c r="H85" s="1"/>
      <c r="I85"/>
      <c r="J85"/>
      <c r="K85"/>
      <c r="L85"/>
      <c r="M85"/>
      <c r="N85"/>
      <c r="O85"/>
      <c r="P85"/>
      <c r="AL85" s="48"/>
      <c r="AM85" s="47"/>
      <c r="AN85" s="47"/>
      <c r="AO85" s="47"/>
    </row>
    <row r="86" spans="1:62" s="25" customFormat="1">
      <c r="A86" s="57" t="s">
        <v>860</v>
      </c>
      <c r="B86" s="57">
        <v>2</v>
      </c>
      <c r="C86" s="57" t="s">
        <v>1919</v>
      </c>
      <c r="D86" s="1"/>
      <c r="E86" s="1"/>
      <c r="F86" s="1"/>
      <c r="G86" s="1"/>
      <c r="H86" s="1"/>
      <c r="I86"/>
      <c r="J86"/>
      <c r="K86"/>
      <c r="L86"/>
      <c r="M86"/>
      <c r="N86"/>
      <c r="O86"/>
      <c r="P86"/>
      <c r="AL86" s="48"/>
      <c r="AM86" s="47"/>
      <c r="AN86" s="47"/>
      <c r="AO86" s="47"/>
    </row>
    <row r="87" spans="1:62" s="25" customFormat="1">
      <c r="A87" s="56" t="s">
        <v>2137</v>
      </c>
      <c r="B87" s="57">
        <v>2</v>
      </c>
      <c r="C87" s="57" t="s">
        <v>2138</v>
      </c>
      <c r="D87" s="1"/>
      <c r="E87" s="1"/>
      <c r="F87" s="1"/>
      <c r="G87" s="1"/>
      <c r="H87" s="1"/>
      <c r="I87"/>
      <c r="J87"/>
      <c r="K87"/>
      <c r="L87"/>
      <c r="M87"/>
      <c r="N87"/>
      <c r="O87"/>
      <c r="P87"/>
      <c r="AL87" s="48"/>
      <c r="AM87" s="47"/>
      <c r="AN87" s="47"/>
      <c r="AO87" s="47"/>
    </row>
    <row r="88" spans="1:62" s="25" customFormat="1">
      <c r="A88" s="56" t="s">
        <v>2744</v>
      </c>
      <c r="B88" s="57">
        <v>3</v>
      </c>
      <c r="C88" s="57" t="s">
        <v>2138</v>
      </c>
      <c r="D88" s="1"/>
      <c r="E88" s="1"/>
      <c r="F88" s="1"/>
      <c r="G88" s="1"/>
      <c r="H88" s="1"/>
      <c r="I88"/>
      <c r="J88"/>
      <c r="K88"/>
      <c r="L88"/>
      <c r="M88"/>
      <c r="N88"/>
      <c r="O88"/>
      <c r="P88"/>
      <c r="AL88" s="48"/>
      <c r="AM88" s="47"/>
      <c r="AN88" s="47"/>
      <c r="AO88" s="47"/>
    </row>
    <row r="89" spans="1:62" s="25" customFormat="1">
      <c r="A89" s="56" t="s">
        <v>2745</v>
      </c>
      <c r="B89" s="57">
        <v>3</v>
      </c>
      <c r="C89" s="57" t="s">
        <v>2138</v>
      </c>
      <c r="D89" s="1"/>
      <c r="E89" s="1"/>
      <c r="F89" s="1"/>
      <c r="G89" s="1"/>
      <c r="H89" s="1"/>
      <c r="I89"/>
      <c r="J89"/>
      <c r="K89"/>
      <c r="L89"/>
      <c r="M89"/>
      <c r="N89"/>
      <c r="O89"/>
      <c r="P89"/>
      <c r="AL89" s="48"/>
      <c r="AM89" s="47"/>
      <c r="AN89" s="47"/>
      <c r="AO89" s="47"/>
    </row>
    <row r="90" spans="1:62" s="42" customFormat="1">
      <c r="A90" s="57" t="s">
        <v>147</v>
      </c>
      <c r="B90" s="57">
        <v>1</v>
      </c>
      <c r="C90" s="57" t="s">
        <v>771</v>
      </c>
      <c r="D90" s="1"/>
      <c r="E90" s="1"/>
      <c r="F90" s="1"/>
      <c r="G90" s="1"/>
      <c r="H90" s="1"/>
      <c r="I90"/>
      <c r="J90"/>
      <c r="K90"/>
      <c r="L90"/>
      <c r="M90"/>
      <c r="N90"/>
      <c r="O90"/>
      <c r="P90"/>
      <c r="AL90" s="43"/>
      <c r="AM90" s="41"/>
      <c r="AN90" s="41"/>
      <c r="AO90" s="41"/>
    </row>
    <row r="91" spans="1:62" s="41" customFormat="1">
      <c r="A91" s="57" t="s">
        <v>433</v>
      </c>
      <c r="B91" s="57">
        <v>1</v>
      </c>
      <c r="C91" s="57" t="s">
        <v>874</v>
      </c>
      <c r="D91" s="1"/>
      <c r="E91" s="1"/>
      <c r="F91" s="1"/>
      <c r="G91" s="1"/>
      <c r="H91" s="1"/>
      <c r="I91" s="1"/>
      <c r="J91" s="1"/>
      <c r="K91" s="1"/>
      <c r="L91" s="1"/>
      <c r="M91" s="1"/>
      <c r="N91" s="1"/>
      <c r="O91" s="1"/>
      <c r="P91" s="1"/>
      <c r="AL91" s="43"/>
      <c r="BJ91" s="41" t="s">
        <v>553</v>
      </c>
    </row>
    <row r="92" spans="1:62" s="42" customFormat="1">
      <c r="A92" s="56" t="s">
        <v>2134</v>
      </c>
      <c r="B92" s="57">
        <v>2</v>
      </c>
      <c r="C92" s="57" t="s">
        <v>2135</v>
      </c>
      <c r="D92" s="1"/>
      <c r="E92" s="1"/>
      <c r="F92" s="1"/>
      <c r="G92" s="1"/>
      <c r="H92" s="1"/>
      <c r="I92"/>
      <c r="J92"/>
      <c r="K92"/>
      <c r="L92"/>
      <c r="M92"/>
      <c r="N92"/>
      <c r="O92"/>
      <c r="P92"/>
      <c r="AL92" s="43"/>
      <c r="AM92" s="41"/>
      <c r="AN92" s="41"/>
      <c r="AO92" s="41"/>
    </row>
    <row r="93" spans="1:62" s="42" customFormat="1">
      <c r="A93" s="53" t="s">
        <v>2754</v>
      </c>
      <c r="B93" s="54">
        <v>2</v>
      </c>
      <c r="C93" s="54" t="s">
        <v>1935</v>
      </c>
      <c r="D93" s="1"/>
      <c r="E93" s="1"/>
      <c r="F93" s="1"/>
      <c r="G93" s="1"/>
      <c r="H93" s="1"/>
      <c r="I93"/>
      <c r="J93"/>
      <c r="K93"/>
      <c r="L93"/>
      <c r="M93"/>
      <c r="N93"/>
      <c r="O93"/>
      <c r="P93"/>
      <c r="AL93" s="43"/>
      <c r="AM93" s="41"/>
      <c r="AN93" s="41"/>
      <c r="AO93" s="41"/>
    </row>
    <row r="94" spans="1:62" s="42" customFormat="1">
      <c r="A94" s="53" t="s">
        <v>2758</v>
      </c>
      <c r="B94" s="54">
        <v>2</v>
      </c>
      <c r="C94" s="54" t="s">
        <v>1935</v>
      </c>
      <c r="D94" s="1"/>
      <c r="E94" s="1"/>
      <c r="F94" s="1"/>
      <c r="G94" s="1"/>
      <c r="H94" s="1"/>
      <c r="I94"/>
      <c r="J94"/>
      <c r="K94"/>
      <c r="L94"/>
      <c r="M94"/>
      <c r="N94"/>
      <c r="O94"/>
      <c r="P94"/>
      <c r="AL94" s="43"/>
      <c r="AM94" s="41"/>
      <c r="AN94" s="41"/>
      <c r="AO94" s="41"/>
    </row>
    <row r="95" spans="1:62" s="42" customFormat="1">
      <c r="A95" s="63" t="s">
        <v>934</v>
      </c>
      <c r="B95" s="63">
        <v>2</v>
      </c>
      <c r="C95" s="63" t="s">
        <v>1905</v>
      </c>
      <c r="D95" s="1"/>
      <c r="E95" s="1"/>
      <c r="F95" s="1"/>
      <c r="G95" s="1"/>
      <c r="H95" s="1"/>
      <c r="I95"/>
      <c r="J95"/>
      <c r="K95"/>
      <c r="L95"/>
      <c r="M95"/>
      <c r="N95"/>
      <c r="O95"/>
      <c r="P95"/>
      <c r="AL95" s="43"/>
      <c r="AM95" s="41"/>
      <c r="AN95" s="41"/>
      <c r="AO95" s="41"/>
    </row>
    <row r="96" spans="1:62" s="42" customFormat="1">
      <c r="A96" s="63" t="s">
        <v>75</v>
      </c>
      <c r="B96" s="63">
        <v>1</v>
      </c>
      <c r="C96" s="63" t="s">
        <v>504</v>
      </c>
      <c r="D96" s="1"/>
      <c r="E96" s="1"/>
      <c r="F96" s="1"/>
      <c r="G96" s="1"/>
      <c r="H96" s="1"/>
      <c r="I96"/>
      <c r="J96"/>
      <c r="K96"/>
      <c r="L96"/>
      <c r="M96"/>
      <c r="N96"/>
      <c r="O96"/>
      <c r="P96"/>
      <c r="AL96" s="43"/>
      <c r="AM96" s="41"/>
      <c r="AN96" s="41"/>
      <c r="AO96" s="41"/>
    </row>
    <row r="97" spans="1:41" s="42" customFormat="1">
      <c r="A97" s="63" t="s">
        <v>937</v>
      </c>
      <c r="B97" s="63">
        <v>2</v>
      </c>
      <c r="C97" s="63" t="s">
        <v>1713</v>
      </c>
      <c r="D97" s="1"/>
      <c r="E97" s="1"/>
      <c r="F97" s="1"/>
      <c r="G97" s="1"/>
      <c r="H97" s="1"/>
      <c r="I97"/>
      <c r="J97"/>
      <c r="K97"/>
      <c r="L97"/>
      <c r="M97"/>
      <c r="N97"/>
      <c r="O97"/>
      <c r="P97"/>
      <c r="AL97" s="43"/>
      <c r="AM97" s="41"/>
      <c r="AN97" s="41"/>
      <c r="AO97" s="41"/>
    </row>
    <row r="98" spans="1:41" s="42" customFormat="1">
      <c r="A98" s="82" t="s">
        <v>392</v>
      </c>
      <c r="B98" s="82">
        <v>2</v>
      </c>
      <c r="C98" s="82" t="s">
        <v>1154</v>
      </c>
      <c r="D98" s="1"/>
      <c r="E98" s="1"/>
      <c r="F98" s="1"/>
      <c r="G98" s="1"/>
      <c r="H98" s="1"/>
      <c r="I98"/>
      <c r="J98"/>
      <c r="K98"/>
      <c r="L98"/>
      <c r="M98"/>
      <c r="N98"/>
      <c r="O98"/>
      <c r="P98"/>
      <c r="AL98" s="43"/>
      <c r="AM98" s="41"/>
      <c r="AN98" s="41"/>
      <c r="AO98" s="41"/>
    </row>
    <row r="99" spans="1:41" s="42" customFormat="1">
      <c r="A99" s="82" t="s">
        <v>1923</v>
      </c>
      <c r="B99" s="82">
        <v>2</v>
      </c>
      <c r="C99" s="82" t="s">
        <v>1924</v>
      </c>
      <c r="D99" s="1"/>
      <c r="E99" s="1"/>
      <c r="F99" s="1"/>
      <c r="G99" s="1"/>
      <c r="H99" s="1"/>
      <c r="I99"/>
      <c r="J99"/>
      <c r="K99"/>
      <c r="L99"/>
      <c r="M99"/>
      <c r="N99"/>
      <c r="O99"/>
      <c r="P99"/>
      <c r="AL99" s="43"/>
      <c r="AM99" s="41"/>
      <c r="AN99" s="41"/>
      <c r="AO99" s="41"/>
    </row>
    <row r="100" spans="1:41" s="42" customFormat="1">
      <c r="A100" s="87" t="s">
        <v>2752</v>
      </c>
      <c r="B100" s="84">
        <v>2</v>
      </c>
      <c r="C100" s="84" t="s">
        <v>1932</v>
      </c>
      <c r="D100" s="1"/>
      <c r="E100" s="1"/>
      <c r="F100" s="1"/>
      <c r="G100" s="1"/>
      <c r="H100" s="1"/>
      <c r="I100"/>
      <c r="J100"/>
      <c r="K100"/>
      <c r="L100"/>
      <c r="M100"/>
      <c r="N100"/>
      <c r="O100"/>
      <c r="P100"/>
    </row>
    <row r="101" spans="1:41" s="42" customFormat="1" ht="17">
      <c r="A101" s="86" t="s">
        <v>2977</v>
      </c>
      <c r="B101" s="84">
        <v>3</v>
      </c>
      <c r="C101" s="84" t="s">
        <v>2978</v>
      </c>
      <c r="D101" s="1"/>
      <c r="E101" s="1"/>
      <c r="F101" s="1"/>
      <c r="G101" s="1"/>
      <c r="H101" s="1"/>
      <c r="I101"/>
      <c r="J101"/>
      <c r="K101"/>
      <c r="L101"/>
      <c r="M101"/>
      <c r="N101"/>
      <c r="O101"/>
      <c r="P101"/>
    </row>
    <row r="102" spans="1:41" s="42" customFormat="1">
      <c r="A102" s="84" t="s">
        <v>524</v>
      </c>
      <c r="B102" s="84">
        <v>2</v>
      </c>
      <c r="C102" s="84" t="s">
        <v>3147</v>
      </c>
      <c r="D102" s="1"/>
      <c r="E102" s="1"/>
      <c r="F102" s="1"/>
      <c r="G102" s="1"/>
      <c r="H102" s="1"/>
      <c r="I102"/>
      <c r="J102"/>
      <c r="K102"/>
      <c r="L102"/>
      <c r="M102"/>
      <c r="N102"/>
      <c r="O102"/>
      <c r="P102"/>
    </row>
    <row r="103" spans="1:41" s="42" customFormat="1">
      <c r="A103" s="84" t="s">
        <v>35</v>
      </c>
      <c r="B103" s="84">
        <v>1</v>
      </c>
      <c r="C103" s="84" t="s">
        <v>399</v>
      </c>
      <c r="D103" s="1"/>
      <c r="E103" s="1"/>
      <c r="F103" s="1"/>
      <c r="G103" s="1"/>
      <c r="H103" s="1"/>
      <c r="I103"/>
      <c r="J103"/>
      <c r="K103"/>
      <c r="L103"/>
      <c r="M103"/>
      <c r="N103"/>
      <c r="O103"/>
      <c r="P103"/>
    </row>
    <row r="104" spans="1:41" s="42" customFormat="1">
      <c r="A104" s="84" t="s">
        <v>106</v>
      </c>
      <c r="B104" s="84">
        <v>1</v>
      </c>
      <c r="C104" s="84" t="s">
        <v>627</v>
      </c>
      <c r="D104" s="1"/>
      <c r="E104" s="1"/>
      <c r="F104" s="1"/>
      <c r="G104" s="1"/>
      <c r="H104" s="1"/>
      <c r="I104"/>
      <c r="J104"/>
      <c r="K104"/>
      <c r="L104"/>
      <c r="M104"/>
      <c r="N104"/>
      <c r="O104"/>
      <c r="P104"/>
    </row>
    <row r="105" spans="1:41" s="42" customFormat="1">
      <c r="A105" s="87" t="s">
        <v>2806</v>
      </c>
      <c r="B105" s="84">
        <v>3</v>
      </c>
      <c r="C105" s="84" t="s">
        <v>2740</v>
      </c>
      <c r="D105" s="1"/>
      <c r="E105" s="1"/>
      <c r="F105" s="1"/>
      <c r="G105" s="1"/>
      <c r="H105" s="1"/>
      <c r="I105"/>
      <c r="J105"/>
      <c r="K105"/>
      <c r="L105"/>
      <c r="M105"/>
      <c r="N105"/>
      <c r="O105"/>
      <c r="P105"/>
    </row>
    <row r="106" spans="1:41" s="42" customFormat="1">
      <c r="A106" s="84" t="s">
        <v>91</v>
      </c>
      <c r="B106" s="84">
        <v>1</v>
      </c>
      <c r="C106" s="84" t="s">
        <v>556</v>
      </c>
      <c r="D106" s="1"/>
      <c r="E106" s="1"/>
      <c r="F106" s="1"/>
      <c r="G106" s="1"/>
      <c r="H106" s="1"/>
      <c r="I106"/>
      <c r="J106"/>
      <c r="K106"/>
      <c r="L106"/>
      <c r="M106"/>
      <c r="N106"/>
      <c r="O106"/>
      <c r="P106"/>
    </row>
    <row r="107" spans="1:41" s="36" customFormat="1">
      <c r="A107" s="84" t="s">
        <v>47</v>
      </c>
      <c r="B107" s="84">
        <v>1</v>
      </c>
      <c r="C107" s="84" t="s">
        <v>414</v>
      </c>
      <c r="D107" s="1"/>
      <c r="E107" s="1"/>
      <c r="F107" s="1"/>
      <c r="G107" s="1"/>
      <c r="H107" s="1"/>
      <c r="I107"/>
      <c r="J107"/>
      <c r="K107"/>
      <c r="L107"/>
      <c r="M107"/>
      <c r="N107"/>
      <c r="O107"/>
      <c r="P107"/>
    </row>
    <row r="108" spans="1:41" s="25" customFormat="1">
      <c r="A108" s="87" t="s">
        <v>2803</v>
      </c>
      <c r="B108" s="84">
        <v>3</v>
      </c>
      <c r="C108" s="84" t="s">
        <v>2736</v>
      </c>
      <c r="D108" s="1"/>
      <c r="E108" s="1"/>
      <c r="F108" s="1"/>
      <c r="G108" s="1"/>
      <c r="H108" s="1"/>
      <c r="I108"/>
      <c r="J108"/>
      <c r="K108"/>
      <c r="L108"/>
      <c r="M108"/>
      <c r="N108"/>
      <c r="O108"/>
      <c r="P108"/>
    </row>
    <row r="109" spans="1:41" s="25" customFormat="1" ht="17">
      <c r="A109" s="107" t="s">
        <v>2988</v>
      </c>
      <c r="B109" s="108">
        <v>3</v>
      </c>
      <c r="C109" s="108" t="s">
        <v>2736</v>
      </c>
      <c r="D109" s="1"/>
      <c r="E109" s="1"/>
      <c r="F109" s="1"/>
      <c r="G109" s="1"/>
      <c r="H109" s="1"/>
      <c r="I109"/>
      <c r="J109"/>
      <c r="K109"/>
      <c r="L109"/>
      <c r="M109"/>
      <c r="N109"/>
      <c r="O109"/>
      <c r="P109"/>
    </row>
    <row r="110" spans="1:41" s="25" customFormat="1">
      <c r="A110" s="109" t="s">
        <v>2810</v>
      </c>
      <c r="B110" s="108">
        <v>3</v>
      </c>
      <c r="C110" s="108" t="s">
        <v>3204</v>
      </c>
      <c r="D110" s="1"/>
      <c r="E110" s="1"/>
      <c r="F110" s="1"/>
      <c r="G110" s="1"/>
      <c r="H110" s="1"/>
      <c r="I110"/>
      <c r="J110"/>
      <c r="K110"/>
      <c r="L110"/>
      <c r="M110"/>
      <c r="N110"/>
      <c r="O110"/>
      <c r="P110"/>
    </row>
    <row r="111" spans="1:41" s="25" customFormat="1">
      <c r="A111" s="109" t="s">
        <v>2811</v>
      </c>
      <c r="B111" s="108">
        <v>3</v>
      </c>
      <c r="C111" s="108" t="s">
        <v>3148</v>
      </c>
      <c r="G111" s="1"/>
      <c r="H111" s="1"/>
      <c r="I111"/>
      <c r="J111"/>
      <c r="K111"/>
      <c r="L111"/>
      <c r="M111"/>
      <c r="N111"/>
      <c r="O111"/>
      <c r="P111"/>
    </row>
    <row r="112" spans="1:41" s="25" customFormat="1">
      <c r="A112" s="109" t="s">
        <v>3150</v>
      </c>
      <c r="B112" s="108">
        <v>3</v>
      </c>
      <c r="C112" s="108" t="s">
        <v>2861</v>
      </c>
      <c r="D112" s="1"/>
      <c r="E112" s="1"/>
      <c r="F112" s="1"/>
      <c r="G112" s="1"/>
      <c r="H112" s="1"/>
      <c r="I112"/>
      <c r="J112"/>
      <c r="K112"/>
      <c r="L112"/>
      <c r="M112"/>
      <c r="N112"/>
      <c r="O112"/>
      <c r="P112"/>
    </row>
    <row r="113" spans="1:45" s="25" customFormat="1">
      <c r="A113" s="109" t="s">
        <v>2817</v>
      </c>
      <c r="B113" s="108">
        <v>3</v>
      </c>
      <c r="C113" s="108" t="s">
        <v>2861</v>
      </c>
      <c r="D113" s="1"/>
      <c r="E113" s="1"/>
      <c r="F113" s="1"/>
      <c r="G113" s="1"/>
      <c r="H113" s="1"/>
      <c r="I113"/>
      <c r="J113"/>
      <c r="K113"/>
      <c r="L113"/>
      <c r="M113"/>
      <c r="N113"/>
      <c r="O113"/>
      <c r="P113"/>
    </row>
    <row r="114" spans="1:45">
      <c r="A114" s="109" t="s">
        <v>2818</v>
      </c>
      <c r="B114" s="108">
        <v>3</v>
      </c>
      <c r="C114" s="108" t="s">
        <v>3155</v>
      </c>
      <c r="D114" s="1"/>
      <c r="E114" s="1"/>
      <c r="F114" s="1"/>
      <c r="G114" s="1"/>
      <c r="H114" s="1"/>
    </row>
    <row r="115" spans="1:45" ht="17">
      <c r="A115" s="107" t="s">
        <v>2737</v>
      </c>
      <c r="B115" s="108">
        <v>3</v>
      </c>
      <c r="C115" s="108" t="s">
        <v>3154</v>
      </c>
      <c r="D115" s="1"/>
      <c r="E115" s="1"/>
      <c r="F115" s="1"/>
      <c r="G115" s="1"/>
      <c r="H115" s="1"/>
    </row>
    <row r="116" spans="1:45" s="25" customFormat="1" ht="17">
      <c r="A116" s="86" t="s">
        <v>2847</v>
      </c>
      <c r="B116" s="84">
        <v>3</v>
      </c>
      <c r="C116" s="84" t="s">
        <v>3149</v>
      </c>
      <c r="D116" s="1"/>
      <c r="E116" s="1"/>
      <c r="F116" s="1"/>
      <c r="G116" s="1"/>
      <c r="H116" s="1"/>
      <c r="I116"/>
      <c r="J116"/>
      <c r="K116"/>
      <c r="L116"/>
      <c r="M116"/>
      <c r="N116"/>
      <c r="O116"/>
      <c r="P116"/>
      <c r="AL116" s="48"/>
      <c r="AM116" s="47"/>
      <c r="AN116" s="47"/>
      <c r="AO116" s="47"/>
    </row>
    <row r="117" spans="1:45" ht="17">
      <c r="A117" s="86" t="s">
        <v>2942</v>
      </c>
      <c r="B117" s="84">
        <v>3</v>
      </c>
      <c r="C117" s="84" t="s">
        <v>3151</v>
      </c>
      <c r="D117" s="1"/>
      <c r="E117" s="1"/>
      <c r="F117" s="1"/>
      <c r="G117" s="1"/>
      <c r="H117" s="1"/>
      <c r="AL117" s="2"/>
      <c r="AM117" s="1"/>
      <c r="AN117" s="1"/>
      <c r="AO117" s="1"/>
    </row>
    <row r="118" spans="1:45" s="25" customFormat="1">
      <c r="A118" s="84" t="s">
        <v>119</v>
      </c>
      <c r="B118" s="84">
        <v>1</v>
      </c>
      <c r="C118" s="84" t="s">
        <v>639</v>
      </c>
      <c r="D118" s="1"/>
      <c r="E118" s="1"/>
      <c r="F118" s="1"/>
      <c r="G118" s="1"/>
      <c r="H118" s="1"/>
      <c r="I118"/>
      <c r="J118"/>
      <c r="K118"/>
      <c r="L118"/>
      <c r="M118"/>
      <c r="N118"/>
      <c r="O118"/>
      <c r="P118"/>
      <c r="AL118" s="48"/>
      <c r="AM118" s="47"/>
      <c r="AN118" s="47"/>
      <c r="AO118" s="47"/>
    </row>
    <row r="119" spans="1:45" s="25" customFormat="1">
      <c r="A119" s="87" t="s">
        <v>2802</v>
      </c>
      <c r="B119" s="84">
        <v>3</v>
      </c>
      <c r="C119" s="84" t="s">
        <v>639</v>
      </c>
      <c r="D119" s="1"/>
      <c r="E119" s="1"/>
      <c r="F119" s="1"/>
      <c r="G119" s="1"/>
      <c r="H119" s="1"/>
      <c r="I119"/>
      <c r="J119"/>
      <c r="K119"/>
      <c r="L119"/>
      <c r="M119"/>
      <c r="N119"/>
      <c r="O119"/>
      <c r="P119"/>
      <c r="AL119" s="48"/>
      <c r="AM119" s="47"/>
      <c r="AN119" s="47"/>
      <c r="AO119" s="47"/>
    </row>
    <row r="120" spans="1:45" ht="17">
      <c r="A120" s="86" t="s">
        <v>2939</v>
      </c>
      <c r="B120" s="84">
        <v>3</v>
      </c>
      <c r="C120" s="84" t="s">
        <v>3152</v>
      </c>
      <c r="D120" s="1"/>
      <c r="E120" s="1"/>
      <c r="F120" s="1"/>
      <c r="G120" s="1"/>
      <c r="H120" s="1"/>
      <c r="AL120" s="2"/>
      <c r="AM120" s="1"/>
      <c r="AN120" s="1"/>
      <c r="AO120" s="1"/>
    </row>
    <row r="121" spans="1:45" s="25" customFormat="1">
      <c r="A121" s="84" t="s">
        <v>25</v>
      </c>
      <c r="B121" s="84">
        <v>1</v>
      </c>
      <c r="C121" s="84" t="s">
        <v>324</v>
      </c>
      <c r="D121" s="1"/>
      <c r="E121" s="1"/>
      <c r="F121" s="1"/>
      <c r="G121" s="1"/>
      <c r="H121" s="1"/>
      <c r="I121"/>
      <c r="J121"/>
      <c r="K121"/>
      <c r="L121"/>
      <c r="M121"/>
      <c r="N121"/>
      <c r="O121"/>
      <c r="P121"/>
      <c r="AL121" s="48"/>
      <c r="AM121" s="47"/>
      <c r="AN121" s="47"/>
      <c r="AO121" s="47"/>
    </row>
    <row r="122" spans="1:45">
      <c r="A122" s="84" t="s">
        <v>92</v>
      </c>
      <c r="B122" s="84">
        <v>1</v>
      </c>
      <c r="C122" s="84" t="s">
        <v>324</v>
      </c>
      <c r="D122" s="1"/>
      <c r="E122" s="1"/>
      <c r="F122" s="1"/>
      <c r="G122" s="1"/>
      <c r="H122" s="1"/>
      <c r="AL122" s="2"/>
      <c r="AM122" s="1"/>
      <c r="AN122" s="1"/>
      <c r="AO122" s="1"/>
    </row>
    <row r="123" spans="1:45" s="25" customFormat="1">
      <c r="A123" s="87" t="s">
        <v>2808</v>
      </c>
      <c r="B123" s="84">
        <v>3</v>
      </c>
      <c r="C123" s="84" t="s">
        <v>324</v>
      </c>
      <c r="D123" s="1"/>
      <c r="E123" s="1"/>
      <c r="F123" s="1"/>
      <c r="G123" s="1"/>
      <c r="H123" s="1"/>
      <c r="I123"/>
      <c r="J123"/>
      <c r="K123"/>
      <c r="L123"/>
      <c r="M123"/>
      <c r="N123"/>
      <c r="O123"/>
      <c r="P123"/>
      <c r="AL123" s="48"/>
      <c r="AM123" s="47"/>
      <c r="AN123" s="47"/>
      <c r="AO123" s="47"/>
    </row>
    <row r="124" spans="1:45" s="25" customFormat="1">
      <c r="A124" s="83" t="s">
        <v>2908</v>
      </c>
      <c r="B124" s="84">
        <v>3</v>
      </c>
      <c r="C124" s="84" t="s">
        <v>324</v>
      </c>
      <c r="D124" s="1"/>
      <c r="E124" s="1"/>
      <c r="F124" s="1"/>
      <c r="G124" s="1"/>
      <c r="H124" s="1"/>
      <c r="I124"/>
      <c r="J124"/>
      <c r="K124"/>
      <c r="L124"/>
      <c r="M124"/>
      <c r="N124"/>
      <c r="O124"/>
      <c r="P124"/>
      <c r="AL124" s="48"/>
      <c r="AM124" s="47"/>
      <c r="AN124" s="47"/>
      <c r="AO124" s="47"/>
    </row>
    <row r="125" spans="1:45" s="42" customFormat="1">
      <c r="A125" s="87" t="s">
        <v>2761</v>
      </c>
      <c r="B125" s="84">
        <v>2</v>
      </c>
      <c r="C125" s="84" t="s">
        <v>2080</v>
      </c>
      <c r="D125" s="1"/>
      <c r="E125" s="1"/>
      <c r="F125" s="1"/>
      <c r="G125" s="1"/>
      <c r="H125" s="1"/>
      <c r="I125"/>
      <c r="J125"/>
      <c r="K125"/>
      <c r="L125"/>
      <c r="M125"/>
      <c r="N125"/>
      <c r="O125"/>
      <c r="P125"/>
      <c r="AL125" s="43"/>
      <c r="AM125" s="41"/>
      <c r="AN125" s="41"/>
      <c r="AO125" s="41"/>
    </row>
    <row r="126" spans="1:45" s="25" customFormat="1">
      <c r="A126" s="84" t="s">
        <v>98</v>
      </c>
      <c r="B126" s="84">
        <v>1</v>
      </c>
      <c r="C126" s="84" t="s">
        <v>560</v>
      </c>
      <c r="D126" s="1"/>
      <c r="E126" s="1"/>
      <c r="F126" s="1"/>
      <c r="G126" s="1"/>
      <c r="H126" s="1"/>
      <c r="I126"/>
      <c r="J126"/>
      <c r="K126"/>
      <c r="L126"/>
      <c r="M126"/>
      <c r="N126"/>
      <c r="O126"/>
      <c r="P126"/>
      <c r="AL126" s="48"/>
      <c r="AM126" s="47"/>
      <c r="AN126" s="47"/>
      <c r="AO126" s="47"/>
      <c r="AS126" s="25">
        <v>10</v>
      </c>
    </row>
    <row r="127" spans="1:45" s="25" customFormat="1" ht="17">
      <c r="A127" s="86" t="s">
        <v>2953</v>
      </c>
      <c r="B127" s="84">
        <v>3</v>
      </c>
      <c r="C127" s="83" t="s">
        <v>2954</v>
      </c>
      <c r="D127" s="1"/>
      <c r="E127" s="1"/>
      <c r="F127" s="1"/>
      <c r="G127" s="1"/>
      <c r="H127" s="1"/>
      <c r="I127"/>
      <c r="J127"/>
      <c r="K127"/>
      <c r="L127"/>
      <c r="M127"/>
      <c r="N127"/>
      <c r="O127"/>
      <c r="P127"/>
      <c r="AL127" s="48"/>
      <c r="AM127" s="47"/>
      <c r="AN127" s="47"/>
      <c r="AO127" s="47"/>
    </row>
    <row r="128" spans="1:45" s="25" customFormat="1">
      <c r="A128" s="76" t="s">
        <v>56</v>
      </c>
      <c r="B128" s="76">
        <v>1</v>
      </c>
      <c r="C128" s="76" t="s">
        <v>463</v>
      </c>
      <c r="D128" s="1"/>
      <c r="E128" s="1"/>
      <c r="F128" s="1"/>
      <c r="G128" s="1"/>
      <c r="H128" s="1"/>
      <c r="I128"/>
      <c r="J128"/>
      <c r="K128"/>
      <c r="L128"/>
      <c r="M128"/>
      <c r="N128"/>
      <c r="O128"/>
      <c r="P128"/>
      <c r="AL128" s="48"/>
      <c r="AM128" s="47"/>
      <c r="AN128" s="47"/>
      <c r="AO128" s="47"/>
    </row>
    <row r="129" spans="1:41" s="25" customFormat="1">
      <c r="A129" s="76" t="s">
        <v>207</v>
      </c>
      <c r="B129" s="76">
        <v>1</v>
      </c>
      <c r="C129" s="76" t="s">
        <v>2591</v>
      </c>
      <c r="D129" s="1"/>
      <c r="E129" s="1"/>
      <c r="F129" s="1"/>
      <c r="G129" s="1"/>
      <c r="H129" s="1"/>
      <c r="I129"/>
      <c r="J129"/>
      <c r="K129"/>
      <c r="L129"/>
      <c r="M129"/>
      <c r="N129"/>
      <c r="O129"/>
      <c r="P129"/>
      <c r="AL129" s="48"/>
      <c r="AM129" s="47"/>
      <c r="AN129" s="47"/>
      <c r="AO129" s="47"/>
    </row>
    <row r="130" spans="1:41" s="25" customFormat="1">
      <c r="A130" s="75" t="s">
        <v>2785</v>
      </c>
      <c r="B130" s="76">
        <v>2</v>
      </c>
      <c r="C130" s="76" t="s">
        <v>2131</v>
      </c>
      <c r="D130" s="1"/>
      <c r="E130" s="1"/>
      <c r="F130" s="1"/>
      <c r="G130" s="1"/>
      <c r="H130" s="1"/>
      <c r="I130"/>
      <c r="J130"/>
      <c r="K130"/>
      <c r="L130"/>
      <c r="M130"/>
      <c r="N130"/>
      <c r="O130"/>
      <c r="P130"/>
      <c r="AL130" s="48"/>
      <c r="AM130" s="47"/>
      <c r="AN130" s="47"/>
      <c r="AO130" s="47"/>
    </row>
    <row r="131" spans="1:41" s="25" customFormat="1">
      <c r="A131" s="75" t="s">
        <v>2786</v>
      </c>
      <c r="B131" s="76">
        <v>2</v>
      </c>
      <c r="C131" s="76" t="s">
        <v>2131</v>
      </c>
      <c r="D131" s="1"/>
      <c r="E131" s="1"/>
      <c r="F131" s="1"/>
      <c r="G131" s="1"/>
      <c r="H131" s="1"/>
      <c r="I131"/>
      <c r="J131"/>
      <c r="K131"/>
      <c r="L131"/>
      <c r="M131"/>
      <c r="N131"/>
      <c r="O131"/>
      <c r="P131"/>
      <c r="AL131" s="48"/>
      <c r="AM131" s="47"/>
      <c r="AN131" s="47"/>
      <c r="AO131" s="47"/>
    </row>
    <row r="132" spans="1:41" s="25" customFormat="1">
      <c r="A132" s="77" t="s">
        <v>606</v>
      </c>
      <c r="B132" s="76">
        <v>2</v>
      </c>
      <c r="C132" s="76" t="s">
        <v>2525</v>
      </c>
      <c r="D132" s="1"/>
      <c r="E132" s="1"/>
      <c r="F132" s="1"/>
      <c r="G132" s="1"/>
      <c r="H132" s="1"/>
      <c r="I132"/>
      <c r="J132"/>
      <c r="K132"/>
      <c r="L132"/>
      <c r="M132"/>
      <c r="N132"/>
      <c r="O132"/>
      <c r="P132"/>
    </row>
    <row r="133" spans="1:41" s="25" customFormat="1">
      <c r="A133" s="76" t="s">
        <v>138</v>
      </c>
      <c r="B133" s="76">
        <v>1</v>
      </c>
      <c r="C133" s="76" t="s">
        <v>714</v>
      </c>
      <c r="D133" s="1"/>
      <c r="E133" s="1"/>
      <c r="F133" s="1"/>
      <c r="G133" s="1"/>
      <c r="H133" s="1"/>
      <c r="I133"/>
      <c r="J133"/>
      <c r="K133"/>
      <c r="L133"/>
      <c r="M133"/>
      <c r="N133"/>
      <c r="O133"/>
      <c r="P133"/>
    </row>
    <row r="134" spans="1:41" s="25" customFormat="1">
      <c r="A134" s="75" t="s">
        <v>2778</v>
      </c>
      <c r="B134" s="76">
        <v>2</v>
      </c>
      <c r="C134" s="76" t="s">
        <v>2516</v>
      </c>
      <c r="D134" s="1"/>
      <c r="E134" s="1"/>
      <c r="F134" s="1"/>
      <c r="G134" s="1"/>
      <c r="H134" s="1"/>
      <c r="I134"/>
      <c r="J134"/>
      <c r="K134"/>
      <c r="L134"/>
      <c r="M134"/>
      <c r="N134"/>
      <c r="O134"/>
      <c r="P134"/>
    </row>
    <row r="135" spans="1:41" s="25" customFormat="1">
      <c r="A135" s="62" t="s">
        <v>2804</v>
      </c>
      <c r="B135" s="41">
        <v>3</v>
      </c>
      <c r="C135" s="41" t="s">
        <v>2738</v>
      </c>
      <c r="D135" s="1"/>
      <c r="E135" s="1"/>
      <c r="F135" s="1"/>
      <c r="G135" s="1"/>
      <c r="H135" s="1"/>
      <c r="I135"/>
      <c r="J135"/>
      <c r="K135"/>
      <c r="L135"/>
      <c r="M135"/>
      <c r="N135"/>
      <c r="O135"/>
      <c r="P135"/>
    </row>
    <row r="136" spans="1:41" s="25" customFormat="1">
      <c r="A136" s="41" t="s">
        <v>17</v>
      </c>
      <c r="B136" s="41">
        <v>1</v>
      </c>
      <c r="C136" s="41" t="s">
        <v>266</v>
      </c>
      <c r="D136" s="1"/>
      <c r="E136" s="1"/>
      <c r="F136" s="1"/>
      <c r="G136" s="1"/>
      <c r="H136" s="1"/>
      <c r="I136"/>
      <c r="J136"/>
      <c r="K136"/>
      <c r="L136"/>
      <c r="M136"/>
      <c r="N136"/>
      <c r="O136"/>
      <c r="P136"/>
    </row>
    <row r="137" spans="1:41" s="25" customFormat="1">
      <c r="A137" s="41" t="s">
        <v>838</v>
      </c>
      <c r="B137" s="41">
        <v>2</v>
      </c>
      <c r="C137" s="41" t="s">
        <v>1128</v>
      </c>
      <c r="D137" s="1"/>
      <c r="E137" s="1"/>
      <c r="F137" s="1"/>
      <c r="G137" s="1"/>
      <c r="H137" s="1"/>
      <c r="I137"/>
      <c r="J137"/>
      <c r="K137"/>
      <c r="L137"/>
      <c r="M137"/>
      <c r="N137"/>
      <c r="O137"/>
      <c r="P137"/>
    </row>
    <row r="138" spans="1:41" s="25" customFormat="1">
      <c r="A138" s="41" t="s">
        <v>59</v>
      </c>
      <c r="B138" s="41">
        <v>1</v>
      </c>
      <c r="C138" s="41" t="s">
        <v>466</v>
      </c>
      <c r="D138" s="1"/>
      <c r="E138" s="1"/>
      <c r="F138" s="1"/>
      <c r="G138" s="1"/>
      <c r="H138" s="1"/>
      <c r="I138"/>
      <c r="J138"/>
      <c r="K138"/>
      <c r="L138"/>
      <c r="M138"/>
      <c r="N138"/>
      <c r="O138"/>
      <c r="P138"/>
    </row>
    <row r="139" spans="1:41" s="25" customFormat="1">
      <c r="A139" s="41" t="s">
        <v>83</v>
      </c>
      <c r="B139" s="41">
        <v>1</v>
      </c>
      <c r="C139" s="41" t="s">
        <v>466</v>
      </c>
      <c r="D139" s="1"/>
      <c r="E139" s="1"/>
      <c r="F139" s="1"/>
      <c r="G139" s="1"/>
      <c r="H139" s="1"/>
      <c r="I139"/>
      <c r="J139"/>
      <c r="K139"/>
      <c r="L139"/>
      <c r="M139"/>
      <c r="N139"/>
      <c r="O139"/>
      <c r="P139"/>
    </row>
    <row r="140" spans="1:41" s="25" customFormat="1">
      <c r="A140" s="41" t="s">
        <v>87</v>
      </c>
      <c r="B140" s="41">
        <v>1</v>
      </c>
      <c r="C140" s="41" t="s">
        <v>466</v>
      </c>
      <c r="D140" s="1"/>
      <c r="E140" s="1"/>
      <c r="F140" s="1"/>
      <c r="G140" s="1"/>
      <c r="H140" s="1"/>
      <c r="I140"/>
      <c r="J140"/>
      <c r="K140"/>
      <c r="L140"/>
      <c r="M140"/>
      <c r="N140"/>
      <c r="O140"/>
      <c r="P140"/>
    </row>
    <row r="141" spans="1:41" s="25" customFormat="1">
      <c r="A141" s="41" t="s">
        <v>126</v>
      </c>
      <c r="B141" s="41">
        <v>1</v>
      </c>
      <c r="C141" s="41" t="s">
        <v>645</v>
      </c>
      <c r="D141" s="1"/>
      <c r="E141" s="1"/>
      <c r="F141" s="1"/>
      <c r="G141" s="1"/>
      <c r="H141" s="1"/>
      <c r="I141"/>
      <c r="J141"/>
      <c r="K141"/>
      <c r="L141"/>
      <c r="M141"/>
      <c r="N141"/>
      <c r="O141"/>
      <c r="P141"/>
    </row>
    <row r="142" spans="1:41" s="25" customFormat="1">
      <c r="A142" s="42" t="s">
        <v>2914</v>
      </c>
      <c r="B142" s="41">
        <v>3</v>
      </c>
      <c r="C142" s="41" t="s">
        <v>645</v>
      </c>
      <c r="D142" s="1"/>
      <c r="E142" s="1"/>
      <c r="F142" s="1"/>
      <c r="G142" s="1"/>
      <c r="H142" s="1"/>
      <c r="I142"/>
      <c r="J142"/>
      <c r="K142"/>
      <c r="L142"/>
      <c r="M142"/>
      <c r="N142"/>
      <c r="O142"/>
      <c r="P142"/>
    </row>
    <row r="143" spans="1:41" s="25" customFormat="1">
      <c r="A143" s="42" t="s">
        <v>2940</v>
      </c>
      <c r="B143" s="41">
        <v>3</v>
      </c>
      <c r="C143" s="41" t="s">
        <v>645</v>
      </c>
      <c r="D143" s="1"/>
      <c r="E143" s="1"/>
      <c r="F143" s="1"/>
      <c r="G143" s="1"/>
      <c r="H143" s="1"/>
      <c r="I143"/>
      <c r="J143"/>
      <c r="K143"/>
      <c r="L143"/>
      <c r="M143"/>
      <c r="N143"/>
      <c r="O143"/>
      <c r="P143"/>
    </row>
    <row r="144" spans="1:41" s="25" customFormat="1" ht="16">
      <c r="A144" s="60" t="s">
        <v>2944</v>
      </c>
      <c r="B144" s="41">
        <v>3</v>
      </c>
      <c r="C144" s="41" t="s">
        <v>645</v>
      </c>
      <c r="D144" s="1"/>
      <c r="E144" s="1"/>
      <c r="F144" s="1"/>
      <c r="G144" s="1"/>
      <c r="H144" s="1"/>
      <c r="I144"/>
      <c r="J144"/>
      <c r="K144"/>
      <c r="L144"/>
      <c r="M144"/>
      <c r="N144"/>
      <c r="O144"/>
      <c r="P144"/>
    </row>
    <row r="145" spans="1:16" s="25" customFormat="1" ht="17">
      <c r="A145" s="61" t="s">
        <v>2949</v>
      </c>
      <c r="B145" s="41">
        <v>3</v>
      </c>
      <c r="C145" s="41" t="s">
        <v>645</v>
      </c>
      <c r="D145" s="1"/>
      <c r="E145" s="1"/>
      <c r="F145" s="1"/>
      <c r="G145" s="1"/>
      <c r="H145" s="1"/>
      <c r="I145"/>
      <c r="J145"/>
      <c r="K145"/>
      <c r="L145"/>
      <c r="M145"/>
      <c r="N145"/>
      <c r="O145"/>
      <c r="P145"/>
    </row>
    <row r="146" spans="1:16" s="25" customFormat="1" ht="17">
      <c r="A146" s="61" t="s">
        <v>2989</v>
      </c>
      <c r="B146" s="41">
        <v>3</v>
      </c>
      <c r="C146" s="41" t="s">
        <v>645</v>
      </c>
      <c r="D146" s="1"/>
      <c r="E146" s="1"/>
      <c r="F146" s="1"/>
      <c r="G146" s="1"/>
      <c r="H146" s="1"/>
      <c r="I146"/>
      <c r="J146"/>
      <c r="K146"/>
      <c r="L146"/>
      <c r="M146"/>
      <c r="N146"/>
      <c r="O146"/>
      <c r="P146"/>
    </row>
    <row r="147" spans="1:16" s="25" customFormat="1">
      <c r="A147" s="41" t="s">
        <v>136</v>
      </c>
      <c r="B147" s="41">
        <v>1</v>
      </c>
      <c r="C147" s="41" t="s">
        <v>688</v>
      </c>
      <c r="D147" s="1"/>
      <c r="E147" s="1"/>
      <c r="F147" s="1"/>
      <c r="G147" s="1"/>
      <c r="H147" s="1"/>
      <c r="I147"/>
      <c r="J147"/>
      <c r="K147"/>
      <c r="L147"/>
      <c r="M147"/>
      <c r="N147"/>
      <c r="O147"/>
      <c r="P147"/>
    </row>
    <row r="148" spans="1:16" s="39" customFormat="1">
      <c r="A148" s="41" t="s">
        <v>140</v>
      </c>
      <c r="B148" s="41">
        <v>1</v>
      </c>
      <c r="C148" s="41" t="s">
        <v>688</v>
      </c>
      <c r="D148" s="1"/>
      <c r="E148" s="1"/>
      <c r="F148" s="1"/>
      <c r="G148" s="1"/>
      <c r="H148" s="1"/>
      <c r="I148"/>
      <c r="J148"/>
      <c r="K148"/>
      <c r="L148"/>
      <c r="M148"/>
      <c r="N148"/>
      <c r="O148"/>
      <c r="P148"/>
    </row>
    <row r="149" spans="1:16" s="39" customFormat="1">
      <c r="A149" s="41" t="s">
        <v>642</v>
      </c>
      <c r="B149" s="41">
        <v>1</v>
      </c>
      <c r="C149" s="41" t="s">
        <v>643</v>
      </c>
      <c r="D149" s="1"/>
      <c r="E149" s="1"/>
      <c r="F149" s="1"/>
      <c r="G149" s="1"/>
      <c r="H149" s="1"/>
      <c r="I149"/>
      <c r="J149"/>
      <c r="K149"/>
      <c r="L149"/>
      <c r="M149"/>
      <c r="N149"/>
      <c r="O149"/>
      <c r="P149"/>
    </row>
    <row r="150" spans="1:16" s="39" customFormat="1">
      <c r="A150" s="41" t="s">
        <v>128</v>
      </c>
      <c r="B150" s="41">
        <v>1</v>
      </c>
      <c r="C150" s="41" t="s">
        <v>643</v>
      </c>
      <c r="D150" s="1"/>
      <c r="E150" s="1"/>
      <c r="F150" s="1"/>
      <c r="G150" s="1"/>
      <c r="H150" s="1"/>
      <c r="I150"/>
      <c r="J150"/>
      <c r="K150"/>
      <c r="L150"/>
      <c r="M150"/>
      <c r="N150"/>
      <c r="O150"/>
      <c r="P150"/>
    </row>
    <row r="151" spans="1:16" s="39" customFormat="1">
      <c r="A151" s="41" t="s">
        <v>130</v>
      </c>
      <c r="B151" s="41">
        <v>1</v>
      </c>
      <c r="C151" s="41" t="s">
        <v>643</v>
      </c>
      <c r="D151" s="1"/>
      <c r="E151" s="1"/>
      <c r="F151" s="1"/>
      <c r="G151" s="1"/>
      <c r="H151" s="1"/>
      <c r="I151"/>
      <c r="J151"/>
      <c r="K151"/>
      <c r="L151"/>
      <c r="M151"/>
      <c r="N151"/>
      <c r="O151"/>
      <c r="P151"/>
    </row>
    <row r="152" spans="1:16" s="39" customFormat="1">
      <c r="A152" s="41" t="s">
        <v>134</v>
      </c>
      <c r="B152" s="41">
        <v>1</v>
      </c>
      <c r="C152" s="41" t="s">
        <v>643</v>
      </c>
      <c r="D152" s="1"/>
      <c r="E152" s="1"/>
      <c r="F152" s="1"/>
      <c r="G152" s="1"/>
      <c r="H152" s="1"/>
      <c r="I152"/>
      <c r="J152"/>
      <c r="K152"/>
      <c r="L152"/>
      <c r="M152"/>
      <c r="N152"/>
      <c r="O152"/>
      <c r="P152"/>
    </row>
    <row r="153" spans="1:16" s="39" customFormat="1">
      <c r="A153" s="62" t="s">
        <v>2784</v>
      </c>
      <c r="B153" s="41">
        <v>2</v>
      </c>
      <c r="C153" s="41" t="s">
        <v>2129</v>
      </c>
      <c r="D153" s="1"/>
      <c r="E153" s="1"/>
      <c r="F153" s="1"/>
      <c r="G153" s="1"/>
      <c r="H153" s="1"/>
      <c r="I153"/>
      <c r="J153"/>
      <c r="K153"/>
      <c r="L153"/>
      <c r="M153"/>
      <c r="N153"/>
      <c r="O153"/>
      <c r="P153"/>
    </row>
    <row r="154" spans="1:16" s="39" customFormat="1">
      <c r="A154" s="41" t="s">
        <v>117</v>
      </c>
      <c r="B154" s="41">
        <v>1</v>
      </c>
      <c r="C154" s="41" t="s">
        <v>637</v>
      </c>
      <c r="D154" s="1"/>
      <c r="E154" s="1"/>
      <c r="F154" s="1"/>
      <c r="G154" s="1"/>
      <c r="H154" s="1"/>
      <c r="I154"/>
      <c r="J154"/>
      <c r="K154"/>
      <c r="L154"/>
      <c r="M154"/>
      <c r="N154"/>
      <c r="O154"/>
      <c r="P154"/>
    </row>
    <row r="155" spans="1:16" s="39" customFormat="1">
      <c r="A155" s="41" t="s">
        <v>211</v>
      </c>
      <c r="B155" s="41">
        <v>1</v>
      </c>
      <c r="C155" s="41" t="s">
        <v>212</v>
      </c>
      <c r="D155" s="1"/>
      <c r="E155" s="1"/>
      <c r="F155" s="1"/>
      <c r="G155" s="1"/>
      <c r="H155" s="1"/>
      <c r="I155"/>
      <c r="J155"/>
      <c r="K155"/>
      <c r="L155"/>
      <c r="M155"/>
      <c r="N155"/>
      <c r="O155"/>
      <c r="P155"/>
    </row>
    <row r="156" spans="1:16" s="39" customFormat="1">
      <c r="A156" s="41" t="s">
        <v>626</v>
      </c>
      <c r="B156" s="41">
        <v>1</v>
      </c>
      <c r="C156" s="41" t="s">
        <v>1125</v>
      </c>
      <c r="D156" s="1"/>
      <c r="E156" s="1"/>
      <c r="F156" s="1"/>
      <c r="G156" s="1"/>
      <c r="H156" s="1"/>
      <c r="I156"/>
      <c r="J156"/>
      <c r="K156"/>
      <c r="L156"/>
      <c r="M156"/>
      <c r="N156"/>
      <c r="O156"/>
      <c r="P156"/>
    </row>
    <row r="157" spans="1:16" s="28" customFormat="1" ht="16">
      <c r="A157" s="91" t="s">
        <v>2922</v>
      </c>
      <c r="B157" s="91">
        <v>3</v>
      </c>
      <c r="C157" s="92" t="s">
        <v>466</v>
      </c>
    </row>
    <row r="158" spans="1:16" s="39" customFormat="1">
      <c r="A158" s="47" t="s">
        <v>46</v>
      </c>
      <c r="B158" s="47">
        <v>1</v>
      </c>
      <c r="C158" s="47" t="s">
        <v>407</v>
      </c>
      <c r="D158" s="1"/>
      <c r="E158" s="1"/>
      <c r="F158" s="1"/>
      <c r="G158" s="1"/>
      <c r="H158" s="1"/>
      <c r="I158"/>
      <c r="J158"/>
      <c r="K158"/>
      <c r="L158"/>
      <c r="M158"/>
      <c r="N158"/>
      <c r="O158"/>
      <c r="P158"/>
    </row>
    <row r="159" spans="1:16" s="39" customFormat="1">
      <c r="A159" s="47" t="s">
        <v>145</v>
      </c>
      <c r="B159" s="47">
        <v>1</v>
      </c>
      <c r="C159" s="47" t="s">
        <v>741</v>
      </c>
      <c r="D159" s="1"/>
      <c r="E159" s="1"/>
      <c r="F159" s="1"/>
      <c r="G159" s="1"/>
      <c r="H159" s="1"/>
      <c r="I159"/>
      <c r="J159"/>
      <c r="K159"/>
      <c r="L159"/>
      <c r="M159"/>
      <c r="N159"/>
      <c r="O159"/>
      <c r="P159"/>
    </row>
    <row r="160" spans="1:16" s="39" customFormat="1">
      <c r="A160" s="47" t="s">
        <v>597</v>
      </c>
      <c r="B160" s="47">
        <v>1</v>
      </c>
      <c r="C160" s="47" t="s">
        <v>925</v>
      </c>
      <c r="D160" s="1"/>
      <c r="E160" s="1"/>
      <c r="F160" s="1"/>
      <c r="G160" s="1"/>
      <c r="H160" s="1"/>
      <c r="I160"/>
      <c r="J160"/>
      <c r="K160"/>
      <c r="L160"/>
      <c r="M160"/>
      <c r="N160"/>
      <c r="O160"/>
      <c r="P160"/>
    </row>
    <row r="161" spans="1:16" s="39" customFormat="1">
      <c r="A161" s="47" t="s">
        <v>2102</v>
      </c>
      <c r="B161" s="47">
        <v>2</v>
      </c>
      <c r="C161" s="47" t="s">
        <v>2103</v>
      </c>
      <c r="D161" s="1"/>
      <c r="E161" s="1"/>
      <c r="F161" s="1"/>
      <c r="G161" s="1"/>
      <c r="H161" s="1"/>
      <c r="I161"/>
      <c r="J161"/>
      <c r="K161"/>
      <c r="L161"/>
      <c r="M161"/>
      <c r="N161"/>
      <c r="O161"/>
      <c r="P161"/>
    </row>
    <row r="162" spans="1:16" s="39" customFormat="1">
      <c r="A162" s="32" t="s">
        <v>2756</v>
      </c>
      <c r="B162" s="47">
        <v>2</v>
      </c>
      <c r="C162" s="47" t="s">
        <v>1994</v>
      </c>
      <c r="D162" s="1"/>
      <c r="E162" s="1"/>
      <c r="F162" s="1"/>
      <c r="G162" s="1"/>
      <c r="H162" s="1"/>
      <c r="I162"/>
      <c r="J162"/>
      <c r="K162"/>
      <c r="L162"/>
      <c r="M162"/>
      <c r="N162"/>
      <c r="O162"/>
      <c r="P162"/>
    </row>
    <row r="163" spans="1:16" s="39" customFormat="1">
      <c r="A163" s="32" t="s">
        <v>2759</v>
      </c>
      <c r="B163" s="47">
        <v>2</v>
      </c>
      <c r="C163" s="47" t="s">
        <v>1994</v>
      </c>
      <c r="D163" s="1"/>
      <c r="E163" s="1"/>
      <c r="F163" s="1"/>
      <c r="G163" s="1"/>
      <c r="H163" s="1"/>
      <c r="I163"/>
      <c r="J163"/>
      <c r="K163"/>
      <c r="L163"/>
      <c r="M163"/>
      <c r="N163"/>
      <c r="O163"/>
      <c r="P163"/>
    </row>
    <row r="164" spans="1:16" s="39" customFormat="1">
      <c r="A164" s="47" t="s">
        <v>141</v>
      </c>
      <c r="B164" s="47">
        <v>1</v>
      </c>
      <c r="C164" s="47" t="s">
        <v>716</v>
      </c>
      <c r="D164" s="1"/>
      <c r="E164" s="1"/>
      <c r="F164" s="1"/>
      <c r="G164" s="1"/>
      <c r="H164" s="1"/>
      <c r="I164"/>
      <c r="J164"/>
      <c r="K164"/>
      <c r="L164"/>
      <c r="M164"/>
      <c r="N164"/>
      <c r="O164"/>
      <c r="P164"/>
    </row>
    <row r="165" spans="1:16" s="25" customFormat="1">
      <c r="A165" s="47" t="s">
        <v>80</v>
      </c>
      <c r="B165" s="47">
        <v>1</v>
      </c>
      <c r="C165" s="47" t="s">
        <v>531</v>
      </c>
      <c r="D165" s="1"/>
      <c r="E165" s="1"/>
      <c r="F165" s="1"/>
      <c r="G165" s="1"/>
      <c r="H165" s="1"/>
      <c r="I165"/>
      <c r="J165"/>
      <c r="K165"/>
      <c r="L165"/>
      <c r="M165"/>
      <c r="N165"/>
      <c r="O165"/>
      <c r="P165"/>
    </row>
    <row r="166" spans="1:16" s="25" customFormat="1">
      <c r="A166" s="47" t="s">
        <v>455</v>
      </c>
      <c r="B166" s="47">
        <v>1</v>
      </c>
      <c r="C166" s="47" t="s">
        <v>840</v>
      </c>
      <c r="D166" s="1"/>
      <c r="E166" s="1"/>
      <c r="F166" s="1"/>
      <c r="G166" s="1"/>
      <c r="H166" s="1"/>
      <c r="I166"/>
      <c r="J166"/>
      <c r="K166"/>
      <c r="L166"/>
      <c r="M166"/>
      <c r="N166"/>
      <c r="O166"/>
      <c r="P166"/>
    </row>
    <row r="167" spans="1:16" s="39" customFormat="1">
      <c r="A167" s="47" t="s">
        <v>454</v>
      </c>
      <c r="B167" s="47">
        <v>1</v>
      </c>
      <c r="C167" s="47" t="s">
        <v>794</v>
      </c>
      <c r="D167" s="1"/>
      <c r="E167" s="1"/>
      <c r="F167" s="1"/>
      <c r="G167" s="1"/>
      <c r="H167" s="1"/>
      <c r="I167"/>
      <c r="J167"/>
      <c r="K167"/>
      <c r="L167"/>
      <c r="M167"/>
      <c r="N167"/>
      <c r="O167"/>
      <c r="P167"/>
    </row>
    <row r="168" spans="1:16" s="25" customFormat="1">
      <c r="A168" s="47" t="s">
        <v>29</v>
      </c>
      <c r="B168" s="47">
        <v>1</v>
      </c>
      <c r="C168" s="47" t="s">
        <v>369</v>
      </c>
      <c r="D168" s="1"/>
      <c r="E168" s="1"/>
      <c r="F168" s="1"/>
      <c r="G168" s="1"/>
      <c r="H168" s="1"/>
      <c r="I168"/>
      <c r="J168"/>
      <c r="K168"/>
      <c r="L168"/>
      <c r="M168"/>
      <c r="N168"/>
      <c r="O168"/>
      <c r="P168"/>
    </row>
    <row r="169" spans="1:16" s="25" customFormat="1">
      <c r="A169" s="47" t="s">
        <v>891</v>
      </c>
      <c r="B169" s="47">
        <v>2</v>
      </c>
      <c r="C169" s="47" t="s">
        <v>3000</v>
      </c>
      <c r="D169" s="1"/>
      <c r="E169" s="1"/>
      <c r="F169" s="1"/>
      <c r="G169" s="1"/>
      <c r="H169" s="1"/>
      <c r="I169"/>
      <c r="J169"/>
      <c r="K169"/>
      <c r="L169"/>
      <c r="M169"/>
      <c r="N169"/>
      <c r="O169"/>
      <c r="P169"/>
    </row>
    <row r="170" spans="1:16" s="25" customFormat="1">
      <c r="A170" s="47" t="s">
        <v>64</v>
      </c>
      <c r="B170" s="47">
        <v>1</v>
      </c>
      <c r="C170" s="47" t="s">
        <v>470</v>
      </c>
      <c r="D170" s="1"/>
      <c r="E170" s="1"/>
      <c r="F170" s="1"/>
      <c r="G170" s="1"/>
      <c r="H170" s="1"/>
      <c r="I170"/>
      <c r="J170"/>
      <c r="K170"/>
      <c r="L170"/>
      <c r="M170"/>
      <c r="N170"/>
      <c r="O170"/>
      <c r="P170"/>
    </row>
    <row r="171" spans="1:16" s="25" customFormat="1">
      <c r="A171" s="47" t="s">
        <v>66</v>
      </c>
      <c r="B171" s="47">
        <v>1</v>
      </c>
      <c r="C171" s="47" t="s">
        <v>472</v>
      </c>
      <c r="D171" s="1"/>
      <c r="E171" s="1"/>
      <c r="F171" s="1"/>
      <c r="G171" s="1"/>
      <c r="H171" s="1"/>
      <c r="I171"/>
      <c r="J171"/>
      <c r="K171"/>
      <c r="L171"/>
      <c r="M171"/>
      <c r="N171"/>
      <c r="O171"/>
      <c r="P171"/>
    </row>
    <row r="172" spans="1:16" s="25" customFormat="1">
      <c r="A172" s="47" t="s">
        <v>337</v>
      </c>
      <c r="B172" s="47">
        <v>1</v>
      </c>
      <c r="C172" s="47" t="s">
        <v>927</v>
      </c>
      <c r="D172" s="1"/>
      <c r="E172" s="1"/>
      <c r="F172" s="1"/>
      <c r="G172" s="1"/>
      <c r="H172" s="1"/>
      <c r="I172"/>
      <c r="J172"/>
      <c r="K172"/>
      <c r="L172"/>
      <c r="M172"/>
      <c r="N172"/>
      <c r="O172"/>
      <c r="P172"/>
    </row>
    <row r="173" spans="1:16" s="25" customFormat="1">
      <c r="A173" s="47" t="s">
        <v>150</v>
      </c>
      <c r="B173" s="47">
        <v>1</v>
      </c>
      <c r="C173" s="47" t="s">
        <v>793</v>
      </c>
      <c r="D173" s="1"/>
      <c r="E173" s="1"/>
      <c r="F173" s="1"/>
      <c r="G173" s="1"/>
      <c r="H173" s="1"/>
      <c r="I173"/>
      <c r="J173"/>
      <c r="K173"/>
      <c r="L173"/>
      <c r="M173"/>
      <c r="N173"/>
      <c r="O173"/>
      <c r="P173"/>
    </row>
    <row r="174" spans="1:16" s="25" customFormat="1">
      <c r="A174" s="32" t="s">
        <v>2812</v>
      </c>
      <c r="B174" s="47">
        <v>3</v>
      </c>
      <c r="C174" s="47" t="s">
        <v>2746</v>
      </c>
      <c r="D174" s="1"/>
      <c r="E174" s="1"/>
      <c r="F174" s="1"/>
      <c r="G174" s="1"/>
      <c r="H174" s="1"/>
      <c r="I174"/>
      <c r="J174"/>
      <c r="K174"/>
      <c r="L174"/>
      <c r="M174"/>
      <c r="N174"/>
      <c r="O174"/>
      <c r="P174"/>
    </row>
    <row r="175" spans="1:16" s="25" customFormat="1">
      <c r="A175" s="32" t="s">
        <v>2793</v>
      </c>
      <c r="B175" s="47">
        <v>2</v>
      </c>
      <c r="C175" s="47" t="s">
        <v>2139</v>
      </c>
      <c r="D175" s="1"/>
      <c r="E175" s="1"/>
      <c r="F175" s="1"/>
      <c r="G175" s="1"/>
      <c r="H175" s="1"/>
      <c r="I175"/>
      <c r="J175"/>
      <c r="K175"/>
      <c r="L175"/>
      <c r="M175"/>
      <c r="N175"/>
      <c r="O175"/>
      <c r="P175"/>
    </row>
    <row r="176" spans="1:16" s="25" customFormat="1">
      <c r="A176" s="32" t="s">
        <v>2767</v>
      </c>
      <c r="B176" s="47">
        <v>2</v>
      </c>
      <c r="C176" s="47" t="s">
        <v>2105</v>
      </c>
      <c r="D176" s="1"/>
      <c r="E176" s="1"/>
      <c r="F176" s="1"/>
      <c r="G176" s="1"/>
      <c r="H176" s="1"/>
      <c r="I176"/>
      <c r="J176"/>
      <c r="K176"/>
      <c r="L176"/>
      <c r="M176"/>
      <c r="N176"/>
      <c r="O176"/>
      <c r="P176"/>
    </row>
    <row r="177" spans="1:41" s="25" customFormat="1">
      <c r="A177" s="47" t="s">
        <v>434</v>
      </c>
      <c r="B177" s="47">
        <v>1</v>
      </c>
      <c r="C177" s="47" t="s">
        <v>875</v>
      </c>
      <c r="D177" s="1"/>
      <c r="E177" s="1"/>
      <c r="F177" s="1"/>
      <c r="G177" s="1"/>
      <c r="H177" s="1"/>
      <c r="I177"/>
      <c r="J177"/>
      <c r="K177"/>
      <c r="L177"/>
      <c r="M177"/>
      <c r="N177"/>
      <c r="O177"/>
      <c r="P177"/>
    </row>
    <row r="178" spans="1:41" s="25" customFormat="1">
      <c r="A178" s="47" t="s">
        <v>71</v>
      </c>
      <c r="B178" s="47">
        <v>1</v>
      </c>
      <c r="C178" s="47" t="s">
        <v>482</v>
      </c>
      <c r="D178" s="1"/>
      <c r="E178" s="1"/>
      <c r="F178" s="1"/>
      <c r="G178" s="1"/>
      <c r="H178" s="1"/>
      <c r="I178"/>
      <c r="J178"/>
      <c r="K178"/>
      <c r="L178"/>
      <c r="M178"/>
      <c r="N178"/>
      <c r="O178"/>
      <c r="P178"/>
    </row>
    <row r="179" spans="1:41" s="25" customFormat="1">
      <c r="A179" s="47" t="s">
        <v>61</v>
      </c>
      <c r="B179" s="47">
        <v>1</v>
      </c>
      <c r="C179" s="47" t="s">
        <v>468</v>
      </c>
      <c r="D179" s="1"/>
      <c r="E179" s="1"/>
      <c r="F179" s="1"/>
      <c r="G179" s="1"/>
      <c r="H179" s="1"/>
      <c r="I179"/>
      <c r="J179"/>
      <c r="K179"/>
      <c r="L179"/>
      <c r="M179"/>
      <c r="N179"/>
      <c r="O179"/>
      <c r="P179"/>
    </row>
    <row r="180" spans="1:41" s="25" customFormat="1">
      <c r="A180" s="32" t="s">
        <v>2790</v>
      </c>
      <c r="B180" s="47">
        <v>2</v>
      </c>
      <c r="C180" s="47" t="s">
        <v>2136</v>
      </c>
      <c r="D180" s="1"/>
      <c r="E180" s="1"/>
      <c r="F180" s="1"/>
      <c r="G180" s="1"/>
      <c r="H180" s="1"/>
      <c r="I180"/>
      <c r="J180"/>
      <c r="K180"/>
      <c r="L180"/>
      <c r="M180"/>
      <c r="N180"/>
      <c r="O180"/>
      <c r="P180"/>
    </row>
    <row r="181" spans="1:41" s="25" customFormat="1">
      <c r="A181" s="32" t="s">
        <v>2755</v>
      </c>
      <c r="B181" s="47">
        <v>2</v>
      </c>
      <c r="C181" s="47" t="s">
        <v>1983</v>
      </c>
      <c r="D181" s="1"/>
      <c r="E181" s="1"/>
      <c r="F181" s="1"/>
      <c r="G181" s="1"/>
      <c r="H181" s="1"/>
      <c r="I181"/>
      <c r="J181"/>
      <c r="K181"/>
      <c r="L181"/>
      <c r="M181"/>
      <c r="N181"/>
      <c r="O181"/>
      <c r="P181"/>
      <c r="AL181" s="48"/>
      <c r="AM181" s="47"/>
      <c r="AN181" s="47"/>
      <c r="AO181" s="47"/>
    </row>
    <row r="182" spans="1:41" s="25" customFormat="1">
      <c r="A182" s="47" t="s">
        <v>871</v>
      </c>
      <c r="B182" s="47">
        <v>1</v>
      </c>
      <c r="C182" s="47" t="s">
        <v>872</v>
      </c>
      <c r="D182" s="1"/>
      <c r="E182" s="1"/>
      <c r="F182" s="1"/>
      <c r="G182" s="1"/>
      <c r="H182" s="1"/>
      <c r="I182"/>
      <c r="J182"/>
      <c r="K182"/>
      <c r="L182"/>
      <c r="M182"/>
      <c r="N182"/>
      <c r="O182"/>
      <c r="P182"/>
      <c r="AL182" s="48"/>
      <c r="AM182" s="47"/>
      <c r="AN182" s="47"/>
      <c r="AO182" s="47"/>
    </row>
    <row r="183" spans="1:41" s="48" customFormat="1">
      <c r="A183" s="47" t="s">
        <v>685</v>
      </c>
      <c r="B183" s="47">
        <v>1</v>
      </c>
      <c r="C183" s="47" t="s">
        <v>912</v>
      </c>
      <c r="D183" s="1"/>
      <c r="E183" s="1"/>
      <c r="F183" s="1"/>
      <c r="G183" s="1"/>
      <c r="H183" s="1"/>
      <c r="I183" s="2"/>
      <c r="J183" s="2"/>
      <c r="K183" s="2"/>
      <c r="L183" s="2"/>
      <c r="M183" s="2"/>
      <c r="N183" s="2"/>
      <c r="O183" s="2"/>
      <c r="P183" s="2"/>
      <c r="AM183" s="47"/>
      <c r="AN183" s="47"/>
      <c r="AO183" s="47"/>
    </row>
    <row r="184" spans="1:41" s="25" customFormat="1">
      <c r="A184" s="47" t="s">
        <v>132</v>
      </c>
      <c r="B184" s="47">
        <v>1</v>
      </c>
      <c r="C184" s="47" t="s">
        <v>648</v>
      </c>
      <c r="D184" s="1"/>
      <c r="E184" s="1"/>
      <c r="F184" s="1"/>
      <c r="G184" s="1"/>
      <c r="H184" s="1"/>
      <c r="I184"/>
      <c r="J184"/>
      <c r="K184"/>
      <c r="L184"/>
      <c r="M184"/>
      <c r="N184"/>
      <c r="O184"/>
      <c r="P184"/>
      <c r="AL184" s="48"/>
      <c r="AM184" s="47"/>
      <c r="AN184" s="47"/>
      <c r="AO184" s="47"/>
    </row>
    <row r="185" spans="1:41" s="25" customFormat="1">
      <c r="A185" s="32" t="s">
        <v>2762</v>
      </c>
      <c r="B185" s="47">
        <v>2</v>
      </c>
      <c r="C185" s="47" t="s">
        <v>2094</v>
      </c>
      <c r="D185" s="1"/>
      <c r="E185" s="1"/>
      <c r="F185" s="1"/>
      <c r="G185" s="1"/>
      <c r="H185" s="1"/>
      <c r="I185"/>
      <c r="J185"/>
      <c r="K185"/>
      <c r="L185"/>
      <c r="M185"/>
      <c r="N185"/>
      <c r="O185"/>
      <c r="P185"/>
      <c r="AL185" s="48"/>
      <c r="AM185" s="47"/>
      <c r="AN185" s="47"/>
      <c r="AO185" s="47"/>
    </row>
    <row r="186" spans="1:41" s="25" customFormat="1">
      <c r="A186" s="47" t="s">
        <v>2034</v>
      </c>
      <c r="B186" s="47">
        <v>2</v>
      </c>
      <c r="C186" s="47" t="s">
        <v>2035</v>
      </c>
      <c r="D186" s="1"/>
      <c r="E186" s="1"/>
      <c r="F186" s="1"/>
      <c r="G186" s="1"/>
      <c r="H186" s="1"/>
      <c r="I186"/>
      <c r="J186"/>
      <c r="K186"/>
      <c r="L186"/>
      <c r="M186"/>
      <c r="N186"/>
      <c r="O186"/>
      <c r="P186"/>
      <c r="AL186" s="48"/>
      <c r="AM186" s="47"/>
      <c r="AN186" s="47"/>
      <c r="AO186" s="47"/>
    </row>
    <row r="187" spans="1:41" s="25" customFormat="1">
      <c r="A187" s="47" t="s">
        <v>342</v>
      </c>
      <c r="B187" s="47">
        <v>2</v>
      </c>
      <c r="C187" s="47" t="s">
        <v>1710</v>
      </c>
      <c r="D187" s="1"/>
      <c r="E187" s="1"/>
      <c r="F187" s="1"/>
      <c r="G187" s="1"/>
      <c r="H187" s="1"/>
      <c r="I187"/>
      <c r="J187"/>
      <c r="K187"/>
      <c r="L187"/>
      <c r="M187"/>
      <c r="N187"/>
      <c r="O187"/>
      <c r="P187"/>
      <c r="AL187" s="48"/>
      <c r="AM187" s="47"/>
      <c r="AN187" s="47"/>
      <c r="AO187" s="47"/>
    </row>
    <row r="188" spans="1:41" s="66" customFormat="1">
      <c r="A188" s="47" t="s">
        <v>938</v>
      </c>
      <c r="B188" s="47">
        <v>2</v>
      </c>
      <c r="C188" s="47" t="s">
        <v>2081</v>
      </c>
      <c r="D188" s="1"/>
      <c r="E188" s="1"/>
      <c r="F188" s="1"/>
      <c r="G188" s="1"/>
      <c r="H188" s="1"/>
      <c r="I188" s="20"/>
      <c r="J188" s="20"/>
      <c r="K188" s="20"/>
      <c r="L188" s="20"/>
      <c r="M188" s="20"/>
      <c r="N188" s="20"/>
      <c r="O188" s="20"/>
      <c r="P188" s="20"/>
      <c r="AL188" s="67"/>
      <c r="AM188" s="68"/>
      <c r="AN188" s="68"/>
      <c r="AO188" s="68"/>
    </row>
    <row r="189" spans="1:41" s="25" customFormat="1">
      <c r="A189" s="47" t="s">
        <v>125</v>
      </c>
      <c r="B189" s="47">
        <v>1</v>
      </c>
      <c r="C189" s="47" t="s">
        <v>644</v>
      </c>
      <c r="D189" s="1"/>
      <c r="E189" s="1"/>
      <c r="F189" s="1"/>
      <c r="G189" s="1"/>
      <c r="H189" s="1"/>
      <c r="I189"/>
      <c r="J189"/>
      <c r="K189"/>
      <c r="L189"/>
      <c r="M189"/>
      <c r="N189"/>
      <c r="O189"/>
      <c r="P189"/>
      <c r="AL189" s="48"/>
      <c r="AM189" s="47"/>
      <c r="AN189" s="47"/>
      <c r="AO189" s="47"/>
    </row>
    <row r="190" spans="1:41" s="25" customFormat="1">
      <c r="A190" s="47" t="s">
        <v>115</v>
      </c>
      <c r="B190" s="47">
        <v>1</v>
      </c>
      <c r="C190" s="47" t="s">
        <v>635</v>
      </c>
      <c r="D190" s="1"/>
      <c r="E190" s="1"/>
      <c r="F190" s="1"/>
      <c r="G190" s="1"/>
      <c r="H190" s="1"/>
      <c r="I190"/>
      <c r="J190"/>
      <c r="K190"/>
      <c r="L190"/>
      <c r="M190"/>
      <c r="N190"/>
      <c r="O190"/>
      <c r="P190"/>
      <c r="AL190" s="48"/>
      <c r="AM190" s="47"/>
      <c r="AN190" s="47"/>
      <c r="AO190" s="47"/>
    </row>
    <row r="191" spans="1:41" s="25" customFormat="1">
      <c r="A191" s="47" t="s">
        <v>21</v>
      </c>
      <c r="B191" s="47">
        <v>1</v>
      </c>
      <c r="C191" s="47" t="s">
        <v>289</v>
      </c>
      <c r="D191" s="1"/>
      <c r="E191" s="1"/>
      <c r="F191" s="1"/>
      <c r="G191" s="1"/>
      <c r="H191" s="1"/>
      <c r="I191"/>
      <c r="J191"/>
      <c r="K191"/>
      <c r="L191"/>
      <c r="M191"/>
      <c r="N191"/>
      <c r="O191"/>
      <c r="P191"/>
      <c r="AL191" s="48"/>
      <c r="AM191" s="47"/>
      <c r="AN191" s="47"/>
      <c r="AO191" s="47"/>
    </row>
    <row r="192" spans="1:41" s="69" customFormat="1">
      <c r="A192" s="47" t="s">
        <v>69</v>
      </c>
      <c r="B192" s="47">
        <v>1</v>
      </c>
      <c r="C192" s="47" t="s">
        <v>481</v>
      </c>
      <c r="D192" s="1"/>
      <c r="E192" s="1"/>
      <c r="F192" s="1"/>
      <c r="G192" s="1"/>
      <c r="H192" s="1"/>
      <c r="I192" s="20"/>
      <c r="J192" s="20"/>
      <c r="K192" s="20"/>
      <c r="L192" s="20"/>
      <c r="M192" s="20"/>
      <c r="N192" s="20"/>
      <c r="O192" s="20"/>
      <c r="P192" s="20"/>
      <c r="AL192" s="70"/>
      <c r="AM192" s="71"/>
      <c r="AN192" s="71"/>
      <c r="AO192" s="71"/>
    </row>
    <row r="193" spans="1:41" s="66" customFormat="1">
      <c r="A193" s="47" t="s">
        <v>51</v>
      </c>
      <c r="B193" s="47">
        <v>1</v>
      </c>
      <c r="C193" s="47" t="s">
        <v>436</v>
      </c>
      <c r="D193" s="1"/>
      <c r="E193" s="1"/>
      <c r="F193" s="1"/>
      <c r="G193" s="1"/>
      <c r="H193" s="1"/>
      <c r="I193" s="20"/>
      <c r="J193" s="20"/>
      <c r="K193" s="20"/>
      <c r="L193" s="20"/>
      <c r="M193" s="20"/>
      <c r="N193" s="20"/>
      <c r="O193" s="20"/>
      <c r="P193" s="20"/>
      <c r="AL193" s="67"/>
      <c r="AM193" s="68"/>
      <c r="AN193" s="68"/>
      <c r="AO193" s="68"/>
    </row>
    <row r="194" spans="1:41" s="25" customFormat="1">
      <c r="A194" s="47" t="s">
        <v>110</v>
      </c>
      <c r="B194" s="47">
        <v>1</v>
      </c>
      <c r="C194" s="47" t="s">
        <v>630</v>
      </c>
      <c r="D194" s="1"/>
      <c r="E194" s="1"/>
      <c r="F194" s="1"/>
      <c r="G194" s="1"/>
      <c r="H194" s="1"/>
      <c r="I194"/>
      <c r="J194"/>
      <c r="K194"/>
      <c r="L194"/>
      <c r="M194"/>
      <c r="N194"/>
      <c r="O194"/>
      <c r="P194"/>
      <c r="AL194" s="48"/>
      <c r="AM194" s="47"/>
      <c r="AN194" s="47"/>
      <c r="AO194" s="47"/>
    </row>
    <row r="195" spans="1:41" s="25" customFormat="1">
      <c r="A195" s="47" t="s">
        <v>247</v>
      </c>
      <c r="B195" s="47">
        <v>1</v>
      </c>
      <c r="C195" s="47" t="s">
        <v>248</v>
      </c>
      <c r="D195" s="1"/>
      <c r="E195" s="1"/>
      <c r="F195" s="1"/>
      <c r="G195" s="1"/>
      <c r="H195" s="1"/>
      <c r="I195"/>
      <c r="J195"/>
      <c r="K195"/>
      <c r="L195"/>
      <c r="M195"/>
      <c r="N195"/>
      <c r="O195"/>
      <c r="P195"/>
      <c r="AL195" s="48"/>
      <c r="AM195" s="47"/>
      <c r="AN195" s="47"/>
      <c r="AO195" s="47"/>
    </row>
    <row r="196" spans="1:41" s="25" customFormat="1">
      <c r="A196" s="47" t="s">
        <v>456</v>
      </c>
      <c r="B196" s="47">
        <v>1</v>
      </c>
      <c r="C196" s="47" t="s">
        <v>876</v>
      </c>
      <c r="D196" s="1"/>
      <c r="E196" s="1"/>
      <c r="F196" s="1"/>
      <c r="G196" s="1"/>
      <c r="H196" s="1"/>
      <c r="I196"/>
      <c r="J196"/>
      <c r="K196"/>
      <c r="L196"/>
      <c r="M196"/>
      <c r="N196"/>
      <c r="O196"/>
      <c r="P196"/>
      <c r="AL196" s="48"/>
      <c r="AM196" s="47"/>
      <c r="AN196" s="47"/>
      <c r="AO196" s="47"/>
    </row>
    <row r="197" spans="1:41" s="25" customFormat="1">
      <c r="A197" s="47" t="s">
        <v>458</v>
      </c>
      <c r="B197" s="47">
        <v>1</v>
      </c>
      <c r="C197" s="47" t="s">
        <v>876</v>
      </c>
      <c r="D197" s="1"/>
      <c r="E197" s="1"/>
      <c r="F197" s="1"/>
      <c r="G197" s="1"/>
      <c r="H197" s="1"/>
      <c r="I197"/>
      <c r="J197"/>
      <c r="K197"/>
      <c r="L197"/>
      <c r="M197"/>
      <c r="N197"/>
      <c r="O197"/>
      <c r="P197"/>
      <c r="AL197" s="48"/>
      <c r="AM197" s="47"/>
      <c r="AN197" s="47"/>
      <c r="AO197" s="47"/>
    </row>
    <row r="198" spans="1:41" s="25" customFormat="1">
      <c r="A198" s="47" t="s">
        <v>459</v>
      </c>
      <c r="B198" s="47">
        <v>1</v>
      </c>
      <c r="C198" s="47" t="s">
        <v>876</v>
      </c>
      <c r="D198" s="1"/>
      <c r="E198" s="1"/>
      <c r="F198" s="1"/>
      <c r="G198" s="1"/>
      <c r="H198" s="1"/>
      <c r="I198"/>
      <c r="J198"/>
      <c r="K198"/>
      <c r="L198"/>
      <c r="M198"/>
      <c r="N198"/>
      <c r="O198"/>
      <c r="P198"/>
      <c r="AL198" s="48"/>
      <c r="AM198" s="47"/>
      <c r="AN198" s="47"/>
      <c r="AO198" s="47"/>
    </row>
    <row r="199" spans="1:41" s="25" customFormat="1">
      <c r="A199" s="47" t="s">
        <v>460</v>
      </c>
      <c r="B199" s="47">
        <v>1</v>
      </c>
      <c r="C199" s="47" t="s">
        <v>876</v>
      </c>
      <c r="D199" s="1"/>
      <c r="E199" s="1"/>
      <c r="F199" s="1"/>
      <c r="G199" s="1"/>
      <c r="H199" s="1"/>
      <c r="I199"/>
      <c r="J199"/>
      <c r="K199"/>
      <c r="L199"/>
      <c r="M199"/>
      <c r="N199"/>
      <c r="O199"/>
      <c r="P199"/>
      <c r="AL199" s="48"/>
      <c r="AM199" s="47"/>
      <c r="AN199" s="47"/>
      <c r="AO199" s="47"/>
    </row>
    <row r="200" spans="1:41" s="48" customFormat="1">
      <c r="A200" s="32" t="s">
        <v>2770</v>
      </c>
      <c r="B200" s="47">
        <v>2</v>
      </c>
      <c r="C200" s="47" t="s">
        <v>2119</v>
      </c>
      <c r="D200" s="1"/>
      <c r="E200" s="1"/>
      <c r="F200" s="1"/>
      <c r="G200" s="1"/>
      <c r="H200" s="1"/>
      <c r="I200" s="2"/>
      <c r="J200" s="2"/>
      <c r="K200" s="2"/>
      <c r="L200" s="2"/>
      <c r="M200" s="2"/>
      <c r="N200" s="2"/>
      <c r="O200" s="2"/>
      <c r="P200" s="2"/>
      <c r="AM200" s="47"/>
      <c r="AN200" s="47"/>
      <c r="AO200" s="47"/>
    </row>
    <row r="201" spans="1:41" s="25" customFormat="1">
      <c r="A201" s="47" t="s">
        <v>93</v>
      </c>
      <c r="B201" s="47">
        <v>1</v>
      </c>
      <c r="C201" s="47" t="s">
        <v>557</v>
      </c>
      <c r="D201" s="1"/>
      <c r="E201" s="1"/>
      <c r="F201" s="1"/>
      <c r="G201" s="1"/>
      <c r="H201" s="1"/>
      <c r="I201"/>
      <c r="J201"/>
      <c r="K201"/>
      <c r="L201"/>
      <c r="M201"/>
      <c r="N201"/>
      <c r="O201"/>
      <c r="P201"/>
      <c r="AL201" s="48"/>
      <c r="AM201" s="47"/>
      <c r="AN201" s="47"/>
      <c r="AO201" s="47"/>
    </row>
    <row r="202" spans="1:41" s="25" customFormat="1">
      <c r="A202" s="47" t="s">
        <v>753</v>
      </c>
      <c r="B202" s="47">
        <v>1</v>
      </c>
      <c r="C202" s="47" t="s">
        <v>870</v>
      </c>
      <c r="D202" s="1"/>
      <c r="E202" s="1"/>
      <c r="F202" s="1"/>
      <c r="G202" s="1"/>
      <c r="H202" s="1"/>
      <c r="I202"/>
      <c r="J202"/>
      <c r="K202"/>
      <c r="L202"/>
      <c r="M202"/>
      <c r="N202"/>
      <c r="O202"/>
      <c r="P202"/>
      <c r="AL202" s="48"/>
      <c r="AM202" s="47"/>
      <c r="AN202" s="47"/>
      <c r="AO202" s="47"/>
    </row>
    <row r="203" spans="1:41" s="25" customFormat="1">
      <c r="A203" s="25" t="s">
        <v>1989</v>
      </c>
      <c r="B203" s="47">
        <v>2</v>
      </c>
      <c r="C203" s="47" t="s">
        <v>2066</v>
      </c>
      <c r="D203" s="1"/>
      <c r="E203" s="1"/>
      <c r="F203" s="1"/>
      <c r="G203" s="1"/>
      <c r="H203" s="1"/>
      <c r="I203"/>
      <c r="J203"/>
      <c r="K203"/>
      <c r="L203"/>
      <c r="M203"/>
      <c r="N203"/>
      <c r="O203"/>
      <c r="P203"/>
      <c r="AL203" s="48"/>
      <c r="AM203" s="47"/>
      <c r="AN203" s="47"/>
      <c r="AO203" s="47"/>
    </row>
    <row r="204" spans="1:41" s="25" customFormat="1">
      <c r="A204" s="47" t="s">
        <v>15</v>
      </c>
      <c r="B204" s="47">
        <v>1</v>
      </c>
      <c r="C204" s="47" t="s">
        <v>249</v>
      </c>
      <c r="D204" s="1"/>
      <c r="E204" s="1"/>
      <c r="F204" s="1"/>
      <c r="G204" s="1"/>
      <c r="H204" s="1"/>
      <c r="I204"/>
      <c r="J204"/>
      <c r="K204"/>
      <c r="L204"/>
      <c r="M204"/>
      <c r="N204"/>
      <c r="O204"/>
      <c r="P204"/>
      <c r="AL204" s="48"/>
      <c r="AM204" s="47"/>
      <c r="AN204" s="47"/>
      <c r="AO204" s="47"/>
    </row>
    <row r="205" spans="1:41" s="48" customFormat="1">
      <c r="A205" s="47" t="s">
        <v>1112</v>
      </c>
      <c r="B205" s="47">
        <v>1</v>
      </c>
      <c r="C205" s="47" t="s">
        <v>1921</v>
      </c>
      <c r="D205" s="1"/>
      <c r="E205" s="1"/>
      <c r="F205" s="1"/>
      <c r="G205" s="1"/>
      <c r="H205" s="1"/>
      <c r="I205" s="2"/>
      <c r="J205" s="2"/>
      <c r="K205" s="2"/>
      <c r="L205" s="2"/>
      <c r="M205" s="2"/>
      <c r="N205" s="2"/>
      <c r="O205" s="2"/>
      <c r="P205" s="2"/>
      <c r="AM205" s="47"/>
      <c r="AN205" s="47"/>
      <c r="AO205" s="47"/>
    </row>
    <row r="206" spans="1:41" s="48" customFormat="1">
      <c r="A206" s="47" t="s">
        <v>768</v>
      </c>
      <c r="B206" s="47">
        <v>2</v>
      </c>
      <c r="C206" s="47" t="s">
        <v>1711</v>
      </c>
      <c r="D206" s="1"/>
      <c r="E206" s="1"/>
      <c r="F206" s="1"/>
      <c r="G206" s="1"/>
      <c r="H206" s="1"/>
      <c r="I206" s="2"/>
      <c r="J206" s="2"/>
      <c r="K206" s="2"/>
      <c r="L206" s="2"/>
      <c r="M206" s="2"/>
      <c r="N206" s="2"/>
      <c r="O206" s="2"/>
      <c r="P206" s="2"/>
      <c r="AM206" s="47"/>
      <c r="AN206" s="47"/>
      <c r="AO206" s="47"/>
    </row>
    <row r="207" spans="1:41" s="25" customFormat="1">
      <c r="A207" s="47" t="s">
        <v>684</v>
      </c>
      <c r="B207" s="47">
        <v>1</v>
      </c>
      <c r="C207" s="47" t="s">
        <v>825</v>
      </c>
      <c r="D207" s="1"/>
      <c r="E207" s="1"/>
      <c r="F207" s="1"/>
      <c r="G207" s="1"/>
      <c r="H207" s="1"/>
      <c r="I207"/>
      <c r="J207"/>
      <c r="K207"/>
      <c r="L207"/>
      <c r="M207"/>
      <c r="N207"/>
      <c r="O207"/>
      <c r="P207"/>
      <c r="Q207" s="48"/>
      <c r="S207" s="48"/>
      <c r="Z207" s="72"/>
      <c r="AK207" s="25">
        <v>15</v>
      </c>
      <c r="AL207" s="48"/>
      <c r="AM207" s="47"/>
      <c r="AN207" s="47"/>
      <c r="AO207" s="47"/>
    </row>
    <row r="208" spans="1:41" s="2" customFormat="1">
      <c r="A208" s="47" t="s">
        <v>890</v>
      </c>
      <c r="B208" s="47">
        <v>2</v>
      </c>
      <c r="C208" s="47" t="s">
        <v>825</v>
      </c>
      <c r="D208" s="1"/>
      <c r="E208" s="1"/>
      <c r="F208" s="1"/>
      <c r="G208" s="1"/>
      <c r="H208" s="1"/>
      <c r="AM208" s="1"/>
      <c r="AN208" s="1"/>
      <c r="AO208" s="1"/>
    </row>
    <row r="209" spans="1:45" s="1" customFormat="1">
      <c r="A209" s="47" t="s">
        <v>892</v>
      </c>
      <c r="B209" s="47">
        <v>2</v>
      </c>
      <c r="C209" s="47" t="s">
        <v>825</v>
      </c>
      <c r="AL209" s="2"/>
    </row>
    <row r="210" spans="1:45" s="35" customFormat="1">
      <c r="A210" s="47" t="s">
        <v>866</v>
      </c>
      <c r="B210" s="47">
        <v>2</v>
      </c>
      <c r="C210" s="47" t="s">
        <v>1196</v>
      </c>
      <c r="D210" s="1"/>
      <c r="E210" s="1"/>
      <c r="F210" s="1"/>
      <c r="G210" s="1"/>
      <c r="H210" s="1"/>
      <c r="I210" s="1"/>
      <c r="J210" s="1"/>
      <c r="K210" s="1"/>
      <c r="L210" s="1"/>
      <c r="M210" s="1"/>
      <c r="N210" s="1"/>
      <c r="O210" s="1"/>
      <c r="P210" s="1"/>
      <c r="Z210" s="73"/>
      <c r="AL210" s="37"/>
    </row>
    <row r="211" spans="1:45" s="35" customFormat="1">
      <c r="A211" s="32" t="s">
        <v>2800</v>
      </c>
      <c r="B211" s="47">
        <v>3</v>
      </c>
      <c r="C211" s="47" t="s">
        <v>825</v>
      </c>
      <c r="D211" s="1"/>
      <c r="E211" s="1"/>
      <c r="F211" s="1"/>
      <c r="G211" s="1"/>
      <c r="H211" s="1"/>
      <c r="I211" s="1"/>
      <c r="J211" s="1"/>
      <c r="K211" s="1"/>
      <c r="L211" s="1"/>
      <c r="M211" s="1"/>
      <c r="N211" s="1"/>
      <c r="O211" s="1"/>
      <c r="P211" s="1"/>
      <c r="AC211" s="35" t="s">
        <v>1114</v>
      </c>
      <c r="AE211" s="35">
        <v>5</v>
      </c>
      <c r="AF211" s="35" t="s">
        <v>1113</v>
      </c>
      <c r="AG211" s="35" t="s">
        <v>723</v>
      </c>
      <c r="AL211" s="37"/>
      <c r="AS211" s="35">
        <v>8</v>
      </c>
    </row>
    <row r="212" spans="1:45" s="36" customFormat="1">
      <c r="A212" s="25" t="s">
        <v>2947</v>
      </c>
      <c r="B212" s="47">
        <v>3</v>
      </c>
      <c r="C212" s="47" t="s">
        <v>825</v>
      </c>
      <c r="D212" s="1"/>
      <c r="E212" s="1"/>
      <c r="F212" s="1"/>
      <c r="G212" s="1"/>
      <c r="H212" s="1"/>
      <c r="I212"/>
      <c r="J212"/>
      <c r="K212"/>
      <c r="L212"/>
      <c r="M212"/>
      <c r="N212"/>
      <c r="O212"/>
      <c r="P212"/>
      <c r="AL212" s="37"/>
      <c r="AM212" s="35"/>
      <c r="AN212" s="35"/>
      <c r="AO212" s="35"/>
    </row>
    <row r="213" spans="1:45" s="36" customFormat="1">
      <c r="A213" s="32" t="s">
        <v>2777</v>
      </c>
      <c r="B213" s="47">
        <v>2</v>
      </c>
      <c r="C213" s="47" t="s">
        <v>2124</v>
      </c>
      <c r="D213" s="1"/>
      <c r="E213" s="1"/>
      <c r="F213" s="1"/>
      <c r="G213" s="1"/>
      <c r="H213" s="1"/>
      <c r="I213"/>
      <c r="J213"/>
      <c r="K213"/>
      <c r="L213"/>
      <c r="M213"/>
      <c r="N213"/>
      <c r="O213"/>
      <c r="P213"/>
      <c r="AL213" s="37"/>
      <c r="AM213" s="35"/>
      <c r="AN213" s="35"/>
      <c r="AO213" s="35"/>
    </row>
    <row r="214" spans="1:45" s="36" customFormat="1">
      <c r="A214" s="25" t="s">
        <v>2130</v>
      </c>
      <c r="B214" s="47">
        <v>2</v>
      </c>
      <c r="C214" s="47" t="s">
        <v>2141</v>
      </c>
      <c r="D214" s="1"/>
      <c r="E214" s="1"/>
      <c r="F214" s="1"/>
      <c r="G214" s="1"/>
      <c r="H214" s="1"/>
      <c r="I214"/>
      <c r="J214"/>
      <c r="K214"/>
      <c r="L214"/>
      <c r="M214"/>
      <c r="N214"/>
      <c r="O214"/>
      <c r="P214"/>
      <c r="AL214" s="37"/>
      <c r="AM214" s="35"/>
      <c r="AN214" s="35"/>
      <c r="AO214" s="35"/>
    </row>
    <row r="215" spans="1:45" s="37" customFormat="1">
      <c r="A215" s="50" t="s">
        <v>1929</v>
      </c>
      <c r="B215" s="47">
        <v>2</v>
      </c>
      <c r="C215" s="47" t="s">
        <v>1922</v>
      </c>
      <c r="D215" s="1"/>
      <c r="E215" s="1"/>
      <c r="F215" s="1"/>
      <c r="G215" s="1"/>
      <c r="H215" s="1"/>
      <c r="I215" s="2"/>
      <c r="J215" s="2"/>
      <c r="K215" s="2"/>
      <c r="L215" s="2"/>
      <c r="M215" s="2"/>
      <c r="N215" s="2"/>
      <c r="O215" s="2"/>
      <c r="P215" s="2"/>
      <c r="AM215" s="35"/>
      <c r="AN215" s="35"/>
      <c r="AO215" s="35"/>
    </row>
    <row r="216" spans="1:45" s="59" customFormat="1">
      <c r="A216" s="47" t="s">
        <v>37</v>
      </c>
      <c r="B216" s="47">
        <v>1</v>
      </c>
      <c r="C216" s="47" t="s">
        <v>401</v>
      </c>
      <c r="D216" s="1"/>
      <c r="E216" s="1"/>
      <c r="F216" s="1"/>
      <c r="G216" s="1"/>
      <c r="H216" s="1"/>
      <c r="I216" s="2"/>
      <c r="J216" s="2"/>
      <c r="K216" s="2"/>
      <c r="L216" s="2"/>
      <c r="M216" s="2"/>
      <c r="N216" s="2"/>
      <c r="O216" s="2"/>
      <c r="P216" s="2"/>
      <c r="AM216" s="57"/>
      <c r="AN216" s="57"/>
      <c r="AO216" s="57"/>
    </row>
    <row r="217" spans="1:45" s="25" customFormat="1">
      <c r="A217" s="47" t="s">
        <v>2099</v>
      </c>
      <c r="B217" s="47">
        <v>2</v>
      </c>
      <c r="C217" s="47" t="s">
        <v>2098</v>
      </c>
      <c r="D217" s="1"/>
      <c r="E217" s="1"/>
      <c r="F217" s="1"/>
      <c r="G217" s="1"/>
      <c r="H217" s="1"/>
      <c r="I217"/>
      <c r="J217"/>
      <c r="K217"/>
      <c r="L217"/>
      <c r="M217"/>
      <c r="N217"/>
      <c r="O217"/>
      <c r="P217"/>
      <c r="AL217" s="48"/>
      <c r="AM217" s="47"/>
      <c r="AN217" s="47"/>
      <c r="AO217" s="47"/>
    </row>
    <row r="218" spans="1:45" s="25" customFormat="1">
      <c r="A218" s="47" t="s">
        <v>60</v>
      </c>
      <c r="B218" s="47">
        <v>1</v>
      </c>
      <c r="C218" s="47" t="s">
        <v>467</v>
      </c>
      <c r="D218" s="1"/>
      <c r="E218" s="1"/>
      <c r="F218" s="1"/>
      <c r="G218" s="1"/>
      <c r="H218" s="1"/>
      <c r="I218"/>
      <c r="J218"/>
      <c r="K218"/>
      <c r="L218"/>
      <c r="M218"/>
      <c r="N218"/>
      <c r="O218"/>
      <c r="P218"/>
      <c r="AL218" s="48"/>
      <c r="AM218" s="47"/>
      <c r="AN218" s="47"/>
      <c r="AO218" s="47"/>
    </row>
    <row r="219" spans="1:45" s="25" customFormat="1">
      <c r="A219" s="47" t="s">
        <v>30</v>
      </c>
      <c r="B219" s="47">
        <v>1</v>
      </c>
      <c r="C219" s="47" t="s">
        <v>375</v>
      </c>
      <c r="D219" s="1"/>
      <c r="E219" s="1"/>
      <c r="F219" s="1"/>
      <c r="G219" s="1"/>
      <c r="H219" s="1"/>
      <c r="I219"/>
      <c r="J219"/>
      <c r="K219"/>
      <c r="L219"/>
      <c r="M219"/>
      <c r="N219"/>
      <c r="O219"/>
      <c r="P219"/>
      <c r="AL219" s="48"/>
      <c r="AM219" s="47"/>
      <c r="AN219" s="47"/>
      <c r="AO219" s="47"/>
    </row>
    <row r="220" spans="1:45" s="25" customFormat="1">
      <c r="A220" s="47" t="s">
        <v>102</v>
      </c>
      <c r="B220" s="47">
        <v>1</v>
      </c>
      <c r="C220" s="47" t="s">
        <v>569</v>
      </c>
      <c r="D220" s="1"/>
      <c r="E220" s="1"/>
      <c r="F220" s="1"/>
      <c r="G220" s="1"/>
      <c r="H220" s="1"/>
      <c r="I220"/>
      <c r="J220"/>
      <c r="K220"/>
      <c r="L220"/>
      <c r="M220"/>
      <c r="N220"/>
      <c r="O220"/>
      <c r="P220"/>
      <c r="AL220" s="48"/>
      <c r="AM220" s="47"/>
      <c r="AN220" s="47"/>
      <c r="AO220" s="47"/>
    </row>
    <row r="221" spans="1:45" s="25" customFormat="1">
      <c r="A221" s="47" t="s">
        <v>492</v>
      </c>
      <c r="B221" s="47">
        <v>1</v>
      </c>
      <c r="C221" s="47" t="s">
        <v>928</v>
      </c>
      <c r="D221" s="1"/>
      <c r="E221" s="1"/>
      <c r="F221" s="1"/>
      <c r="G221" s="1"/>
      <c r="H221" s="1"/>
      <c r="I221"/>
      <c r="J221"/>
      <c r="K221"/>
      <c r="L221"/>
      <c r="M221"/>
      <c r="N221"/>
      <c r="O221"/>
      <c r="P221"/>
      <c r="AL221" s="48"/>
      <c r="AM221" s="47"/>
      <c r="AN221" s="47"/>
      <c r="AO221" s="47"/>
    </row>
    <row r="222" spans="1:45" s="25" customFormat="1">
      <c r="A222" s="47" t="s">
        <v>488</v>
      </c>
      <c r="B222" s="47">
        <v>1</v>
      </c>
      <c r="C222" s="47" t="s">
        <v>928</v>
      </c>
      <c r="D222" s="1"/>
      <c r="E222" s="1"/>
      <c r="F222" s="1"/>
      <c r="G222" s="1"/>
      <c r="H222" s="1"/>
      <c r="I222"/>
      <c r="J222"/>
      <c r="K222"/>
      <c r="L222"/>
      <c r="M222"/>
      <c r="N222"/>
      <c r="O222"/>
      <c r="P222"/>
      <c r="AL222" s="48"/>
      <c r="AM222" s="47"/>
      <c r="AN222" s="47"/>
      <c r="AO222" s="47"/>
    </row>
    <row r="223" spans="1:45" s="25" customFormat="1">
      <c r="A223" s="47" t="s">
        <v>104</v>
      </c>
      <c r="B223" s="47">
        <v>1</v>
      </c>
      <c r="C223" s="47" t="s">
        <v>571</v>
      </c>
      <c r="D223" s="1"/>
      <c r="E223" s="1"/>
      <c r="F223" s="1"/>
      <c r="G223" s="1"/>
      <c r="H223" s="1"/>
      <c r="I223"/>
      <c r="J223"/>
      <c r="K223"/>
      <c r="L223"/>
      <c r="M223"/>
      <c r="N223"/>
      <c r="O223"/>
      <c r="P223"/>
      <c r="AL223" s="48"/>
      <c r="AM223" s="47"/>
      <c r="AN223" s="47"/>
      <c r="AO223" s="47"/>
    </row>
    <row r="224" spans="1:45" s="25" customFormat="1">
      <c r="A224" s="47" t="s">
        <v>112</v>
      </c>
      <c r="B224" s="47">
        <v>1</v>
      </c>
      <c r="C224" s="47" t="s">
        <v>632</v>
      </c>
      <c r="D224" s="1"/>
      <c r="E224" s="1"/>
      <c r="F224" s="1"/>
      <c r="G224" s="1"/>
      <c r="H224" s="1"/>
      <c r="I224"/>
      <c r="J224"/>
      <c r="K224"/>
      <c r="L224"/>
      <c r="M224"/>
      <c r="N224"/>
      <c r="O224"/>
      <c r="P224"/>
      <c r="AL224" s="48"/>
      <c r="AM224" s="47"/>
      <c r="AN224" s="47"/>
      <c r="AO224" s="47"/>
    </row>
    <row r="225" spans="1:41" s="25" customFormat="1">
      <c r="A225" s="47" t="s">
        <v>74</v>
      </c>
      <c r="B225" s="47">
        <v>1</v>
      </c>
      <c r="C225" s="47" t="s">
        <v>503</v>
      </c>
      <c r="D225" s="1"/>
      <c r="E225" s="1"/>
      <c r="F225" s="1"/>
      <c r="G225" s="1"/>
      <c r="H225" s="1"/>
      <c r="I225"/>
      <c r="J225"/>
      <c r="K225"/>
      <c r="L225"/>
      <c r="M225"/>
      <c r="N225"/>
      <c r="O225"/>
      <c r="P225"/>
      <c r="AL225" s="48"/>
      <c r="AM225" s="47"/>
      <c r="AN225" s="47"/>
      <c r="AO225" s="47"/>
    </row>
    <row r="226" spans="1:41" s="25" customFormat="1">
      <c r="A226" s="47" t="s">
        <v>55</v>
      </c>
      <c r="B226" s="47">
        <v>1</v>
      </c>
      <c r="C226" s="47" t="s">
        <v>462</v>
      </c>
      <c r="D226" s="1"/>
      <c r="E226" s="1"/>
      <c r="F226" s="1"/>
      <c r="G226" s="1"/>
      <c r="H226" s="1"/>
      <c r="I226"/>
      <c r="J226"/>
      <c r="K226"/>
      <c r="L226"/>
      <c r="M226"/>
      <c r="N226"/>
      <c r="O226"/>
      <c r="P226"/>
      <c r="AL226" s="48"/>
      <c r="AM226" s="47"/>
      <c r="AN226" s="47"/>
      <c r="AO226" s="47"/>
    </row>
    <row r="227" spans="1:41" s="25" customFormat="1">
      <c r="A227" s="47" t="s">
        <v>18</v>
      </c>
      <c r="B227" s="47">
        <v>1</v>
      </c>
      <c r="C227" s="47" t="s">
        <v>267</v>
      </c>
      <c r="D227" s="1"/>
      <c r="E227" s="1"/>
      <c r="F227" s="1"/>
      <c r="G227" s="1"/>
      <c r="H227" s="1"/>
      <c r="I227"/>
      <c r="J227"/>
      <c r="K227"/>
      <c r="L227"/>
      <c r="M227"/>
      <c r="N227"/>
      <c r="O227"/>
      <c r="P227"/>
      <c r="AL227" s="48"/>
      <c r="AM227" s="47"/>
      <c r="AN227" s="47"/>
      <c r="AO227" s="47"/>
    </row>
    <row r="228" spans="1:41" s="48" customFormat="1">
      <c r="A228" s="47" t="s">
        <v>89</v>
      </c>
      <c r="B228" s="47">
        <v>1</v>
      </c>
      <c r="C228" s="47" t="s">
        <v>554</v>
      </c>
      <c r="D228" s="1"/>
      <c r="E228" s="1"/>
      <c r="F228" s="1"/>
      <c r="G228" s="1"/>
      <c r="H228" s="1"/>
      <c r="I228" s="2"/>
      <c r="J228" s="2"/>
      <c r="K228" s="2"/>
      <c r="L228" s="2"/>
      <c r="M228" s="2"/>
      <c r="N228" s="2"/>
      <c r="O228" s="2"/>
      <c r="P228" s="2"/>
      <c r="AM228" s="47"/>
      <c r="AN228" s="47"/>
      <c r="AO228" s="47"/>
    </row>
    <row r="229" spans="1:41" s="25" customFormat="1">
      <c r="A229" s="47" t="s">
        <v>84</v>
      </c>
      <c r="B229" s="47">
        <v>1</v>
      </c>
      <c r="C229" s="47" t="s">
        <v>536</v>
      </c>
      <c r="D229" s="1"/>
      <c r="E229" s="1"/>
      <c r="F229" s="1"/>
      <c r="G229" s="1"/>
      <c r="H229" s="1"/>
      <c r="I229"/>
      <c r="J229"/>
      <c r="K229"/>
      <c r="L229"/>
      <c r="M229"/>
      <c r="N229"/>
      <c r="O229"/>
      <c r="P229"/>
    </row>
    <row r="230" spans="1:41" s="25" customFormat="1">
      <c r="A230" s="47" t="s">
        <v>499</v>
      </c>
      <c r="B230" s="47">
        <v>1</v>
      </c>
      <c r="C230" s="47" t="s">
        <v>809</v>
      </c>
      <c r="D230" s="1"/>
      <c r="E230" s="1"/>
      <c r="F230" s="1"/>
      <c r="G230" s="1"/>
      <c r="H230" s="1"/>
      <c r="I230"/>
      <c r="J230"/>
      <c r="K230"/>
      <c r="L230"/>
      <c r="M230"/>
      <c r="N230"/>
      <c r="O230"/>
      <c r="P230"/>
    </row>
    <row r="231" spans="1:41" s="25" customFormat="1">
      <c r="A231" s="47" t="s">
        <v>489</v>
      </c>
      <c r="B231" s="47">
        <v>1</v>
      </c>
      <c r="C231" s="47" t="s">
        <v>809</v>
      </c>
      <c r="D231" s="1"/>
      <c r="E231" s="1"/>
      <c r="F231" s="1"/>
      <c r="G231" s="1"/>
      <c r="H231" s="1"/>
      <c r="I231"/>
      <c r="J231"/>
      <c r="K231"/>
      <c r="L231"/>
      <c r="M231"/>
      <c r="N231"/>
      <c r="O231"/>
      <c r="P231"/>
    </row>
    <row r="232" spans="1:41" s="25" customFormat="1">
      <c r="A232" s="47" t="s">
        <v>495</v>
      </c>
      <c r="B232" s="47">
        <v>1</v>
      </c>
      <c r="C232" s="47" t="s">
        <v>809</v>
      </c>
      <c r="D232" s="1"/>
      <c r="E232" s="1"/>
      <c r="F232" s="1"/>
      <c r="G232" s="1"/>
      <c r="H232" s="1"/>
      <c r="I232"/>
      <c r="J232"/>
      <c r="K232"/>
      <c r="L232"/>
      <c r="M232"/>
      <c r="N232"/>
      <c r="O232"/>
      <c r="P232"/>
    </row>
    <row r="233" spans="1:41" s="25" customFormat="1">
      <c r="A233" s="47" t="s">
        <v>129</v>
      </c>
      <c r="B233" s="47">
        <v>1</v>
      </c>
      <c r="C233" s="47" t="s">
        <v>647</v>
      </c>
      <c r="D233" s="1"/>
      <c r="E233" s="1"/>
      <c r="F233" s="1"/>
      <c r="G233" s="1"/>
      <c r="H233" s="1"/>
      <c r="I233"/>
      <c r="J233"/>
      <c r="K233"/>
      <c r="L233"/>
      <c r="M233"/>
      <c r="N233"/>
      <c r="O233"/>
      <c r="P233"/>
    </row>
    <row r="234" spans="1:41" s="25" customFormat="1">
      <c r="A234" s="50" t="s">
        <v>1927</v>
      </c>
      <c r="B234" s="47">
        <v>2</v>
      </c>
      <c r="C234" s="47" t="s">
        <v>1820</v>
      </c>
      <c r="D234" s="1"/>
      <c r="E234" s="1"/>
      <c r="F234" s="1"/>
      <c r="G234" s="1"/>
      <c r="H234" s="1"/>
      <c r="I234"/>
      <c r="J234"/>
      <c r="K234"/>
      <c r="L234"/>
      <c r="M234"/>
      <c r="N234"/>
      <c r="O234"/>
      <c r="P234"/>
    </row>
    <row r="235" spans="1:41" s="25" customFormat="1">
      <c r="A235" s="47" t="s">
        <v>120</v>
      </c>
      <c r="B235" s="47">
        <v>1</v>
      </c>
      <c r="C235" s="47" t="s">
        <v>640</v>
      </c>
      <c r="D235" s="1"/>
      <c r="E235" s="1"/>
      <c r="F235" s="1"/>
      <c r="G235" s="1"/>
      <c r="H235" s="1"/>
      <c r="I235"/>
      <c r="J235"/>
      <c r="K235"/>
      <c r="L235"/>
      <c r="M235"/>
      <c r="N235"/>
      <c r="O235"/>
      <c r="P235"/>
    </row>
    <row r="236" spans="1:41" s="25" customFormat="1">
      <c r="A236" s="32" t="s">
        <v>2816</v>
      </c>
      <c r="B236" s="47">
        <v>3</v>
      </c>
      <c r="C236" s="47" t="s">
        <v>2749</v>
      </c>
      <c r="D236" s="1"/>
      <c r="E236" s="1"/>
      <c r="F236" s="1"/>
      <c r="G236" s="1"/>
      <c r="H236" s="1"/>
      <c r="I236"/>
      <c r="J236"/>
      <c r="K236"/>
      <c r="L236"/>
      <c r="M236"/>
      <c r="N236"/>
      <c r="O236"/>
      <c r="P236"/>
    </row>
    <row r="237" spans="1:41" s="25" customFormat="1">
      <c r="A237" s="47" t="s">
        <v>528</v>
      </c>
      <c r="B237" s="47">
        <v>1</v>
      </c>
      <c r="C237" s="47" t="s">
        <v>915</v>
      </c>
      <c r="D237" s="1"/>
      <c r="E237" s="1"/>
      <c r="F237" s="1"/>
      <c r="G237" s="1"/>
      <c r="H237" s="1"/>
      <c r="I237"/>
      <c r="J237"/>
      <c r="K237"/>
      <c r="L237"/>
      <c r="M237"/>
      <c r="N237"/>
      <c r="O237"/>
      <c r="P237"/>
    </row>
    <row r="238" spans="1:41" s="25" customFormat="1">
      <c r="A238" s="47" t="s">
        <v>28</v>
      </c>
      <c r="B238" s="47">
        <v>1</v>
      </c>
      <c r="C238" s="47" t="s">
        <v>368</v>
      </c>
      <c r="D238" s="1"/>
      <c r="E238" s="1"/>
      <c r="F238" s="1"/>
      <c r="G238" s="1"/>
      <c r="H238" s="1"/>
      <c r="I238"/>
      <c r="J238"/>
      <c r="K238"/>
      <c r="L238"/>
      <c r="M238"/>
      <c r="N238"/>
      <c r="O238"/>
      <c r="P238"/>
    </row>
    <row r="239" spans="1:41" s="25" customFormat="1">
      <c r="A239" s="47" t="s">
        <v>63</v>
      </c>
      <c r="B239" s="47">
        <v>1</v>
      </c>
      <c r="C239" s="47" t="s">
        <v>469</v>
      </c>
      <c r="D239" s="1"/>
      <c r="E239" s="1"/>
      <c r="F239" s="1"/>
      <c r="G239" s="1"/>
      <c r="H239" s="1"/>
      <c r="I239"/>
      <c r="J239"/>
      <c r="K239"/>
      <c r="L239"/>
      <c r="M239"/>
      <c r="N239"/>
      <c r="O239"/>
      <c r="P239"/>
    </row>
    <row r="240" spans="1:41" s="25" customFormat="1">
      <c r="A240" s="47" t="s">
        <v>23</v>
      </c>
      <c r="B240" s="47">
        <v>1</v>
      </c>
      <c r="C240" s="47" t="s">
        <v>322</v>
      </c>
      <c r="D240" s="1"/>
      <c r="E240" s="1"/>
      <c r="F240" s="1"/>
      <c r="G240" s="1"/>
      <c r="H240" s="1"/>
      <c r="I240"/>
      <c r="J240"/>
      <c r="K240"/>
      <c r="L240"/>
      <c r="M240"/>
      <c r="N240"/>
      <c r="O240"/>
      <c r="P240"/>
    </row>
    <row r="241" spans="1:60" s="25" customFormat="1">
      <c r="A241" s="47" t="s">
        <v>137</v>
      </c>
      <c r="B241" s="47">
        <v>1</v>
      </c>
      <c r="C241" s="47" t="s">
        <v>689</v>
      </c>
      <c r="D241" s="1"/>
      <c r="E241" s="1"/>
      <c r="F241" s="1"/>
      <c r="G241" s="1"/>
      <c r="H241" s="1"/>
      <c r="I241"/>
      <c r="J241"/>
      <c r="K241"/>
      <c r="L241"/>
      <c r="M241"/>
      <c r="N241"/>
      <c r="O241"/>
      <c r="P241"/>
    </row>
    <row r="242" spans="1:60" s="25" customFormat="1">
      <c r="A242" s="47" t="s">
        <v>53</v>
      </c>
      <c r="B242" s="47">
        <v>1</v>
      </c>
      <c r="C242" s="47" t="s">
        <v>461</v>
      </c>
      <c r="D242" s="1"/>
      <c r="E242" s="1"/>
      <c r="F242" s="1"/>
      <c r="G242" s="1"/>
      <c r="H242" s="1"/>
      <c r="I242"/>
      <c r="J242"/>
      <c r="K242"/>
      <c r="L242"/>
      <c r="M242"/>
      <c r="N242"/>
      <c r="O242"/>
      <c r="P242"/>
    </row>
    <row r="243" spans="1:60" s="25" customFormat="1">
      <c r="A243" s="47" t="s">
        <v>39</v>
      </c>
      <c r="B243" s="47">
        <v>1</v>
      </c>
      <c r="C243" s="47" t="s">
        <v>403</v>
      </c>
      <c r="D243" s="1"/>
      <c r="E243" s="1"/>
      <c r="F243" s="1"/>
      <c r="G243" s="1"/>
      <c r="H243" s="1"/>
      <c r="I243"/>
      <c r="J243"/>
      <c r="K243"/>
      <c r="L243"/>
      <c r="M243"/>
      <c r="N243"/>
      <c r="O243"/>
      <c r="P243"/>
    </row>
    <row r="244" spans="1:60" s="25" customFormat="1">
      <c r="A244" s="47" t="s">
        <v>62</v>
      </c>
      <c r="B244" s="47">
        <v>1</v>
      </c>
      <c r="C244" s="47" t="s">
        <v>403</v>
      </c>
      <c r="D244" s="1"/>
      <c r="E244" s="1"/>
      <c r="F244" s="1"/>
      <c r="G244" s="1"/>
      <c r="H244" s="1"/>
      <c r="I244"/>
      <c r="J244"/>
      <c r="K244"/>
      <c r="L244"/>
      <c r="M244"/>
      <c r="N244"/>
      <c r="O244"/>
      <c r="P244"/>
    </row>
    <row r="245" spans="1:60" s="25" customFormat="1">
      <c r="A245" s="47" t="s">
        <v>79</v>
      </c>
      <c r="B245" s="47">
        <v>1</v>
      </c>
      <c r="C245" s="47" t="s">
        <v>530</v>
      </c>
      <c r="D245" s="1"/>
      <c r="E245" s="1"/>
      <c r="F245" s="1"/>
      <c r="G245" s="1"/>
      <c r="H245" s="1"/>
      <c r="I245"/>
      <c r="J245"/>
      <c r="K245"/>
      <c r="L245"/>
      <c r="M245"/>
      <c r="N245"/>
      <c r="O245"/>
      <c r="P245"/>
      <c r="AL245" s="48"/>
      <c r="AM245" s="47"/>
      <c r="AN245" s="47"/>
      <c r="AO245" s="47"/>
    </row>
    <row r="246" spans="1:60" s="25" customFormat="1">
      <c r="A246" s="47" t="s">
        <v>50</v>
      </c>
      <c r="B246" s="47">
        <v>1</v>
      </c>
      <c r="C246" s="47" t="s">
        <v>417</v>
      </c>
      <c r="D246" s="1"/>
      <c r="E246" s="1"/>
      <c r="F246" s="1"/>
      <c r="G246" s="1"/>
      <c r="H246" s="1"/>
      <c r="I246"/>
      <c r="J246"/>
      <c r="K246"/>
      <c r="L246"/>
      <c r="M246"/>
      <c r="N246"/>
      <c r="O246"/>
      <c r="P246"/>
      <c r="AL246" s="48"/>
      <c r="AM246" s="47"/>
      <c r="AN246" s="47"/>
      <c r="AO246" s="47"/>
    </row>
    <row r="247" spans="1:60" s="25" customFormat="1">
      <c r="A247" s="47" t="s">
        <v>54</v>
      </c>
      <c r="B247" s="47">
        <v>1</v>
      </c>
      <c r="C247" s="47" t="s">
        <v>417</v>
      </c>
      <c r="D247" s="1"/>
      <c r="E247" s="1"/>
      <c r="F247" s="1"/>
      <c r="G247" s="1"/>
      <c r="H247" s="1"/>
      <c r="I247"/>
      <c r="J247"/>
      <c r="K247"/>
      <c r="L247"/>
      <c r="M247"/>
      <c r="N247"/>
      <c r="O247"/>
      <c r="P247"/>
      <c r="AL247" s="48"/>
      <c r="AM247" s="47"/>
      <c r="AN247" s="47"/>
      <c r="AO247" s="47"/>
    </row>
    <row r="248" spans="1:60" s="25" customFormat="1">
      <c r="A248" s="47" t="s">
        <v>109</v>
      </c>
      <c r="B248" s="47">
        <v>1</v>
      </c>
      <c r="C248" s="47" t="s">
        <v>417</v>
      </c>
      <c r="D248" s="1"/>
      <c r="E248" s="1"/>
      <c r="F248" s="1"/>
      <c r="G248" s="1"/>
      <c r="H248" s="1"/>
      <c r="I248"/>
      <c r="J248"/>
      <c r="K248"/>
      <c r="L248"/>
      <c r="M248"/>
      <c r="N248"/>
      <c r="O248"/>
      <c r="P248"/>
      <c r="AL248" s="48"/>
      <c r="AM248" s="47"/>
      <c r="AN248" s="47"/>
      <c r="AO248" s="47"/>
    </row>
    <row r="249" spans="1:60" s="48" customFormat="1">
      <c r="A249" s="47" t="s">
        <v>48</v>
      </c>
      <c r="B249" s="47">
        <v>1</v>
      </c>
      <c r="C249" s="47" t="s">
        <v>415</v>
      </c>
      <c r="D249" s="1"/>
      <c r="E249" s="1"/>
      <c r="F249" s="1"/>
      <c r="G249" s="1"/>
      <c r="H249" s="1"/>
      <c r="I249" s="2"/>
      <c r="J249" s="2"/>
      <c r="K249" s="2"/>
      <c r="L249" s="2"/>
      <c r="M249" s="2"/>
      <c r="N249" s="2"/>
      <c r="O249" s="2"/>
      <c r="P249" s="2"/>
      <c r="AM249" s="47"/>
      <c r="AN249" s="47"/>
      <c r="AO249" s="47"/>
    </row>
    <row r="250" spans="1:60" s="25" customFormat="1">
      <c r="A250" s="47" t="s">
        <v>123</v>
      </c>
      <c r="B250" s="47">
        <v>1</v>
      </c>
      <c r="C250" s="47" t="s">
        <v>641</v>
      </c>
      <c r="D250" s="1"/>
      <c r="E250" s="1"/>
      <c r="F250" s="1"/>
      <c r="G250" s="1"/>
      <c r="H250" s="1"/>
      <c r="I250"/>
      <c r="J250"/>
      <c r="K250"/>
      <c r="L250"/>
      <c r="M250"/>
      <c r="N250"/>
      <c r="O250"/>
      <c r="P250"/>
      <c r="AL250" s="48"/>
      <c r="AM250" s="47"/>
      <c r="AN250" s="47"/>
      <c r="AO250" s="47"/>
    </row>
    <row r="251" spans="1:60" s="25" customFormat="1">
      <c r="A251" s="47" t="s">
        <v>58</v>
      </c>
      <c r="B251" s="47">
        <v>1</v>
      </c>
      <c r="C251" s="47" t="s">
        <v>465</v>
      </c>
      <c r="D251" s="1"/>
      <c r="E251" s="1"/>
      <c r="F251" s="1"/>
      <c r="G251" s="1"/>
      <c r="H251" s="1"/>
      <c r="I251" s="1"/>
      <c r="J251" s="1"/>
      <c r="K251" s="1"/>
      <c r="L251" s="1"/>
      <c r="M251"/>
      <c r="N251"/>
      <c r="O251" s="1"/>
      <c r="P251" s="1"/>
      <c r="Q251" s="47"/>
      <c r="R251" s="47"/>
      <c r="S251" s="47"/>
      <c r="U251" s="47"/>
      <c r="V251" s="47"/>
      <c r="W251" s="47"/>
      <c r="X251" s="47"/>
      <c r="Y251" s="47"/>
      <c r="Z251" s="47"/>
      <c r="AK251" s="47"/>
      <c r="AL251" s="48"/>
      <c r="AM251" s="47"/>
      <c r="AN251" s="47"/>
      <c r="AO251" s="47"/>
      <c r="BA251" s="47"/>
      <c r="BC251" s="47"/>
      <c r="BE251" s="47"/>
      <c r="BH251" s="47"/>
    </row>
    <row r="252" spans="1:60" s="48" customFormat="1">
      <c r="A252" s="47" t="s">
        <v>889</v>
      </c>
      <c r="B252" s="47">
        <v>2</v>
      </c>
      <c r="C252" s="47" t="s">
        <v>1131</v>
      </c>
      <c r="D252" s="1"/>
      <c r="E252" s="1"/>
      <c r="F252" s="1"/>
      <c r="G252" s="1"/>
      <c r="H252" s="1"/>
      <c r="I252" s="2"/>
      <c r="J252" s="2"/>
      <c r="K252" s="2"/>
      <c r="L252" s="2"/>
      <c r="M252" s="2"/>
      <c r="N252" s="2"/>
      <c r="O252" s="2"/>
      <c r="P252" s="2"/>
      <c r="AM252" s="47"/>
      <c r="AN252" s="47"/>
      <c r="AO252" s="47"/>
    </row>
    <row r="253" spans="1:60" s="25" customFormat="1">
      <c r="A253" s="25" t="s">
        <v>2945</v>
      </c>
      <c r="B253" s="47">
        <v>3</v>
      </c>
      <c r="C253" s="47" t="s">
        <v>2946</v>
      </c>
      <c r="D253" s="1"/>
      <c r="E253" s="1"/>
      <c r="F253" s="1"/>
      <c r="G253" s="1"/>
      <c r="H253" s="1"/>
      <c r="I253"/>
      <c r="J253"/>
      <c r="K253"/>
      <c r="L253"/>
      <c r="M253"/>
      <c r="N253"/>
      <c r="O253"/>
      <c r="P253"/>
      <c r="AL253" s="48"/>
      <c r="AM253" s="47"/>
      <c r="AN253" s="47"/>
      <c r="AO253" s="47"/>
    </row>
    <row r="254" spans="1:60" s="25" customFormat="1">
      <c r="A254" s="47" t="s">
        <v>971</v>
      </c>
      <c r="B254" s="47">
        <v>2</v>
      </c>
      <c r="C254" s="47" t="s">
        <v>1712</v>
      </c>
      <c r="D254" s="1"/>
      <c r="E254" s="1"/>
      <c r="F254" s="1"/>
      <c r="G254" s="1"/>
      <c r="H254" s="1"/>
      <c r="I254"/>
      <c r="J254"/>
      <c r="K254"/>
      <c r="L254"/>
      <c r="M254"/>
      <c r="N254"/>
      <c r="O254"/>
      <c r="P254"/>
      <c r="AL254" s="48"/>
      <c r="AM254" s="47"/>
      <c r="AN254" s="47"/>
      <c r="AO254" s="47"/>
    </row>
    <row r="255" spans="1:60" s="48" customFormat="1">
      <c r="A255" s="47" t="s">
        <v>932</v>
      </c>
      <c r="B255" s="47">
        <v>1</v>
      </c>
      <c r="C255" s="47" t="s">
        <v>1197</v>
      </c>
      <c r="D255" s="1"/>
      <c r="E255" s="1"/>
      <c r="F255" s="1"/>
      <c r="G255" s="1"/>
      <c r="H255" s="1"/>
      <c r="I255" s="2"/>
      <c r="J255" s="2"/>
      <c r="K255" s="2"/>
      <c r="L255" s="2"/>
      <c r="M255" s="2"/>
      <c r="N255" s="2"/>
      <c r="O255" s="2"/>
      <c r="P255" s="2"/>
      <c r="AM255" s="47"/>
      <c r="AN255" s="47"/>
      <c r="AO255" s="47"/>
    </row>
    <row r="256" spans="1:60" s="48" customFormat="1">
      <c r="A256" s="47" t="s">
        <v>712</v>
      </c>
      <c r="B256" s="47">
        <v>1</v>
      </c>
      <c r="C256" s="47" t="s">
        <v>713</v>
      </c>
      <c r="D256" s="1"/>
      <c r="E256" s="1"/>
      <c r="F256" s="1"/>
      <c r="G256" s="1"/>
      <c r="H256" s="1"/>
      <c r="I256" s="2"/>
      <c r="J256" s="2"/>
      <c r="K256" s="2"/>
      <c r="L256" s="2"/>
      <c r="M256" s="2"/>
      <c r="N256" s="2"/>
      <c r="O256" s="2"/>
      <c r="P256" s="2"/>
      <c r="AM256" s="47"/>
      <c r="AN256" s="47"/>
      <c r="AO256" s="47"/>
    </row>
    <row r="257" spans="1:41" s="47" customFormat="1">
      <c r="A257" s="32" t="s">
        <v>2805</v>
      </c>
      <c r="B257" s="47">
        <v>3</v>
      </c>
      <c r="C257" s="32" t="s">
        <v>2739</v>
      </c>
      <c r="D257" s="1"/>
      <c r="E257" s="1"/>
      <c r="F257" s="1"/>
      <c r="G257" s="1"/>
      <c r="H257" s="1"/>
      <c r="I257" s="1"/>
      <c r="J257" s="1"/>
      <c r="K257" s="1"/>
      <c r="L257" s="1"/>
      <c r="M257" s="1"/>
      <c r="N257" s="1"/>
      <c r="O257" s="1"/>
      <c r="P257" s="1"/>
      <c r="AL257" s="48"/>
    </row>
    <row r="258" spans="1:41" s="25" customFormat="1">
      <c r="A258" s="47" t="s">
        <v>38</v>
      </c>
      <c r="B258" s="47">
        <v>1</v>
      </c>
      <c r="C258" s="47" t="s">
        <v>402</v>
      </c>
      <c r="D258" s="1"/>
      <c r="E258" s="1"/>
      <c r="F258" s="1"/>
      <c r="G258" s="1"/>
      <c r="H258" s="1"/>
      <c r="I258"/>
      <c r="J258"/>
      <c r="K258"/>
      <c r="L258"/>
      <c r="M258"/>
      <c r="N258"/>
      <c r="O258"/>
      <c r="P258"/>
      <c r="AL258" s="48"/>
      <c r="AM258" s="47"/>
      <c r="AN258" s="47"/>
      <c r="AO258" s="47"/>
    </row>
    <row r="259" spans="1:41" s="25" customFormat="1">
      <c r="A259" s="47" t="s">
        <v>572</v>
      </c>
      <c r="B259" s="47">
        <v>1</v>
      </c>
      <c r="C259" s="47" t="s">
        <v>879</v>
      </c>
      <c r="D259" s="1"/>
      <c r="E259" s="1"/>
      <c r="F259" s="1"/>
      <c r="G259" s="1"/>
      <c r="H259" s="1"/>
      <c r="I259"/>
      <c r="J259"/>
      <c r="K259"/>
      <c r="L259"/>
      <c r="M259"/>
      <c r="N259"/>
      <c r="O259"/>
      <c r="P259"/>
      <c r="AL259" s="48"/>
      <c r="AM259" s="47"/>
      <c r="AN259" s="47"/>
      <c r="AO259" s="47"/>
    </row>
    <row r="260" spans="1:41" s="25" customFormat="1">
      <c r="A260" s="47" t="s">
        <v>435</v>
      </c>
      <c r="B260" s="47">
        <v>1</v>
      </c>
      <c r="C260" s="47" t="s">
        <v>851</v>
      </c>
      <c r="D260" s="1"/>
      <c r="E260" s="1"/>
      <c r="F260" s="1"/>
      <c r="G260" s="1"/>
      <c r="H260" s="1"/>
      <c r="I260"/>
      <c r="J260"/>
      <c r="K260"/>
      <c r="L260"/>
      <c r="M260" s="1"/>
      <c r="N260"/>
      <c r="O260"/>
      <c r="P260" s="1"/>
      <c r="W260" s="47"/>
      <c r="AL260" s="48"/>
      <c r="AM260" s="47"/>
      <c r="AN260" s="47"/>
      <c r="AO260" s="47"/>
    </row>
    <row r="261" spans="1:41" s="25" customFormat="1">
      <c r="A261" s="32" t="s">
        <v>2776</v>
      </c>
      <c r="B261" s="47">
        <v>2</v>
      </c>
      <c r="C261" s="47" t="s">
        <v>851</v>
      </c>
      <c r="D261" s="1"/>
      <c r="E261" s="1"/>
      <c r="F261" s="1"/>
      <c r="G261" s="1"/>
      <c r="H261" s="1"/>
      <c r="I261"/>
      <c r="J261"/>
      <c r="K261"/>
      <c r="L261"/>
      <c r="M261"/>
      <c r="N261"/>
      <c r="O261"/>
      <c r="P261"/>
      <c r="AL261" s="48"/>
      <c r="AM261" s="47"/>
      <c r="AN261" s="47"/>
      <c r="AO261" s="47"/>
    </row>
    <row r="262" spans="1:41" s="25" customFormat="1">
      <c r="A262" s="32" t="s">
        <v>2782</v>
      </c>
      <c r="B262" s="47">
        <v>2</v>
      </c>
      <c r="C262" s="47" t="s">
        <v>851</v>
      </c>
      <c r="D262" s="1"/>
      <c r="E262" s="1"/>
      <c r="F262" s="1"/>
      <c r="G262" s="1"/>
      <c r="H262" s="1"/>
      <c r="I262"/>
      <c r="J262"/>
      <c r="K262"/>
      <c r="L262"/>
      <c r="M262"/>
      <c r="N262"/>
      <c r="O262"/>
      <c r="P262"/>
      <c r="AL262" s="48"/>
      <c r="AM262" s="47"/>
      <c r="AN262" s="47"/>
      <c r="AO262" s="47"/>
    </row>
    <row r="263" spans="1:41" s="25" customFormat="1" ht="17">
      <c r="A263" s="46" t="s">
        <v>2970</v>
      </c>
      <c r="B263" s="47">
        <v>3</v>
      </c>
      <c r="C263" s="47" t="s">
        <v>851</v>
      </c>
      <c r="D263" s="1"/>
      <c r="E263" s="1"/>
      <c r="F263" s="1"/>
      <c r="G263" s="1"/>
      <c r="H263" s="1"/>
      <c r="I263"/>
      <c r="J263"/>
      <c r="K263"/>
      <c r="L263"/>
      <c r="M263"/>
      <c r="N263"/>
      <c r="O263"/>
      <c r="P263"/>
      <c r="AL263" s="48"/>
      <c r="AM263" s="47"/>
      <c r="AN263" s="47"/>
      <c r="AO263" s="47"/>
    </row>
    <row r="264" spans="1:41" s="25" customFormat="1">
      <c r="A264" s="47" t="s">
        <v>432</v>
      </c>
      <c r="B264" s="47">
        <v>1</v>
      </c>
      <c r="C264" s="47" t="s">
        <v>869</v>
      </c>
      <c r="D264" s="1"/>
      <c r="E264" s="1"/>
      <c r="F264" s="1"/>
      <c r="G264" s="1"/>
      <c r="H264" s="1"/>
      <c r="I264" s="1"/>
      <c r="J264" s="1"/>
      <c r="K264" s="1"/>
      <c r="L264"/>
      <c r="M264"/>
      <c r="N264"/>
      <c r="O264"/>
      <c r="P264"/>
      <c r="AL264" s="48"/>
      <c r="AM264" s="47"/>
      <c r="AN264" s="47"/>
      <c r="AO264" s="47"/>
    </row>
    <row r="265" spans="1:41" s="25" customFormat="1">
      <c r="A265" s="32" t="s">
        <v>2763</v>
      </c>
      <c r="B265" s="47">
        <v>2</v>
      </c>
      <c r="C265" s="47" t="s">
        <v>2096</v>
      </c>
      <c r="D265" s="1"/>
      <c r="E265" s="1"/>
      <c r="F265" s="1"/>
      <c r="G265" s="1"/>
      <c r="H265" s="1"/>
      <c r="I265"/>
      <c r="J265"/>
      <c r="K265"/>
      <c r="L265"/>
      <c r="M265"/>
      <c r="N265"/>
      <c r="O265"/>
      <c r="P265"/>
      <c r="AL265" s="48"/>
      <c r="AM265" s="47"/>
      <c r="AN265" s="47"/>
      <c r="AO265" s="47"/>
    </row>
    <row r="266" spans="1:41" s="48" customFormat="1">
      <c r="A266" s="32" t="s">
        <v>2769</v>
      </c>
      <c r="B266" s="47">
        <v>2</v>
      </c>
      <c r="C266" s="47" t="s">
        <v>2096</v>
      </c>
      <c r="D266" s="1"/>
      <c r="E266" s="1"/>
      <c r="F266" s="1"/>
      <c r="G266" s="1"/>
      <c r="H266" s="1"/>
      <c r="I266" s="2"/>
      <c r="J266" s="2"/>
      <c r="K266" s="2"/>
      <c r="L266" s="2"/>
      <c r="M266" s="2"/>
      <c r="N266" s="2"/>
      <c r="O266" s="2"/>
      <c r="P266" s="2"/>
      <c r="Z266" s="49"/>
      <c r="AM266" s="47"/>
      <c r="AN266" s="47"/>
      <c r="AO266" s="47"/>
    </row>
    <row r="267" spans="1:41" s="25" customFormat="1">
      <c r="A267" s="32" t="s">
        <v>2751</v>
      </c>
      <c r="B267" s="47">
        <v>2</v>
      </c>
      <c r="C267" s="47" t="s">
        <v>1931</v>
      </c>
      <c r="D267" s="1"/>
      <c r="E267" s="1"/>
      <c r="F267" s="1"/>
      <c r="G267" s="1"/>
      <c r="H267" s="1"/>
      <c r="I267"/>
      <c r="J267"/>
      <c r="K267"/>
      <c r="L267"/>
      <c r="M267"/>
      <c r="N267"/>
      <c r="O267"/>
      <c r="P267"/>
      <c r="AL267" s="48"/>
      <c r="AM267" s="47"/>
      <c r="AN267" s="47"/>
      <c r="AO267" s="47"/>
    </row>
    <row r="268" spans="1:41" s="25" customFormat="1">
      <c r="A268" s="47" t="s">
        <v>318</v>
      </c>
      <c r="B268" s="47">
        <v>1</v>
      </c>
      <c r="C268" s="47" t="s">
        <v>320</v>
      </c>
      <c r="D268" s="1"/>
      <c r="E268" s="1"/>
      <c r="F268" s="1"/>
      <c r="G268" s="1"/>
      <c r="H268" s="1"/>
      <c r="I268"/>
      <c r="J268"/>
      <c r="K268"/>
      <c r="L268"/>
      <c r="M268"/>
      <c r="N268"/>
      <c r="O268"/>
      <c r="P268"/>
      <c r="AL268" s="48"/>
      <c r="AM268" s="47"/>
      <c r="AN268" s="47"/>
      <c r="AO268" s="47"/>
    </row>
    <row r="269" spans="1:41" s="25" customFormat="1">
      <c r="A269" s="47" t="s">
        <v>709</v>
      </c>
      <c r="B269" s="47">
        <v>1</v>
      </c>
      <c r="C269" s="47" t="s">
        <v>921</v>
      </c>
      <c r="D269" s="1"/>
      <c r="E269" s="1"/>
      <c r="F269" s="1"/>
      <c r="G269" s="1"/>
      <c r="H269" s="1"/>
      <c r="I269"/>
      <c r="J269"/>
      <c r="K269"/>
      <c r="L269"/>
      <c r="M269"/>
      <c r="N269"/>
      <c r="O269"/>
      <c r="P269"/>
      <c r="AL269" s="48"/>
      <c r="AM269" s="47"/>
      <c r="AN269" s="47"/>
      <c r="AO269" s="47"/>
    </row>
    <row r="270" spans="1:41" s="25" customFormat="1">
      <c r="A270" s="47" t="s">
        <v>711</v>
      </c>
      <c r="B270" s="47">
        <v>1</v>
      </c>
      <c r="C270" s="47" t="s">
        <v>921</v>
      </c>
      <c r="D270" s="1"/>
      <c r="E270" s="1"/>
      <c r="F270" s="1"/>
      <c r="G270" s="1"/>
      <c r="H270" s="1"/>
      <c r="I270"/>
      <c r="J270"/>
      <c r="K270"/>
      <c r="L270"/>
      <c r="M270"/>
      <c r="N270"/>
      <c r="O270"/>
      <c r="P270"/>
      <c r="AL270" s="48"/>
      <c r="AM270" s="47"/>
      <c r="AN270" s="47"/>
      <c r="AO270" s="47"/>
    </row>
    <row r="271" spans="1:41" s="25" customFormat="1">
      <c r="A271" s="47" t="s">
        <v>649</v>
      </c>
      <c r="B271" s="47">
        <v>1</v>
      </c>
      <c r="C271" s="47" t="s">
        <v>650</v>
      </c>
      <c r="D271" s="1"/>
      <c r="E271" s="1"/>
      <c r="F271" s="1"/>
      <c r="G271" s="1"/>
      <c r="H271" s="1"/>
      <c r="I271"/>
      <c r="J271"/>
      <c r="K271"/>
      <c r="L271"/>
      <c r="M271"/>
      <c r="N271"/>
      <c r="O271"/>
      <c r="P271"/>
      <c r="AL271" s="48"/>
      <c r="AM271" s="47"/>
      <c r="AN271" s="47"/>
      <c r="AO271" s="47"/>
    </row>
    <row r="272" spans="1:41" s="25" customFormat="1">
      <c r="A272" s="47" t="s">
        <v>86</v>
      </c>
      <c r="B272" s="47">
        <v>1</v>
      </c>
      <c r="C272" s="47" t="s">
        <v>551</v>
      </c>
      <c r="D272" s="1"/>
      <c r="E272" s="1"/>
      <c r="F272" s="1"/>
      <c r="G272" s="1"/>
      <c r="H272" s="1"/>
      <c r="I272"/>
      <c r="J272"/>
      <c r="K272"/>
      <c r="L272"/>
      <c r="M272"/>
      <c r="N272"/>
      <c r="O272"/>
      <c r="P272"/>
      <c r="AL272" s="48"/>
      <c r="AM272" s="47"/>
      <c r="AN272" s="47"/>
      <c r="AO272" s="47"/>
    </row>
    <row r="273" spans="1:41" s="25" customFormat="1">
      <c r="A273" s="47" t="s">
        <v>97</v>
      </c>
      <c r="B273" s="47">
        <v>1</v>
      </c>
      <c r="C273" s="47" t="s">
        <v>559</v>
      </c>
      <c r="D273" s="1"/>
      <c r="E273" s="1"/>
      <c r="F273" s="1"/>
      <c r="G273" s="1"/>
      <c r="H273" s="1"/>
      <c r="I273"/>
      <c r="J273"/>
      <c r="K273"/>
      <c r="L273"/>
      <c r="M273"/>
      <c r="N273"/>
      <c r="O273"/>
      <c r="P273"/>
      <c r="AL273" s="48"/>
      <c r="AM273" s="47"/>
      <c r="AN273" s="47"/>
      <c r="AO273" s="47"/>
    </row>
    <row r="274" spans="1:41" s="25" customFormat="1">
      <c r="A274" s="47" t="s">
        <v>94</v>
      </c>
      <c r="B274" s="47">
        <v>1</v>
      </c>
      <c r="C274" s="47" t="s">
        <v>558</v>
      </c>
      <c r="D274" s="1"/>
      <c r="E274" s="1"/>
      <c r="F274" s="1"/>
      <c r="G274" s="1"/>
      <c r="H274" s="1"/>
      <c r="I274"/>
      <c r="J274"/>
      <c r="K274"/>
      <c r="L274"/>
      <c r="M274"/>
      <c r="N274"/>
      <c r="O274"/>
      <c r="P274"/>
      <c r="AL274" s="48"/>
      <c r="AM274" s="47"/>
      <c r="AN274" s="47"/>
      <c r="AO274" s="47"/>
    </row>
    <row r="275" spans="1:41" s="25" customFormat="1">
      <c r="A275" s="47" t="s">
        <v>99</v>
      </c>
      <c r="B275" s="47">
        <v>1</v>
      </c>
      <c r="C275" s="47" t="s">
        <v>561</v>
      </c>
      <c r="D275" s="1"/>
      <c r="E275" s="1"/>
      <c r="F275" s="1"/>
      <c r="G275" s="1"/>
      <c r="H275" s="1"/>
      <c r="I275"/>
      <c r="J275"/>
      <c r="K275"/>
      <c r="L275"/>
      <c r="M275"/>
      <c r="N275"/>
      <c r="O275"/>
      <c r="P275"/>
      <c r="AL275" s="48"/>
      <c r="AM275" s="47"/>
      <c r="AN275" s="47"/>
      <c r="AO275" s="47"/>
    </row>
    <row r="276" spans="1:41" s="25" customFormat="1">
      <c r="A276" s="47" t="s">
        <v>113</v>
      </c>
      <c r="B276" s="47">
        <v>1</v>
      </c>
      <c r="C276" s="47" t="s">
        <v>633</v>
      </c>
      <c r="D276" s="1"/>
      <c r="E276" s="1"/>
      <c r="F276" s="1"/>
      <c r="G276" s="1"/>
      <c r="H276" s="1"/>
      <c r="I276"/>
      <c r="J276"/>
      <c r="K276"/>
      <c r="L276"/>
      <c r="M276"/>
      <c r="N276"/>
      <c r="O276"/>
      <c r="P276"/>
      <c r="AL276" s="48"/>
      <c r="AM276" s="47"/>
      <c r="AN276" s="47"/>
      <c r="AO276" s="47"/>
    </row>
    <row r="277" spans="1:41" s="25" customFormat="1">
      <c r="A277" s="47" t="s">
        <v>133</v>
      </c>
      <c r="B277" s="47">
        <v>1</v>
      </c>
      <c r="C277" s="47" t="s">
        <v>633</v>
      </c>
      <c r="D277" s="1"/>
      <c r="E277" s="1"/>
      <c r="F277" s="1"/>
      <c r="G277" s="1"/>
      <c r="H277" s="1"/>
      <c r="I277"/>
      <c r="J277"/>
      <c r="K277"/>
      <c r="L277"/>
      <c r="M277"/>
      <c r="N277"/>
      <c r="O277"/>
      <c r="P277"/>
      <c r="AL277" s="48"/>
      <c r="AM277" s="47"/>
      <c r="AN277" s="47"/>
      <c r="AO277" s="47"/>
    </row>
    <row r="278" spans="1:41" s="25" customFormat="1">
      <c r="A278" s="47" t="s">
        <v>101</v>
      </c>
      <c r="B278" s="47">
        <v>1</v>
      </c>
      <c r="C278" s="47" t="s">
        <v>568</v>
      </c>
      <c r="D278" s="1"/>
      <c r="E278" s="1"/>
      <c r="F278" s="1"/>
      <c r="G278" s="1"/>
      <c r="H278" s="1"/>
      <c r="I278"/>
      <c r="J278"/>
      <c r="K278"/>
      <c r="L278"/>
      <c r="M278"/>
      <c r="N278"/>
      <c r="O278"/>
      <c r="P278"/>
      <c r="AL278" s="48"/>
      <c r="AM278" s="47"/>
      <c r="AN278" s="47"/>
      <c r="AO278" s="47"/>
    </row>
    <row r="279" spans="1:41" s="25" customFormat="1">
      <c r="A279" s="32" t="s">
        <v>2766</v>
      </c>
      <c r="B279" s="47">
        <v>2</v>
      </c>
      <c r="C279" s="47" t="s">
        <v>2104</v>
      </c>
      <c r="D279" s="1"/>
      <c r="E279" s="1"/>
      <c r="F279" s="1"/>
      <c r="G279" s="1"/>
      <c r="H279" s="1"/>
      <c r="I279"/>
      <c r="J279"/>
      <c r="K279"/>
      <c r="L279"/>
      <c r="M279"/>
      <c r="N279"/>
      <c r="O279"/>
      <c r="P279"/>
      <c r="AL279" s="48"/>
      <c r="AM279" s="47"/>
      <c r="AN279" s="47"/>
      <c r="AO279" s="47"/>
    </row>
    <row r="280" spans="1:41" s="25" customFormat="1" ht="17">
      <c r="A280" s="46" t="s">
        <v>2956</v>
      </c>
      <c r="B280" s="47">
        <v>3</v>
      </c>
      <c r="C280" s="47" t="s">
        <v>2957</v>
      </c>
      <c r="D280" s="1"/>
      <c r="E280" s="1"/>
      <c r="F280" s="1"/>
      <c r="G280" s="1"/>
      <c r="H280" s="1"/>
      <c r="I280"/>
      <c r="J280"/>
      <c r="K280"/>
      <c r="L280"/>
      <c r="M280"/>
      <c r="N280"/>
      <c r="O280"/>
      <c r="P280"/>
      <c r="AL280" s="48"/>
      <c r="AM280" s="47"/>
      <c r="AN280" s="47"/>
      <c r="AO280" s="47"/>
    </row>
    <row r="281" spans="1:41" s="25" customFormat="1" ht="17">
      <c r="A281" s="46" t="s">
        <v>2969</v>
      </c>
      <c r="B281" s="47">
        <v>3</v>
      </c>
      <c r="C281" s="47" t="s">
        <v>2957</v>
      </c>
      <c r="D281" s="1"/>
      <c r="E281" s="1"/>
      <c r="F281" s="1"/>
      <c r="G281" s="1"/>
      <c r="H281" s="1"/>
      <c r="I281"/>
      <c r="J281"/>
      <c r="K281"/>
      <c r="L281"/>
      <c r="M281"/>
      <c r="N281"/>
      <c r="O281"/>
      <c r="P281"/>
      <c r="AL281" s="48"/>
      <c r="AM281" s="47"/>
      <c r="AN281" s="47"/>
      <c r="AO281" s="47"/>
    </row>
    <row r="282" spans="1:41" s="25" customFormat="1" ht="17">
      <c r="A282" s="46" t="s">
        <v>2979</v>
      </c>
      <c r="B282" s="47">
        <v>3</v>
      </c>
      <c r="C282" s="47" t="s">
        <v>2957</v>
      </c>
      <c r="D282" s="1"/>
      <c r="E282" s="1"/>
      <c r="F282" s="1"/>
      <c r="G282" s="1"/>
      <c r="H282" s="1"/>
      <c r="I282"/>
      <c r="J282"/>
      <c r="K282"/>
      <c r="L282"/>
      <c r="M282"/>
      <c r="N282"/>
      <c r="O282"/>
      <c r="P282"/>
      <c r="AL282" s="48"/>
      <c r="AM282" s="47"/>
      <c r="AN282" s="47"/>
      <c r="AO282" s="47"/>
    </row>
    <row r="283" spans="1:41" s="25" customFormat="1" ht="17">
      <c r="A283" s="46" t="s">
        <v>2980</v>
      </c>
      <c r="B283" s="47">
        <v>3</v>
      </c>
      <c r="C283" s="47" t="s">
        <v>2957</v>
      </c>
      <c r="D283" s="1"/>
      <c r="E283" s="1"/>
      <c r="F283" s="1"/>
      <c r="G283" s="1"/>
      <c r="H283" s="1"/>
      <c r="I283"/>
      <c r="J283"/>
      <c r="K283"/>
      <c r="L283"/>
      <c r="M283"/>
      <c r="N283"/>
      <c r="O283"/>
      <c r="P283"/>
      <c r="AL283" s="48"/>
      <c r="AM283" s="47"/>
      <c r="AN283" s="47"/>
      <c r="AO283" s="47"/>
    </row>
    <row r="284" spans="1:41" s="25" customFormat="1" ht="17">
      <c r="A284" s="46" t="s">
        <v>2981</v>
      </c>
      <c r="B284" s="47">
        <v>3</v>
      </c>
      <c r="C284" s="47" t="s">
        <v>2957</v>
      </c>
      <c r="D284" s="1"/>
      <c r="E284" s="1"/>
      <c r="F284" s="1"/>
      <c r="G284" s="1"/>
      <c r="H284" s="1"/>
      <c r="I284"/>
      <c r="J284"/>
      <c r="K284"/>
      <c r="L284"/>
      <c r="M284"/>
      <c r="N284"/>
      <c r="O284"/>
      <c r="P284"/>
      <c r="AL284" s="48"/>
      <c r="AM284" s="47"/>
      <c r="AN284" s="47"/>
      <c r="AO284" s="47"/>
    </row>
    <row r="285" spans="1:41" s="25" customFormat="1" ht="17">
      <c r="A285" s="46" t="s">
        <v>2983</v>
      </c>
      <c r="B285" s="47">
        <v>3</v>
      </c>
      <c r="C285" s="47" t="s">
        <v>2957</v>
      </c>
      <c r="D285" s="1"/>
      <c r="E285" s="1"/>
      <c r="F285" s="1"/>
      <c r="G285" s="1"/>
      <c r="H285" s="1"/>
      <c r="I285"/>
      <c r="J285"/>
      <c r="K285"/>
      <c r="L285"/>
      <c r="M285"/>
      <c r="N285"/>
      <c r="O285"/>
      <c r="P285"/>
      <c r="AL285" s="48"/>
      <c r="AM285" s="47"/>
      <c r="AN285" s="47"/>
      <c r="AO285" s="47"/>
    </row>
    <row r="286" spans="1:41" s="25" customFormat="1" ht="17">
      <c r="A286" s="46" t="s">
        <v>2984</v>
      </c>
      <c r="B286" s="47">
        <v>3</v>
      </c>
      <c r="C286" s="47" t="s">
        <v>2957</v>
      </c>
      <c r="D286" s="1"/>
      <c r="E286" s="1"/>
      <c r="F286" s="1"/>
      <c r="G286" s="1"/>
      <c r="H286" s="1"/>
      <c r="I286"/>
      <c r="J286"/>
      <c r="K286"/>
      <c r="L286"/>
      <c r="M286"/>
      <c r="N286"/>
      <c r="O286"/>
      <c r="P286"/>
      <c r="AL286" s="48"/>
      <c r="AM286" s="47"/>
      <c r="AN286" s="47"/>
      <c r="AO286" s="47"/>
    </row>
    <row r="287" spans="1:41" s="25" customFormat="1" ht="17">
      <c r="A287" s="46" t="s">
        <v>2986</v>
      </c>
      <c r="B287" s="47">
        <v>3</v>
      </c>
      <c r="C287" s="47" t="s">
        <v>2957</v>
      </c>
      <c r="D287" s="1"/>
      <c r="E287" s="1"/>
      <c r="F287" s="1"/>
      <c r="G287" s="1"/>
      <c r="H287" s="1"/>
      <c r="I287"/>
      <c r="J287"/>
      <c r="K287"/>
      <c r="L287"/>
      <c r="M287"/>
      <c r="N287"/>
      <c r="O287"/>
      <c r="P287"/>
      <c r="AL287" s="48"/>
      <c r="AM287" s="47"/>
      <c r="AN287" s="47"/>
      <c r="AO287" s="47"/>
    </row>
    <row r="288" spans="1:41" s="25" customFormat="1" ht="17">
      <c r="A288" s="46" t="s">
        <v>2987</v>
      </c>
      <c r="B288" s="47">
        <v>3</v>
      </c>
      <c r="C288" s="47" t="s">
        <v>2957</v>
      </c>
      <c r="D288" s="1"/>
      <c r="E288" s="1"/>
      <c r="F288" s="1"/>
      <c r="G288" s="1"/>
      <c r="H288" s="1"/>
      <c r="I288"/>
      <c r="J288"/>
      <c r="K288"/>
      <c r="L288"/>
      <c r="M288"/>
      <c r="N288"/>
      <c r="O288"/>
      <c r="P288"/>
      <c r="AL288" s="48"/>
      <c r="AM288" s="47"/>
      <c r="AN288" s="47"/>
      <c r="AO288" s="47"/>
    </row>
    <row r="289" spans="1:41" s="25" customFormat="1">
      <c r="A289" s="32" t="s">
        <v>2764</v>
      </c>
      <c r="B289" s="47">
        <v>2</v>
      </c>
      <c r="C289" s="47" t="s">
        <v>2097</v>
      </c>
      <c r="D289" s="1"/>
      <c r="E289" s="1"/>
      <c r="F289" s="1"/>
      <c r="G289" s="1"/>
      <c r="H289" s="1"/>
      <c r="I289"/>
      <c r="J289"/>
      <c r="K289"/>
      <c r="L289"/>
      <c r="M289"/>
      <c r="N289"/>
      <c r="O289"/>
      <c r="P289"/>
      <c r="AL289" s="48"/>
      <c r="AM289" s="47"/>
      <c r="AN289" s="47"/>
      <c r="AO289" s="47"/>
    </row>
    <row r="290" spans="1:41" s="25" customFormat="1">
      <c r="A290" s="47" t="s">
        <v>68</v>
      </c>
      <c r="B290" s="47">
        <v>1</v>
      </c>
      <c r="C290" s="47" t="s">
        <v>480</v>
      </c>
      <c r="D290" s="1"/>
      <c r="E290" s="1"/>
      <c r="F290" s="1"/>
      <c r="G290" s="1"/>
      <c r="H290" s="1"/>
      <c r="I290"/>
      <c r="J290"/>
      <c r="K290"/>
      <c r="L290"/>
      <c r="M290"/>
      <c r="N290"/>
      <c r="O290"/>
      <c r="P290"/>
      <c r="AL290" s="48"/>
      <c r="AM290" s="47"/>
      <c r="AN290" s="47"/>
      <c r="AO290" s="47"/>
    </row>
    <row r="291" spans="1:41" s="25" customFormat="1">
      <c r="A291" s="47" t="s">
        <v>238</v>
      </c>
      <c r="B291" s="47">
        <v>1</v>
      </c>
      <c r="C291" s="47" t="s">
        <v>239</v>
      </c>
      <c r="D291" s="1"/>
      <c r="E291" s="1"/>
      <c r="F291" s="1"/>
      <c r="G291" s="1"/>
      <c r="H291" s="1"/>
      <c r="I291"/>
      <c r="J291"/>
      <c r="K291"/>
      <c r="L291"/>
      <c r="M291"/>
      <c r="N291"/>
      <c r="O291"/>
      <c r="P291"/>
      <c r="AL291" s="48"/>
      <c r="AM291" s="47"/>
      <c r="AN291" s="47"/>
      <c r="AO291" s="47"/>
    </row>
    <row r="292" spans="1:41" s="25" customFormat="1">
      <c r="A292" s="32" t="s">
        <v>2772</v>
      </c>
      <c r="B292" s="47">
        <v>2</v>
      </c>
      <c r="C292" s="47" t="s">
        <v>2120</v>
      </c>
      <c r="D292" s="1"/>
      <c r="E292" s="1"/>
      <c r="F292" s="1"/>
      <c r="G292" s="1"/>
      <c r="H292" s="1"/>
      <c r="I292"/>
      <c r="J292"/>
      <c r="K292"/>
      <c r="L292"/>
      <c r="M292"/>
      <c r="N292"/>
      <c r="O292"/>
      <c r="P292"/>
      <c r="AL292" s="48"/>
      <c r="AM292" s="47"/>
      <c r="AN292" s="47"/>
      <c r="AO292" s="47"/>
    </row>
    <row r="293" spans="1:41" s="25" customFormat="1">
      <c r="A293" s="47" t="s">
        <v>905</v>
      </c>
      <c r="B293" s="47">
        <v>2</v>
      </c>
      <c r="C293" s="47" t="s">
        <v>1132</v>
      </c>
      <c r="D293" s="1"/>
      <c r="E293" s="1"/>
      <c r="F293" s="1"/>
      <c r="G293" s="1"/>
      <c r="H293" s="1"/>
      <c r="I293"/>
      <c r="J293"/>
      <c r="K293"/>
      <c r="L293"/>
      <c r="M293"/>
      <c r="N293"/>
      <c r="O293"/>
      <c r="P293"/>
      <c r="AL293" s="48"/>
      <c r="AM293" s="47"/>
      <c r="AN293" s="47"/>
      <c r="AO293" s="47"/>
    </row>
    <row r="294" spans="1:41" s="25" customFormat="1">
      <c r="A294" s="47" t="s">
        <v>907</v>
      </c>
      <c r="B294" s="47">
        <v>2</v>
      </c>
      <c r="C294" s="47" t="s">
        <v>1132</v>
      </c>
      <c r="D294" s="1"/>
      <c r="E294" s="1"/>
      <c r="F294" s="1"/>
      <c r="G294" s="1"/>
      <c r="H294" s="1"/>
      <c r="I294"/>
      <c r="J294"/>
      <c r="K294"/>
      <c r="L294"/>
      <c r="M294"/>
      <c r="N294"/>
      <c r="O294"/>
      <c r="P294"/>
      <c r="AL294" s="48"/>
      <c r="AM294" s="47"/>
      <c r="AN294" s="47"/>
      <c r="AO294" s="47"/>
    </row>
    <row r="295" spans="1:41" s="25" customFormat="1">
      <c r="A295" s="47" t="s">
        <v>952</v>
      </c>
      <c r="B295" s="47">
        <v>2</v>
      </c>
      <c r="C295" s="47" t="s">
        <v>1132</v>
      </c>
      <c r="D295" s="1"/>
      <c r="E295" s="1"/>
      <c r="F295" s="1"/>
      <c r="G295" s="1"/>
      <c r="H295" s="1"/>
      <c r="I295"/>
      <c r="J295"/>
      <c r="K295"/>
      <c r="L295"/>
      <c r="M295"/>
      <c r="N295"/>
      <c r="O295"/>
      <c r="P295"/>
      <c r="AL295" s="48"/>
      <c r="AM295" s="47"/>
      <c r="AN295" s="47"/>
      <c r="AO295" s="47"/>
    </row>
    <row r="296" spans="1:41" s="25" customFormat="1">
      <c r="A296" s="47" t="s">
        <v>961</v>
      </c>
      <c r="B296" s="47">
        <v>2</v>
      </c>
      <c r="C296" s="47" t="s">
        <v>1132</v>
      </c>
      <c r="D296" s="1"/>
      <c r="E296" s="1"/>
      <c r="F296" s="1"/>
      <c r="G296" s="1"/>
      <c r="H296" s="1"/>
      <c r="I296"/>
      <c r="J296"/>
      <c r="K296"/>
      <c r="L296"/>
      <c r="M296"/>
      <c r="N296"/>
      <c r="O296"/>
      <c r="P296"/>
      <c r="AL296" s="48"/>
      <c r="AM296" s="47"/>
      <c r="AN296" s="47"/>
      <c r="AO296" s="47"/>
    </row>
    <row r="297" spans="1:41" s="25" customFormat="1">
      <c r="A297" s="47" t="s">
        <v>527</v>
      </c>
      <c r="B297" s="47">
        <v>2</v>
      </c>
      <c r="C297" s="47" t="s">
        <v>1132</v>
      </c>
      <c r="D297" s="1"/>
      <c r="E297" s="1"/>
      <c r="F297" s="1"/>
      <c r="G297" s="1"/>
      <c r="H297" s="1"/>
      <c r="I297"/>
      <c r="J297"/>
      <c r="K297"/>
      <c r="L297"/>
      <c r="M297"/>
      <c r="N297"/>
      <c r="O297"/>
      <c r="P297"/>
      <c r="AL297" s="48"/>
      <c r="AM297" s="47"/>
      <c r="AN297" s="47"/>
      <c r="AO297" s="47"/>
    </row>
    <row r="298" spans="1:41" s="25" customFormat="1">
      <c r="A298" s="47" t="s">
        <v>548</v>
      </c>
      <c r="B298" s="47">
        <v>2</v>
      </c>
      <c r="C298" s="47" t="s">
        <v>1132</v>
      </c>
      <c r="D298" s="1"/>
      <c r="E298" s="1"/>
      <c r="F298" s="1"/>
      <c r="G298" s="1"/>
      <c r="H298" s="1"/>
      <c r="I298"/>
      <c r="J298"/>
      <c r="K298"/>
      <c r="L298"/>
      <c r="M298"/>
      <c r="N298"/>
      <c r="O298"/>
      <c r="P298"/>
      <c r="AL298" s="48"/>
      <c r="AM298" s="47"/>
      <c r="AN298" s="47"/>
      <c r="AO298" s="47"/>
    </row>
    <row r="299" spans="1:41" s="25" customFormat="1">
      <c r="A299" s="47" t="s">
        <v>575</v>
      </c>
      <c r="B299" s="47">
        <v>2</v>
      </c>
      <c r="C299" s="47" t="s">
        <v>1132</v>
      </c>
      <c r="D299" s="1"/>
      <c r="E299" s="1"/>
      <c r="F299" s="1"/>
      <c r="G299" s="1"/>
      <c r="H299" s="1"/>
      <c r="I299"/>
      <c r="J299"/>
      <c r="K299"/>
      <c r="L299"/>
      <c r="M299"/>
      <c r="N299"/>
      <c r="O299"/>
      <c r="P299"/>
      <c r="AL299" s="48"/>
      <c r="AM299" s="47"/>
      <c r="AN299" s="47"/>
      <c r="AO299" s="47"/>
    </row>
    <row r="300" spans="1:41" s="25" customFormat="1">
      <c r="A300" s="47" t="s">
        <v>491</v>
      </c>
      <c r="B300" s="47">
        <v>2</v>
      </c>
      <c r="C300" s="47" t="s">
        <v>1132</v>
      </c>
      <c r="D300" s="1"/>
      <c r="E300" s="1"/>
      <c r="F300" s="1"/>
      <c r="G300" s="1"/>
      <c r="H300" s="1"/>
      <c r="I300"/>
      <c r="J300"/>
      <c r="K300"/>
      <c r="L300"/>
      <c r="M300"/>
      <c r="N300"/>
      <c r="O300"/>
      <c r="P300"/>
      <c r="AL300" s="48"/>
      <c r="AM300" s="47"/>
      <c r="AN300" s="47"/>
      <c r="AO300" s="47"/>
    </row>
    <row r="301" spans="1:41" s="25" customFormat="1">
      <c r="A301" s="47" t="s">
        <v>500</v>
      </c>
      <c r="B301" s="47">
        <v>2</v>
      </c>
      <c r="C301" s="47" t="s">
        <v>1132</v>
      </c>
      <c r="D301" s="1"/>
      <c r="E301" s="1"/>
      <c r="F301" s="1"/>
      <c r="G301" s="1"/>
      <c r="H301" s="1"/>
      <c r="I301"/>
      <c r="J301"/>
      <c r="K301"/>
      <c r="L301"/>
      <c r="M301"/>
      <c r="N301"/>
      <c r="O301"/>
      <c r="P301"/>
      <c r="AL301" s="48"/>
      <c r="AM301" s="47"/>
      <c r="AN301" s="47"/>
      <c r="AO301" s="47"/>
    </row>
    <row r="302" spans="1:41" s="25" customFormat="1">
      <c r="A302" s="47" t="s">
        <v>808</v>
      </c>
      <c r="B302" s="47">
        <v>2</v>
      </c>
      <c r="C302" s="47" t="s">
        <v>1132</v>
      </c>
      <c r="D302" s="1"/>
      <c r="E302" s="1"/>
      <c r="F302" s="1"/>
      <c r="G302" s="1"/>
      <c r="H302" s="1"/>
      <c r="I302"/>
      <c r="J302"/>
      <c r="K302"/>
      <c r="L302"/>
      <c r="M302"/>
      <c r="N302"/>
      <c r="O302"/>
      <c r="P302"/>
      <c r="AL302" s="48"/>
      <c r="AM302" s="47"/>
      <c r="AN302" s="47"/>
      <c r="AO302" s="47"/>
    </row>
    <row r="303" spans="1:41" s="25" customFormat="1">
      <c r="A303" s="47" t="s">
        <v>906</v>
      </c>
      <c r="B303" s="47">
        <v>2</v>
      </c>
      <c r="C303" s="47" t="s">
        <v>1132</v>
      </c>
      <c r="D303" s="1"/>
      <c r="E303" s="1"/>
      <c r="F303" s="1"/>
      <c r="G303" s="1"/>
      <c r="H303" s="1"/>
      <c r="I303"/>
      <c r="J303"/>
      <c r="K303"/>
      <c r="L303"/>
      <c r="M303"/>
      <c r="N303"/>
      <c r="O303"/>
      <c r="P303"/>
      <c r="AL303" s="48"/>
      <c r="AM303" s="47"/>
      <c r="AN303" s="47"/>
      <c r="AO303" s="47"/>
    </row>
    <row r="304" spans="1:41" s="25" customFormat="1">
      <c r="A304" s="47" t="s">
        <v>1824</v>
      </c>
      <c r="B304" s="47">
        <v>2</v>
      </c>
      <c r="C304" s="47" t="s">
        <v>1132</v>
      </c>
      <c r="D304" s="1"/>
      <c r="E304" s="1"/>
      <c r="F304" s="1"/>
      <c r="G304" s="1"/>
      <c r="H304" s="1"/>
      <c r="I304"/>
      <c r="J304"/>
      <c r="K304"/>
      <c r="L304"/>
      <c r="M304"/>
      <c r="N304"/>
      <c r="O304"/>
      <c r="P304"/>
      <c r="AL304" s="48"/>
      <c r="AM304" s="47"/>
      <c r="AN304" s="47"/>
      <c r="AO304" s="47"/>
    </row>
    <row r="305" spans="1:41" s="25" customFormat="1">
      <c r="A305" s="47" t="s">
        <v>2118</v>
      </c>
      <c r="B305" s="47">
        <v>2</v>
      </c>
      <c r="C305" s="47" t="s">
        <v>1132</v>
      </c>
      <c r="D305" s="1"/>
      <c r="E305" s="1"/>
      <c r="F305" s="1"/>
      <c r="G305" s="1"/>
      <c r="H305" s="1"/>
      <c r="I305"/>
      <c r="J305"/>
      <c r="K305"/>
      <c r="L305"/>
      <c r="M305"/>
      <c r="N305"/>
      <c r="O305"/>
      <c r="P305"/>
      <c r="AL305" s="48"/>
      <c r="AM305" s="47"/>
      <c r="AN305" s="47"/>
      <c r="AO305" s="47"/>
    </row>
    <row r="306" spans="1:41" s="25" customFormat="1">
      <c r="A306" s="32" t="s">
        <v>2771</v>
      </c>
      <c r="B306" s="47">
        <v>2</v>
      </c>
      <c r="C306" s="47" t="s">
        <v>1132</v>
      </c>
      <c r="D306" s="1"/>
      <c r="E306" s="1"/>
      <c r="F306" s="1"/>
      <c r="G306" s="1"/>
      <c r="H306" s="1"/>
      <c r="I306"/>
      <c r="J306"/>
      <c r="K306"/>
      <c r="L306"/>
      <c r="M306"/>
      <c r="N306"/>
      <c r="O306"/>
      <c r="P306"/>
      <c r="AL306" s="48"/>
      <c r="AM306" s="47"/>
      <c r="AN306" s="47"/>
      <c r="AO306" s="47"/>
    </row>
    <row r="307" spans="1:41" s="25" customFormat="1">
      <c r="A307" s="32" t="s">
        <v>2774</v>
      </c>
      <c r="B307" s="47">
        <v>2</v>
      </c>
      <c r="C307" s="47" t="s">
        <v>2122</v>
      </c>
      <c r="D307"/>
      <c r="E307" s="1"/>
      <c r="F307" s="1"/>
      <c r="G307" s="1"/>
      <c r="H307" s="1"/>
      <c r="I307"/>
      <c r="J307"/>
      <c r="K307"/>
      <c r="L307"/>
      <c r="M307"/>
      <c r="N307"/>
      <c r="O307"/>
      <c r="P307"/>
      <c r="AL307" s="48"/>
      <c r="AM307" s="47"/>
      <c r="AN307" s="47"/>
      <c r="AO307" s="47"/>
    </row>
    <row r="308" spans="1:41" s="25" customFormat="1">
      <c r="A308" s="32" t="s">
        <v>2787</v>
      </c>
      <c r="B308" s="47">
        <v>2</v>
      </c>
      <c r="C308" s="47" t="s">
        <v>1132</v>
      </c>
      <c r="D308"/>
      <c r="E308" s="1"/>
      <c r="F308" s="1"/>
      <c r="G308" s="1"/>
      <c r="H308" s="1"/>
      <c r="I308"/>
      <c r="J308"/>
      <c r="K308"/>
      <c r="L308"/>
      <c r="M308"/>
      <c r="N308"/>
      <c r="O308"/>
      <c r="P308"/>
      <c r="AL308" s="48"/>
      <c r="AM308" s="47"/>
      <c r="AN308" s="47"/>
      <c r="AO308" s="47"/>
    </row>
    <row r="309" spans="1:41" s="25" customFormat="1">
      <c r="A309" s="32" t="s">
        <v>2791</v>
      </c>
      <c r="B309" s="47">
        <v>2</v>
      </c>
      <c r="C309" s="47" t="s">
        <v>1132</v>
      </c>
      <c r="D309"/>
      <c r="E309" s="1"/>
      <c r="F309" s="1"/>
      <c r="G309" s="1"/>
      <c r="H309" s="1"/>
      <c r="I309"/>
      <c r="J309"/>
      <c r="K309"/>
      <c r="L309"/>
      <c r="M309"/>
      <c r="N309"/>
      <c r="O309"/>
      <c r="P309"/>
      <c r="AL309" s="48"/>
      <c r="AM309" s="47"/>
      <c r="AN309" s="47"/>
      <c r="AO309" s="47"/>
    </row>
    <row r="310" spans="1:41" s="58" customFormat="1">
      <c r="A310" s="32" t="s">
        <v>2792</v>
      </c>
      <c r="B310" s="47">
        <v>2</v>
      </c>
      <c r="C310" s="47" t="s">
        <v>1132</v>
      </c>
      <c r="D310" s="1"/>
      <c r="E310" s="1"/>
      <c r="F310" s="1"/>
      <c r="G310" s="1"/>
      <c r="H310" s="1"/>
      <c r="I310"/>
      <c r="J310"/>
      <c r="K310"/>
      <c r="L310"/>
      <c r="M310"/>
      <c r="N310"/>
      <c r="O310"/>
      <c r="P310"/>
      <c r="AL310" s="59"/>
      <c r="AM310" s="57"/>
      <c r="AN310" s="57"/>
      <c r="AO310" s="57"/>
    </row>
    <row r="311" spans="1:41" s="25" customFormat="1">
      <c r="A311" s="32" t="s">
        <v>2796</v>
      </c>
      <c r="B311" s="47">
        <v>2</v>
      </c>
      <c r="C311" s="47" t="s">
        <v>1132</v>
      </c>
      <c r="D311" s="1"/>
      <c r="E311" s="1"/>
      <c r="F311" s="1"/>
      <c r="G311" s="1"/>
      <c r="H311" s="1"/>
      <c r="I311"/>
      <c r="J311"/>
      <c r="K311"/>
      <c r="L311"/>
      <c r="M311"/>
      <c r="N311"/>
      <c r="O311"/>
      <c r="P311"/>
      <c r="AL311" s="48"/>
      <c r="AM311" s="47"/>
      <c r="AN311" s="47"/>
      <c r="AO311" s="47"/>
    </row>
    <row r="312" spans="1:41" s="25" customFormat="1">
      <c r="A312" s="32" t="s">
        <v>2797</v>
      </c>
      <c r="B312" s="47">
        <v>2</v>
      </c>
      <c r="C312" s="47" t="s">
        <v>1132</v>
      </c>
      <c r="D312" s="1"/>
      <c r="E312" s="1"/>
      <c r="F312" s="1"/>
      <c r="G312" s="1"/>
      <c r="H312" s="1"/>
      <c r="I312"/>
      <c r="J312"/>
      <c r="K312"/>
      <c r="L312"/>
      <c r="M312"/>
      <c r="N312"/>
      <c r="O312"/>
      <c r="P312"/>
      <c r="AL312" s="48"/>
      <c r="AM312" s="47"/>
      <c r="AN312" s="47"/>
      <c r="AO312" s="47"/>
    </row>
    <row r="313" spans="1:41" s="25" customFormat="1">
      <c r="A313" s="32" t="s">
        <v>2798</v>
      </c>
      <c r="B313" s="47">
        <v>2</v>
      </c>
      <c r="C313" s="47" t="s">
        <v>1132</v>
      </c>
      <c r="D313" s="1"/>
      <c r="E313" s="1"/>
      <c r="F313" s="1"/>
      <c r="G313" s="1"/>
      <c r="H313" s="1"/>
      <c r="I313"/>
      <c r="J313"/>
      <c r="K313"/>
      <c r="L313"/>
      <c r="M313"/>
      <c r="N313"/>
      <c r="O313"/>
      <c r="P313"/>
      <c r="AL313" s="48"/>
      <c r="AM313" s="47"/>
      <c r="AN313" s="47"/>
      <c r="AO313" s="47"/>
    </row>
    <row r="314" spans="1:41" s="25" customFormat="1">
      <c r="A314" s="25" t="s">
        <v>2126</v>
      </c>
      <c r="B314" s="47">
        <v>2</v>
      </c>
      <c r="C314" s="47" t="s">
        <v>1132</v>
      </c>
      <c r="D314" s="1"/>
      <c r="E314" s="1"/>
      <c r="F314" s="1"/>
      <c r="G314" s="1"/>
      <c r="H314" s="1"/>
      <c r="I314"/>
      <c r="J314"/>
      <c r="K314"/>
      <c r="L314"/>
      <c r="M314"/>
      <c r="N314"/>
      <c r="O314"/>
      <c r="P314"/>
      <c r="AL314" s="48"/>
      <c r="AM314" s="47"/>
      <c r="AN314" s="47"/>
      <c r="AO314" s="47"/>
    </row>
    <row r="315" spans="1:41" s="64" customFormat="1">
      <c r="A315" s="32" t="s">
        <v>2799</v>
      </c>
      <c r="B315" s="47">
        <v>2</v>
      </c>
      <c r="C315" s="47" t="s">
        <v>2122</v>
      </c>
      <c r="D315" s="1"/>
      <c r="E315" s="1"/>
      <c r="F315" s="1"/>
      <c r="G315" s="1"/>
      <c r="H315" s="1"/>
      <c r="I315"/>
      <c r="J315"/>
      <c r="K315"/>
      <c r="L315"/>
      <c r="M315"/>
      <c r="N315"/>
      <c r="O315"/>
      <c r="P315"/>
      <c r="AL315" s="65"/>
      <c r="AM315" s="63"/>
      <c r="AN315" s="63"/>
      <c r="AO315" s="63"/>
    </row>
    <row r="316" spans="1:41" s="25" customFormat="1">
      <c r="A316" s="32" t="s">
        <v>2807</v>
      </c>
      <c r="B316" s="47">
        <v>3</v>
      </c>
      <c r="C316" s="47" t="s">
        <v>1132</v>
      </c>
      <c r="D316" s="1"/>
      <c r="E316" s="1"/>
      <c r="F316" s="1"/>
      <c r="G316" s="1"/>
      <c r="H316" s="1"/>
      <c r="I316"/>
      <c r="J316"/>
      <c r="K316"/>
      <c r="L316"/>
      <c r="M316"/>
      <c r="N316"/>
      <c r="O316"/>
      <c r="P316"/>
      <c r="AL316" s="48"/>
      <c r="AM316" s="47"/>
      <c r="AN316" s="47"/>
      <c r="AO316" s="47"/>
    </row>
    <row r="317" spans="1:41" s="25" customFormat="1">
      <c r="A317" s="32" t="s">
        <v>2814</v>
      </c>
      <c r="B317" s="47">
        <v>3</v>
      </c>
      <c r="C317" s="47" t="s">
        <v>1132</v>
      </c>
      <c r="D317" s="1"/>
      <c r="E317" s="1"/>
      <c r="F317" s="1"/>
      <c r="G317" s="1"/>
      <c r="H317" s="1"/>
      <c r="I317"/>
      <c r="J317"/>
      <c r="K317"/>
      <c r="L317"/>
      <c r="M317"/>
      <c r="N317"/>
      <c r="O317"/>
      <c r="P317"/>
      <c r="AL317" s="48"/>
      <c r="AM317" s="47"/>
      <c r="AN317" s="47"/>
      <c r="AO317" s="47"/>
    </row>
    <row r="318" spans="1:41" s="25" customFormat="1">
      <c r="A318" s="32" t="s">
        <v>2815</v>
      </c>
      <c r="B318" s="47">
        <v>3</v>
      </c>
      <c r="C318" s="47" t="s">
        <v>1132</v>
      </c>
      <c r="D318" s="1"/>
      <c r="E318" s="1"/>
      <c r="F318" s="1"/>
      <c r="G318" s="1"/>
      <c r="H318" s="1"/>
      <c r="I318"/>
      <c r="J318"/>
      <c r="K318"/>
      <c r="L318"/>
      <c r="M318"/>
      <c r="N318"/>
      <c r="O318"/>
      <c r="P318"/>
      <c r="AL318" s="48"/>
      <c r="AM318" s="47"/>
      <c r="AN318" s="47"/>
      <c r="AO318" s="47"/>
    </row>
    <row r="319" spans="1:41" s="25" customFormat="1">
      <c r="A319" s="25" t="s">
        <v>2910</v>
      </c>
      <c r="B319" s="47">
        <v>3</v>
      </c>
      <c r="C319" s="47" t="s">
        <v>1132</v>
      </c>
      <c r="D319" s="1"/>
      <c r="E319" s="1"/>
      <c r="F319" s="1"/>
      <c r="G319" s="1"/>
      <c r="H319" s="1"/>
      <c r="I319"/>
      <c r="J319"/>
      <c r="K319"/>
      <c r="L319"/>
      <c r="M319"/>
      <c r="N319"/>
      <c r="O319"/>
      <c r="P319"/>
      <c r="AL319" s="48"/>
      <c r="AM319" s="47"/>
      <c r="AN319" s="47"/>
      <c r="AO319" s="47"/>
    </row>
    <row r="320" spans="1:41" s="25" customFormat="1">
      <c r="A320" s="25" t="s">
        <v>2913</v>
      </c>
      <c r="B320" s="47">
        <v>3</v>
      </c>
      <c r="C320" s="47" t="s">
        <v>1132</v>
      </c>
      <c r="D320" s="1"/>
      <c r="E320" s="1"/>
      <c r="F320" s="1"/>
      <c r="G320" s="1"/>
      <c r="H320" s="1"/>
      <c r="I320"/>
      <c r="J320"/>
      <c r="K320"/>
      <c r="L320"/>
      <c r="M320"/>
      <c r="N320"/>
      <c r="O320"/>
      <c r="P320"/>
      <c r="AL320" s="48"/>
      <c r="AM320" s="47"/>
      <c r="AN320" s="47"/>
      <c r="AO320" s="47"/>
    </row>
    <row r="321" spans="1:41" s="83" customFormat="1">
      <c r="A321" s="25" t="s">
        <v>2916</v>
      </c>
      <c r="B321" s="47">
        <v>3</v>
      </c>
      <c r="C321" s="47" t="s">
        <v>1132</v>
      </c>
      <c r="D321" s="1"/>
      <c r="E321" s="1"/>
      <c r="F321" s="1"/>
      <c r="G321" s="1"/>
      <c r="H321" s="1"/>
      <c r="I321"/>
      <c r="J321"/>
      <c r="K321"/>
      <c r="L321"/>
      <c r="M321"/>
      <c r="N321"/>
      <c r="O321"/>
      <c r="P321"/>
      <c r="AL321" s="85"/>
      <c r="AM321" s="84"/>
      <c r="AN321" s="84"/>
      <c r="AO321" s="84"/>
    </row>
    <row r="322" spans="1:41" s="25" customFormat="1">
      <c r="A322" s="25" t="s">
        <v>2917</v>
      </c>
      <c r="B322" s="47">
        <v>3</v>
      </c>
      <c r="C322" s="47" t="s">
        <v>1132</v>
      </c>
      <c r="D322" s="1"/>
      <c r="E322" s="1"/>
      <c r="F322" s="1"/>
      <c r="G322" s="1"/>
      <c r="H322" s="1"/>
      <c r="I322"/>
      <c r="J322"/>
      <c r="K322"/>
      <c r="L322"/>
      <c r="M322"/>
      <c r="N322"/>
      <c r="O322"/>
      <c r="P322"/>
      <c r="AL322" s="48"/>
      <c r="AM322" s="47"/>
      <c r="AN322" s="47"/>
      <c r="AO322" s="47"/>
    </row>
    <row r="323" spans="1:41" s="58" customFormat="1">
      <c r="A323" s="25" t="s">
        <v>2923</v>
      </c>
      <c r="B323" s="47">
        <v>3</v>
      </c>
      <c r="C323" s="47" t="s">
        <v>1132</v>
      </c>
      <c r="D323" s="1"/>
      <c r="E323" s="1"/>
      <c r="F323" s="1"/>
      <c r="G323" s="1"/>
      <c r="H323" s="1"/>
      <c r="I323"/>
      <c r="J323"/>
      <c r="K323"/>
      <c r="L323"/>
      <c r="M323"/>
      <c r="N323"/>
      <c r="O323"/>
      <c r="P323"/>
      <c r="AL323" s="59"/>
      <c r="AM323" s="57"/>
      <c r="AN323" s="57"/>
      <c r="AO323" s="57"/>
    </row>
    <row r="324" spans="1:41" s="58" customFormat="1">
      <c r="A324" s="25" t="s">
        <v>2924</v>
      </c>
      <c r="B324" s="47">
        <v>3</v>
      </c>
      <c r="C324" s="47" t="s">
        <v>1132</v>
      </c>
      <c r="D324" s="1"/>
      <c r="E324" s="1"/>
      <c r="F324" s="1"/>
      <c r="G324" s="1"/>
      <c r="H324" s="1"/>
      <c r="I324"/>
      <c r="J324"/>
      <c r="K324"/>
      <c r="L324"/>
      <c r="M324"/>
      <c r="N324"/>
      <c r="O324"/>
      <c r="P324"/>
      <c r="AL324" s="59"/>
      <c r="AM324" s="57"/>
      <c r="AN324" s="57"/>
      <c r="AO324" s="57"/>
    </row>
    <row r="325" spans="1:41" s="58" customFormat="1">
      <c r="A325" s="25" t="s">
        <v>2925</v>
      </c>
      <c r="B325" s="47">
        <v>3</v>
      </c>
      <c r="C325" s="47" t="s">
        <v>290</v>
      </c>
      <c r="D325" s="1"/>
      <c r="E325" s="1"/>
      <c r="F325" s="1"/>
      <c r="G325" s="1"/>
      <c r="H325" s="1"/>
      <c r="I325"/>
      <c r="J325"/>
      <c r="K325"/>
      <c r="L325"/>
      <c r="M325"/>
      <c r="N325"/>
      <c r="O325"/>
      <c r="P325"/>
      <c r="AL325" s="59"/>
      <c r="AM325" s="57"/>
      <c r="AN325" s="57"/>
      <c r="AO325" s="57"/>
    </row>
    <row r="326" spans="1:41" s="58" customFormat="1">
      <c r="A326" s="25" t="s">
        <v>2982</v>
      </c>
      <c r="B326" s="47">
        <v>3</v>
      </c>
      <c r="C326" s="47" t="s">
        <v>290</v>
      </c>
      <c r="D326" s="1"/>
      <c r="E326" s="1"/>
      <c r="F326" s="1"/>
      <c r="G326" s="1"/>
      <c r="H326" s="1"/>
      <c r="I326"/>
      <c r="J326"/>
      <c r="K326"/>
      <c r="L326"/>
      <c r="M326"/>
      <c r="N326"/>
      <c r="O326"/>
      <c r="P326"/>
      <c r="AL326" s="59"/>
      <c r="AM326" s="57"/>
      <c r="AN326" s="57"/>
      <c r="AO326" s="57"/>
    </row>
    <row r="327" spans="1:41" s="25" customFormat="1">
      <c r="A327" s="25" t="s">
        <v>2926</v>
      </c>
      <c r="B327" s="47">
        <v>3</v>
      </c>
      <c r="C327" s="47" t="s">
        <v>1132</v>
      </c>
      <c r="D327" s="1"/>
      <c r="E327" s="1"/>
      <c r="F327" s="1"/>
      <c r="G327" s="1"/>
      <c r="H327" s="1"/>
      <c r="I327"/>
      <c r="J327"/>
      <c r="K327"/>
      <c r="L327"/>
      <c r="M327"/>
      <c r="N327"/>
      <c r="O327"/>
      <c r="P327"/>
      <c r="AL327" s="48"/>
      <c r="AM327" s="47"/>
      <c r="AN327" s="47"/>
      <c r="AO327" s="47"/>
    </row>
    <row r="328" spans="1:41" s="25" customFormat="1">
      <c r="A328" s="25" t="s">
        <v>2928</v>
      </c>
      <c r="B328" s="47">
        <v>3</v>
      </c>
      <c r="C328" s="47" t="s">
        <v>1132</v>
      </c>
      <c r="D328" s="1"/>
      <c r="E328" s="1"/>
      <c r="F328" s="1"/>
      <c r="G328" s="1"/>
      <c r="H328" s="1"/>
      <c r="I328"/>
      <c r="J328"/>
      <c r="K328"/>
      <c r="L328"/>
      <c r="M328"/>
      <c r="N328"/>
      <c r="O328"/>
      <c r="P328"/>
      <c r="AL328" s="48"/>
      <c r="AM328" s="47"/>
      <c r="AN328" s="47"/>
      <c r="AO328" s="47"/>
    </row>
    <row r="329" spans="1:41" s="25" customFormat="1" ht="17">
      <c r="A329" s="46" t="s">
        <v>2929</v>
      </c>
      <c r="B329" s="47">
        <v>3</v>
      </c>
      <c r="C329" s="47" t="s">
        <v>1132</v>
      </c>
      <c r="D329" s="1"/>
      <c r="E329" s="1"/>
      <c r="F329" s="1"/>
      <c r="G329" s="1"/>
      <c r="H329" s="1"/>
      <c r="I329"/>
      <c r="J329"/>
      <c r="K329"/>
      <c r="L329"/>
      <c r="M329"/>
      <c r="N329"/>
      <c r="O329"/>
      <c r="P329"/>
      <c r="AL329" s="48"/>
      <c r="AM329" s="47"/>
      <c r="AN329" s="47"/>
      <c r="AO329" s="47"/>
    </row>
    <row r="330" spans="1:41" s="25" customFormat="1">
      <c r="A330" s="25" t="s">
        <v>2933</v>
      </c>
      <c r="B330" s="47">
        <v>3</v>
      </c>
      <c r="C330" s="47" t="s">
        <v>1132</v>
      </c>
      <c r="D330" s="1"/>
      <c r="E330" s="1"/>
      <c r="F330" s="1"/>
      <c r="G330" s="1"/>
      <c r="H330" s="1"/>
      <c r="I330"/>
      <c r="J330"/>
      <c r="K330"/>
      <c r="L330"/>
      <c r="M330"/>
      <c r="N330"/>
      <c r="O330"/>
      <c r="P330"/>
      <c r="AL330" s="48"/>
      <c r="AM330" s="47"/>
      <c r="AN330" s="47"/>
      <c r="AO330" s="47"/>
    </row>
    <row r="331" spans="1:41" s="25" customFormat="1" ht="17">
      <c r="A331" s="46" t="s">
        <v>2941</v>
      </c>
      <c r="B331" s="47">
        <v>3</v>
      </c>
      <c r="C331" s="47" t="s">
        <v>1132</v>
      </c>
      <c r="D331" s="1"/>
      <c r="E331" s="1"/>
      <c r="F331" s="1"/>
      <c r="G331" s="1"/>
      <c r="H331" s="1"/>
      <c r="I331"/>
      <c r="J331"/>
      <c r="K331"/>
      <c r="L331"/>
      <c r="M331"/>
      <c r="N331"/>
      <c r="O331"/>
      <c r="P331"/>
      <c r="AL331" s="48"/>
      <c r="AM331" s="47"/>
      <c r="AN331" s="47"/>
      <c r="AO331" s="47"/>
    </row>
    <row r="332" spans="1:41" s="25" customFormat="1" ht="17">
      <c r="A332" s="46" t="s">
        <v>2961</v>
      </c>
      <c r="B332" s="47">
        <v>3</v>
      </c>
      <c r="C332" s="47" t="s">
        <v>1132</v>
      </c>
      <c r="D332" s="1"/>
      <c r="E332" s="1"/>
      <c r="F332" s="1"/>
      <c r="G332" s="1"/>
      <c r="H332" s="1"/>
      <c r="I332"/>
      <c r="J332"/>
      <c r="K332"/>
      <c r="L332"/>
      <c r="M332"/>
      <c r="N332"/>
      <c r="O332"/>
      <c r="P332"/>
      <c r="AL332" s="48"/>
      <c r="AM332" s="47"/>
      <c r="AN332" s="47"/>
      <c r="AO332" s="47"/>
    </row>
    <row r="333" spans="1:41" s="25" customFormat="1" ht="17">
      <c r="A333" s="46" t="s">
        <v>2962</v>
      </c>
      <c r="B333" s="47">
        <v>3</v>
      </c>
      <c r="C333" s="47" t="s">
        <v>1132</v>
      </c>
      <c r="D333" s="1"/>
      <c r="E333" s="1"/>
      <c r="F333" s="1"/>
      <c r="G333" s="1"/>
      <c r="H333" s="1"/>
      <c r="I333"/>
      <c r="J333"/>
      <c r="K333"/>
      <c r="L333"/>
      <c r="M333"/>
      <c r="N333"/>
      <c r="O333"/>
      <c r="P333"/>
      <c r="AL333" s="48"/>
      <c r="AM333" s="47"/>
      <c r="AN333" s="47"/>
      <c r="AO333" s="47"/>
    </row>
    <row r="334" spans="1:41" ht="17">
      <c r="A334" s="46" t="s">
        <v>2963</v>
      </c>
      <c r="B334" s="47">
        <v>3</v>
      </c>
      <c r="C334" s="47" t="s">
        <v>1132</v>
      </c>
      <c r="AL334" s="2"/>
      <c r="AM334" s="1"/>
      <c r="AN334" s="1"/>
      <c r="AO334" s="1"/>
    </row>
    <row r="335" spans="1:41" s="25" customFormat="1" ht="17">
      <c r="A335" s="46" t="s">
        <v>2964</v>
      </c>
      <c r="B335" s="47">
        <v>3</v>
      </c>
      <c r="C335" s="47" t="s">
        <v>1132</v>
      </c>
      <c r="D335"/>
      <c r="E335"/>
      <c r="F335"/>
      <c r="G335"/>
      <c r="H335"/>
      <c r="I335"/>
      <c r="J335"/>
      <c r="K335"/>
      <c r="L335"/>
      <c r="M335"/>
      <c r="N335"/>
      <c r="O335"/>
      <c r="P335"/>
      <c r="AL335" s="48"/>
      <c r="AM335" s="47"/>
      <c r="AN335" s="47"/>
      <c r="AO335" s="47"/>
    </row>
    <row r="336" spans="1:41" ht="17">
      <c r="A336" s="46" t="s">
        <v>2972</v>
      </c>
      <c r="B336" s="47">
        <v>3</v>
      </c>
      <c r="C336" s="47" t="s">
        <v>1132</v>
      </c>
      <c r="AL336" s="2"/>
      <c r="AM336" s="1"/>
      <c r="AN336" s="1"/>
      <c r="AO336" s="1"/>
    </row>
    <row r="337" spans="1:41" ht="17">
      <c r="A337" s="46" t="s">
        <v>2973</v>
      </c>
      <c r="B337" s="47">
        <v>3</v>
      </c>
      <c r="C337" s="47" t="s">
        <v>1132</v>
      </c>
      <c r="AL337" s="2"/>
      <c r="AM337" s="1"/>
      <c r="AN337" s="1"/>
      <c r="AO337" s="1"/>
    </row>
    <row r="338" spans="1:41">
      <c r="A338" s="32" t="s">
        <v>2753</v>
      </c>
      <c r="B338" s="47">
        <v>2</v>
      </c>
      <c r="C338" s="47" t="s">
        <v>1934</v>
      </c>
      <c r="AL338" s="2"/>
      <c r="AM338" s="1"/>
      <c r="AN338" s="1"/>
      <c r="AO338" s="1"/>
    </row>
    <row r="339" spans="1:41" s="36" customFormat="1" ht="17">
      <c r="A339" s="46" t="s">
        <v>2960</v>
      </c>
      <c r="B339" s="47">
        <v>3</v>
      </c>
      <c r="C339" s="47" t="s">
        <v>1934</v>
      </c>
      <c r="D339"/>
      <c r="E339"/>
      <c r="F339"/>
      <c r="G339"/>
      <c r="H339"/>
      <c r="I339"/>
      <c r="J339"/>
      <c r="K339"/>
      <c r="L339"/>
      <c r="M339"/>
      <c r="N339"/>
      <c r="O339"/>
      <c r="P339"/>
      <c r="AL339" s="37"/>
      <c r="AM339" s="35"/>
      <c r="AN339" s="35"/>
      <c r="AO339" s="35"/>
    </row>
    <row r="340" spans="1:41" s="36" customFormat="1">
      <c r="A340" s="47" t="s">
        <v>584</v>
      </c>
      <c r="B340" s="47">
        <v>2</v>
      </c>
      <c r="C340" s="47" t="s">
        <v>2421</v>
      </c>
      <c r="D340"/>
      <c r="E340"/>
      <c r="F340"/>
      <c r="G340"/>
      <c r="H340"/>
      <c r="I340"/>
      <c r="J340"/>
      <c r="K340"/>
      <c r="L340"/>
      <c r="M340"/>
      <c r="N340"/>
      <c r="O340"/>
      <c r="P340"/>
      <c r="AL340" s="37"/>
      <c r="AM340" s="35"/>
      <c r="AN340" s="35"/>
      <c r="AO340" s="35"/>
    </row>
    <row r="341" spans="1:41" s="36" customFormat="1">
      <c r="A341" s="32" t="s">
        <v>2795</v>
      </c>
      <c r="B341" s="47">
        <v>2</v>
      </c>
      <c r="C341" s="47" t="s">
        <v>2140</v>
      </c>
      <c r="D341"/>
      <c r="E341"/>
      <c r="F341"/>
      <c r="G341"/>
      <c r="H341"/>
      <c r="I341"/>
      <c r="J341"/>
      <c r="K341"/>
      <c r="L341"/>
      <c r="M341"/>
      <c r="N341"/>
      <c r="O341"/>
      <c r="P341"/>
      <c r="AL341" s="37"/>
      <c r="AM341" s="35"/>
      <c r="AN341" s="35"/>
      <c r="AO341" s="35"/>
    </row>
    <row r="342" spans="1:41" s="36" customFormat="1">
      <c r="A342" s="25" t="s">
        <v>2323</v>
      </c>
      <c r="B342" s="47">
        <v>2</v>
      </c>
      <c r="C342" s="47" t="s">
        <v>2326</v>
      </c>
      <c r="D342"/>
      <c r="E342"/>
      <c r="F342"/>
      <c r="G342"/>
      <c r="H342"/>
      <c r="I342"/>
      <c r="J342"/>
      <c r="K342"/>
      <c r="L342"/>
      <c r="M342"/>
      <c r="N342"/>
      <c r="O342"/>
      <c r="P342"/>
      <c r="AL342" s="37"/>
      <c r="AM342" s="35"/>
      <c r="AN342" s="35"/>
      <c r="AO342" s="35"/>
    </row>
    <row r="343" spans="1:41" s="36" customFormat="1">
      <c r="A343" s="47" t="s">
        <v>842</v>
      </c>
      <c r="B343" s="47">
        <v>2</v>
      </c>
      <c r="C343" s="47" t="s">
        <v>1176</v>
      </c>
      <c r="D343"/>
      <c r="E343"/>
      <c r="F343"/>
      <c r="G343"/>
      <c r="H343"/>
      <c r="I343"/>
      <c r="J343"/>
      <c r="K343"/>
      <c r="L343"/>
      <c r="M343"/>
      <c r="N343"/>
      <c r="O343"/>
      <c r="P343"/>
      <c r="AL343" s="37"/>
      <c r="AM343" s="35"/>
      <c r="AN343" s="35"/>
      <c r="AO343" s="35"/>
    </row>
    <row r="344" spans="1:41" s="36" customFormat="1">
      <c r="A344" s="47" t="s">
        <v>1822</v>
      </c>
      <c r="B344" s="47">
        <v>2</v>
      </c>
      <c r="C344" s="47" t="s">
        <v>1895</v>
      </c>
      <c r="D344"/>
      <c r="E344"/>
      <c r="F344"/>
      <c r="G344"/>
      <c r="H344"/>
      <c r="I344"/>
      <c r="J344"/>
      <c r="K344"/>
      <c r="L344"/>
      <c r="M344"/>
      <c r="N344"/>
      <c r="O344"/>
      <c r="P344"/>
      <c r="AL344" s="37"/>
      <c r="AM344" s="35"/>
      <c r="AN344" s="35"/>
      <c r="AO344" s="35"/>
    </row>
    <row r="345" spans="1:41" s="36" customFormat="1">
      <c r="A345" s="32" t="s">
        <v>2783</v>
      </c>
      <c r="B345" s="47">
        <v>2</v>
      </c>
      <c r="C345" s="47" t="s">
        <v>1895</v>
      </c>
      <c r="D345"/>
      <c r="E345"/>
      <c r="F345"/>
      <c r="G345"/>
      <c r="H345"/>
      <c r="I345"/>
      <c r="J345"/>
      <c r="K345"/>
      <c r="L345"/>
      <c r="M345"/>
      <c r="N345"/>
      <c r="O345"/>
      <c r="P345"/>
      <c r="AL345" s="37"/>
      <c r="AM345" s="35"/>
      <c r="AN345" s="35"/>
      <c r="AO345" s="35"/>
    </row>
    <row r="346" spans="1:41" s="36" customFormat="1">
      <c r="A346" s="32" t="s">
        <v>2773</v>
      </c>
      <c r="B346" s="47">
        <v>2</v>
      </c>
      <c r="C346" s="47" t="s">
        <v>2121</v>
      </c>
      <c r="D346"/>
      <c r="E346"/>
      <c r="F346"/>
      <c r="G346"/>
      <c r="H346"/>
      <c r="I346"/>
      <c r="J346"/>
      <c r="K346"/>
      <c r="L346"/>
      <c r="M346"/>
      <c r="N346"/>
      <c r="O346"/>
      <c r="P346"/>
      <c r="AL346" s="37"/>
      <c r="AM346" s="35"/>
      <c r="AN346" s="35"/>
      <c r="AO346" s="35"/>
    </row>
    <row r="347" spans="1:41" s="36" customFormat="1">
      <c r="A347" s="32" t="s">
        <v>2781</v>
      </c>
      <c r="B347" s="47">
        <v>2</v>
      </c>
      <c r="C347" s="47" t="s">
        <v>2121</v>
      </c>
      <c r="D347"/>
      <c r="E347"/>
      <c r="F347"/>
      <c r="G347"/>
      <c r="H347"/>
      <c r="I347"/>
      <c r="J347"/>
      <c r="K347"/>
      <c r="L347"/>
      <c r="M347"/>
      <c r="N347"/>
      <c r="O347"/>
      <c r="P347"/>
      <c r="AL347" s="37"/>
      <c r="AM347" s="35"/>
      <c r="AN347" s="35"/>
      <c r="AO347" s="35"/>
    </row>
    <row r="348" spans="1:41" s="36" customFormat="1">
      <c r="A348" s="47" t="s">
        <v>837</v>
      </c>
      <c r="B348" s="47">
        <v>2</v>
      </c>
      <c r="C348" s="47" t="s">
        <v>1117</v>
      </c>
      <c r="D348"/>
      <c r="E348"/>
      <c r="F348"/>
      <c r="G348"/>
      <c r="H348"/>
      <c r="I348"/>
      <c r="J348"/>
      <c r="K348"/>
      <c r="L348"/>
      <c r="M348"/>
      <c r="N348"/>
      <c r="O348"/>
      <c r="P348"/>
      <c r="AL348" s="37"/>
      <c r="AM348" s="35"/>
      <c r="AN348" s="35"/>
      <c r="AO348" s="35"/>
    </row>
    <row r="349" spans="1:41" s="36" customFormat="1">
      <c r="A349" s="47" t="s">
        <v>843</v>
      </c>
      <c r="B349" s="47">
        <v>2</v>
      </c>
      <c r="C349" s="47" t="s">
        <v>1117</v>
      </c>
      <c r="D349"/>
      <c r="E349"/>
      <c r="F349"/>
      <c r="G349"/>
      <c r="H349"/>
      <c r="I349"/>
      <c r="J349"/>
      <c r="K349"/>
      <c r="L349"/>
      <c r="M349"/>
      <c r="N349"/>
      <c r="O349"/>
      <c r="P349"/>
      <c r="AL349" s="37"/>
      <c r="AM349" s="35"/>
      <c r="AN349" s="35"/>
      <c r="AO349" s="35"/>
    </row>
    <row r="350" spans="1:41" s="36" customFormat="1">
      <c r="A350" s="47" t="s">
        <v>844</v>
      </c>
      <c r="B350" s="47">
        <v>2</v>
      </c>
      <c r="C350" s="47" t="s">
        <v>1117</v>
      </c>
      <c r="D350"/>
      <c r="E350"/>
      <c r="F350"/>
      <c r="G350"/>
      <c r="H350"/>
      <c r="I350"/>
      <c r="J350"/>
      <c r="K350"/>
      <c r="L350"/>
      <c r="M350"/>
      <c r="N350"/>
      <c r="O350"/>
      <c r="P350"/>
      <c r="AL350" s="37"/>
      <c r="AM350" s="35"/>
      <c r="AN350" s="35"/>
      <c r="AO350" s="35"/>
    </row>
    <row r="351" spans="1:41" s="36" customFormat="1">
      <c r="A351" s="47" t="s">
        <v>845</v>
      </c>
      <c r="B351" s="47">
        <v>2</v>
      </c>
      <c r="C351" s="47" t="s">
        <v>1117</v>
      </c>
      <c r="D351"/>
      <c r="E351"/>
      <c r="F351"/>
      <c r="G351"/>
      <c r="H351"/>
      <c r="I351"/>
      <c r="J351"/>
      <c r="K351"/>
      <c r="L351"/>
      <c r="M351"/>
      <c r="N351"/>
      <c r="O351"/>
      <c r="P351"/>
      <c r="AL351" s="37"/>
      <c r="AM351" s="35"/>
      <c r="AN351" s="35"/>
      <c r="AO351" s="35"/>
    </row>
    <row r="352" spans="1:41" s="36" customFormat="1">
      <c r="A352" s="47" t="s">
        <v>846</v>
      </c>
      <c r="B352" s="47">
        <v>2</v>
      </c>
      <c r="C352" s="47" t="s">
        <v>1117</v>
      </c>
      <c r="D352"/>
      <c r="E352"/>
      <c r="F352"/>
      <c r="G352"/>
      <c r="H352"/>
      <c r="I352"/>
      <c r="J352"/>
      <c r="K352"/>
      <c r="L352"/>
      <c r="M352"/>
      <c r="N352"/>
      <c r="O352"/>
      <c r="P352"/>
      <c r="AL352" s="37"/>
      <c r="AM352" s="35"/>
      <c r="AN352" s="35"/>
      <c r="AO352" s="35"/>
    </row>
    <row r="353" spans="1:41" s="25" customFormat="1">
      <c r="A353" s="47" t="s">
        <v>850</v>
      </c>
      <c r="B353" s="47">
        <v>2</v>
      </c>
      <c r="C353" s="47" t="s">
        <v>1117</v>
      </c>
      <c r="D353"/>
      <c r="E353"/>
      <c r="F353"/>
      <c r="G353"/>
      <c r="H353"/>
      <c r="I353"/>
      <c r="J353"/>
      <c r="K353"/>
      <c r="L353"/>
      <c r="M353"/>
      <c r="N353"/>
      <c r="O353"/>
      <c r="P353"/>
      <c r="AL353" s="48"/>
      <c r="AM353" s="47"/>
      <c r="AN353" s="47"/>
      <c r="AO353" s="47"/>
    </row>
    <row r="354" spans="1:41" s="25" customFormat="1">
      <c r="A354" s="47" t="s">
        <v>849</v>
      </c>
      <c r="B354" s="47">
        <v>2</v>
      </c>
      <c r="C354" s="47" t="s">
        <v>1117</v>
      </c>
      <c r="D354"/>
      <c r="E354"/>
      <c r="F354"/>
      <c r="G354"/>
      <c r="H354"/>
      <c r="I354"/>
      <c r="J354"/>
      <c r="K354"/>
      <c r="L354"/>
      <c r="M354"/>
      <c r="N354"/>
      <c r="O354"/>
      <c r="P354"/>
      <c r="AL354" s="48"/>
      <c r="AM354" s="47"/>
      <c r="AN354" s="47"/>
      <c r="AO354" s="47"/>
    </row>
    <row r="355" spans="1:41" s="25" customFormat="1">
      <c r="A355" s="47" t="s">
        <v>861</v>
      </c>
      <c r="B355" s="47">
        <v>2</v>
      </c>
      <c r="C355" s="47" t="s">
        <v>1117</v>
      </c>
      <c r="D355"/>
      <c r="E355"/>
      <c r="F355"/>
      <c r="G355"/>
      <c r="H355"/>
      <c r="I355"/>
      <c r="J355"/>
      <c r="K355"/>
      <c r="L355"/>
      <c r="M355"/>
      <c r="N355"/>
      <c r="O355"/>
      <c r="P355"/>
      <c r="AL355" s="48"/>
      <c r="AM355" s="47"/>
      <c r="AN355" s="47"/>
      <c r="AO355" s="47"/>
    </row>
    <row r="356" spans="1:41" s="25" customFormat="1">
      <c r="A356" s="47" t="s">
        <v>864</v>
      </c>
      <c r="B356" s="47">
        <v>2</v>
      </c>
      <c r="C356" s="47" t="s">
        <v>1117</v>
      </c>
      <c r="D356"/>
      <c r="E356"/>
      <c r="F356"/>
      <c r="G356"/>
      <c r="H356"/>
      <c r="I356"/>
      <c r="J356"/>
      <c r="K356"/>
      <c r="L356"/>
      <c r="M356"/>
      <c r="N356"/>
      <c r="O356"/>
      <c r="P356"/>
      <c r="AL356" s="48"/>
      <c r="AM356" s="47"/>
      <c r="AN356" s="47"/>
      <c r="AO356" s="47"/>
    </row>
    <row r="357" spans="1:41" s="25" customFormat="1" ht="17">
      <c r="A357" s="46" t="s">
        <v>2968</v>
      </c>
      <c r="B357" s="47">
        <v>2</v>
      </c>
      <c r="C357" s="47" t="s">
        <v>3070</v>
      </c>
      <c r="D357"/>
      <c r="E357"/>
      <c r="F357"/>
      <c r="G357"/>
      <c r="H357"/>
      <c r="I357"/>
      <c r="J357"/>
      <c r="K357"/>
      <c r="L357"/>
      <c r="M357"/>
      <c r="N357"/>
      <c r="O357"/>
      <c r="P357"/>
      <c r="AL357" s="48"/>
      <c r="AM357" s="47"/>
      <c r="AN357" s="47"/>
      <c r="AO357" s="47"/>
    </row>
    <row r="358" spans="1:41" s="25" customFormat="1">
      <c r="A358" s="47" t="s">
        <v>865</v>
      </c>
      <c r="B358" s="47">
        <v>2</v>
      </c>
      <c r="C358" s="47" t="s">
        <v>1117</v>
      </c>
      <c r="D358"/>
      <c r="E358"/>
      <c r="F358"/>
      <c r="G358"/>
      <c r="H358"/>
      <c r="I358"/>
      <c r="J358"/>
      <c r="K358"/>
      <c r="L358"/>
      <c r="M358"/>
      <c r="N358"/>
      <c r="O358"/>
      <c r="P358"/>
      <c r="AL358" s="48"/>
      <c r="AM358" s="47"/>
      <c r="AN358" s="47"/>
      <c r="AO358" s="47"/>
    </row>
    <row r="359" spans="1:41" s="25" customFormat="1">
      <c r="A359" s="32" t="s">
        <v>2789</v>
      </c>
      <c r="B359" s="47">
        <v>2</v>
      </c>
      <c r="C359" s="47" t="s">
        <v>2133</v>
      </c>
      <c r="E359"/>
      <c r="F359"/>
      <c r="G359"/>
      <c r="H359"/>
      <c r="I359"/>
      <c r="J359"/>
      <c r="K359"/>
      <c r="L359"/>
      <c r="M359"/>
      <c r="N359"/>
      <c r="O359"/>
      <c r="P359"/>
      <c r="AL359" s="48"/>
      <c r="AM359" s="47"/>
      <c r="AN359" s="47"/>
      <c r="AO359" s="47"/>
    </row>
    <row r="360" spans="1:41" s="25" customFormat="1">
      <c r="A360" s="50" t="s">
        <v>1928</v>
      </c>
      <c r="B360" s="47">
        <v>2</v>
      </c>
      <c r="C360" s="47" t="s">
        <v>1821</v>
      </c>
      <c r="D360"/>
      <c r="E360"/>
      <c r="F360"/>
      <c r="G360"/>
      <c r="H360"/>
      <c r="I360"/>
      <c r="J360"/>
      <c r="K360"/>
      <c r="L360"/>
      <c r="M360"/>
      <c r="N360"/>
      <c r="O360"/>
      <c r="P360"/>
      <c r="AL360" s="48"/>
      <c r="AM360" s="47"/>
      <c r="AN360" s="47"/>
      <c r="AO360" s="47"/>
    </row>
    <row r="361" spans="1:41" s="25" customFormat="1">
      <c r="A361" s="32" t="s">
        <v>2788</v>
      </c>
      <c r="B361" s="47">
        <v>2</v>
      </c>
      <c r="C361" s="47" t="s">
        <v>2132</v>
      </c>
      <c r="D361"/>
      <c r="E361"/>
      <c r="F361"/>
      <c r="G361"/>
      <c r="H361"/>
      <c r="I361"/>
      <c r="J361"/>
      <c r="K361"/>
      <c r="L361"/>
      <c r="M361"/>
      <c r="N361"/>
      <c r="O361"/>
      <c r="P361"/>
      <c r="AL361" s="48"/>
      <c r="AM361" s="47"/>
      <c r="AN361" s="47"/>
      <c r="AO361" s="47"/>
    </row>
    <row r="362" spans="1:41" s="25" customFormat="1">
      <c r="A362" s="32" t="s">
        <v>2765</v>
      </c>
      <c r="B362" s="47">
        <v>2</v>
      </c>
      <c r="C362" s="47" t="s">
        <v>2100</v>
      </c>
      <c r="D362"/>
      <c r="E362"/>
      <c r="F362"/>
      <c r="G362"/>
      <c r="H362"/>
      <c r="I362"/>
      <c r="J362"/>
      <c r="K362"/>
      <c r="L362"/>
      <c r="M362"/>
      <c r="N362"/>
      <c r="O362"/>
      <c r="P362"/>
      <c r="AL362" s="48"/>
      <c r="AM362" s="47"/>
      <c r="AN362" s="47"/>
      <c r="AO362" s="47"/>
    </row>
    <row r="363" spans="1:41">
      <c r="A363" s="32" t="s">
        <v>2779</v>
      </c>
      <c r="B363" s="47">
        <v>2</v>
      </c>
      <c r="C363" s="47" t="s">
        <v>2125</v>
      </c>
      <c r="AL363" s="2"/>
      <c r="AM363" s="1"/>
      <c r="AN363" s="1"/>
      <c r="AO363" s="1"/>
    </row>
    <row r="364" spans="1:41" s="39" customFormat="1" ht="18" customHeight="1">
      <c r="A364" s="32" t="s">
        <v>2794</v>
      </c>
      <c r="B364" s="47">
        <v>2</v>
      </c>
      <c r="C364" s="47" t="s">
        <v>2125</v>
      </c>
      <c r="D364"/>
      <c r="E364"/>
      <c r="F364"/>
      <c r="G364"/>
      <c r="H364"/>
      <c r="I364"/>
      <c r="J364"/>
      <c r="K364"/>
      <c r="L364"/>
      <c r="M364"/>
      <c r="N364"/>
      <c r="O364"/>
      <c r="P364"/>
      <c r="AL364" s="40"/>
      <c r="AM364" s="38"/>
      <c r="AN364" s="38"/>
      <c r="AO364" s="38"/>
    </row>
    <row r="365" spans="1:41" s="39" customFormat="1" ht="17">
      <c r="A365" s="46" t="s">
        <v>2937</v>
      </c>
      <c r="B365" s="47">
        <v>3</v>
      </c>
      <c r="C365" s="47" t="s">
        <v>2938</v>
      </c>
      <c r="D365"/>
      <c r="E365"/>
      <c r="F365"/>
      <c r="G365"/>
      <c r="H365"/>
      <c r="I365"/>
      <c r="J365"/>
      <c r="K365"/>
      <c r="L365"/>
      <c r="M365"/>
      <c r="N365"/>
      <c r="O365"/>
      <c r="P365"/>
      <c r="AL365" s="40"/>
      <c r="AM365" s="38"/>
      <c r="AN365" s="38"/>
      <c r="AO365" s="38"/>
    </row>
    <row r="366" spans="1:41" s="39" customFormat="1" ht="17">
      <c r="A366" s="46" t="s">
        <v>2950</v>
      </c>
      <c r="B366" s="47">
        <v>3</v>
      </c>
      <c r="C366" s="47" t="s">
        <v>2951</v>
      </c>
      <c r="D366"/>
      <c r="E366"/>
      <c r="F366"/>
      <c r="G366"/>
      <c r="H366"/>
      <c r="I366"/>
      <c r="J366"/>
      <c r="K366"/>
      <c r="L366"/>
      <c r="M366"/>
      <c r="N366"/>
      <c r="O366"/>
      <c r="P366"/>
      <c r="AL366" s="40"/>
      <c r="AM366" s="38"/>
      <c r="AN366" s="38"/>
      <c r="AO366" s="38"/>
    </row>
    <row r="367" spans="1:41" s="39" customFormat="1">
      <c r="A367" s="47" t="s">
        <v>963</v>
      </c>
      <c r="B367" s="47">
        <v>1</v>
      </c>
      <c r="C367" s="47" t="s">
        <v>1304</v>
      </c>
      <c r="D367"/>
      <c r="E367"/>
      <c r="F367"/>
      <c r="G367"/>
      <c r="H367"/>
      <c r="I367"/>
      <c r="J367"/>
      <c r="K367"/>
      <c r="L367"/>
      <c r="M367"/>
      <c r="N367"/>
      <c r="O367"/>
      <c r="P367"/>
      <c r="AL367" s="40"/>
      <c r="AM367" s="38"/>
      <c r="AN367" s="38"/>
      <c r="AO367" s="38"/>
    </row>
    <row r="368" spans="1:41" s="39" customFormat="1">
      <c r="A368" s="47" t="s">
        <v>888</v>
      </c>
      <c r="B368" s="47">
        <v>2</v>
      </c>
      <c r="C368" s="47" t="s">
        <v>1130</v>
      </c>
      <c r="D368"/>
      <c r="E368"/>
      <c r="F368"/>
      <c r="G368"/>
      <c r="H368"/>
      <c r="I368"/>
      <c r="J368"/>
      <c r="K368"/>
      <c r="L368"/>
      <c r="M368"/>
      <c r="N368"/>
      <c r="O368"/>
      <c r="P368"/>
      <c r="AL368" s="40"/>
      <c r="AM368" s="38"/>
      <c r="AN368" s="38"/>
      <c r="AO368" s="38"/>
    </row>
    <row r="369" spans="1:16384" s="39" customFormat="1">
      <c r="A369" s="47" t="s">
        <v>573</v>
      </c>
      <c r="B369" s="47">
        <v>1</v>
      </c>
      <c r="C369" s="47" t="s">
        <v>1240</v>
      </c>
      <c r="D369"/>
      <c r="E369"/>
      <c r="F369"/>
      <c r="G369"/>
      <c r="H369"/>
      <c r="I369"/>
      <c r="J369"/>
      <c r="K369"/>
      <c r="L369"/>
      <c r="M369"/>
      <c r="N369"/>
      <c r="O369"/>
      <c r="P369"/>
      <c r="AL369" s="40"/>
      <c r="AM369" s="38"/>
      <c r="AN369" s="38"/>
      <c r="AO369" s="38"/>
    </row>
    <row r="370" spans="1:16384" s="39" customFormat="1">
      <c r="A370" s="32" t="s">
        <v>1933</v>
      </c>
      <c r="B370" s="47">
        <v>2</v>
      </c>
      <c r="C370" s="47" t="s">
        <v>2517</v>
      </c>
      <c r="D370"/>
      <c r="E370"/>
      <c r="F370"/>
      <c r="G370"/>
      <c r="H370"/>
      <c r="I370"/>
      <c r="J370"/>
      <c r="K370"/>
      <c r="L370"/>
      <c r="M370"/>
      <c r="N370"/>
      <c r="O370"/>
      <c r="P370"/>
      <c r="AL370" s="40"/>
      <c r="AM370" s="38"/>
      <c r="AN370" s="38"/>
      <c r="AO370" s="38"/>
    </row>
    <row r="371" spans="1:16384" s="39" customFormat="1">
      <c r="A371" s="47" t="s">
        <v>19</v>
      </c>
      <c r="B371" s="47">
        <v>1</v>
      </c>
      <c r="C371" s="47" t="s">
        <v>269</v>
      </c>
      <c r="D371"/>
      <c r="E371"/>
      <c r="F371"/>
      <c r="G371"/>
      <c r="H371"/>
      <c r="I371"/>
      <c r="J371"/>
      <c r="K371"/>
      <c r="L371"/>
      <c r="M371"/>
      <c r="N371"/>
      <c r="O371"/>
      <c r="P371"/>
      <c r="AL371" s="40"/>
      <c r="AM371" s="38"/>
      <c r="AN371" s="38"/>
      <c r="AO371" s="38"/>
    </row>
    <row r="372" spans="1:16384" s="21" customFormat="1" ht="17">
      <c r="A372" s="46" t="s">
        <v>2955</v>
      </c>
      <c r="B372" s="46">
        <v>1</v>
      </c>
      <c r="C372" s="46" t="s">
        <v>3005</v>
      </c>
      <c r="DW372" s="21" t="s">
        <v>2955</v>
      </c>
      <c r="DX372" s="21" t="s">
        <v>2955</v>
      </c>
      <c r="DY372" s="21" t="s">
        <v>2955</v>
      </c>
      <c r="DZ372" s="21" t="s">
        <v>2955</v>
      </c>
      <c r="EA372" s="21" t="s">
        <v>2955</v>
      </c>
      <c r="EB372" s="21" t="s">
        <v>2955</v>
      </c>
      <c r="EC372" s="21" t="s">
        <v>2955</v>
      </c>
      <c r="ED372" s="21" t="s">
        <v>2955</v>
      </c>
      <c r="EE372" s="21" t="s">
        <v>2955</v>
      </c>
      <c r="EF372" s="21" t="s">
        <v>2955</v>
      </c>
      <c r="EG372" s="21" t="s">
        <v>2955</v>
      </c>
      <c r="EH372" s="21" t="s">
        <v>2955</v>
      </c>
      <c r="EI372" s="21" t="s">
        <v>2955</v>
      </c>
      <c r="EJ372" s="21" t="s">
        <v>2955</v>
      </c>
      <c r="EK372" s="21" t="s">
        <v>2955</v>
      </c>
      <c r="EL372" s="21" t="s">
        <v>2955</v>
      </c>
      <c r="EM372" s="21" t="s">
        <v>2955</v>
      </c>
      <c r="EN372" s="21" t="s">
        <v>2955</v>
      </c>
      <c r="EO372" s="21" t="s">
        <v>2955</v>
      </c>
      <c r="EP372" s="21" t="s">
        <v>2955</v>
      </c>
      <c r="EQ372" s="21" t="s">
        <v>2955</v>
      </c>
      <c r="ER372" s="21" t="s">
        <v>2955</v>
      </c>
      <c r="ES372" s="21" t="s">
        <v>2955</v>
      </c>
      <c r="ET372" s="21" t="s">
        <v>2955</v>
      </c>
      <c r="EU372" s="21" t="s">
        <v>2955</v>
      </c>
      <c r="EV372" s="21" t="s">
        <v>2955</v>
      </c>
      <c r="EW372" s="21" t="s">
        <v>2955</v>
      </c>
      <c r="EX372" s="21" t="s">
        <v>2955</v>
      </c>
      <c r="EY372" s="21" t="s">
        <v>2955</v>
      </c>
      <c r="EZ372" s="21" t="s">
        <v>2955</v>
      </c>
      <c r="FA372" s="21" t="s">
        <v>2955</v>
      </c>
      <c r="FB372" s="21" t="s">
        <v>2955</v>
      </c>
      <c r="FC372" s="21" t="s">
        <v>2955</v>
      </c>
      <c r="FD372" s="21" t="s">
        <v>2955</v>
      </c>
      <c r="FE372" s="21" t="s">
        <v>2955</v>
      </c>
      <c r="FF372" s="21" t="s">
        <v>2955</v>
      </c>
      <c r="FG372" s="21" t="s">
        <v>2955</v>
      </c>
      <c r="FH372" s="21" t="s">
        <v>2955</v>
      </c>
      <c r="FI372" s="21" t="s">
        <v>2955</v>
      </c>
      <c r="FJ372" s="21" t="s">
        <v>2955</v>
      </c>
      <c r="FK372" s="21" t="s">
        <v>2955</v>
      </c>
      <c r="FL372" s="21" t="s">
        <v>2955</v>
      </c>
      <c r="FM372" s="21" t="s">
        <v>2955</v>
      </c>
      <c r="FN372" s="21" t="s">
        <v>2955</v>
      </c>
      <c r="FO372" s="21" t="s">
        <v>2955</v>
      </c>
      <c r="FP372" s="21" t="s">
        <v>2955</v>
      </c>
      <c r="FQ372" s="21" t="s">
        <v>2955</v>
      </c>
      <c r="FR372" s="21" t="s">
        <v>2955</v>
      </c>
      <c r="FS372" s="21" t="s">
        <v>2955</v>
      </c>
      <c r="FT372" s="21" t="s">
        <v>2955</v>
      </c>
      <c r="FU372" s="21" t="s">
        <v>2955</v>
      </c>
      <c r="FV372" s="21" t="s">
        <v>2955</v>
      </c>
      <c r="FW372" s="21" t="s">
        <v>2955</v>
      </c>
      <c r="FX372" s="21" t="s">
        <v>2955</v>
      </c>
      <c r="FY372" s="21" t="s">
        <v>2955</v>
      </c>
      <c r="FZ372" s="21" t="s">
        <v>2955</v>
      </c>
      <c r="GA372" s="21" t="s">
        <v>2955</v>
      </c>
      <c r="GB372" s="21" t="s">
        <v>2955</v>
      </c>
      <c r="GC372" s="21" t="s">
        <v>2955</v>
      </c>
      <c r="GD372" s="21" t="s">
        <v>2955</v>
      </c>
      <c r="GE372" s="21" t="s">
        <v>2955</v>
      </c>
      <c r="GF372" s="21" t="s">
        <v>2955</v>
      </c>
      <c r="GG372" s="21" t="s">
        <v>2955</v>
      </c>
      <c r="GH372" s="21" t="s">
        <v>2955</v>
      </c>
      <c r="GI372" s="21" t="s">
        <v>2955</v>
      </c>
      <c r="GJ372" s="21" t="s">
        <v>2955</v>
      </c>
      <c r="GK372" s="21" t="s">
        <v>2955</v>
      </c>
      <c r="GL372" s="21" t="s">
        <v>2955</v>
      </c>
      <c r="GM372" s="21" t="s">
        <v>2955</v>
      </c>
      <c r="GN372" s="21" t="s">
        <v>2955</v>
      </c>
      <c r="GO372" s="21" t="s">
        <v>2955</v>
      </c>
      <c r="GP372" s="21" t="s">
        <v>2955</v>
      </c>
      <c r="GQ372" s="21" t="s">
        <v>2955</v>
      </c>
      <c r="GR372" s="21" t="s">
        <v>2955</v>
      </c>
      <c r="GS372" s="21" t="s">
        <v>2955</v>
      </c>
      <c r="GT372" s="21" t="s">
        <v>2955</v>
      </c>
      <c r="GU372" s="21" t="s">
        <v>2955</v>
      </c>
      <c r="GV372" s="21" t="s">
        <v>2955</v>
      </c>
      <c r="GW372" s="21" t="s">
        <v>2955</v>
      </c>
      <c r="GX372" s="21" t="s">
        <v>2955</v>
      </c>
      <c r="GY372" s="21" t="s">
        <v>2955</v>
      </c>
      <c r="GZ372" s="21" t="s">
        <v>2955</v>
      </c>
      <c r="HA372" s="21" t="s">
        <v>2955</v>
      </c>
      <c r="HB372" s="21" t="s">
        <v>2955</v>
      </c>
      <c r="HC372" s="21" t="s">
        <v>2955</v>
      </c>
      <c r="HD372" s="21" t="s">
        <v>2955</v>
      </c>
      <c r="HE372" s="21" t="s">
        <v>2955</v>
      </c>
      <c r="HF372" s="21" t="s">
        <v>2955</v>
      </c>
      <c r="HG372" s="21" t="s">
        <v>2955</v>
      </c>
      <c r="HH372" s="21" t="s">
        <v>2955</v>
      </c>
      <c r="HI372" s="21" t="s">
        <v>2955</v>
      </c>
      <c r="HJ372" s="21" t="s">
        <v>2955</v>
      </c>
      <c r="HK372" s="21" t="s">
        <v>2955</v>
      </c>
      <c r="HL372" s="21" t="s">
        <v>2955</v>
      </c>
      <c r="HM372" s="21" t="s">
        <v>2955</v>
      </c>
      <c r="HN372" s="21" t="s">
        <v>2955</v>
      </c>
      <c r="HO372" s="21" t="s">
        <v>2955</v>
      </c>
      <c r="HP372" s="21" t="s">
        <v>2955</v>
      </c>
      <c r="HQ372" s="21" t="s">
        <v>2955</v>
      </c>
      <c r="HR372" s="21" t="s">
        <v>2955</v>
      </c>
      <c r="HS372" s="21" t="s">
        <v>2955</v>
      </c>
      <c r="HT372" s="21" t="s">
        <v>2955</v>
      </c>
      <c r="HU372" s="21" t="s">
        <v>2955</v>
      </c>
      <c r="HV372" s="21" t="s">
        <v>2955</v>
      </c>
      <c r="HW372" s="21" t="s">
        <v>2955</v>
      </c>
      <c r="HX372" s="21" t="s">
        <v>2955</v>
      </c>
      <c r="HY372" s="21" t="s">
        <v>2955</v>
      </c>
      <c r="HZ372" s="21" t="s">
        <v>2955</v>
      </c>
      <c r="IA372" s="21" t="s">
        <v>2955</v>
      </c>
      <c r="IB372" s="21" t="s">
        <v>2955</v>
      </c>
      <c r="IC372" s="21" t="s">
        <v>2955</v>
      </c>
      <c r="ID372" s="21" t="s">
        <v>2955</v>
      </c>
      <c r="IE372" s="21" t="s">
        <v>2955</v>
      </c>
      <c r="IF372" s="21" t="s">
        <v>2955</v>
      </c>
      <c r="IG372" s="21" t="s">
        <v>2955</v>
      </c>
      <c r="IH372" s="21" t="s">
        <v>2955</v>
      </c>
      <c r="II372" s="21" t="s">
        <v>2955</v>
      </c>
      <c r="IJ372" s="21" t="s">
        <v>2955</v>
      </c>
      <c r="IK372" s="21" t="s">
        <v>2955</v>
      </c>
      <c r="IL372" s="21" t="s">
        <v>2955</v>
      </c>
      <c r="IM372" s="21" t="s">
        <v>2955</v>
      </c>
      <c r="IN372" s="21" t="s">
        <v>2955</v>
      </c>
      <c r="IO372" s="21" t="s">
        <v>2955</v>
      </c>
      <c r="IP372" s="21" t="s">
        <v>2955</v>
      </c>
      <c r="IQ372" s="21" t="s">
        <v>2955</v>
      </c>
      <c r="IR372" s="21" t="s">
        <v>2955</v>
      </c>
      <c r="IS372" s="21" t="s">
        <v>2955</v>
      </c>
      <c r="IT372" s="21" t="s">
        <v>2955</v>
      </c>
      <c r="IU372" s="21" t="s">
        <v>2955</v>
      </c>
      <c r="IV372" s="21" t="s">
        <v>2955</v>
      </c>
      <c r="IW372" s="21" t="s">
        <v>2955</v>
      </c>
      <c r="IX372" s="21" t="s">
        <v>2955</v>
      </c>
      <c r="IY372" s="21" t="s">
        <v>2955</v>
      </c>
      <c r="IZ372" s="21" t="s">
        <v>2955</v>
      </c>
      <c r="JA372" s="21" t="s">
        <v>2955</v>
      </c>
      <c r="JB372" s="21" t="s">
        <v>2955</v>
      </c>
      <c r="JC372" s="21" t="s">
        <v>2955</v>
      </c>
      <c r="JD372" s="21" t="s">
        <v>2955</v>
      </c>
      <c r="JE372" s="21" t="s">
        <v>2955</v>
      </c>
      <c r="JF372" s="21" t="s">
        <v>2955</v>
      </c>
      <c r="JG372" s="21" t="s">
        <v>2955</v>
      </c>
      <c r="JH372" s="21" t="s">
        <v>2955</v>
      </c>
      <c r="JI372" s="21" t="s">
        <v>2955</v>
      </c>
      <c r="JJ372" s="21" t="s">
        <v>2955</v>
      </c>
      <c r="JK372" s="21" t="s">
        <v>2955</v>
      </c>
      <c r="JL372" s="21" t="s">
        <v>2955</v>
      </c>
      <c r="JM372" s="21" t="s">
        <v>2955</v>
      </c>
      <c r="JN372" s="21" t="s">
        <v>2955</v>
      </c>
      <c r="JO372" s="21" t="s">
        <v>2955</v>
      </c>
      <c r="JP372" s="21" t="s">
        <v>2955</v>
      </c>
      <c r="JQ372" s="21" t="s">
        <v>2955</v>
      </c>
      <c r="JR372" s="21" t="s">
        <v>2955</v>
      </c>
      <c r="JS372" s="21" t="s">
        <v>2955</v>
      </c>
      <c r="JT372" s="21" t="s">
        <v>2955</v>
      </c>
      <c r="JU372" s="21" t="s">
        <v>2955</v>
      </c>
      <c r="JV372" s="21" t="s">
        <v>2955</v>
      </c>
      <c r="JW372" s="21" t="s">
        <v>2955</v>
      </c>
      <c r="JX372" s="21" t="s">
        <v>2955</v>
      </c>
      <c r="JY372" s="21" t="s">
        <v>2955</v>
      </c>
      <c r="JZ372" s="21" t="s">
        <v>2955</v>
      </c>
      <c r="KA372" s="21" t="s">
        <v>2955</v>
      </c>
      <c r="KB372" s="21" t="s">
        <v>2955</v>
      </c>
      <c r="KC372" s="21" t="s">
        <v>2955</v>
      </c>
      <c r="KD372" s="21" t="s">
        <v>2955</v>
      </c>
      <c r="KE372" s="21" t="s">
        <v>2955</v>
      </c>
      <c r="KF372" s="21" t="s">
        <v>2955</v>
      </c>
      <c r="KG372" s="21" t="s">
        <v>2955</v>
      </c>
      <c r="KH372" s="21" t="s">
        <v>2955</v>
      </c>
      <c r="KI372" s="21" t="s">
        <v>2955</v>
      </c>
      <c r="KJ372" s="21" t="s">
        <v>2955</v>
      </c>
      <c r="KK372" s="21" t="s">
        <v>2955</v>
      </c>
      <c r="KL372" s="21" t="s">
        <v>2955</v>
      </c>
      <c r="KM372" s="21" t="s">
        <v>2955</v>
      </c>
      <c r="KN372" s="21" t="s">
        <v>2955</v>
      </c>
      <c r="KO372" s="21" t="s">
        <v>2955</v>
      </c>
      <c r="KP372" s="21" t="s">
        <v>2955</v>
      </c>
      <c r="KQ372" s="21" t="s">
        <v>2955</v>
      </c>
      <c r="KR372" s="21" t="s">
        <v>2955</v>
      </c>
      <c r="KS372" s="21" t="s">
        <v>2955</v>
      </c>
      <c r="KT372" s="21" t="s">
        <v>2955</v>
      </c>
      <c r="KU372" s="21" t="s">
        <v>2955</v>
      </c>
      <c r="KV372" s="21" t="s">
        <v>2955</v>
      </c>
      <c r="KW372" s="21" t="s">
        <v>2955</v>
      </c>
      <c r="KX372" s="21" t="s">
        <v>2955</v>
      </c>
      <c r="KY372" s="21" t="s">
        <v>2955</v>
      </c>
      <c r="KZ372" s="21" t="s">
        <v>2955</v>
      </c>
      <c r="LA372" s="21" t="s">
        <v>2955</v>
      </c>
      <c r="LB372" s="21" t="s">
        <v>2955</v>
      </c>
      <c r="LC372" s="21" t="s">
        <v>2955</v>
      </c>
      <c r="LD372" s="21" t="s">
        <v>2955</v>
      </c>
      <c r="LE372" s="21" t="s">
        <v>2955</v>
      </c>
      <c r="LF372" s="21" t="s">
        <v>2955</v>
      </c>
      <c r="LG372" s="21" t="s">
        <v>2955</v>
      </c>
      <c r="LH372" s="21" t="s">
        <v>2955</v>
      </c>
      <c r="LI372" s="21" t="s">
        <v>2955</v>
      </c>
      <c r="LJ372" s="21" t="s">
        <v>2955</v>
      </c>
      <c r="LK372" s="21" t="s">
        <v>2955</v>
      </c>
      <c r="LL372" s="21" t="s">
        <v>2955</v>
      </c>
      <c r="LM372" s="21" t="s">
        <v>2955</v>
      </c>
      <c r="LN372" s="21" t="s">
        <v>2955</v>
      </c>
      <c r="LO372" s="21" t="s">
        <v>2955</v>
      </c>
      <c r="LP372" s="21" t="s">
        <v>2955</v>
      </c>
      <c r="LQ372" s="21" t="s">
        <v>2955</v>
      </c>
      <c r="LR372" s="21" t="s">
        <v>2955</v>
      </c>
      <c r="LS372" s="21" t="s">
        <v>2955</v>
      </c>
      <c r="LT372" s="21" t="s">
        <v>2955</v>
      </c>
      <c r="LU372" s="21" t="s">
        <v>2955</v>
      </c>
      <c r="LV372" s="21" t="s">
        <v>2955</v>
      </c>
      <c r="LW372" s="21" t="s">
        <v>2955</v>
      </c>
      <c r="LX372" s="21" t="s">
        <v>2955</v>
      </c>
      <c r="LY372" s="21" t="s">
        <v>2955</v>
      </c>
      <c r="LZ372" s="21" t="s">
        <v>2955</v>
      </c>
      <c r="MA372" s="21" t="s">
        <v>2955</v>
      </c>
      <c r="MB372" s="21" t="s">
        <v>2955</v>
      </c>
      <c r="MC372" s="21" t="s">
        <v>2955</v>
      </c>
      <c r="MD372" s="21" t="s">
        <v>2955</v>
      </c>
      <c r="ME372" s="21" t="s">
        <v>2955</v>
      </c>
      <c r="MF372" s="21" t="s">
        <v>2955</v>
      </c>
      <c r="MG372" s="21" t="s">
        <v>2955</v>
      </c>
      <c r="MH372" s="21" t="s">
        <v>2955</v>
      </c>
      <c r="MI372" s="21" t="s">
        <v>2955</v>
      </c>
      <c r="MJ372" s="21" t="s">
        <v>2955</v>
      </c>
      <c r="MK372" s="21" t="s">
        <v>2955</v>
      </c>
      <c r="ML372" s="21" t="s">
        <v>2955</v>
      </c>
      <c r="MM372" s="21" t="s">
        <v>2955</v>
      </c>
      <c r="MN372" s="21" t="s">
        <v>2955</v>
      </c>
      <c r="MO372" s="21" t="s">
        <v>2955</v>
      </c>
      <c r="MP372" s="21" t="s">
        <v>2955</v>
      </c>
      <c r="MQ372" s="21" t="s">
        <v>2955</v>
      </c>
      <c r="MR372" s="21" t="s">
        <v>2955</v>
      </c>
      <c r="MS372" s="21" t="s">
        <v>2955</v>
      </c>
      <c r="MT372" s="21" t="s">
        <v>2955</v>
      </c>
      <c r="MU372" s="21" t="s">
        <v>2955</v>
      </c>
      <c r="MV372" s="21" t="s">
        <v>2955</v>
      </c>
      <c r="MW372" s="21" t="s">
        <v>2955</v>
      </c>
      <c r="MX372" s="21" t="s">
        <v>2955</v>
      </c>
      <c r="MY372" s="21" t="s">
        <v>2955</v>
      </c>
      <c r="MZ372" s="21" t="s">
        <v>2955</v>
      </c>
      <c r="NA372" s="21" t="s">
        <v>2955</v>
      </c>
      <c r="NB372" s="21" t="s">
        <v>2955</v>
      </c>
      <c r="NC372" s="21" t="s">
        <v>2955</v>
      </c>
      <c r="ND372" s="21" t="s">
        <v>2955</v>
      </c>
      <c r="NE372" s="21" t="s">
        <v>2955</v>
      </c>
      <c r="NF372" s="21" t="s">
        <v>2955</v>
      </c>
      <c r="NG372" s="21" t="s">
        <v>2955</v>
      </c>
      <c r="NH372" s="21" t="s">
        <v>2955</v>
      </c>
      <c r="NI372" s="21" t="s">
        <v>2955</v>
      </c>
      <c r="NJ372" s="21" t="s">
        <v>2955</v>
      </c>
      <c r="NK372" s="21" t="s">
        <v>2955</v>
      </c>
      <c r="NL372" s="21" t="s">
        <v>2955</v>
      </c>
      <c r="NM372" s="21" t="s">
        <v>2955</v>
      </c>
      <c r="NN372" s="21" t="s">
        <v>2955</v>
      </c>
      <c r="NO372" s="21" t="s">
        <v>2955</v>
      </c>
      <c r="NP372" s="21" t="s">
        <v>2955</v>
      </c>
      <c r="NQ372" s="21" t="s">
        <v>2955</v>
      </c>
      <c r="NR372" s="21" t="s">
        <v>2955</v>
      </c>
      <c r="NS372" s="21" t="s">
        <v>2955</v>
      </c>
      <c r="NT372" s="21" t="s">
        <v>2955</v>
      </c>
      <c r="NU372" s="21" t="s">
        <v>2955</v>
      </c>
      <c r="NV372" s="21" t="s">
        <v>2955</v>
      </c>
      <c r="NW372" s="21" t="s">
        <v>2955</v>
      </c>
      <c r="NX372" s="21" t="s">
        <v>2955</v>
      </c>
      <c r="NY372" s="21" t="s">
        <v>2955</v>
      </c>
      <c r="NZ372" s="21" t="s">
        <v>2955</v>
      </c>
      <c r="OA372" s="21" t="s">
        <v>2955</v>
      </c>
      <c r="OB372" s="21" t="s">
        <v>2955</v>
      </c>
      <c r="OC372" s="21" t="s">
        <v>2955</v>
      </c>
      <c r="OD372" s="21" t="s">
        <v>2955</v>
      </c>
      <c r="OE372" s="21" t="s">
        <v>2955</v>
      </c>
      <c r="OF372" s="21" t="s">
        <v>2955</v>
      </c>
      <c r="OG372" s="21" t="s">
        <v>2955</v>
      </c>
      <c r="OH372" s="21" t="s">
        <v>2955</v>
      </c>
      <c r="OI372" s="21" t="s">
        <v>2955</v>
      </c>
      <c r="OJ372" s="21" t="s">
        <v>2955</v>
      </c>
      <c r="OK372" s="21" t="s">
        <v>2955</v>
      </c>
      <c r="OL372" s="21" t="s">
        <v>2955</v>
      </c>
      <c r="OM372" s="21" t="s">
        <v>2955</v>
      </c>
      <c r="ON372" s="21" t="s">
        <v>2955</v>
      </c>
      <c r="OO372" s="21" t="s">
        <v>2955</v>
      </c>
      <c r="OP372" s="21" t="s">
        <v>2955</v>
      </c>
      <c r="OQ372" s="21" t="s">
        <v>2955</v>
      </c>
      <c r="OR372" s="21" t="s">
        <v>2955</v>
      </c>
      <c r="OS372" s="21" t="s">
        <v>2955</v>
      </c>
      <c r="OT372" s="21" t="s">
        <v>2955</v>
      </c>
      <c r="OU372" s="21" t="s">
        <v>2955</v>
      </c>
      <c r="OV372" s="21" t="s">
        <v>2955</v>
      </c>
      <c r="OW372" s="21" t="s">
        <v>2955</v>
      </c>
      <c r="OX372" s="21" t="s">
        <v>2955</v>
      </c>
      <c r="OY372" s="21" t="s">
        <v>2955</v>
      </c>
      <c r="OZ372" s="21" t="s">
        <v>2955</v>
      </c>
      <c r="PA372" s="21" t="s">
        <v>2955</v>
      </c>
      <c r="PB372" s="21" t="s">
        <v>2955</v>
      </c>
      <c r="PC372" s="21" t="s">
        <v>2955</v>
      </c>
      <c r="PD372" s="21" t="s">
        <v>2955</v>
      </c>
      <c r="PE372" s="21" t="s">
        <v>2955</v>
      </c>
      <c r="PF372" s="21" t="s">
        <v>2955</v>
      </c>
      <c r="PG372" s="21" t="s">
        <v>2955</v>
      </c>
      <c r="PH372" s="21" t="s">
        <v>2955</v>
      </c>
      <c r="PI372" s="21" t="s">
        <v>2955</v>
      </c>
      <c r="PJ372" s="21" t="s">
        <v>2955</v>
      </c>
      <c r="PK372" s="21" t="s">
        <v>2955</v>
      </c>
      <c r="PL372" s="21" t="s">
        <v>2955</v>
      </c>
      <c r="PM372" s="21" t="s">
        <v>2955</v>
      </c>
      <c r="PN372" s="21" t="s">
        <v>2955</v>
      </c>
      <c r="PO372" s="21" t="s">
        <v>2955</v>
      </c>
      <c r="PP372" s="21" t="s">
        <v>2955</v>
      </c>
      <c r="PQ372" s="21" t="s">
        <v>2955</v>
      </c>
      <c r="PR372" s="21" t="s">
        <v>2955</v>
      </c>
      <c r="PS372" s="21" t="s">
        <v>2955</v>
      </c>
      <c r="PT372" s="21" t="s">
        <v>2955</v>
      </c>
      <c r="PU372" s="21" t="s">
        <v>2955</v>
      </c>
      <c r="PV372" s="21" t="s">
        <v>2955</v>
      </c>
      <c r="PW372" s="21" t="s">
        <v>2955</v>
      </c>
      <c r="PX372" s="21" t="s">
        <v>2955</v>
      </c>
      <c r="PY372" s="21" t="s">
        <v>2955</v>
      </c>
      <c r="PZ372" s="21" t="s">
        <v>2955</v>
      </c>
      <c r="QA372" s="21" t="s">
        <v>2955</v>
      </c>
      <c r="QB372" s="21" t="s">
        <v>2955</v>
      </c>
      <c r="QC372" s="21" t="s">
        <v>2955</v>
      </c>
      <c r="QD372" s="21" t="s">
        <v>2955</v>
      </c>
      <c r="QE372" s="21" t="s">
        <v>2955</v>
      </c>
      <c r="QF372" s="21" t="s">
        <v>2955</v>
      </c>
      <c r="QG372" s="21" t="s">
        <v>2955</v>
      </c>
      <c r="QH372" s="21" t="s">
        <v>2955</v>
      </c>
      <c r="QI372" s="21" t="s">
        <v>2955</v>
      </c>
      <c r="QJ372" s="21" t="s">
        <v>2955</v>
      </c>
      <c r="QK372" s="21" t="s">
        <v>2955</v>
      </c>
      <c r="QL372" s="21" t="s">
        <v>2955</v>
      </c>
      <c r="QM372" s="21" t="s">
        <v>2955</v>
      </c>
      <c r="QN372" s="21" t="s">
        <v>2955</v>
      </c>
      <c r="QO372" s="21" t="s">
        <v>2955</v>
      </c>
      <c r="QP372" s="21" t="s">
        <v>2955</v>
      </c>
      <c r="QQ372" s="21" t="s">
        <v>2955</v>
      </c>
      <c r="QR372" s="21" t="s">
        <v>2955</v>
      </c>
      <c r="QS372" s="21" t="s">
        <v>2955</v>
      </c>
      <c r="QT372" s="21" t="s">
        <v>2955</v>
      </c>
      <c r="QU372" s="21" t="s">
        <v>2955</v>
      </c>
      <c r="QV372" s="21" t="s">
        <v>2955</v>
      </c>
      <c r="QW372" s="21" t="s">
        <v>2955</v>
      </c>
      <c r="QX372" s="21" t="s">
        <v>2955</v>
      </c>
      <c r="QY372" s="21" t="s">
        <v>2955</v>
      </c>
      <c r="QZ372" s="21" t="s">
        <v>2955</v>
      </c>
      <c r="RA372" s="21" t="s">
        <v>2955</v>
      </c>
      <c r="RB372" s="21" t="s">
        <v>2955</v>
      </c>
      <c r="RC372" s="21" t="s">
        <v>2955</v>
      </c>
      <c r="RD372" s="21" t="s">
        <v>2955</v>
      </c>
      <c r="RE372" s="21" t="s">
        <v>2955</v>
      </c>
      <c r="RF372" s="21" t="s">
        <v>2955</v>
      </c>
      <c r="RG372" s="21" t="s">
        <v>2955</v>
      </c>
      <c r="RH372" s="21" t="s">
        <v>2955</v>
      </c>
      <c r="RI372" s="21" t="s">
        <v>2955</v>
      </c>
      <c r="RJ372" s="21" t="s">
        <v>2955</v>
      </c>
      <c r="RK372" s="21" t="s">
        <v>2955</v>
      </c>
      <c r="RL372" s="21" t="s">
        <v>2955</v>
      </c>
      <c r="RM372" s="21" t="s">
        <v>2955</v>
      </c>
      <c r="RN372" s="21" t="s">
        <v>2955</v>
      </c>
      <c r="RO372" s="21" t="s">
        <v>2955</v>
      </c>
      <c r="RP372" s="21" t="s">
        <v>2955</v>
      </c>
      <c r="RQ372" s="21" t="s">
        <v>2955</v>
      </c>
      <c r="RR372" s="21" t="s">
        <v>2955</v>
      </c>
      <c r="RS372" s="21" t="s">
        <v>2955</v>
      </c>
      <c r="RT372" s="21" t="s">
        <v>2955</v>
      </c>
      <c r="RU372" s="21" t="s">
        <v>2955</v>
      </c>
      <c r="RV372" s="21" t="s">
        <v>2955</v>
      </c>
      <c r="RW372" s="21" t="s">
        <v>2955</v>
      </c>
      <c r="RX372" s="21" t="s">
        <v>2955</v>
      </c>
      <c r="RY372" s="21" t="s">
        <v>2955</v>
      </c>
      <c r="RZ372" s="21" t="s">
        <v>2955</v>
      </c>
      <c r="SA372" s="21" t="s">
        <v>2955</v>
      </c>
      <c r="SB372" s="21" t="s">
        <v>2955</v>
      </c>
      <c r="SC372" s="21" t="s">
        <v>2955</v>
      </c>
      <c r="SD372" s="21" t="s">
        <v>2955</v>
      </c>
      <c r="SE372" s="21" t="s">
        <v>2955</v>
      </c>
      <c r="SF372" s="21" t="s">
        <v>2955</v>
      </c>
      <c r="SG372" s="21" t="s">
        <v>2955</v>
      </c>
      <c r="SH372" s="21" t="s">
        <v>2955</v>
      </c>
      <c r="SI372" s="21" t="s">
        <v>2955</v>
      </c>
      <c r="SJ372" s="21" t="s">
        <v>2955</v>
      </c>
      <c r="SK372" s="21" t="s">
        <v>2955</v>
      </c>
      <c r="SL372" s="21" t="s">
        <v>2955</v>
      </c>
      <c r="SM372" s="21" t="s">
        <v>2955</v>
      </c>
      <c r="SN372" s="21" t="s">
        <v>2955</v>
      </c>
      <c r="SO372" s="21" t="s">
        <v>2955</v>
      </c>
      <c r="SP372" s="21" t="s">
        <v>2955</v>
      </c>
      <c r="SQ372" s="21" t="s">
        <v>2955</v>
      </c>
      <c r="SR372" s="21" t="s">
        <v>2955</v>
      </c>
      <c r="SS372" s="21" t="s">
        <v>2955</v>
      </c>
      <c r="ST372" s="21" t="s">
        <v>2955</v>
      </c>
      <c r="SU372" s="21" t="s">
        <v>2955</v>
      </c>
      <c r="SV372" s="21" t="s">
        <v>2955</v>
      </c>
      <c r="SW372" s="21" t="s">
        <v>2955</v>
      </c>
      <c r="SX372" s="21" t="s">
        <v>2955</v>
      </c>
      <c r="SY372" s="21" t="s">
        <v>2955</v>
      </c>
      <c r="SZ372" s="21" t="s">
        <v>2955</v>
      </c>
      <c r="TA372" s="21" t="s">
        <v>2955</v>
      </c>
      <c r="TB372" s="21" t="s">
        <v>2955</v>
      </c>
      <c r="TC372" s="21" t="s">
        <v>2955</v>
      </c>
      <c r="TD372" s="21" t="s">
        <v>2955</v>
      </c>
      <c r="TE372" s="21" t="s">
        <v>2955</v>
      </c>
      <c r="TF372" s="21" t="s">
        <v>2955</v>
      </c>
      <c r="TG372" s="21" t="s">
        <v>2955</v>
      </c>
      <c r="TH372" s="21" t="s">
        <v>2955</v>
      </c>
      <c r="TI372" s="21" t="s">
        <v>2955</v>
      </c>
      <c r="TJ372" s="21" t="s">
        <v>2955</v>
      </c>
      <c r="TK372" s="21" t="s">
        <v>2955</v>
      </c>
      <c r="TL372" s="21" t="s">
        <v>2955</v>
      </c>
      <c r="TM372" s="21" t="s">
        <v>2955</v>
      </c>
      <c r="TN372" s="21" t="s">
        <v>2955</v>
      </c>
      <c r="TO372" s="21" t="s">
        <v>2955</v>
      </c>
      <c r="TP372" s="21" t="s">
        <v>2955</v>
      </c>
      <c r="TQ372" s="21" t="s">
        <v>2955</v>
      </c>
      <c r="TR372" s="21" t="s">
        <v>2955</v>
      </c>
      <c r="TS372" s="21" t="s">
        <v>2955</v>
      </c>
      <c r="TT372" s="21" t="s">
        <v>2955</v>
      </c>
      <c r="TU372" s="21" t="s">
        <v>2955</v>
      </c>
      <c r="TV372" s="21" t="s">
        <v>2955</v>
      </c>
      <c r="TW372" s="21" t="s">
        <v>2955</v>
      </c>
      <c r="TX372" s="21" t="s">
        <v>2955</v>
      </c>
      <c r="TY372" s="21" t="s">
        <v>2955</v>
      </c>
      <c r="TZ372" s="21" t="s">
        <v>2955</v>
      </c>
      <c r="UA372" s="21" t="s">
        <v>2955</v>
      </c>
      <c r="UB372" s="21" t="s">
        <v>2955</v>
      </c>
      <c r="UC372" s="21" t="s">
        <v>2955</v>
      </c>
      <c r="UD372" s="21" t="s">
        <v>2955</v>
      </c>
      <c r="UE372" s="21" t="s">
        <v>2955</v>
      </c>
      <c r="UF372" s="21" t="s">
        <v>2955</v>
      </c>
      <c r="UG372" s="21" t="s">
        <v>2955</v>
      </c>
      <c r="UH372" s="21" t="s">
        <v>2955</v>
      </c>
      <c r="UI372" s="21" t="s">
        <v>2955</v>
      </c>
      <c r="UJ372" s="21" t="s">
        <v>2955</v>
      </c>
      <c r="UK372" s="21" t="s">
        <v>2955</v>
      </c>
      <c r="UL372" s="21" t="s">
        <v>2955</v>
      </c>
      <c r="UM372" s="21" t="s">
        <v>2955</v>
      </c>
      <c r="UN372" s="21" t="s">
        <v>2955</v>
      </c>
      <c r="UO372" s="21" t="s">
        <v>2955</v>
      </c>
      <c r="UP372" s="21" t="s">
        <v>2955</v>
      </c>
      <c r="UQ372" s="21" t="s">
        <v>2955</v>
      </c>
      <c r="UR372" s="21" t="s">
        <v>2955</v>
      </c>
      <c r="US372" s="21" t="s">
        <v>2955</v>
      </c>
      <c r="UT372" s="21" t="s">
        <v>2955</v>
      </c>
      <c r="UU372" s="21" t="s">
        <v>2955</v>
      </c>
      <c r="UV372" s="21" t="s">
        <v>2955</v>
      </c>
      <c r="UW372" s="21" t="s">
        <v>2955</v>
      </c>
      <c r="UX372" s="21" t="s">
        <v>2955</v>
      </c>
      <c r="UY372" s="21" t="s">
        <v>2955</v>
      </c>
      <c r="UZ372" s="21" t="s">
        <v>2955</v>
      </c>
      <c r="VA372" s="21" t="s">
        <v>2955</v>
      </c>
      <c r="VB372" s="21" t="s">
        <v>2955</v>
      </c>
      <c r="VC372" s="21" t="s">
        <v>2955</v>
      </c>
      <c r="VD372" s="21" t="s">
        <v>2955</v>
      </c>
      <c r="VE372" s="21" t="s">
        <v>2955</v>
      </c>
      <c r="VF372" s="21" t="s">
        <v>2955</v>
      </c>
      <c r="VG372" s="21" t="s">
        <v>2955</v>
      </c>
      <c r="VH372" s="21" t="s">
        <v>2955</v>
      </c>
      <c r="VI372" s="21" t="s">
        <v>2955</v>
      </c>
      <c r="VJ372" s="21" t="s">
        <v>2955</v>
      </c>
      <c r="VK372" s="21" t="s">
        <v>2955</v>
      </c>
      <c r="VL372" s="21" t="s">
        <v>2955</v>
      </c>
      <c r="VM372" s="21" t="s">
        <v>2955</v>
      </c>
      <c r="VN372" s="21" t="s">
        <v>2955</v>
      </c>
      <c r="VO372" s="21" t="s">
        <v>2955</v>
      </c>
      <c r="VP372" s="21" t="s">
        <v>2955</v>
      </c>
      <c r="VQ372" s="21" t="s">
        <v>2955</v>
      </c>
      <c r="VR372" s="21" t="s">
        <v>2955</v>
      </c>
      <c r="VS372" s="21" t="s">
        <v>2955</v>
      </c>
      <c r="VT372" s="21" t="s">
        <v>2955</v>
      </c>
      <c r="VU372" s="21" t="s">
        <v>2955</v>
      </c>
      <c r="VV372" s="21" t="s">
        <v>2955</v>
      </c>
      <c r="VW372" s="21" t="s">
        <v>2955</v>
      </c>
      <c r="VX372" s="21" t="s">
        <v>2955</v>
      </c>
      <c r="VY372" s="21" t="s">
        <v>2955</v>
      </c>
      <c r="VZ372" s="21" t="s">
        <v>2955</v>
      </c>
      <c r="WA372" s="21" t="s">
        <v>2955</v>
      </c>
      <c r="WB372" s="21" t="s">
        <v>2955</v>
      </c>
      <c r="WC372" s="21" t="s">
        <v>2955</v>
      </c>
      <c r="WD372" s="21" t="s">
        <v>2955</v>
      </c>
      <c r="WE372" s="21" t="s">
        <v>2955</v>
      </c>
      <c r="WF372" s="21" t="s">
        <v>2955</v>
      </c>
      <c r="WG372" s="21" t="s">
        <v>2955</v>
      </c>
      <c r="WH372" s="21" t="s">
        <v>2955</v>
      </c>
      <c r="WI372" s="21" t="s">
        <v>2955</v>
      </c>
      <c r="WJ372" s="21" t="s">
        <v>2955</v>
      </c>
      <c r="WK372" s="21" t="s">
        <v>2955</v>
      </c>
      <c r="WL372" s="21" t="s">
        <v>2955</v>
      </c>
      <c r="WM372" s="21" t="s">
        <v>2955</v>
      </c>
      <c r="WN372" s="21" t="s">
        <v>2955</v>
      </c>
      <c r="WO372" s="21" t="s">
        <v>2955</v>
      </c>
      <c r="WP372" s="21" t="s">
        <v>2955</v>
      </c>
      <c r="WQ372" s="21" t="s">
        <v>2955</v>
      </c>
      <c r="WR372" s="21" t="s">
        <v>2955</v>
      </c>
      <c r="WS372" s="21" t="s">
        <v>2955</v>
      </c>
      <c r="WT372" s="21" t="s">
        <v>2955</v>
      </c>
      <c r="WU372" s="21" t="s">
        <v>2955</v>
      </c>
      <c r="WV372" s="21" t="s">
        <v>2955</v>
      </c>
      <c r="WW372" s="21" t="s">
        <v>2955</v>
      </c>
      <c r="WX372" s="21" t="s">
        <v>2955</v>
      </c>
      <c r="WY372" s="21" t="s">
        <v>2955</v>
      </c>
      <c r="WZ372" s="21" t="s">
        <v>2955</v>
      </c>
      <c r="XA372" s="21" t="s">
        <v>2955</v>
      </c>
      <c r="XB372" s="21" t="s">
        <v>2955</v>
      </c>
      <c r="XC372" s="21" t="s">
        <v>2955</v>
      </c>
      <c r="XD372" s="21" t="s">
        <v>2955</v>
      </c>
      <c r="XE372" s="21" t="s">
        <v>2955</v>
      </c>
      <c r="XF372" s="21" t="s">
        <v>2955</v>
      </c>
      <c r="XG372" s="21" t="s">
        <v>2955</v>
      </c>
      <c r="XH372" s="21" t="s">
        <v>2955</v>
      </c>
      <c r="XI372" s="21" t="s">
        <v>2955</v>
      </c>
      <c r="XJ372" s="21" t="s">
        <v>2955</v>
      </c>
      <c r="XK372" s="21" t="s">
        <v>2955</v>
      </c>
      <c r="XL372" s="21" t="s">
        <v>2955</v>
      </c>
      <c r="XM372" s="21" t="s">
        <v>2955</v>
      </c>
      <c r="XN372" s="21" t="s">
        <v>2955</v>
      </c>
      <c r="XO372" s="21" t="s">
        <v>2955</v>
      </c>
      <c r="XP372" s="21" t="s">
        <v>2955</v>
      </c>
      <c r="XQ372" s="21" t="s">
        <v>2955</v>
      </c>
      <c r="XR372" s="21" t="s">
        <v>2955</v>
      </c>
      <c r="XS372" s="21" t="s">
        <v>2955</v>
      </c>
      <c r="XT372" s="21" t="s">
        <v>2955</v>
      </c>
      <c r="XU372" s="21" t="s">
        <v>2955</v>
      </c>
      <c r="XV372" s="21" t="s">
        <v>2955</v>
      </c>
      <c r="XW372" s="21" t="s">
        <v>2955</v>
      </c>
      <c r="XX372" s="21" t="s">
        <v>2955</v>
      </c>
      <c r="XY372" s="21" t="s">
        <v>2955</v>
      </c>
      <c r="XZ372" s="21" t="s">
        <v>2955</v>
      </c>
      <c r="YA372" s="21" t="s">
        <v>2955</v>
      </c>
      <c r="YB372" s="21" t="s">
        <v>2955</v>
      </c>
      <c r="YC372" s="21" t="s">
        <v>2955</v>
      </c>
      <c r="YD372" s="21" t="s">
        <v>2955</v>
      </c>
      <c r="YE372" s="21" t="s">
        <v>2955</v>
      </c>
      <c r="YF372" s="21" t="s">
        <v>2955</v>
      </c>
      <c r="YG372" s="21" t="s">
        <v>2955</v>
      </c>
      <c r="YH372" s="21" t="s">
        <v>2955</v>
      </c>
      <c r="YI372" s="21" t="s">
        <v>2955</v>
      </c>
      <c r="YJ372" s="21" t="s">
        <v>2955</v>
      </c>
      <c r="YK372" s="21" t="s">
        <v>2955</v>
      </c>
      <c r="YL372" s="21" t="s">
        <v>2955</v>
      </c>
      <c r="YM372" s="21" t="s">
        <v>2955</v>
      </c>
      <c r="YN372" s="21" t="s">
        <v>2955</v>
      </c>
      <c r="YO372" s="21" t="s">
        <v>2955</v>
      </c>
      <c r="YP372" s="21" t="s">
        <v>2955</v>
      </c>
      <c r="YQ372" s="21" t="s">
        <v>2955</v>
      </c>
      <c r="YR372" s="21" t="s">
        <v>2955</v>
      </c>
      <c r="YS372" s="21" t="s">
        <v>2955</v>
      </c>
      <c r="YT372" s="21" t="s">
        <v>2955</v>
      </c>
      <c r="YU372" s="21" t="s">
        <v>2955</v>
      </c>
      <c r="YV372" s="21" t="s">
        <v>2955</v>
      </c>
      <c r="YW372" s="21" t="s">
        <v>2955</v>
      </c>
      <c r="YX372" s="21" t="s">
        <v>2955</v>
      </c>
      <c r="YY372" s="21" t="s">
        <v>2955</v>
      </c>
      <c r="YZ372" s="21" t="s">
        <v>2955</v>
      </c>
      <c r="ZA372" s="21" t="s">
        <v>2955</v>
      </c>
      <c r="ZB372" s="21" t="s">
        <v>2955</v>
      </c>
      <c r="ZC372" s="21" t="s">
        <v>2955</v>
      </c>
      <c r="ZD372" s="21" t="s">
        <v>2955</v>
      </c>
      <c r="ZE372" s="21" t="s">
        <v>2955</v>
      </c>
      <c r="ZF372" s="21" t="s">
        <v>2955</v>
      </c>
      <c r="ZG372" s="21" t="s">
        <v>2955</v>
      </c>
      <c r="ZH372" s="21" t="s">
        <v>2955</v>
      </c>
      <c r="ZI372" s="21" t="s">
        <v>2955</v>
      </c>
      <c r="ZJ372" s="21" t="s">
        <v>2955</v>
      </c>
      <c r="ZK372" s="21" t="s">
        <v>2955</v>
      </c>
      <c r="ZL372" s="21" t="s">
        <v>2955</v>
      </c>
      <c r="ZM372" s="21" t="s">
        <v>2955</v>
      </c>
      <c r="ZN372" s="21" t="s">
        <v>2955</v>
      </c>
      <c r="ZO372" s="21" t="s">
        <v>2955</v>
      </c>
      <c r="ZP372" s="21" t="s">
        <v>2955</v>
      </c>
      <c r="ZQ372" s="21" t="s">
        <v>2955</v>
      </c>
      <c r="ZR372" s="21" t="s">
        <v>2955</v>
      </c>
      <c r="ZS372" s="21" t="s">
        <v>2955</v>
      </c>
      <c r="ZT372" s="21" t="s">
        <v>2955</v>
      </c>
      <c r="ZU372" s="21" t="s">
        <v>2955</v>
      </c>
      <c r="ZV372" s="21" t="s">
        <v>2955</v>
      </c>
      <c r="ZW372" s="21" t="s">
        <v>2955</v>
      </c>
      <c r="ZX372" s="21" t="s">
        <v>2955</v>
      </c>
      <c r="ZY372" s="21" t="s">
        <v>2955</v>
      </c>
      <c r="ZZ372" s="21" t="s">
        <v>2955</v>
      </c>
      <c r="AAA372" s="21" t="s">
        <v>2955</v>
      </c>
      <c r="AAB372" s="21" t="s">
        <v>2955</v>
      </c>
      <c r="AAC372" s="21" t="s">
        <v>2955</v>
      </c>
      <c r="AAD372" s="21" t="s">
        <v>2955</v>
      </c>
      <c r="AAE372" s="21" t="s">
        <v>2955</v>
      </c>
      <c r="AAF372" s="21" t="s">
        <v>2955</v>
      </c>
      <c r="AAG372" s="21" t="s">
        <v>2955</v>
      </c>
      <c r="AAH372" s="21" t="s">
        <v>2955</v>
      </c>
      <c r="AAI372" s="21" t="s">
        <v>2955</v>
      </c>
      <c r="AAJ372" s="21" t="s">
        <v>2955</v>
      </c>
      <c r="AAK372" s="21" t="s">
        <v>2955</v>
      </c>
      <c r="AAL372" s="21" t="s">
        <v>2955</v>
      </c>
      <c r="AAM372" s="21" t="s">
        <v>2955</v>
      </c>
      <c r="AAN372" s="21" t="s">
        <v>2955</v>
      </c>
      <c r="AAO372" s="21" t="s">
        <v>2955</v>
      </c>
      <c r="AAP372" s="21" t="s">
        <v>2955</v>
      </c>
      <c r="AAQ372" s="21" t="s">
        <v>2955</v>
      </c>
      <c r="AAR372" s="21" t="s">
        <v>2955</v>
      </c>
      <c r="AAS372" s="21" t="s">
        <v>2955</v>
      </c>
      <c r="AAT372" s="21" t="s">
        <v>2955</v>
      </c>
      <c r="AAU372" s="21" t="s">
        <v>2955</v>
      </c>
      <c r="AAV372" s="21" t="s">
        <v>2955</v>
      </c>
      <c r="AAW372" s="21" t="s">
        <v>2955</v>
      </c>
      <c r="AAX372" s="21" t="s">
        <v>2955</v>
      </c>
      <c r="AAY372" s="21" t="s">
        <v>2955</v>
      </c>
      <c r="AAZ372" s="21" t="s">
        <v>2955</v>
      </c>
      <c r="ABA372" s="21" t="s">
        <v>2955</v>
      </c>
      <c r="ABB372" s="21" t="s">
        <v>2955</v>
      </c>
      <c r="ABC372" s="21" t="s">
        <v>2955</v>
      </c>
      <c r="ABD372" s="21" t="s">
        <v>2955</v>
      </c>
      <c r="ABE372" s="21" t="s">
        <v>2955</v>
      </c>
      <c r="ABF372" s="21" t="s">
        <v>2955</v>
      </c>
      <c r="ABG372" s="21" t="s">
        <v>2955</v>
      </c>
      <c r="ABH372" s="21" t="s">
        <v>2955</v>
      </c>
      <c r="ABI372" s="21" t="s">
        <v>2955</v>
      </c>
      <c r="ABJ372" s="21" t="s">
        <v>2955</v>
      </c>
      <c r="ABK372" s="21" t="s">
        <v>2955</v>
      </c>
      <c r="ABL372" s="21" t="s">
        <v>2955</v>
      </c>
      <c r="ABM372" s="21" t="s">
        <v>2955</v>
      </c>
      <c r="ABN372" s="21" t="s">
        <v>2955</v>
      </c>
      <c r="ABO372" s="21" t="s">
        <v>2955</v>
      </c>
      <c r="ABP372" s="21" t="s">
        <v>2955</v>
      </c>
      <c r="ABQ372" s="21" t="s">
        <v>2955</v>
      </c>
      <c r="ABR372" s="21" t="s">
        <v>2955</v>
      </c>
      <c r="ABS372" s="21" t="s">
        <v>2955</v>
      </c>
      <c r="ABT372" s="21" t="s">
        <v>2955</v>
      </c>
      <c r="ABU372" s="21" t="s">
        <v>2955</v>
      </c>
      <c r="ABV372" s="21" t="s">
        <v>2955</v>
      </c>
      <c r="ABW372" s="21" t="s">
        <v>2955</v>
      </c>
      <c r="ABX372" s="21" t="s">
        <v>2955</v>
      </c>
      <c r="ABY372" s="21" t="s">
        <v>2955</v>
      </c>
      <c r="ABZ372" s="21" t="s">
        <v>2955</v>
      </c>
      <c r="ACA372" s="21" t="s">
        <v>2955</v>
      </c>
      <c r="ACB372" s="21" t="s">
        <v>2955</v>
      </c>
      <c r="ACC372" s="21" t="s">
        <v>2955</v>
      </c>
      <c r="ACD372" s="21" t="s">
        <v>2955</v>
      </c>
      <c r="ACE372" s="21" t="s">
        <v>2955</v>
      </c>
      <c r="ACF372" s="21" t="s">
        <v>2955</v>
      </c>
      <c r="ACG372" s="21" t="s">
        <v>2955</v>
      </c>
      <c r="ACH372" s="21" t="s">
        <v>2955</v>
      </c>
      <c r="ACI372" s="21" t="s">
        <v>2955</v>
      </c>
      <c r="ACJ372" s="21" t="s">
        <v>2955</v>
      </c>
      <c r="ACK372" s="21" t="s">
        <v>2955</v>
      </c>
      <c r="ACL372" s="21" t="s">
        <v>2955</v>
      </c>
      <c r="ACM372" s="21" t="s">
        <v>2955</v>
      </c>
      <c r="ACN372" s="21" t="s">
        <v>2955</v>
      </c>
      <c r="ACO372" s="21" t="s">
        <v>2955</v>
      </c>
      <c r="ACP372" s="21" t="s">
        <v>2955</v>
      </c>
      <c r="ACQ372" s="21" t="s">
        <v>2955</v>
      </c>
      <c r="ACR372" s="21" t="s">
        <v>2955</v>
      </c>
      <c r="ACS372" s="21" t="s">
        <v>2955</v>
      </c>
      <c r="ACT372" s="21" t="s">
        <v>2955</v>
      </c>
      <c r="ACU372" s="21" t="s">
        <v>2955</v>
      </c>
      <c r="ACV372" s="21" t="s">
        <v>2955</v>
      </c>
      <c r="ACW372" s="21" t="s">
        <v>2955</v>
      </c>
      <c r="ACX372" s="21" t="s">
        <v>2955</v>
      </c>
      <c r="ACY372" s="21" t="s">
        <v>2955</v>
      </c>
      <c r="ACZ372" s="21" t="s">
        <v>2955</v>
      </c>
      <c r="ADA372" s="21" t="s">
        <v>2955</v>
      </c>
      <c r="ADB372" s="21" t="s">
        <v>2955</v>
      </c>
      <c r="ADC372" s="21" t="s">
        <v>2955</v>
      </c>
      <c r="ADD372" s="21" t="s">
        <v>2955</v>
      </c>
      <c r="ADE372" s="21" t="s">
        <v>2955</v>
      </c>
      <c r="ADF372" s="21" t="s">
        <v>2955</v>
      </c>
      <c r="ADG372" s="21" t="s">
        <v>2955</v>
      </c>
      <c r="ADH372" s="21" t="s">
        <v>2955</v>
      </c>
      <c r="ADI372" s="21" t="s">
        <v>2955</v>
      </c>
      <c r="ADJ372" s="21" t="s">
        <v>2955</v>
      </c>
      <c r="ADK372" s="21" t="s">
        <v>2955</v>
      </c>
      <c r="ADL372" s="21" t="s">
        <v>2955</v>
      </c>
      <c r="ADM372" s="21" t="s">
        <v>2955</v>
      </c>
      <c r="ADN372" s="21" t="s">
        <v>2955</v>
      </c>
      <c r="ADO372" s="21" t="s">
        <v>2955</v>
      </c>
      <c r="ADP372" s="21" t="s">
        <v>2955</v>
      </c>
      <c r="ADQ372" s="21" t="s">
        <v>2955</v>
      </c>
      <c r="ADR372" s="21" t="s">
        <v>2955</v>
      </c>
      <c r="ADS372" s="21" t="s">
        <v>2955</v>
      </c>
      <c r="ADT372" s="21" t="s">
        <v>2955</v>
      </c>
      <c r="ADU372" s="21" t="s">
        <v>2955</v>
      </c>
      <c r="ADV372" s="21" t="s">
        <v>2955</v>
      </c>
      <c r="ADW372" s="21" t="s">
        <v>2955</v>
      </c>
      <c r="ADX372" s="21" t="s">
        <v>2955</v>
      </c>
      <c r="ADY372" s="21" t="s">
        <v>2955</v>
      </c>
      <c r="ADZ372" s="21" t="s">
        <v>2955</v>
      </c>
      <c r="AEA372" s="21" t="s">
        <v>2955</v>
      </c>
      <c r="AEB372" s="21" t="s">
        <v>2955</v>
      </c>
      <c r="AEC372" s="21" t="s">
        <v>2955</v>
      </c>
      <c r="AED372" s="21" t="s">
        <v>2955</v>
      </c>
      <c r="AEE372" s="21" t="s">
        <v>2955</v>
      </c>
      <c r="AEF372" s="21" t="s">
        <v>2955</v>
      </c>
      <c r="AEG372" s="21" t="s">
        <v>2955</v>
      </c>
      <c r="AEH372" s="21" t="s">
        <v>2955</v>
      </c>
      <c r="AEI372" s="21" t="s">
        <v>2955</v>
      </c>
      <c r="AEJ372" s="21" t="s">
        <v>2955</v>
      </c>
      <c r="AEK372" s="21" t="s">
        <v>2955</v>
      </c>
      <c r="AEL372" s="21" t="s">
        <v>2955</v>
      </c>
      <c r="AEM372" s="21" t="s">
        <v>2955</v>
      </c>
      <c r="AEN372" s="21" t="s">
        <v>2955</v>
      </c>
      <c r="AEO372" s="21" t="s">
        <v>2955</v>
      </c>
      <c r="AEP372" s="21" t="s">
        <v>2955</v>
      </c>
      <c r="AEQ372" s="21" t="s">
        <v>2955</v>
      </c>
      <c r="AER372" s="21" t="s">
        <v>2955</v>
      </c>
      <c r="AES372" s="21" t="s">
        <v>2955</v>
      </c>
      <c r="AET372" s="21" t="s">
        <v>2955</v>
      </c>
      <c r="AEU372" s="21" t="s">
        <v>2955</v>
      </c>
      <c r="AEV372" s="21" t="s">
        <v>2955</v>
      </c>
      <c r="AEW372" s="21" t="s">
        <v>2955</v>
      </c>
      <c r="AEX372" s="21" t="s">
        <v>2955</v>
      </c>
      <c r="AEY372" s="21" t="s">
        <v>2955</v>
      </c>
      <c r="AEZ372" s="21" t="s">
        <v>2955</v>
      </c>
      <c r="AFA372" s="21" t="s">
        <v>2955</v>
      </c>
      <c r="AFB372" s="21" t="s">
        <v>2955</v>
      </c>
      <c r="AFC372" s="21" t="s">
        <v>2955</v>
      </c>
      <c r="AFD372" s="21" t="s">
        <v>2955</v>
      </c>
      <c r="AFE372" s="21" t="s">
        <v>2955</v>
      </c>
      <c r="AFF372" s="21" t="s">
        <v>2955</v>
      </c>
      <c r="AFG372" s="21" t="s">
        <v>2955</v>
      </c>
      <c r="AFH372" s="21" t="s">
        <v>2955</v>
      </c>
      <c r="AFI372" s="21" t="s">
        <v>2955</v>
      </c>
      <c r="AFJ372" s="21" t="s">
        <v>2955</v>
      </c>
      <c r="AFK372" s="21" t="s">
        <v>2955</v>
      </c>
      <c r="AFL372" s="21" t="s">
        <v>2955</v>
      </c>
      <c r="AFM372" s="21" t="s">
        <v>2955</v>
      </c>
      <c r="AFN372" s="21" t="s">
        <v>2955</v>
      </c>
      <c r="AFO372" s="21" t="s">
        <v>2955</v>
      </c>
      <c r="AFP372" s="21" t="s">
        <v>2955</v>
      </c>
      <c r="AFQ372" s="21" t="s">
        <v>2955</v>
      </c>
      <c r="AFR372" s="21" t="s">
        <v>2955</v>
      </c>
      <c r="AFS372" s="21" t="s">
        <v>2955</v>
      </c>
      <c r="AFT372" s="21" t="s">
        <v>2955</v>
      </c>
      <c r="AFU372" s="21" t="s">
        <v>2955</v>
      </c>
      <c r="AFV372" s="21" t="s">
        <v>2955</v>
      </c>
      <c r="AFW372" s="21" t="s">
        <v>2955</v>
      </c>
      <c r="AFX372" s="21" t="s">
        <v>2955</v>
      </c>
      <c r="AFY372" s="21" t="s">
        <v>2955</v>
      </c>
      <c r="AFZ372" s="21" t="s">
        <v>2955</v>
      </c>
      <c r="AGA372" s="21" t="s">
        <v>2955</v>
      </c>
      <c r="AGB372" s="21" t="s">
        <v>2955</v>
      </c>
      <c r="AGC372" s="21" t="s">
        <v>2955</v>
      </c>
      <c r="AGD372" s="21" t="s">
        <v>2955</v>
      </c>
      <c r="AGE372" s="21" t="s">
        <v>2955</v>
      </c>
      <c r="AGF372" s="21" t="s">
        <v>2955</v>
      </c>
      <c r="AGG372" s="21" t="s">
        <v>2955</v>
      </c>
      <c r="AGH372" s="21" t="s">
        <v>2955</v>
      </c>
      <c r="AGI372" s="21" t="s">
        <v>2955</v>
      </c>
      <c r="AGJ372" s="21" t="s">
        <v>2955</v>
      </c>
      <c r="AGK372" s="21" t="s">
        <v>2955</v>
      </c>
      <c r="AGL372" s="21" t="s">
        <v>2955</v>
      </c>
      <c r="AGM372" s="21" t="s">
        <v>2955</v>
      </c>
      <c r="AGN372" s="21" t="s">
        <v>2955</v>
      </c>
      <c r="AGO372" s="21" t="s">
        <v>2955</v>
      </c>
      <c r="AGP372" s="21" t="s">
        <v>2955</v>
      </c>
      <c r="AGQ372" s="21" t="s">
        <v>2955</v>
      </c>
      <c r="AGR372" s="21" t="s">
        <v>2955</v>
      </c>
      <c r="AGS372" s="21" t="s">
        <v>2955</v>
      </c>
      <c r="AGT372" s="21" t="s">
        <v>2955</v>
      </c>
      <c r="AGU372" s="21" t="s">
        <v>2955</v>
      </c>
      <c r="AGV372" s="21" t="s">
        <v>2955</v>
      </c>
      <c r="AGW372" s="21" t="s">
        <v>2955</v>
      </c>
      <c r="AGX372" s="21" t="s">
        <v>2955</v>
      </c>
      <c r="AGY372" s="21" t="s">
        <v>2955</v>
      </c>
      <c r="AGZ372" s="21" t="s">
        <v>2955</v>
      </c>
      <c r="AHA372" s="21" t="s">
        <v>2955</v>
      </c>
      <c r="AHB372" s="21" t="s">
        <v>2955</v>
      </c>
      <c r="AHC372" s="21" t="s">
        <v>2955</v>
      </c>
      <c r="AHD372" s="21" t="s">
        <v>2955</v>
      </c>
      <c r="AHE372" s="21" t="s">
        <v>2955</v>
      </c>
      <c r="AHF372" s="21" t="s">
        <v>2955</v>
      </c>
      <c r="AHG372" s="21" t="s">
        <v>2955</v>
      </c>
      <c r="AHH372" s="21" t="s">
        <v>2955</v>
      </c>
      <c r="AHI372" s="21" t="s">
        <v>2955</v>
      </c>
      <c r="AHJ372" s="21" t="s">
        <v>2955</v>
      </c>
      <c r="AHK372" s="21" t="s">
        <v>2955</v>
      </c>
      <c r="AHL372" s="21" t="s">
        <v>2955</v>
      </c>
      <c r="AHM372" s="21" t="s">
        <v>2955</v>
      </c>
      <c r="AHN372" s="21" t="s">
        <v>2955</v>
      </c>
      <c r="AHO372" s="21" t="s">
        <v>2955</v>
      </c>
      <c r="AHP372" s="21" t="s">
        <v>2955</v>
      </c>
      <c r="AHQ372" s="21" t="s">
        <v>2955</v>
      </c>
      <c r="AHR372" s="21" t="s">
        <v>2955</v>
      </c>
      <c r="AHS372" s="21" t="s">
        <v>2955</v>
      </c>
      <c r="AHT372" s="21" t="s">
        <v>2955</v>
      </c>
      <c r="AHU372" s="21" t="s">
        <v>2955</v>
      </c>
      <c r="AHV372" s="21" t="s">
        <v>2955</v>
      </c>
      <c r="AHW372" s="21" t="s">
        <v>2955</v>
      </c>
      <c r="AHX372" s="21" t="s">
        <v>2955</v>
      </c>
      <c r="AHY372" s="21" t="s">
        <v>2955</v>
      </c>
      <c r="AHZ372" s="21" t="s">
        <v>2955</v>
      </c>
      <c r="AIA372" s="21" t="s">
        <v>2955</v>
      </c>
      <c r="AIB372" s="21" t="s">
        <v>2955</v>
      </c>
      <c r="AIC372" s="21" t="s">
        <v>2955</v>
      </c>
      <c r="AID372" s="21" t="s">
        <v>2955</v>
      </c>
      <c r="AIE372" s="21" t="s">
        <v>2955</v>
      </c>
      <c r="AIF372" s="21" t="s">
        <v>2955</v>
      </c>
      <c r="AIG372" s="21" t="s">
        <v>2955</v>
      </c>
      <c r="AIH372" s="21" t="s">
        <v>2955</v>
      </c>
      <c r="AII372" s="21" t="s">
        <v>2955</v>
      </c>
      <c r="AIJ372" s="21" t="s">
        <v>2955</v>
      </c>
      <c r="AIK372" s="21" t="s">
        <v>2955</v>
      </c>
      <c r="AIL372" s="21" t="s">
        <v>2955</v>
      </c>
      <c r="AIM372" s="21" t="s">
        <v>2955</v>
      </c>
      <c r="AIN372" s="21" t="s">
        <v>2955</v>
      </c>
      <c r="AIO372" s="21" t="s">
        <v>2955</v>
      </c>
      <c r="AIP372" s="21" t="s">
        <v>2955</v>
      </c>
      <c r="AIQ372" s="21" t="s">
        <v>2955</v>
      </c>
      <c r="AIR372" s="21" t="s">
        <v>2955</v>
      </c>
      <c r="AIS372" s="21" t="s">
        <v>2955</v>
      </c>
      <c r="AIT372" s="21" t="s">
        <v>2955</v>
      </c>
      <c r="AIU372" s="21" t="s">
        <v>2955</v>
      </c>
      <c r="AIV372" s="21" t="s">
        <v>2955</v>
      </c>
      <c r="AIW372" s="21" t="s">
        <v>2955</v>
      </c>
      <c r="AIX372" s="21" t="s">
        <v>2955</v>
      </c>
      <c r="AIY372" s="21" t="s">
        <v>2955</v>
      </c>
      <c r="AIZ372" s="21" t="s">
        <v>2955</v>
      </c>
      <c r="AJA372" s="21" t="s">
        <v>2955</v>
      </c>
      <c r="AJB372" s="21" t="s">
        <v>2955</v>
      </c>
      <c r="AJC372" s="21" t="s">
        <v>2955</v>
      </c>
      <c r="AJD372" s="21" t="s">
        <v>2955</v>
      </c>
      <c r="AJE372" s="21" t="s">
        <v>2955</v>
      </c>
      <c r="AJF372" s="21" t="s">
        <v>2955</v>
      </c>
      <c r="AJG372" s="21" t="s">
        <v>2955</v>
      </c>
      <c r="AJH372" s="21" t="s">
        <v>2955</v>
      </c>
      <c r="AJI372" s="21" t="s">
        <v>2955</v>
      </c>
      <c r="AJJ372" s="21" t="s">
        <v>2955</v>
      </c>
      <c r="AJK372" s="21" t="s">
        <v>2955</v>
      </c>
      <c r="AJL372" s="21" t="s">
        <v>2955</v>
      </c>
      <c r="AJM372" s="21" t="s">
        <v>2955</v>
      </c>
      <c r="AJN372" s="21" t="s">
        <v>2955</v>
      </c>
      <c r="AJO372" s="21" t="s">
        <v>2955</v>
      </c>
      <c r="AJP372" s="21" t="s">
        <v>2955</v>
      </c>
      <c r="AJQ372" s="21" t="s">
        <v>2955</v>
      </c>
      <c r="AJR372" s="21" t="s">
        <v>2955</v>
      </c>
      <c r="AJS372" s="21" t="s">
        <v>2955</v>
      </c>
      <c r="AJT372" s="21" t="s">
        <v>2955</v>
      </c>
      <c r="AJU372" s="21" t="s">
        <v>2955</v>
      </c>
      <c r="AJV372" s="21" t="s">
        <v>2955</v>
      </c>
      <c r="AJW372" s="21" t="s">
        <v>2955</v>
      </c>
      <c r="AJX372" s="21" t="s">
        <v>2955</v>
      </c>
      <c r="AJY372" s="21" t="s">
        <v>2955</v>
      </c>
      <c r="AJZ372" s="21" t="s">
        <v>2955</v>
      </c>
      <c r="AKA372" s="21" t="s">
        <v>2955</v>
      </c>
      <c r="AKB372" s="21" t="s">
        <v>2955</v>
      </c>
      <c r="AKC372" s="21" t="s">
        <v>2955</v>
      </c>
      <c r="AKD372" s="21" t="s">
        <v>2955</v>
      </c>
      <c r="AKE372" s="21" t="s">
        <v>2955</v>
      </c>
      <c r="AKF372" s="21" t="s">
        <v>2955</v>
      </c>
      <c r="AKG372" s="21" t="s">
        <v>2955</v>
      </c>
      <c r="AKH372" s="21" t="s">
        <v>2955</v>
      </c>
      <c r="AKI372" s="21" t="s">
        <v>2955</v>
      </c>
      <c r="AKJ372" s="21" t="s">
        <v>2955</v>
      </c>
      <c r="AKK372" s="21" t="s">
        <v>2955</v>
      </c>
      <c r="AKL372" s="21" t="s">
        <v>2955</v>
      </c>
      <c r="AKM372" s="21" t="s">
        <v>2955</v>
      </c>
      <c r="AKN372" s="21" t="s">
        <v>2955</v>
      </c>
      <c r="AKO372" s="21" t="s">
        <v>2955</v>
      </c>
      <c r="AKP372" s="21" t="s">
        <v>2955</v>
      </c>
      <c r="AKQ372" s="21" t="s">
        <v>2955</v>
      </c>
      <c r="AKR372" s="21" t="s">
        <v>2955</v>
      </c>
      <c r="AKS372" s="21" t="s">
        <v>2955</v>
      </c>
      <c r="AKT372" s="21" t="s">
        <v>2955</v>
      </c>
      <c r="AKU372" s="21" t="s">
        <v>2955</v>
      </c>
      <c r="AKV372" s="21" t="s">
        <v>2955</v>
      </c>
      <c r="AKW372" s="21" t="s">
        <v>2955</v>
      </c>
      <c r="AKX372" s="21" t="s">
        <v>2955</v>
      </c>
      <c r="AKY372" s="21" t="s">
        <v>2955</v>
      </c>
      <c r="AKZ372" s="21" t="s">
        <v>2955</v>
      </c>
      <c r="ALA372" s="21" t="s">
        <v>2955</v>
      </c>
      <c r="ALB372" s="21" t="s">
        <v>2955</v>
      </c>
      <c r="ALC372" s="21" t="s">
        <v>2955</v>
      </c>
      <c r="ALD372" s="21" t="s">
        <v>2955</v>
      </c>
      <c r="ALE372" s="21" t="s">
        <v>2955</v>
      </c>
      <c r="ALF372" s="21" t="s">
        <v>2955</v>
      </c>
      <c r="ALG372" s="21" t="s">
        <v>2955</v>
      </c>
      <c r="ALH372" s="21" t="s">
        <v>2955</v>
      </c>
      <c r="ALI372" s="21" t="s">
        <v>2955</v>
      </c>
      <c r="ALJ372" s="21" t="s">
        <v>2955</v>
      </c>
      <c r="ALK372" s="21" t="s">
        <v>2955</v>
      </c>
      <c r="ALL372" s="21" t="s">
        <v>2955</v>
      </c>
      <c r="ALM372" s="21" t="s">
        <v>2955</v>
      </c>
      <c r="ALN372" s="21" t="s">
        <v>2955</v>
      </c>
      <c r="ALO372" s="21" t="s">
        <v>2955</v>
      </c>
      <c r="ALP372" s="21" t="s">
        <v>2955</v>
      </c>
      <c r="ALQ372" s="21" t="s">
        <v>2955</v>
      </c>
      <c r="ALR372" s="21" t="s">
        <v>2955</v>
      </c>
      <c r="ALS372" s="21" t="s">
        <v>2955</v>
      </c>
      <c r="ALT372" s="21" t="s">
        <v>2955</v>
      </c>
      <c r="ALU372" s="21" t="s">
        <v>2955</v>
      </c>
      <c r="ALV372" s="21" t="s">
        <v>2955</v>
      </c>
      <c r="ALW372" s="21" t="s">
        <v>2955</v>
      </c>
      <c r="ALX372" s="21" t="s">
        <v>2955</v>
      </c>
      <c r="ALY372" s="21" t="s">
        <v>2955</v>
      </c>
      <c r="ALZ372" s="21" t="s">
        <v>2955</v>
      </c>
      <c r="AMA372" s="21" t="s">
        <v>2955</v>
      </c>
      <c r="AMB372" s="21" t="s">
        <v>2955</v>
      </c>
      <c r="AMC372" s="21" t="s">
        <v>2955</v>
      </c>
      <c r="AMD372" s="21" t="s">
        <v>2955</v>
      </c>
      <c r="AME372" s="21" t="s">
        <v>2955</v>
      </c>
      <c r="AMF372" s="21" t="s">
        <v>2955</v>
      </c>
      <c r="AMG372" s="21" t="s">
        <v>2955</v>
      </c>
      <c r="AMH372" s="21" t="s">
        <v>2955</v>
      </c>
      <c r="AMI372" s="21" t="s">
        <v>2955</v>
      </c>
      <c r="AMJ372" s="21" t="s">
        <v>2955</v>
      </c>
      <c r="AMK372" s="21" t="s">
        <v>2955</v>
      </c>
      <c r="AML372" s="21" t="s">
        <v>2955</v>
      </c>
      <c r="AMM372" s="21" t="s">
        <v>2955</v>
      </c>
      <c r="AMN372" s="21" t="s">
        <v>2955</v>
      </c>
      <c r="AMO372" s="21" t="s">
        <v>2955</v>
      </c>
      <c r="AMP372" s="21" t="s">
        <v>2955</v>
      </c>
      <c r="AMQ372" s="21" t="s">
        <v>2955</v>
      </c>
      <c r="AMR372" s="21" t="s">
        <v>2955</v>
      </c>
      <c r="AMS372" s="21" t="s">
        <v>2955</v>
      </c>
      <c r="AMT372" s="21" t="s">
        <v>2955</v>
      </c>
      <c r="AMU372" s="21" t="s">
        <v>2955</v>
      </c>
      <c r="AMV372" s="21" t="s">
        <v>2955</v>
      </c>
      <c r="AMW372" s="21" t="s">
        <v>2955</v>
      </c>
      <c r="AMX372" s="21" t="s">
        <v>2955</v>
      </c>
      <c r="AMY372" s="21" t="s">
        <v>2955</v>
      </c>
      <c r="AMZ372" s="21" t="s">
        <v>2955</v>
      </c>
      <c r="ANA372" s="21" t="s">
        <v>2955</v>
      </c>
      <c r="ANB372" s="21" t="s">
        <v>2955</v>
      </c>
      <c r="ANC372" s="21" t="s">
        <v>2955</v>
      </c>
      <c r="AND372" s="21" t="s">
        <v>2955</v>
      </c>
      <c r="ANE372" s="21" t="s">
        <v>2955</v>
      </c>
      <c r="ANF372" s="21" t="s">
        <v>2955</v>
      </c>
      <c r="ANG372" s="21" t="s">
        <v>2955</v>
      </c>
      <c r="ANH372" s="21" t="s">
        <v>2955</v>
      </c>
      <c r="ANI372" s="21" t="s">
        <v>2955</v>
      </c>
      <c r="ANJ372" s="21" t="s">
        <v>2955</v>
      </c>
      <c r="ANK372" s="21" t="s">
        <v>2955</v>
      </c>
      <c r="ANL372" s="21" t="s">
        <v>2955</v>
      </c>
      <c r="ANM372" s="21" t="s">
        <v>2955</v>
      </c>
      <c r="ANN372" s="21" t="s">
        <v>2955</v>
      </c>
      <c r="ANO372" s="21" t="s">
        <v>2955</v>
      </c>
      <c r="ANP372" s="21" t="s">
        <v>2955</v>
      </c>
      <c r="ANQ372" s="21" t="s">
        <v>2955</v>
      </c>
      <c r="ANR372" s="21" t="s">
        <v>2955</v>
      </c>
      <c r="ANS372" s="21" t="s">
        <v>2955</v>
      </c>
      <c r="ANT372" s="21" t="s">
        <v>2955</v>
      </c>
      <c r="ANU372" s="21" t="s">
        <v>2955</v>
      </c>
      <c r="ANV372" s="21" t="s">
        <v>2955</v>
      </c>
      <c r="ANW372" s="21" t="s">
        <v>2955</v>
      </c>
      <c r="ANX372" s="21" t="s">
        <v>2955</v>
      </c>
      <c r="ANY372" s="21" t="s">
        <v>2955</v>
      </c>
      <c r="ANZ372" s="21" t="s">
        <v>2955</v>
      </c>
      <c r="AOA372" s="21" t="s">
        <v>2955</v>
      </c>
      <c r="AOB372" s="21" t="s">
        <v>2955</v>
      </c>
      <c r="AOC372" s="21" t="s">
        <v>2955</v>
      </c>
      <c r="AOD372" s="21" t="s">
        <v>2955</v>
      </c>
      <c r="AOE372" s="21" t="s">
        <v>2955</v>
      </c>
      <c r="AOF372" s="21" t="s">
        <v>2955</v>
      </c>
      <c r="AOG372" s="21" t="s">
        <v>2955</v>
      </c>
      <c r="AOH372" s="21" t="s">
        <v>2955</v>
      </c>
      <c r="AOI372" s="21" t="s">
        <v>2955</v>
      </c>
      <c r="AOJ372" s="21" t="s">
        <v>2955</v>
      </c>
      <c r="AOK372" s="21" t="s">
        <v>2955</v>
      </c>
      <c r="AOL372" s="21" t="s">
        <v>2955</v>
      </c>
      <c r="AOM372" s="21" t="s">
        <v>2955</v>
      </c>
      <c r="AON372" s="21" t="s">
        <v>2955</v>
      </c>
      <c r="AOO372" s="21" t="s">
        <v>2955</v>
      </c>
      <c r="AOP372" s="21" t="s">
        <v>2955</v>
      </c>
      <c r="AOQ372" s="21" t="s">
        <v>2955</v>
      </c>
      <c r="AOR372" s="21" t="s">
        <v>2955</v>
      </c>
      <c r="AOS372" s="21" t="s">
        <v>2955</v>
      </c>
      <c r="AOT372" s="21" t="s">
        <v>2955</v>
      </c>
      <c r="AOU372" s="21" t="s">
        <v>2955</v>
      </c>
      <c r="AOV372" s="21" t="s">
        <v>2955</v>
      </c>
      <c r="AOW372" s="21" t="s">
        <v>2955</v>
      </c>
      <c r="AOX372" s="21" t="s">
        <v>2955</v>
      </c>
      <c r="AOY372" s="21" t="s">
        <v>2955</v>
      </c>
      <c r="AOZ372" s="21" t="s">
        <v>2955</v>
      </c>
      <c r="APA372" s="21" t="s">
        <v>2955</v>
      </c>
      <c r="APB372" s="21" t="s">
        <v>2955</v>
      </c>
      <c r="APC372" s="21" t="s">
        <v>2955</v>
      </c>
      <c r="APD372" s="21" t="s">
        <v>2955</v>
      </c>
      <c r="APE372" s="21" t="s">
        <v>2955</v>
      </c>
      <c r="APF372" s="21" t="s">
        <v>2955</v>
      </c>
      <c r="APG372" s="21" t="s">
        <v>2955</v>
      </c>
      <c r="APH372" s="21" t="s">
        <v>2955</v>
      </c>
      <c r="API372" s="21" t="s">
        <v>2955</v>
      </c>
      <c r="APJ372" s="21" t="s">
        <v>2955</v>
      </c>
      <c r="APK372" s="21" t="s">
        <v>2955</v>
      </c>
      <c r="APL372" s="21" t="s">
        <v>2955</v>
      </c>
      <c r="APM372" s="21" t="s">
        <v>2955</v>
      </c>
      <c r="APN372" s="21" t="s">
        <v>2955</v>
      </c>
      <c r="APO372" s="21" t="s">
        <v>2955</v>
      </c>
      <c r="APP372" s="21" t="s">
        <v>2955</v>
      </c>
      <c r="APQ372" s="21" t="s">
        <v>2955</v>
      </c>
      <c r="APR372" s="21" t="s">
        <v>2955</v>
      </c>
      <c r="APS372" s="21" t="s">
        <v>2955</v>
      </c>
      <c r="APT372" s="21" t="s">
        <v>2955</v>
      </c>
      <c r="APU372" s="21" t="s">
        <v>2955</v>
      </c>
      <c r="APV372" s="21" t="s">
        <v>2955</v>
      </c>
      <c r="APW372" s="21" t="s">
        <v>2955</v>
      </c>
      <c r="APX372" s="21" t="s">
        <v>2955</v>
      </c>
      <c r="APY372" s="21" t="s">
        <v>2955</v>
      </c>
      <c r="APZ372" s="21" t="s">
        <v>2955</v>
      </c>
      <c r="AQA372" s="21" t="s">
        <v>2955</v>
      </c>
      <c r="AQB372" s="21" t="s">
        <v>2955</v>
      </c>
      <c r="AQC372" s="21" t="s">
        <v>2955</v>
      </c>
      <c r="AQD372" s="21" t="s">
        <v>2955</v>
      </c>
      <c r="AQE372" s="21" t="s">
        <v>2955</v>
      </c>
      <c r="AQF372" s="21" t="s">
        <v>2955</v>
      </c>
      <c r="AQG372" s="21" t="s">
        <v>2955</v>
      </c>
      <c r="AQH372" s="21" t="s">
        <v>2955</v>
      </c>
      <c r="AQI372" s="21" t="s">
        <v>2955</v>
      </c>
      <c r="AQJ372" s="21" t="s">
        <v>2955</v>
      </c>
      <c r="AQK372" s="21" t="s">
        <v>2955</v>
      </c>
      <c r="AQL372" s="21" t="s">
        <v>2955</v>
      </c>
      <c r="AQM372" s="21" t="s">
        <v>2955</v>
      </c>
      <c r="AQN372" s="21" t="s">
        <v>2955</v>
      </c>
      <c r="AQO372" s="21" t="s">
        <v>2955</v>
      </c>
      <c r="AQP372" s="21" t="s">
        <v>2955</v>
      </c>
      <c r="AQQ372" s="21" t="s">
        <v>2955</v>
      </c>
      <c r="AQR372" s="21" t="s">
        <v>2955</v>
      </c>
      <c r="AQS372" s="21" t="s">
        <v>2955</v>
      </c>
      <c r="AQT372" s="21" t="s">
        <v>2955</v>
      </c>
      <c r="AQU372" s="21" t="s">
        <v>2955</v>
      </c>
      <c r="AQV372" s="21" t="s">
        <v>2955</v>
      </c>
      <c r="AQW372" s="21" t="s">
        <v>2955</v>
      </c>
      <c r="AQX372" s="21" t="s">
        <v>2955</v>
      </c>
      <c r="AQY372" s="21" t="s">
        <v>2955</v>
      </c>
      <c r="AQZ372" s="21" t="s">
        <v>2955</v>
      </c>
      <c r="ARA372" s="21" t="s">
        <v>2955</v>
      </c>
      <c r="ARB372" s="21" t="s">
        <v>2955</v>
      </c>
      <c r="ARC372" s="21" t="s">
        <v>2955</v>
      </c>
      <c r="ARD372" s="21" t="s">
        <v>2955</v>
      </c>
      <c r="ARE372" s="21" t="s">
        <v>2955</v>
      </c>
      <c r="ARF372" s="21" t="s">
        <v>2955</v>
      </c>
      <c r="ARG372" s="21" t="s">
        <v>2955</v>
      </c>
      <c r="ARH372" s="21" t="s">
        <v>2955</v>
      </c>
      <c r="ARI372" s="21" t="s">
        <v>2955</v>
      </c>
      <c r="ARJ372" s="21" t="s">
        <v>2955</v>
      </c>
      <c r="ARK372" s="21" t="s">
        <v>2955</v>
      </c>
      <c r="ARL372" s="21" t="s">
        <v>2955</v>
      </c>
      <c r="ARM372" s="21" t="s">
        <v>2955</v>
      </c>
      <c r="ARN372" s="21" t="s">
        <v>2955</v>
      </c>
      <c r="ARO372" s="21" t="s">
        <v>2955</v>
      </c>
      <c r="ARP372" s="21" t="s">
        <v>2955</v>
      </c>
      <c r="ARQ372" s="21" t="s">
        <v>2955</v>
      </c>
      <c r="ARR372" s="21" t="s">
        <v>2955</v>
      </c>
      <c r="ARS372" s="21" t="s">
        <v>2955</v>
      </c>
      <c r="ART372" s="21" t="s">
        <v>2955</v>
      </c>
      <c r="ARU372" s="21" t="s">
        <v>2955</v>
      </c>
      <c r="ARV372" s="21" t="s">
        <v>2955</v>
      </c>
      <c r="ARW372" s="21" t="s">
        <v>2955</v>
      </c>
      <c r="ARX372" s="21" t="s">
        <v>2955</v>
      </c>
      <c r="ARY372" s="21" t="s">
        <v>2955</v>
      </c>
      <c r="ARZ372" s="21" t="s">
        <v>2955</v>
      </c>
      <c r="ASA372" s="21" t="s">
        <v>2955</v>
      </c>
      <c r="ASB372" s="21" t="s">
        <v>2955</v>
      </c>
      <c r="ASC372" s="21" t="s">
        <v>2955</v>
      </c>
      <c r="ASD372" s="21" t="s">
        <v>2955</v>
      </c>
      <c r="ASE372" s="21" t="s">
        <v>2955</v>
      </c>
      <c r="ASF372" s="21" t="s">
        <v>2955</v>
      </c>
      <c r="ASG372" s="21" t="s">
        <v>2955</v>
      </c>
      <c r="ASH372" s="21" t="s">
        <v>2955</v>
      </c>
      <c r="ASI372" s="21" t="s">
        <v>2955</v>
      </c>
      <c r="ASJ372" s="21" t="s">
        <v>2955</v>
      </c>
      <c r="ASK372" s="21" t="s">
        <v>2955</v>
      </c>
      <c r="ASL372" s="21" t="s">
        <v>2955</v>
      </c>
      <c r="ASM372" s="21" t="s">
        <v>2955</v>
      </c>
      <c r="ASN372" s="21" t="s">
        <v>2955</v>
      </c>
      <c r="ASO372" s="21" t="s">
        <v>2955</v>
      </c>
      <c r="ASP372" s="21" t="s">
        <v>2955</v>
      </c>
      <c r="ASQ372" s="21" t="s">
        <v>2955</v>
      </c>
      <c r="ASR372" s="21" t="s">
        <v>2955</v>
      </c>
      <c r="ASS372" s="21" t="s">
        <v>2955</v>
      </c>
      <c r="AST372" s="21" t="s">
        <v>2955</v>
      </c>
      <c r="ASU372" s="21" t="s">
        <v>2955</v>
      </c>
      <c r="ASV372" s="21" t="s">
        <v>2955</v>
      </c>
      <c r="ASW372" s="21" t="s">
        <v>2955</v>
      </c>
      <c r="ASX372" s="21" t="s">
        <v>2955</v>
      </c>
      <c r="ASY372" s="21" t="s">
        <v>2955</v>
      </c>
      <c r="ASZ372" s="21" t="s">
        <v>2955</v>
      </c>
      <c r="ATA372" s="21" t="s">
        <v>2955</v>
      </c>
      <c r="ATB372" s="21" t="s">
        <v>2955</v>
      </c>
      <c r="ATC372" s="21" t="s">
        <v>2955</v>
      </c>
      <c r="ATD372" s="21" t="s">
        <v>2955</v>
      </c>
      <c r="ATE372" s="21" t="s">
        <v>2955</v>
      </c>
      <c r="ATF372" s="21" t="s">
        <v>2955</v>
      </c>
      <c r="ATG372" s="21" t="s">
        <v>2955</v>
      </c>
      <c r="ATH372" s="21" t="s">
        <v>2955</v>
      </c>
      <c r="ATI372" s="21" t="s">
        <v>2955</v>
      </c>
      <c r="ATJ372" s="21" t="s">
        <v>2955</v>
      </c>
      <c r="ATK372" s="21" t="s">
        <v>2955</v>
      </c>
      <c r="ATL372" s="21" t="s">
        <v>2955</v>
      </c>
      <c r="ATM372" s="21" t="s">
        <v>2955</v>
      </c>
      <c r="ATN372" s="21" t="s">
        <v>2955</v>
      </c>
      <c r="ATO372" s="21" t="s">
        <v>2955</v>
      </c>
      <c r="ATP372" s="21" t="s">
        <v>2955</v>
      </c>
      <c r="ATQ372" s="21" t="s">
        <v>2955</v>
      </c>
      <c r="ATR372" s="21" t="s">
        <v>2955</v>
      </c>
      <c r="ATS372" s="21" t="s">
        <v>2955</v>
      </c>
      <c r="ATT372" s="21" t="s">
        <v>2955</v>
      </c>
      <c r="ATU372" s="21" t="s">
        <v>2955</v>
      </c>
      <c r="ATV372" s="21" t="s">
        <v>2955</v>
      </c>
      <c r="ATW372" s="21" t="s">
        <v>2955</v>
      </c>
      <c r="ATX372" s="21" t="s">
        <v>2955</v>
      </c>
      <c r="ATY372" s="21" t="s">
        <v>2955</v>
      </c>
      <c r="ATZ372" s="21" t="s">
        <v>2955</v>
      </c>
      <c r="AUA372" s="21" t="s">
        <v>2955</v>
      </c>
      <c r="AUB372" s="21" t="s">
        <v>2955</v>
      </c>
      <c r="AUC372" s="21" t="s">
        <v>2955</v>
      </c>
      <c r="AUD372" s="21" t="s">
        <v>2955</v>
      </c>
      <c r="AUE372" s="21" t="s">
        <v>2955</v>
      </c>
      <c r="AUF372" s="21" t="s">
        <v>2955</v>
      </c>
      <c r="AUG372" s="21" t="s">
        <v>2955</v>
      </c>
      <c r="AUH372" s="21" t="s">
        <v>2955</v>
      </c>
      <c r="AUI372" s="21" t="s">
        <v>2955</v>
      </c>
      <c r="AUJ372" s="21" t="s">
        <v>2955</v>
      </c>
      <c r="AUK372" s="21" t="s">
        <v>2955</v>
      </c>
      <c r="AUL372" s="21" t="s">
        <v>2955</v>
      </c>
      <c r="AUM372" s="21" t="s">
        <v>2955</v>
      </c>
      <c r="AUN372" s="21" t="s">
        <v>2955</v>
      </c>
      <c r="AUO372" s="21" t="s">
        <v>2955</v>
      </c>
      <c r="AUP372" s="21" t="s">
        <v>2955</v>
      </c>
      <c r="AUQ372" s="21" t="s">
        <v>2955</v>
      </c>
      <c r="AUR372" s="21" t="s">
        <v>2955</v>
      </c>
      <c r="AUS372" s="21" t="s">
        <v>2955</v>
      </c>
      <c r="AUT372" s="21" t="s">
        <v>2955</v>
      </c>
      <c r="AUU372" s="21" t="s">
        <v>2955</v>
      </c>
      <c r="AUV372" s="21" t="s">
        <v>2955</v>
      </c>
      <c r="AUW372" s="21" t="s">
        <v>2955</v>
      </c>
      <c r="AUX372" s="21" t="s">
        <v>2955</v>
      </c>
      <c r="AUY372" s="21" t="s">
        <v>2955</v>
      </c>
      <c r="AUZ372" s="21" t="s">
        <v>2955</v>
      </c>
      <c r="AVA372" s="21" t="s">
        <v>2955</v>
      </c>
      <c r="AVB372" s="21" t="s">
        <v>2955</v>
      </c>
      <c r="AVC372" s="21" t="s">
        <v>2955</v>
      </c>
      <c r="AVD372" s="21" t="s">
        <v>2955</v>
      </c>
      <c r="AVE372" s="21" t="s">
        <v>2955</v>
      </c>
      <c r="AVF372" s="21" t="s">
        <v>2955</v>
      </c>
      <c r="AVG372" s="21" t="s">
        <v>2955</v>
      </c>
      <c r="AVH372" s="21" t="s">
        <v>2955</v>
      </c>
      <c r="AVI372" s="21" t="s">
        <v>2955</v>
      </c>
      <c r="AVJ372" s="21" t="s">
        <v>2955</v>
      </c>
      <c r="AVK372" s="21" t="s">
        <v>2955</v>
      </c>
      <c r="AVL372" s="21" t="s">
        <v>2955</v>
      </c>
      <c r="AVM372" s="21" t="s">
        <v>2955</v>
      </c>
      <c r="AVN372" s="21" t="s">
        <v>2955</v>
      </c>
      <c r="AVO372" s="21" t="s">
        <v>2955</v>
      </c>
      <c r="AVP372" s="21" t="s">
        <v>2955</v>
      </c>
      <c r="AVQ372" s="21" t="s">
        <v>2955</v>
      </c>
      <c r="AVR372" s="21" t="s">
        <v>2955</v>
      </c>
      <c r="AVS372" s="21" t="s">
        <v>2955</v>
      </c>
      <c r="AVT372" s="21" t="s">
        <v>2955</v>
      </c>
      <c r="AVU372" s="21" t="s">
        <v>2955</v>
      </c>
      <c r="AVV372" s="21" t="s">
        <v>2955</v>
      </c>
      <c r="AVW372" s="21" t="s">
        <v>2955</v>
      </c>
      <c r="AVX372" s="21" t="s">
        <v>2955</v>
      </c>
      <c r="AVY372" s="21" t="s">
        <v>2955</v>
      </c>
      <c r="AVZ372" s="21" t="s">
        <v>2955</v>
      </c>
      <c r="AWA372" s="21" t="s">
        <v>2955</v>
      </c>
      <c r="AWB372" s="21" t="s">
        <v>2955</v>
      </c>
      <c r="AWC372" s="21" t="s">
        <v>2955</v>
      </c>
      <c r="AWD372" s="21" t="s">
        <v>2955</v>
      </c>
      <c r="AWE372" s="21" t="s">
        <v>2955</v>
      </c>
      <c r="AWF372" s="21" t="s">
        <v>2955</v>
      </c>
      <c r="AWG372" s="21" t="s">
        <v>2955</v>
      </c>
      <c r="AWH372" s="21" t="s">
        <v>2955</v>
      </c>
      <c r="AWI372" s="21" t="s">
        <v>2955</v>
      </c>
      <c r="AWJ372" s="21" t="s">
        <v>2955</v>
      </c>
      <c r="AWK372" s="21" t="s">
        <v>2955</v>
      </c>
      <c r="AWL372" s="21" t="s">
        <v>2955</v>
      </c>
      <c r="AWM372" s="21" t="s">
        <v>2955</v>
      </c>
      <c r="AWN372" s="21" t="s">
        <v>2955</v>
      </c>
      <c r="AWO372" s="21" t="s">
        <v>2955</v>
      </c>
      <c r="AWP372" s="21" t="s">
        <v>2955</v>
      </c>
      <c r="AWQ372" s="21" t="s">
        <v>2955</v>
      </c>
      <c r="AWR372" s="21" t="s">
        <v>2955</v>
      </c>
      <c r="AWS372" s="21" t="s">
        <v>2955</v>
      </c>
      <c r="AWT372" s="21" t="s">
        <v>2955</v>
      </c>
      <c r="AWU372" s="21" t="s">
        <v>2955</v>
      </c>
      <c r="AWV372" s="21" t="s">
        <v>2955</v>
      </c>
      <c r="AWW372" s="21" t="s">
        <v>2955</v>
      </c>
      <c r="AWX372" s="21" t="s">
        <v>2955</v>
      </c>
      <c r="AWY372" s="21" t="s">
        <v>2955</v>
      </c>
      <c r="AWZ372" s="21" t="s">
        <v>2955</v>
      </c>
      <c r="AXA372" s="21" t="s">
        <v>2955</v>
      </c>
      <c r="AXB372" s="21" t="s">
        <v>2955</v>
      </c>
      <c r="AXC372" s="21" t="s">
        <v>2955</v>
      </c>
      <c r="AXD372" s="21" t="s">
        <v>2955</v>
      </c>
      <c r="AXE372" s="21" t="s">
        <v>2955</v>
      </c>
      <c r="AXF372" s="21" t="s">
        <v>2955</v>
      </c>
      <c r="AXG372" s="21" t="s">
        <v>2955</v>
      </c>
      <c r="AXH372" s="21" t="s">
        <v>2955</v>
      </c>
      <c r="AXI372" s="21" t="s">
        <v>2955</v>
      </c>
      <c r="AXJ372" s="21" t="s">
        <v>2955</v>
      </c>
      <c r="AXK372" s="21" t="s">
        <v>2955</v>
      </c>
      <c r="AXL372" s="21" t="s">
        <v>2955</v>
      </c>
      <c r="AXM372" s="21" t="s">
        <v>2955</v>
      </c>
      <c r="AXN372" s="21" t="s">
        <v>2955</v>
      </c>
      <c r="AXO372" s="21" t="s">
        <v>2955</v>
      </c>
      <c r="AXP372" s="21" t="s">
        <v>2955</v>
      </c>
      <c r="AXQ372" s="21" t="s">
        <v>2955</v>
      </c>
      <c r="AXR372" s="21" t="s">
        <v>2955</v>
      </c>
      <c r="AXS372" s="21" t="s">
        <v>2955</v>
      </c>
      <c r="AXT372" s="21" t="s">
        <v>2955</v>
      </c>
      <c r="AXU372" s="21" t="s">
        <v>2955</v>
      </c>
      <c r="AXV372" s="21" t="s">
        <v>2955</v>
      </c>
      <c r="AXW372" s="21" t="s">
        <v>2955</v>
      </c>
      <c r="AXX372" s="21" t="s">
        <v>2955</v>
      </c>
      <c r="AXY372" s="21" t="s">
        <v>2955</v>
      </c>
      <c r="AXZ372" s="21" t="s">
        <v>2955</v>
      </c>
      <c r="AYA372" s="21" t="s">
        <v>2955</v>
      </c>
      <c r="AYB372" s="21" t="s">
        <v>2955</v>
      </c>
      <c r="AYC372" s="21" t="s">
        <v>2955</v>
      </c>
      <c r="AYD372" s="21" t="s">
        <v>2955</v>
      </c>
      <c r="AYE372" s="21" t="s">
        <v>2955</v>
      </c>
      <c r="AYF372" s="21" t="s">
        <v>2955</v>
      </c>
      <c r="AYG372" s="21" t="s">
        <v>2955</v>
      </c>
      <c r="AYH372" s="21" t="s">
        <v>2955</v>
      </c>
      <c r="AYI372" s="21" t="s">
        <v>2955</v>
      </c>
      <c r="AYJ372" s="21" t="s">
        <v>2955</v>
      </c>
      <c r="AYK372" s="21" t="s">
        <v>2955</v>
      </c>
      <c r="AYL372" s="21" t="s">
        <v>2955</v>
      </c>
      <c r="AYM372" s="21" t="s">
        <v>2955</v>
      </c>
      <c r="AYN372" s="21" t="s">
        <v>2955</v>
      </c>
      <c r="AYO372" s="21" t="s">
        <v>2955</v>
      </c>
      <c r="AYP372" s="21" t="s">
        <v>2955</v>
      </c>
      <c r="AYQ372" s="21" t="s">
        <v>2955</v>
      </c>
      <c r="AYR372" s="21" t="s">
        <v>2955</v>
      </c>
      <c r="AYS372" s="21" t="s">
        <v>2955</v>
      </c>
      <c r="AYT372" s="21" t="s">
        <v>2955</v>
      </c>
      <c r="AYU372" s="21" t="s">
        <v>2955</v>
      </c>
      <c r="AYV372" s="21" t="s">
        <v>2955</v>
      </c>
      <c r="AYW372" s="21" t="s">
        <v>2955</v>
      </c>
      <c r="AYX372" s="21" t="s">
        <v>2955</v>
      </c>
      <c r="AYY372" s="21" t="s">
        <v>2955</v>
      </c>
      <c r="AYZ372" s="21" t="s">
        <v>2955</v>
      </c>
      <c r="AZA372" s="21" t="s">
        <v>2955</v>
      </c>
      <c r="AZB372" s="21" t="s">
        <v>2955</v>
      </c>
      <c r="AZC372" s="21" t="s">
        <v>2955</v>
      </c>
      <c r="AZD372" s="21" t="s">
        <v>2955</v>
      </c>
      <c r="AZE372" s="21" t="s">
        <v>2955</v>
      </c>
      <c r="AZF372" s="21" t="s">
        <v>2955</v>
      </c>
      <c r="AZG372" s="21" t="s">
        <v>2955</v>
      </c>
      <c r="AZH372" s="21" t="s">
        <v>2955</v>
      </c>
      <c r="AZI372" s="21" t="s">
        <v>2955</v>
      </c>
      <c r="AZJ372" s="21" t="s">
        <v>2955</v>
      </c>
      <c r="AZK372" s="21" t="s">
        <v>2955</v>
      </c>
      <c r="AZL372" s="21" t="s">
        <v>2955</v>
      </c>
      <c r="AZM372" s="21" t="s">
        <v>2955</v>
      </c>
      <c r="AZN372" s="21" t="s">
        <v>2955</v>
      </c>
      <c r="AZO372" s="21" t="s">
        <v>2955</v>
      </c>
      <c r="AZP372" s="21" t="s">
        <v>2955</v>
      </c>
      <c r="AZQ372" s="21" t="s">
        <v>2955</v>
      </c>
      <c r="AZR372" s="21" t="s">
        <v>2955</v>
      </c>
      <c r="AZS372" s="21" t="s">
        <v>2955</v>
      </c>
      <c r="AZT372" s="21" t="s">
        <v>2955</v>
      </c>
      <c r="AZU372" s="21" t="s">
        <v>2955</v>
      </c>
      <c r="AZV372" s="21" t="s">
        <v>2955</v>
      </c>
      <c r="AZW372" s="21" t="s">
        <v>2955</v>
      </c>
      <c r="AZX372" s="21" t="s">
        <v>2955</v>
      </c>
      <c r="AZY372" s="21" t="s">
        <v>2955</v>
      </c>
      <c r="AZZ372" s="21" t="s">
        <v>2955</v>
      </c>
      <c r="BAA372" s="21" t="s">
        <v>2955</v>
      </c>
      <c r="BAB372" s="21" t="s">
        <v>2955</v>
      </c>
      <c r="BAC372" s="21" t="s">
        <v>2955</v>
      </c>
      <c r="BAD372" s="21" t="s">
        <v>2955</v>
      </c>
      <c r="BAE372" s="21" t="s">
        <v>2955</v>
      </c>
      <c r="BAF372" s="21" t="s">
        <v>2955</v>
      </c>
      <c r="BAG372" s="21" t="s">
        <v>2955</v>
      </c>
      <c r="BAH372" s="21" t="s">
        <v>2955</v>
      </c>
      <c r="BAI372" s="21" t="s">
        <v>2955</v>
      </c>
      <c r="BAJ372" s="21" t="s">
        <v>2955</v>
      </c>
      <c r="BAK372" s="21" t="s">
        <v>2955</v>
      </c>
      <c r="BAL372" s="21" t="s">
        <v>2955</v>
      </c>
      <c r="BAM372" s="21" t="s">
        <v>2955</v>
      </c>
      <c r="BAN372" s="21" t="s">
        <v>2955</v>
      </c>
      <c r="BAO372" s="21" t="s">
        <v>2955</v>
      </c>
      <c r="BAP372" s="21" t="s">
        <v>2955</v>
      </c>
      <c r="BAQ372" s="21" t="s">
        <v>2955</v>
      </c>
      <c r="BAR372" s="21" t="s">
        <v>2955</v>
      </c>
      <c r="BAS372" s="21" t="s">
        <v>2955</v>
      </c>
      <c r="BAT372" s="21" t="s">
        <v>2955</v>
      </c>
      <c r="BAU372" s="21" t="s">
        <v>2955</v>
      </c>
      <c r="BAV372" s="21" t="s">
        <v>2955</v>
      </c>
      <c r="BAW372" s="21" t="s">
        <v>2955</v>
      </c>
      <c r="BAX372" s="21" t="s">
        <v>2955</v>
      </c>
      <c r="BAY372" s="21" t="s">
        <v>2955</v>
      </c>
      <c r="BAZ372" s="21" t="s">
        <v>2955</v>
      </c>
      <c r="BBA372" s="21" t="s">
        <v>2955</v>
      </c>
      <c r="BBB372" s="21" t="s">
        <v>2955</v>
      </c>
      <c r="BBC372" s="21" t="s">
        <v>2955</v>
      </c>
      <c r="BBD372" s="21" t="s">
        <v>2955</v>
      </c>
      <c r="BBE372" s="21" t="s">
        <v>2955</v>
      </c>
      <c r="BBF372" s="21" t="s">
        <v>2955</v>
      </c>
      <c r="BBG372" s="21" t="s">
        <v>2955</v>
      </c>
      <c r="BBH372" s="21" t="s">
        <v>2955</v>
      </c>
      <c r="BBI372" s="21" t="s">
        <v>2955</v>
      </c>
      <c r="BBJ372" s="21" t="s">
        <v>2955</v>
      </c>
      <c r="BBK372" s="21" t="s">
        <v>2955</v>
      </c>
      <c r="BBL372" s="21" t="s">
        <v>2955</v>
      </c>
      <c r="BBM372" s="21" t="s">
        <v>2955</v>
      </c>
      <c r="BBN372" s="21" t="s">
        <v>2955</v>
      </c>
      <c r="BBO372" s="21" t="s">
        <v>2955</v>
      </c>
      <c r="BBP372" s="21" t="s">
        <v>2955</v>
      </c>
      <c r="BBQ372" s="21" t="s">
        <v>2955</v>
      </c>
      <c r="BBR372" s="21" t="s">
        <v>2955</v>
      </c>
      <c r="BBS372" s="21" t="s">
        <v>2955</v>
      </c>
      <c r="BBT372" s="21" t="s">
        <v>2955</v>
      </c>
      <c r="BBU372" s="21" t="s">
        <v>2955</v>
      </c>
      <c r="BBV372" s="21" t="s">
        <v>2955</v>
      </c>
      <c r="BBW372" s="21" t="s">
        <v>2955</v>
      </c>
      <c r="BBX372" s="21" t="s">
        <v>2955</v>
      </c>
      <c r="BBY372" s="21" t="s">
        <v>2955</v>
      </c>
      <c r="BBZ372" s="21" t="s">
        <v>2955</v>
      </c>
      <c r="BCA372" s="21" t="s">
        <v>2955</v>
      </c>
      <c r="BCB372" s="21" t="s">
        <v>2955</v>
      </c>
      <c r="BCC372" s="21" t="s">
        <v>2955</v>
      </c>
      <c r="BCD372" s="21" t="s">
        <v>2955</v>
      </c>
      <c r="BCE372" s="21" t="s">
        <v>2955</v>
      </c>
      <c r="BCF372" s="21" t="s">
        <v>2955</v>
      </c>
      <c r="BCG372" s="21" t="s">
        <v>2955</v>
      </c>
      <c r="BCH372" s="21" t="s">
        <v>2955</v>
      </c>
      <c r="BCI372" s="21" t="s">
        <v>2955</v>
      </c>
      <c r="BCJ372" s="21" t="s">
        <v>2955</v>
      </c>
      <c r="BCK372" s="21" t="s">
        <v>2955</v>
      </c>
      <c r="BCL372" s="21" t="s">
        <v>2955</v>
      </c>
      <c r="BCM372" s="21" t="s">
        <v>2955</v>
      </c>
      <c r="BCN372" s="21" t="s">
        <v>2955</v>
      </c>
      <c r="BCO372" s="21" t="s">
        <v>2955</v>
      </c>
      <c r="BCP372" s="21" t="s">
        <v>2955</v>
      </c>
      <c r="BCQ372" s="21" t="s">
        <v>2955</v>
      </c>
      <c r="BCR372" s="21" t="s">
        <v>2955</v>
      </c>
      <c r="BCS372" s="21" t="s">
        <v>2955</v>
      </c>
      <c r="BCT372" s="21" t="s">
        <v>2955</v>
      </c>
      <c r="BCU372" s="21" t="s">
        <v>2955</v>
      </c>
      <c r="BCV372" s="21" t="s">
        <v>2955</v>
      </c>
      <c r="BCW372" s="21" t="s">
        <v>2955</v>
      </c>
      <c r="BCX372" s="21" t="s">
        <v>2955</v>
      </c>
      <c r="BCY372" s="21" t="s">
        <v>2955</v>
      </c>
      <c r="BCZ372" s="21" t="s">
        <v>2955</v>
      </c>
      <c r="BDA372" s="21" t="s">
        <v>2955</v>
      </c>
      <c r="BDB372" s="21" t="s">
        <v>2955</v>
      </c>
      <c r="BDC372" s="21" t="s">
        <v>2955</v>
      </c>
      <c r="BDD372" s="21" t="s">
        <v>2955</v>
      </c>
      <c r="BDE372" s="21" t="s">
        <v>2955</v>
      </c>
      <c r="BDF372" s="21" t="s">
        <v>2955</v>
      </c>
      <c r="BDG372" s="21" t="s">
        <v>2955</v>
      </c>
      <c r="BDH372" s="21" t="s">
        <v>2955</v>
      </c>
      <c r="BDI372" s="21" t="s">
        <v>2955</v>
      </c>
      <c r="BDJ372" s="21" t="s">
        <v>2955</v>
      </c>
      <c r="BDK372" s="21" t="s">
        <v>2955</v>
      </c>
      <c r="BDL372" s="21" t="s">
        <v>2955</v>
      </c>
      <c r="BDM372" s="21" t="s">
        <v>2955</v>
      </c>
      <c r="BDN372" s="21" t="s">
        <v>2955</v>
      </c>
      <c r="BDO372" s="21" t="s">
        <v>2955</v>
      </c>
      <c r="BDP372" s="21" t="s">
        <v>2955</v>
      </c>
      <c r="BDQ372" s="21" t="s">
        <v>2955</v>
      </c>
      <c r="BDR372" s="21" t="s">
        <v>2955</v>
      </c>
      <c r="BDS372" s="21" t="s">
        <v>2955</v>
      </c>
      <c r="BDT372" s="21" t="s">
        <v>2955</v>
      </c>
      <c r="BDU372" s="21" t="s">
        <v>2955</v>
      </c>
      <c r="BDV372" s="21" t="s">
        <v>2955</v>
      </c>
      <c r="BDW372" s="21" t="s">
        <v>2955</v>
      </c>
      <c r="BDX372" s="21" t="s">
        <v>2955</v>
      </c>
      <c r="BDY372" s="21" t="s">
        <v>2955</v>
      </c>
      <c r="BDZ372" s="21" t="s">
        <v>2955</v>
      </c>
      <c r="BEA372" s="21" t="s">
        <v>2955</v>
      </c>
      <c r="BEB372" s="21" t="s">
        <v>2955</v>
      </c>
      <c r="BEC372" s="21" t="s">
        <v>2955</v>
      </c>
      <c r="BED372" s="21" t="s">
        <v>2955</v>
      </c>
      <c r="BEE372" s="21" t="s">
        <v>2955</v>
      </c>
      <c r="BEF372" s="21" t="s">
        <v>2955</v>
      </c>
      <c r="BEG372" s="21" t="s">
        <v>2955</v>
      </c>
      <c r="BEH372" s="21" t="s">
        <v>2955</v>
      </c>
      <c r="BEI372" s="21" t="s">
        <v>2955</v>
      </c>
      <c r="BEJ372" s="21" t="s">
        <v>2955</v>
      </c>
      <c r="BEK372" s="21" t="s">
        <v>2955</v>
      </c>
      <c r="BEL372" s="21" t="s">
        <v>2955</v>
      </c>
      <c r="BEM372" s="21" t="s">
        <v>2955</v>
      </c>
      <c r="BEN372" s="21" t="s">
        <v>2955</v>
      </c>
      <c r="BEO372" s="21" t="s">
        <v>2955</v>
      </c>
      <c r="BEP372" s="21" t="s">
        <v>2955</v>
      </c>
      <c r="BEQ372" s="21" t="s">
        <v>2955</v>
      </c>
      <c r="BER372" s="21" t="s">
        <v>2955</v>
      </c>
      <c r="BES372" s="21" t="s">
        <v>2955</v>
      </c>
      <c r="BET372" s="21" t="s">
        <v>2955</v>
      </c>
      <c r="BEU372" s="21" t="s">
        <v>2955</v>
      </c>
      <c r="BEV372" s="21" t="s">
        <v>2955</v>
      </c>
      <c r="BEW372" s="21" t="s">
        <v>2955</v>
      </c>
      <c r="BEX372" s="21" t="s">
        <v>2955</v>
      </c>
      <c r="BEY372" s="21" t="s">
        <v>2955</v>
      </c>
      <c r="BEZ372" s="21" t="s">
        <v>2955</v>
      </c>
      <c r="BFA372" s="21" t="s">
        <v>2955</v>
      </c>
      <c r="BFB372" s="21" t="s">
        <v>2955</v>
      </c>
      <c r="BFC372" s="21" t="s">
        <v>2955</v>
      </c>
      <c r="BFD372" s="21" t="s">
        <v>2955</v>
      </c>
      <c r="BFE372" s="21" t="s">
        <v>2955</v>
      </c>
      <c r="BFF372" s="21" t="s">
        <v>2955</v>
      </c>
      <c r="BFG372" s="21" t="s">
        <v>2955</v>
      </c>
      <c r="BFH372" s="21" t="s">
        <v>2955</v>
      </c>
      <c r="BFI372" s="21" t="s">
        <v>2955</v>
      </c>
      <c r="BFJ372" s="21" t="s">
        <v>2955</v>
      </c>
      <c r="BFK372" s="21" t="s">
        <v>2955</v>
      </c>
      <c r="BFL372" s="21" t="s">
        <v>2955</v>
      </c>
      <c r="BFM372" s="21" t="s">
        <v>2955</v>
      </c>
      <c r="BFN372" s="21" t="s">
        <v>2955</v>
      </c>
      <c r="BFO372" s="21" t="s">
        <v>2955</v>
      </c>
      <c r="BFP372" s="21" t="s">
        <v>2955</v>
      </c>
      <c r="BFQ372" s="21" t="s">
        <v>2955</v>
      </c>
      <c r="BFR372" s="21" t="s">
        <v>2955</v>
      </c>
      <c r="BFS372" s="21" t="s">
        <v>2955</v>
      </c>
      <c r="BFT372" s="21" t="s">
        <v>2955</v>
      </c>
      <c r="BFU372" s="21" t="s">
        <v>2955</v>
      </c>
      <c r="BFV372" s="21" t="s">
        <v>2955</v>
      </c>
      <c r="BFW372" s="21" t="s">
        <v>2955</v>
      </c>
      <c r="BFX372" s="21" t="s">
        <v>2955</v>
      </c>
      <c r="BFY372" s="21" t="s">
        <v>2955</v>
      </c>
      <c r="BFZ372" s="21" t="s">
        <v>2955</v>
      </c>
      <c r="BGA372" s="21" t="s">
        <v>2955</v>
      </c>
      <c r="BGB372" s="21" t="s">
        <v>2955</v>
      </c>
      <c r="BGC372" s="21" t="s">
        <v>2955</v>
      </c>
      <c r="BGD372" s="21" t="s">
        <v>2955</v>
      </c>
      <c r="BGE372" s="21" t="s">
        <v>2955</v>
      </c>
      <c r="BGF372" s="21" t="s">
        <v>2955</v>
      </c>
      <c r="BGG372" s="21" t="s">
        <v>2955</v>
      </c>
      <c r="BGH372" s="21" t="s">
        <v>2955</v>
      </c>
      <c r="BGI372" s="21" t="s">
        <v>2955</v>
      </c>
      <c r="BGJ372" s="21" t="s">
        <v>2955</v>
      </c>
      <c r="BGK372" s="21" t="s">
        <v>2955</v>
      </c>
      <c r="BGL372" s="21" t="s">
        <v>2955</v>
      </c>
      <c r="BGM372" s="21" t="s">
        <v>2955</v>
      </c>
      <c r="BGN372" s="21" t="s">
        <v>2955</v>
      </c>
      <c r="BGO372" s="21" t="s">
        <v>2955</v>
      </c>
      <c r="BGP372" s="21" t="s">
        <v>2955</v>
      </c>
      <c r="BGQ372" s="21" t="s">
        <v>2955</v>
      </c>
      <c r="BGR372" s="21" t="s">
        <v>2955</v>
      </c>
      <c r="BGS372" s="21" t="s">
        <v>2955</v>
      </c>
      <c r="BGT372" s="21" t="s">
        <v>2955</v>
      </c>
      <c r="BGU372" s="21" t="s">
        <v>2955</v>
      </c>
      <c r="BGV372" s="21" t="s">
        <v>2955</v>
      </c>
      <c r="BGW372" s="21" t="s">
        <v>2955</v>
      </c>
      <c r="BGX372" s="21" t="s">
        <v>2955</v>
      </c>
      <c r="BGY372" s="21" t="s">
        <v>2955</v>
      </c>
      <c r="BGZ372" s="21" t="s">
        <v>2955</v>
      </c>
      <c r="BHA372" s="21" t="s">
        <v>2955</v>
      </c>
      <c r="BHB372" s="21" t="s">
        <v>2955</v>
      </c>
      <c r="BHC372" s="21" t="s">
        <v>2955</v>
      </c>
      <c r="BHD372" s="21" t="s">
        <v>2955</v>
      </c>
      <c r="BHE372" s="21" t="s">
        <v>2955</v>
      </c>
      <c r="BHF372" s="21" t="s">
        <v>2955</v>
      </c>
      <c r="BHG372" s="21" t="s">
        <v>2955</v>
      </c>
      <c r="BHH372" s="21" t="s">
        <v>2955</v>
      </c>
      <c r="BHI372" s="21" t="s">
        <v>2955</v>
      </c>
      <c r="BHJ372" s="21" t="s">
        <v>2955</v>
      </c>
      <c r="BHK372" s="21" t="s">
        <v>2955</v>
      </c>
      <c r="BHL372" s="21" t="s">
        <v>2955</v>
      </c>
      <c r="BHM372" s="21" t="s">
        <v>2955</v>
      </c>
      <c r="BHN372" s="21" t="s">
        <v>2955</v>
      </c>
      <c r="BHO372" s="21" t="s">
        <v>2955</v>
      </c>
      <c r="BHP372" s="21" t="s">
        <v>2955</v>
      </c>
      <c r="BHQ372" s="21" t="s">
        <v>2955</v>
      </c>
      <c r="BHR372" s="21" t="s">
        <v>2955</v>
      </c>
      <c r="BHS372" s="21" t="s">
        <v>2955</v>
      </c>
      <c r="BHT372" s="21" t="s">
        <v>2955</v>
      </c>
      <c r="BHU372" s="21" t="s">
        <v>2955</v>
      </c>
      <c r="BHV372" s="21" t="s">
        <v>2955</v>
      </c>
      <c r="BHW372" s="21" t="s">
        <v>2955</v>
      </c>
      <c r="BHX372" s="21" t="s">
        <v>2955</v>
      </c>
      <c r="BHY372" s="21" t="s">
        <v>2955</v>
      </c>
      <c r="BHZ372" s="21" t="s">
        <v>2955</v>
      </c>
      <c r="BIA372" s="21" t="s">
        <v>2955</v>
      </c>
      <c r="BIB372" s="21" t="s">
        <v>2955</v>
      </c>
      <c r="BIC372" s="21" t="s">
        <v>2955</v>
      </c>
      <c r="BID372" s="21" t="s">
        <v>2955</v>
      </c>
      <c r="BIE372" s="21" t="s">
        <v>2955</v>
      </c>
      <c r="BIF372" s="21" t="s">
        <v>2955</v>
      </c>
      <c r="BIG372" s="21" t="s">
        <v>2955</v>
      </c>
      <c r="BIH372" s="21" t="s">
        <v>2955</v>
      </c>
      <c r="BII372" s="21" t="s">
        <v>2955</v>
      </c>
      <c r="BIJ372" s="21" t="s">
        <v>2955</v>
      </c>
      <c r="BIK372" s="21" t="s">
        <v>2955</v>
      </c>
      <c r="BIL372" s="21" t="s">
        <v>2955</v>
      </c>
      <c r="BIM372" s="21" t="s">
        <v>2955</v>
      </c>
      <c r="BIN372" s="21" t="s">
        <v>2955</v>
      </c>
      <c r="BIO372" s="21" t="s">
        <v>2955</v>
      </c>
      <c r="BIP372" s="21" t="s">
        <v>2955</v>
      </c>
      <c r="BIQ372" s="21" t="s">
        <v>2955</v>
      </c>
      <c r="BIR372" s="21" t="s">
        <v>2955</v>
      </c>
      <c r="BIS372" s="21" t="s">
        <v>2955</v>
      </c>
      <c r="BIT372" s="21" t="s">
        <v>2955</v>
      </c>
      <c r="BIU372" s="21" t="s">
        <v>2955</v>
      </c>
      <c r="BIV372" s="21" t="s">
        <v>2955</v>
      </c>
      <c r="BIW372" s="21" t="s">
        <v>2955</v>
      </c>
      <c r="BIX372" s="21" t="s">
        <v>2955</v>
      </c>
      <c r="BIY372" s="21" t="s">
        <v>2955</v>
      </c>
      <c r="BIZ372" s="21" t="s">
        <v>2955</v>
      </c>
      <c r="BJA372" s="21" t="s">
        <v>2955</v>
      </c>
      <c r="BJB372" s="21" t="s">
        <v>2955</v>
      </c>
      <c r="BJC372" s="21" t="s">
        <v>2955</v>
      </c>
      <c r="BJD372" s="21" t="s">
        <v>2955</v>
      </c>
      <c r="BJE372" s="21" t="s">
        <v>2955</v>
      </c>
      <c r="BJF372" s="21" t="s">
        <v>2955</v>
      </c>
      <c r="BJG372" s="21" t="s">
        <v>2955</v>
      </c>
      <c r="BJH372" s="21" t="s">
        <v>2955</v>
      </c>
      <c r="BJI372" s="21" t="s">
        <v>2955</v>
      </c>
      <c r="BJJ372" s="21" t="s">
        <v>2955</v>
      </c>
      <c r="BJK372" s="21" t="s">
        <v>2955</v>
      </c>
      <c r="BJL372" s="21" t="s">
        <v>2955</v>
      </c>
      <c r="BJM372" s="21" t="s">
        <v>2955</v>
      </c>
      <c r="BJN372" s="21" t="s">
        <v>2955</v>
      </c>
      <c r="BJO372" s="21" t="s">
        <v>2955</v>
      </c>
      <c r="BJP372" s="21" t="s">
        <v>2955</v>
      </c>
      <c r="BJQ372" s="21" t="s">
        <v>2955</v>
      </c>
      <c r="BJR372" s="21" t="s">
        <v>2955</v>
      </c>
      <c r="BJS372" s="21" t="s">
        <v>2955</v>
      </c>
      <c r="BJT372" s="21" t="s">
        <v>2955</v>
      </c>
      <c r="BJU372" s="21" t="s">
        <v>2955</v>
      </c>
      <c r="BJV372" s="21" t="s">
        <v>2955</v>
      </c>
      <c r="BJW372" s="21" t="s">
        <v>2955</v>
      </c>
      <c r="BJX372" s="21" t="s">
        <v>2955</v>
      </c>
      <c r="BJY372" s="21" t="s">
        <v>2955</v>
      </c>
      <c r="BJZ372" s="21" t="s">
        <v>2955</v>
      </c>
      <c r="BKA372" s="21" t="s">
        <v>2955</v>
      </c>
      <c r="BKB372" s="21" t="s">
        <v>2955</v>
      </c>
      <c r="BKC372" s="21" t="s">
        <v>2955</v>
      </c>
      <c r="BKD372" s="21" t="s">
        <v>2955</v>
      </c>
      <c r="BKE372" s="21" t="s">
        <v>2955</v>
      </c>
      <c r="BKF372" s="21" t="s">
        <v>2955</v>
      </c>
      <c r="BKG372" s="21" t="s">
        <v>2955</v>
      </c>
      <c r="BKH372" s="21" t="s">
        <v>2955</v>
      </c>
      <c r="BKI372" s="21" t="s">
        <v>2955</v>
      </c>
      <c r="BKJ372" s="21" t="s">
        <v>2955</v>
      </c>
      <c r="BKK372" s="21" t="s">
        <v>2955</v>
      </c>
      <c r="BKL372" s="21" t="s">
        <v>2955</v>
      </c>
      <c r="BKM372" s="21" t="s">
        <v>2955</v>
      </c>
      <c r="BKN372" s="21" t="s">
        <v>2955</v>
      </c>
      <c r="BKO372" s="21" t="s">
        <v>2955</v>
      </c>
      <c r="BKP372" s="21" t="s">
        <v>2955</v>
      </c>
      <c r="BKQ372" s="21" t="s">
        <v>2955</v>
      </c>
      <c r="BKR372" s="21" t="s">
        <v>2955</v>
      </c>
      <c r="BKS372" s="21" t="s">
        <v>2955</v>
      </c>
      <c r="BKT372" s="21" t="s">
        <v>2955</v>
      </c>
      <c r="BKU372" s="21" t="s">
        <v>2955</v>
      </c>
      <c r="BKV372" s="21" t="s">
        <v>2955</v>
      </c>
      <c r="BKW372" s="21" t="s">
        <v>2955</v>
      </c>
      <c r="BKX372" s="21" t="s">
        <v>2955</v>
      </c>
      <c r="BKY372" s="21" t="s">
        <v>2955</v>
      </c>
      <c r="BKZ372" s="21" t="s">
        <v>2955</v>
      </c>
      <c r="BLA372" s="21" t="s">
        <v>2955</v>
      </c>
      <c r="BLB372" s="21" t="s">
        <v>2955</v>
      </c>
      <c r="BLC372" s="21" t="s">
        <v>2955</v>
      </c>
      <c r="BLD372" s="21" t="s">
        <v>2955</v>
      </c>
      <c r="BLE372" s="21" t="s">
        <v>2955</v>
      </c>
      <c r="BLF372" s="21" t="s">
        <v>2955</v>
      </c>
      <c r="BLG372" s="21" t="s">
        <v>2955</v>
      </c>
      <c r="BLH372" s="21" t="s">
        <v>2955</v>
      </c>
      <c r="BLI372" s="21" t="s">
        <v>2955</v>
      </c>
      <c r="BLJ372" s="21" t="s">
        <v>2955</v>
      </c>
      <c r="BLK372" s="21" t="s">
        <v>2955</v>
      </c>
      <c r="BLL372" s="21" t="s">
        <v>2955</v>
      </c>
      <c r="BLM372" s="21" t="s">
        <v>2955</v>
      </c>
      <c r="BLN372" s="21" t="s">
        <v>2955</v>
      </c>
      <c r="BLO372" s="21" t="s">
        <v>2955</v>
      </c>
      <c r="BLP372" s="21" t="s">
        <v>2955</v>
      </c>
      <c r="BLQ372" s="21" t="s">
        <v>2955</v>
      </c>
      <c r="BLR372" s="21" t="s">
        <v>2955</v>
      </c>
      <c r="BLS372" s="21" t="s">
        <v>2955</v>
      </c>
      <c r="BLT372" s="21" t="s">
        <v>2955</v>
      </c>
      <c r="BLU372" s="21" t="s">
        <v>2955</v>
      </c>
      <c r="BLV372" s="21" t="s">
        <v>2955</v>
      </c>
      <c r="BLW372" s="21" t="s">
        <v>2955</v>
      </c>
      <c r="BLX372" s="21" t="s">
        <v>2955</v>
      </c>
      <c r="BLY372" s="21" t="s">
        <v>2955</v>
      </c>
      <c r="BLZ372" s="21" t="s">
        <v>2955</v>
      </c>
      <c r="BMA372" s="21" t="s">
        <v>2955</v>
      </c>
      <c r="BMB372" s="21" t="s">
        <v>2955</v>
      </c>
      <c r="BMC372" s="21" t="s">
        <v>2955</v>
      </c>
      <c r="BMD372" s="21" t="s">
        <v>2955</v>
      </c>
      <c r="BME372" s="21" t="s">
        <v>2955</v>
      </c>
      <c r="BMF372" s="21" t="s">
        <v>2955</v>
      </c>
      <c r="BMG372" s="21" t="s">
        <v>2955</v>
      </c>
      <c r="BMH372" s="21" t="s">
        <v>2955</v>
      </c>
      <c r="BMI372" s="21" t="s">
        <v>2955</v>
      </c>
      <c r="BMJ372" s="21" t="s">
        <v>2955</v>
      </c>
      <c r="BMK372" s="21" t="s">
        <v>2955</v>
      </c>
      <c r="BML372" s="21" t="s">
        <v>2955</v>
      </c>
      <c r="BMM372" s="21" t="s">
        <v>2955</v>
      </c>
      <c r="BMN372" s="21" t="s">
        <v>2955</v>
      </c>
      <c r="BMO372" s="21" t="s">
        <v>2955</v>
      </c>
      <c r="BMP372" s="21" t="s">
        <v>2955</v>
      </c>
      <c r="BMQ372" s="21" t="s">
        <v>2955</v>
      </c>
      <c r="BMR372" s="21" t="s">
        <v>2955</v>
      </c>
      <c r="BMS372" s="21" t="s">
        <v>2955</v>
      </c>
      <c r="BMT372" s="21" t="s">
        <v>2955</v>
      </c>
      <c r="BMU372" s="21" t="s">
        <v>2955</v>
      </c>
      <c r="BMV372" s="21" t="s">
        <v>2955</v>
      </c>
      <c r="BMW372" s="21" t="s">
        <v>2955</v>
      </c>
      <c r="BMX372" s="21" t="s">
        <v>2955</v>
      </c>
      <c r="BMY372" s="21" t="s">
        <v>2955</v>
      </c>
      <c r="BMZ372" s="21" t="s">
        <v>2955</v>
      </c>
      <c r="BNA372" s="21" t="s">
        <v>2955</v>
      </c>
      <c r="BNB372" s="21" t="s">
        <v>2955</v>
      </c>
      <c r="BNC372" s="21" t="s">
        <v>2955</v>
      </c>
      <c r="BND372" s="21" t="s">
        <v>2955</v>
      </c>
      <c r="BNE372" s="21" t="s">
        <v>2955</v>
      </c>
      <c r="BNF372" s="21" t="s">
        <v>2955</v>
      </c>
      <c r="BNG372" s="21" t="s">
        <v>2955</v>
      </c>
      <c r="BNH372" s="21" t="s">
        <v>2955</v>
      </c>
      <c r="BNI372" s="21" t="s">
        <v>2955</v>
      </c>
      <c r="BNJ372" s="21" t="s">
        <v>2955</v>
      </c>
      <c r="BNK372" s="21" t="s">
        <v>2955</v>
      </c>
      <c r="BNL372" s="21" t="s">
        <v>2955</v>
      </c>
      <c r="BNM372" s="21" t="s">
        <v>2955</v>
      </c>
      <c r="BNN372" s="21" t="s">
        <v>2955</v>
      </c>
      <c r="BNO372" s="21" t="s">
        <v>2955</v>
      </c>
      <c r="BNP372" s="21" t="s">
        <v>2955</v>
      </c>
      <c r="BNQ372" s="21" t="s">
        <v>2955</v>
      </c>
      <c r="BNR372" s="21" t="s">
        <v>2955</v>
      </c>
      <c r="BNS372" s="21" t="s">
        <v>2955</v>
      </c>
      <c r="BNT372" s="21" t="s">
        <v>2955</v>
      </c>
      <c r="BNU372" s="21" t="s">
        <v>2955</v>
      </c>
      <c r="BNV372" s="21" t="s">
        <v>2955</v>
      </c>
      <c r="BNW372" s="21" t="s">
        <v>2955</v>
      </c>
      <c r="BNX372" s="21" t="s">
        <v>2955</v>
      </c>
      <c r="BNY372" s="21" t="s">
        <v>2955</v>
      </c>
      <c r="BNZ372" s="21" t="s">
        <v>2955</v>
      </c>
      <c r="BOA372" s="21" t="s">
        <v>2955</v>
      </c>
      <c r="BOB372" s="21" t="s">
        <v>2955</v>
      </c>
      <c r="BOC372" s="21" t="s">
        <v>2955</v>
      </c>
      <c r="BOD372" s="21" t="s">
        <v>2955</v>
      </c>
      <c r="BOE372" s="21" t="s">
        <v>2955</v>
      </c>
      <c r="BOF372" s="21" t="s">
        <v>2955</v>
      </c>
      <c r="BOG372" s="21" t="s">
        <v>2955</v>
      </c>
      <c r="BOH372" s="21" t="s">
        <v>2955</v>
      </c>
      <c r="BOI372" s="21" t="s">
        <v>2955</v>
      </c>
      <c r="BOJ372" s="21" t="s">
        <v>2955</v>
      </c>
      <c r="BOK372" s="21" t="s">
        <v>2955</v>
      </c>
      <c r="BOL372" s="21" t="s">
        <v>2955</v>
      </c>
      <c r="BOM372" s="21" t="s">
        <v>2955</v>
      </c>
      <c r="BON372" s="21" t="s">
        <v>2955</v>
      </c>
      <c r="BOO372" s="21" t="s">
        <v>2955</v>
      </c>
      <c r="BOP372" s="21" t="s">
        <v>2955</v>
      </c>
      <c r="BOQ372" s="21" t="s">
        <v>2955</v>
      </c>
      <c r="BOR372" s="21" t="s">
        <v>2955</v>
      </c>
      <c r="BOS372" s="21" t="s">
        <v>2955</v>
      </c>
      <c r="BOT372" s="21" t="s">
        <v>2955</v>
      </c>
      <c r="BOU372" s="21" t="s">
        <v>2955</v>
      </c>
      <c r="BOV372" s="21" t="s">
        <v>2955</v>
      </c>
      <c r="BOW372" s="21" t="s">
        <v>2955</v>
      </c>
      <c r="BOX372" s="21" t="s">
        <v>2955</v>
      </c>
      <c r="BOY372" s="21" t="s">
        <v>2955</v>
      </c>
      <c r="BOZ372" s="21" t="s">
        <v>2955</v>
      </c>
      <c r="BPA372" s="21" t="s">
        <v>2955</v>
      </c>
      <c r="BPB372" s="21" t="s">
        <v>2955</v>
      </c>
      <c r="BPC372" s="21" t="s">
        <v>2955</v>
      </c>
      <c r="BPD372" s="21" t="s">
        <v>2955</v>
      </c>
      <c r="BPE372" s="21" t="s">
        <v>2955</v>
      </c>
      <c r="BPF372" s="21" t="s">
        <v>2955</v>
      </c>
      <c r="BPG372" s="21" t="s">
        <v>2955</v>
      </c>
      <c r="BPH372" s="21" t="s">
        <v>2955</v>
      </c>
      <c r="BPI372" s="21" t="s">
        <v>2955</v>
      </c>
      <c r="BPJ372" s="21" t="s">
        <v>2955</v>
      </c>
      <c r="BPK372" s="21" t="s">
        <v>2955</v>
      </c>
      <c r="BPL372" s="21" t="s">
        <v>2955</v>
      </c>
      <c r="BPM372" s="21" t="s">
        <v>2955</v>
      </c>
      <c r="BPN372" s="21" t="s">
        <v>2955</v>
      </c>
      <c r="BPO372" s="21" t="s">
        <v>2955</v>
      </c>
      <c r="BPP372" s="21" t="s">
        <v>2955</v>
      </c>
      <c r="BPQ372" s="21" t="s">
        <v>2955</v>
      </c>
      <c r="BPR372" s="21" t="s">
        <v>2955</v>
      </c>
      <c r="BPS372" s="21" t="s">
        <v>2955</v>
      </c>
      <c r="BPT372" s="21" t="s">
        <v>2955</v>
      </c>
      <c r="BPU372" s="21" t="s">
        <v>2955</v>
      </c>
      <c r="BPV372" s="21" t="s">
        <v>2955</v>
      </c>
      <c r="BPW372" s="21" t="s">
        <v>2955</v>
      </c>
      <c r="BPX372" s="21" t="s">
        <v>2955</v>
      </c>
      <c r="BPY372" s="21" t="s">
        <v>2955</v>
      </c>
      <c r="BPZ372" s="21" t="s">
        <v>2955</v>
      </c>
      <c r="BQA372" s="21" t="s">
        <v>2955</v>
      </c>
      <c r="BQB372" s="21" t="s">
        <v>2955</v>
      </c>
      <c r="BQC372" s="21" t="s">
        <v>2955</v>
      </c>
      <c r="BQD372" s="21" t="s">
        <v>2955</v>
      </c>
      <c r="BQE372" s="21" t="s">
        <v>2955</v>
      </c>
      <c r="BQF372" s="21" t="s">
        <v>2955</v>
      </c>
      <c r="BQG372" s="21" t="s">
        <v>2955</v>
      </c>
      <c r="BQH372" s="21" t="s">
        <v>2955</v>
      </c>
      <c r="BQI372" s="21" t="s">
        <v>2955</v>
      </c>
      <c r="BQJ372" s="21" t="s">
        <v>2955</v>
      </c>
      <c r="BQK372" s="21" t="s">
        <v>2955</v>
      </c>
      <c r="BQL372" s="21" t="s">
        <v>2955</v>
      </c>
      <c r="BQM372" s="21" t="s">
        <v>2955</v>
      </c>
      <c r="BQN372" s="21" t="s">
        <v>2955</v>
      </c>
      <c r="BQO372" s="21" t="s">
        <v>2955</v>
      </c>
      <c r="BQP372" s="21" t="s">
        <v>2955</v>
      </c>
      <c r="BQQ372" s="21" t="s">
        <v>2955</v>
      </c>
      <c r="BQR372" s="21" t="s">
        <v>2955</v>
      </c>
      <c r="BQS372" s="21" t="s">
        <v>2955</v>
      </c>
      <c r="BQT372" s="21" t="s">
        <v>2955</v>
      </c>
      <c r="BQU372" s="21" t="s">
        <v>2955</v>
      </c>
      <c r="BQV372" s="21" t="s">
        <v>2955</v>
      </c>
      <c r="BQW372" s="21" t="s">
        <v>2955</v>
      </c>
      <c r="BQX372" s="21" t="s">
        <v>2955</v>
      </c>
      <c r="BQY372" s="21" t="s">
        <v>2955</v>
      </c>
      <c r="BQZ372" s="21" t="s">
        <v>2955</v>
      </c>
      <c r="BRA372" s="21" t="s">
        <v>2955</v>
      </c>
      <c r="BRB372" s="21" t="s">
        <v>2955</v>
      </c>
      <c r="BRC372" s="21" t="s">
        <v>2955</v>
      </c>
      <c r="BRD372" s="21" t="s">
        <v>2955</v>
      </c>
      <c r="BRE372" s="21" t="s">
        <v>2955</v>
      </c>
      <c r="BRF372" s="21" t="s">
        <v>2955</v>
      </c>
      <c r="BRG372" s="21" t="s">
        <v>2955</v>
      </c>
      <c r="BRH372" s="21" t="s">
        <v>2955</v>
      </c>
      <c r="BRI372" s="21" t="s">
        <v>2955</v>
      </c>
      <c r="BRJ372" s="21" t="s">
        <v>2955</v>
      </c>
      <c r="BRK372" s="21" t="s">
        <v>2955</v>
      </c>
      <c r="BRL372" s="21" t="s">
        <v>2955</v>
      </c>
      <c r="BRM372" s="21" t="s">
        <v>2955</v>
      </c>
      <c r="BRN372" s="21" t="s">
        <v>2955</v>
      </c>
      <c r="BRO372" s="21" t="s">
        <v>2955</v>
      </c>
      <c r="BRP372" s="21" t="s">
        <v>2955</v>
      </c>
      <c r="BRQ372" s="21" t="s">
        <v>2955</v>
      </c>
      <c r="BRR372" s="21" t="s">
        <v>2955</v>
      </c>
      <c r="BRS372" s="21" t="s">
        <v>2955</v>
      </c>
      <c r="BRT372" s="21" t="s">
        <v>2955</v>
      </c>
      <c r="BRU372" s="21" t="s">
        <v>2955</v>
      </c>
      <c r="BRV372" s="21" t="s">
        <v>2955</v>
      </c>
      <c r="BRW372" s="21" t="s">
        <v>2955</v>
      </c>
      <c r="BRX372" s="21" t="s">
        <v>2955</v>
      </c>
      <c r="BRY372" s="21" t="s">
        <v>2955</v>
      </c>
      <c r="BRZ372" s="21" t="s">
        <v>2955</v>
      </c>
      <c r="BSA372" s="21" t="s">
        <v>2955</v>
      </c>
      <c r="BSB372" s="21" t="s">
        <v>2955</v>
      </c>
      <c r="BSC372" s="21" t="s">
        <v>2955</v>
      </c>
      <c r="BSD372" s="21" t="s">
        <v>2955</v>
      </c>
      <c r="BSE372" s="21" t="s">
        <v>2955</v>
      </c>
      <c r="BSF372" s="21" t="s">
        <v>2955</v>
      </c>
      <c r="BSG372" s="21" t="s">
        <v>2955</v>
      </c>
      <c r="BSH372" s="21" t="s">
        <v>2955</v>
      </c>
      <c r="BSI372" s="21" t="s">
        <v>2955</v>
      </c>
      <c r="BSJ372" s="21" t="s">
        <v>2955</v>
      </c>
      <c r="BSK372" s="21" t="s">
        <v>2955</v>
      </c>
      <c r="BSL372" s="21" t="s">
        <v>2955</v>
      </c>
      <c r="BSM372" s="21" t="s">
        <v>2955</v>
      </c>
      <c r="BSN372" s="21" t="s">
        <v>2955</v>
      </c>
      <c r="BSO372" s="21" t="s">
        <v>2955</v>
      </c>
      <c r="BSP372" s="21" t="s">
        <v>2955</v>
      </c>
      <c r="BSQ372" s="21" t="s">
        <v>2955</v>
      </c>
      <c r="BSR372" s="21" t="s">
        <v>2955</v>
      </c>
      <c r="BSS372" s="21" t="s">
        <v>2955</v>
      </c>
      <c r="BST372" s="21" t="s">
        <v>2955</v>
      </c>
      <c r="BSU372" s="21" t="s">
        <v>2955</v>
      </c>
      <c r="BSV372" s="21" t="s">
        <v>2955</v>
      </c>
      <c r="BSW372" s="21" t="s">
        <v>2955</v>
      </c>
      <c r="BSX372" s="21" t="s">
        <v>2955</v>
      </c>
      <c r="BSY372" s="21" t="s">
        <v>2955</v>
      </c>
      <c r="BSZ372" s="21" t="s">
        <v>2955</v>
      </c>
      <c r="BTA372" s="21" t="s">
        <v>2955</v>
      </c>
      <c r="BTB372" s="21" t="s">
        <v>2955</v>
      </c>
      <c r="BTC372" s="21" t="s">
        <v>2955</v>
      </c>
      <c r="BTD372" s="21" t="s">
        <v>2955</v>
      </c>
      <c r="BTE372" s="21" t="s">
        <v>2955</v>
      </c>
      <c r="BTF372" s="21" t="s">
        <v>2955</v>
      </c>
      <c r="BTG372" s="21" t="s">
        <v>2955</v>
      </c>
      <c r="BTH372" s="21" t="s">
        <v>2955</v>
      </c>
      <c r="BTI372" s="21" t="s">
        <v>2955</v>
      </c>
      <c r="BTJ372" s="21" t="s">
        <v>2955</v>
      </c>
      <c r="BTK372" s="21" t="s">
        <v>2955</v>
      </c>
      <c r="BTL372" s="21" t="s">
        <v>2955</v>
      </c>
      <c r="BTM372" s="21" t="s">
        <v>2955</v>
      </c>
      <c r="BTN372" s="21" t="s">
        <v>2955</v>
      </c>
      <c r="BTO372" s="21" t="s">
        <v>2955</v>
      </c>
      <c r="BTP372" s="21" t="s">
        <v>2955</v>
      </c>
      <c r="BTQ372" s="21" t="s">
        <v>2955</v>
      </c>
      <c r="BTR372" s="21" t="s">
        <v>2955</v>
      </c>
      <c r="BTS372" s="21" t="s">
        <v>2955</v>
      </c>
      <c r="BTT372" s="21" t="s">
        <v>2955</v>
      </c>
      <c r="BTU372" s="21" t="s">
        <v>2955</v>
      </c>
      <c r="BTV372" s="21" t="s">
        <v>2955</v>
      </c>
      <c r="BTW372" s="21" t="s">
        <v>2955</v>
      </c>
      <c r="BTX372" s="21" t="s">
        <v>2955</v>
      </c>
      <c r="BTY372" s="21" t="s">
        <v>2955</v>
      </c>
      <c r="BTZ372" s="21" t="s">
        <v>2955</v>
      </c>
      <c r="BUA372" s="21" t="s">
        <v>2955</v>
      </c>
      <c r="BUB372" s="21" t="s">
        <v>2955</v>
      </c>
      <c r="BUC372" s="21" t="s">
        <v>2955</v>
      </c>
      <c r="BUD372" s="21" t="s">
        <v>2955</v>
      </c>
      <c r="BUE372" s="21" t="s">
        <v>2955</v>
      </c>
      <c r="BUF372" s="21" t="s">
        <v>2955</v>
      </c>
      <c r="BUG372" s="21" t="s">
        <v>2955</v>
      </c>
      <c r="BUH372" s="21" t="s">
        <v>2955</v>
      </c>
      <c r="BUI372" s="21" t="s">
        <v>2955</v>
      </c>
      <c r="BUJ372" s="21" t="s">
        <v>2955</v>
      </c>
      <c r="BUK372" s="21" t="s">
        <v>2955</v>
      </c>
      <c r="BUL372" s="21" t="s">
        <v>2955</v>
      </c>
      <c r="BUM372" s="21" t="s">
        <v>2955</v>
      </c>
      <c r="BUN372" s="21" t="s">
        <v>2955</v>
      </c>
      <c r="BUO372" s="21" t="s">
        <v>2955</v>
      </c>
      <c r="BUP372" s="21" t="s">
        <v>2955</v>
      </c>
      <c r="BUQ372" s="21" t="s">
        <v>2955</v>
      </c>
      <c r="BUR372" s="21" t="s">
        <v>2955</v>
      </c>
      <c r="BUS372" s="21" t="s">
        <v>2955</v>
      </c>
      <c r="BUT372" s="21" t="s">
        <v>2955</v>
      </c>
      <c r="BUU372" s="21" t="s">
        <v>2955</v>
      </c>
      <c r="BUV372" s="21" t="s">
        <v>2955</v>
      </c>
      <c r="BUW372" s="21" t="s">
        <v>2955</v>
      </c>
      <c r="BUX372" s="21" t="s">
        <v>2955</v>
      </c>
      <c r="BUY372" s="21" t="s">
        <v>2955</v>
      </c>
      <c r="BUZ372" s="21" t="s">
        <v>2955</v>
      </c>
      <c r="BVA372" s="21" t="s">
        <v>2955</v>
      </c>
      <c r="BVB372" s="21" t="s">
        <v>2955</v>
      </c>
      <c r="BVC372" s="21" t="s">
        <v>2955</v>
      </c>
      <c r="BVD372" s="21" t="s">
        <v>2955</v>
      </c>
      <c r="BVE372" s="21" t="s">
        <v>2955</v>
      </c>
      <c r="BVF372" s="21" t="s">
        <v>2955</v>
      </c>
      <c r="BVG372" s="21" t="s">
        <v>2955</v>
      </c>
      <c r="BVH372" s="21" t="s">
        <v>2955</v>
      </c>
      <c r="BVI372" s="21" t="s">
        <v>2955</v>
      </c>
      <c r="BVJ372" s="21" t="s">
        <v>2955</v>
      </c>
      <c r="BVK372" s="21" t="s">
        <v>2955</v>
      </c>
      <c r="BVL372" s="21" t="s">
        <v>2955</v>
      </c>
      <c r="BVM372" s="21" t="s">
        <v>2955</v>
      </c>
      <c r="BVN372" s="21" t="s">
        <v>2955</v>
      </c>
      <c r="BVO372" s="21" t="s">
        <v>2955</v>
      </c>
      <c r="BVP372" s="21" t="s">
        <v>2955</v>
      </c>
      <c r="BVQ372" s="21" t="s">
        <v>2955</v>
      </c>
      <c r="BVR372" s="21" t="s">
        <v>2955</v>
      </c>
      <c r="BVS372" s="21" t="s">
        <v>2955</v>
      </c>
      <c r="BVT372" s="21" t="s">
        <v>2955</v>
      </c>
      <c r="BVU372" s="21" t="s">
        <v>2955</v>
      </c>
      <c r="BVV372" s="21" t="s">
        <v>2955</v>
      </c>
      <c r="BVW372" s="21" t="s">
        <v>2955</v>
      </c>
      <c r="BVX372" s="21" t="s">
        <v>2955</v>
      </c>
      <c r="BVY372" s="21" t="s">
        <v>2955</v>
      </c>
      <c r="BVZ372" s="21" t="s">
        <v>2955</v>
      </c>
      <c r="BWA372" s="21" t="s">
        <v>2955</v>
      </c>
      <c r="BWB372" s="21" t="s">
        <v>2955</v>
      </c>
      <c r="BWC372" s="21" t="s">
        <v>2955</v>
      </c>
      <c r="BWD372" s="21" t="s">
        <v>2955</v>
      </c>
      <c r="BWE372" s="21" t="s">
        <v>2955</v>
      </c>
      <c r="BWF372" s="21" t="s">
        <v>2955</v>
      </c>
      <c r="BWG372" s="21" t="s">
        <v>2955</v>
      </c>
      <c r="BWH372" s="21" t="s">
        <v>2955</v>
      </c>
      <c r="BWI372" s="21" t="s">
        <v>2955</v>
      </c>
      <c r="BWJ372" s="21" t="s">
        <v>2955</v>
      </c>
      <c r="BWK372" s="21" t="s">
        <v>2955</v>
      </c>
      <c r="BWL372" s="21" t="s">
        <v>2955</v>
      </c>
      <c r="BWM372" s="21" t="s">
        <v>2955</v>
      </c>
      <c r="BWN372" s="21" t="s">
        <v>2955</v>
      </c>
      <c r="BWO372" s="21" t="s">
        <v>2955</v>
      </c>
      <c r="BWP372" s="21" t="s">
        <v>2955</v>
      </c>
      <c r="BWQ372" s="21" t="s">
        <v>2955</v>
      </c>
      <c r="BWR372" s="21" t="s">
        <v>2955</v>
      </c>
      <c r="BWS372" s="21" t="s">
        <v>2955</v>
      </c>
      <c r="BWT372" s="21" t="s">
        <v>2955</v>
      </c>
      <c r="BWU372" s="21" t="s">
        <v>2955</v>
      </c>
      <c r="BWV372" s="21" t="s">
        <v>2955</v>
      </c>
      <c r="BWW372" s="21" t="s">
        <v>2955</v>
      </c>
      <c r="BWX372" s="21" t="s">
        <v>2955</v>
      </c>
      <c r="BWY372" s="21" t="s">
        <v>2955</v>
      </c>
      <c r="BWZ372" s="21" t="s">
        <v>2955</v>
      </c>
      <c r="BXA372" s="21" t="s">
        <v>2955</v>
      </c>
      <c r="BXB372" s="21" t="s">
        <v>2955</v>
      </c>
      <c r="BXC372" s="21" t="s">
        <v>2955</v>
      </c>
      <c r="BXD372" s="21" t="s">
        <v>2955</v>
      </c>
      <c r="BXE372" s="21" t="s">
        <v>2955</v>
      </c>
      <c r="BXF372" s="21" t="s">
        <v>2955</v>
      </c>
      <c r="BXG372" s="21" t="s">
        <v>2955</v>
      </c>
      <c r="BXH372" s="21" t="s">
        <v>2955</v>
      </c>
      <c r="BXI372" s="21" t="s">
        <v>2955</v>
      </c>
      <c r="BXJ372" s="21" t="s">
        <v>2955</v>
      </c>
      <c r="BXK372" s="21" t="s">
        <v>2955</v>
      </c>
      <c r="BXL372" s="21" t="s">
        <v>2955</v>
      </c>
      <c r="BXM372" s="21" t="s">
        <v>2955</v>
      </c>
      <c r="BXN372" s="21" t="s">
        <v>2955</v>
      </c>
      <c r="BXO372" s="21" t="s">
        <v>2955</v>
      </c>
      <c r="BXP372" s="21" t="s">
        <v>2955</v>
      </c>
      <c r="BXQ372" s="21" t="s">
        <v>2955</v>
      </c>
      <c r="BXR372" s="21" t="s">
        <v>2955</v>
      </c>
      <c r="BXS372" s="21" t="s">
        <v>2955</v>
      </c>
      <c r="BXT372" s="21" t="s">
        <v>2955</v>
      </c>
      <c r="BXU372" s="21" t="s">
        <v>2955</v>
      </c>
      <c r="BXV372" s="21" t="s">
        <v>2955</v>
      </c>
      <c r="BXW372" s="21" t="s">
        <v>2955</v>
      </c>
      <c r="BXX372" s="21" t="s">
        <v>2955</v>
      </c>
      <c r="BXY372" s="21" t="s">
        <v>2955</v>
      </c>
      <c r="BXZ372" s="21" t="s">
        <v>2955</v>
      </c>
      <c r="BYA372" s="21" t="s">
        <v>2955</v>
      </c>
      <c r="BYB372" s="21" t="s">
        <v>2955</v>
      </c>
      <c r="BYC372" s="21" t="s">
        <v>2955</v>
      </c>
      <c r="BYD372" s="21" t="s">
        <v>2955</v>
      </c>
      <c r="BYE372" s="21" t="s">
        <v>2955</v>
      </c>
      <c r="BYF372" s="21" t="s">
        <v>2955</v>
      </c>
      <c r="BYG372" s="21" t="s">
        <v>2955</v>
      </c>
      <c r="BYH372" s="21" t="s">
        <v>2955</v>
      </c>
      <c r="BYI372" s="21" t="s">
        <v>2955</v>
      </c>
      <c r="BYJ372" s="21" t="s">
        <v>2955</v>
      </c>
      <c r="BYK372" s="21" t="s">
        <v>2955</v>
      </c>
      <c r="BYL372" s="21" t="s">
        <v>2955</v>
      </c>
      <c r="BYM372" s="21" t="s">
        <v>2955</v>
      </c>
      <c r="BYN372" s="21" t="s">
        <v>2955</v>
      </c>
      <c r="BYO372" s="21" t="s">
        <v>2955</v>
      </c>
      <c r="BYP372" s="21" t="s">
        <v>2955</v>
      </c>
      <c r="BYQ372" s="21" t="s">
        <v>2955</v>
      </c>
      <c r="BYR372" s="21" t="s">
        <v>2955</v>
      </c>
      <c r="BYS372" s="21" t="s">
        <v>2955</v>
      </c>
      <c r="BYT372" s="21" t="s">
        <v>2955</v>
      </c>
      <c r="BYU372" s="21" t="s">
        <v>2955</v>
      </c>
      <c r="BYV372" s="21" t="s">
        <v>2955</v>
      </c>
      <c r="BYW372" s="21" t="s">
        <v>2955</v>
      </c>
      <c r="BYX372" s="21" t="s">
        <v>2955</v>
      </c>
      <c r="BYY372" s="21" t="s">
        <v>2955</v>
      </c>
      <c r="BYZ372" s="21" t="s">
        <v>2955</v>
      </c>
      <c r="BZA372" s="21" t="s">
        <v>2955</v>
      </c>
      <c r="BZB372" s="21" t="s">
        <v>2955</v>
      </c>
      <c r="BZC372" s="21" t="s">
        <v>2955</v>
      </c>
      <c r="BZD372" s="21" t="s">
        <v>2955</v>
      </c>
      <c r="BZE372" s="21" t="s">
        <v>2955</v>
      </c>
      <c r="BZF372" s="21" t="s">
        <v>2955</v>
      </c>
      <c r="BZG372" s="21" t="s">
        <v>2955</v>
      </c>
      <c r="BZH372" s="21" t="s">
        <v>2955</v>
      </c>
      <c r="BZI372" s="21" t="s">
        <v>2955</v>
      </c>
      <c r="BZJ372" s="21" t="s">
        <v>2955</v>
      </c>
      <c r="BZK372" s="21" t="s">
        <v>2955</v>
      </c>
      <c r="BZL372" s="21" t="s">
        <v>2955</v>
      </c>
      <c r="BZM372" s="21" t="s">
        <v>2955</v>
      </c>
      <c r="BZN372" s="21" t="s">
        <v>2955</v>
      </c>
      <c r="BZO372" s="21" t="s">
        <v>2955</v>
      </c>
      <c r="BZP372" s="21" t="s">
        <v>2955</v>
      </c>
      <c r="BZQ372" s="21" t="s">
        <v>2955</v>
      </c>
      <c r="BZR372" s="21" t="s">
        <v>2955</v>
      </c>
      <c r="BZS372" s="21" t="s">
        <v>2955</v>
      </c>
      <c r="BZT372" s="21" t="s">
        <v>2955</v>
      </c>
      <c r="BZU372" s="21" t="s">
        <v>2955</v>
      </c>
      <c r="BZV372" s="21" t="s">
        <v>2955</v>
      </c>
      <c r="BZW372" s="21" t="s">
        <v>2955</v>
      </c>
      <c r="BZX372" s="21" t="s">
        <v>2955</v>
      </c>
      <c r="BZY372" s="21" t="s">
        <v>2955</v>
      </c>
      <c r="BZZ372" s="21" t="s">
        <v>2955</v>
      </c>
      <c r="CAA372" s="21" t="s">
        <v>2955</v>
      </c>
      <c r="CAB372" s="21" t="s">
        <v>2955</v>
      </c>
      <c r="CAC372" s="21" t="s">
        <v>2955</v>
      </c>
      <c r="CAD372" s="21" t="s">
        <v>2955</v>
      </c>
      <c r="CAE372" s="21" t="s">
        <v>2955</v>
      </c>
      <c r="CAF372" s="21" t="s">
        <v>2955</v>
      </c>
      <c r="CAG372" s="21" t="s">
        <v>2955</v>
      </c>
      <c r="CAH372" s="21" t="s">
        <v>2955</v>
      </c>
      <c r="CAI372" s="21" t="s">
        <v>2955</v>
      </c>
      <c r="CAJ372" s="21" t="s">
        <v>2955</v>
      </c>
      <c r="CAK372" s="21" t="s">
        <v>2955</v>
      </c>
      <c r="CAL372" s="21" t="s">
        <v>2955</v>
      </c>
      <c r="CAM372" s="21" t="s">
        <v>2955</v>
      </c>
      <c r="CAN372" s="21" t="s">
        <v>2955</v>
      </c>
      <c r="CAO372" s="21" t="s">
        <v>2955</v>
      </c>
      <c r="CAP372" s="21" t="s">
        <v>2955</v>
      </c>
      <c r="CAQ372" s="21" t="s">
        <v>2955</v>
      </c>
      <c r="CAR372" s="21" t="s">
        <v>2955</v>
      </c>
      <c r="CAS372" s="21" t="s">
        <v>2955</v>
      </c>
      <c r="CAT372" s="21" t="s">
        <v>2955</v>
      </c>
      <c r="CAU372" s="21" t="s">
        <v>2955</v>
      </c>
      <c r="CAV372" s="21" t="s">
        <v>2955</v>
      </c>
      <c r="CAW372" s="21" t="s">
        <v>2955</v>
      </c>
      <c r="CAX372" s="21" t="s">
        <v>2955</v>
      </c>
      <c r="CAY372" s="21" t="s">
        <v>2955</v>
      </c>
      <c r="CAZ372" s="21" t="s">
        <v>2955</v>
      </c>
      <c r="CBA372" s="21" t="s">
        <v>2955</v>
      </c>
      <c r="CBB372" s="21" t="s">
        <v>2955</v>
      </c>
      <c r="CBC372" s="21" t="s">
        <v>2955</v>
      </c>
      <c r="CBD372" s="21" t="s">
        <v>2955</v>
      </c>
      <c r="CBE372" s="21" t="s">
        <v>2955</v>
      </c>
      <c r="CBF372" s="21" t="s">
        <v>2955</v>
      </c>
      <c r="CBG372" s="21" t="s">
        <v>2955</v>
      </c>
      <c r="CBH372" s="21" t="s">
        <v>2955</v>
      </c>
      <c r="CBI372" s="21" t="s">
        <v>2955</v>
      </c>
      <c r="CBJ372" s="21" t="s">
        <v>2955</v>
      </c>
      <c r="CBK372" s="21" t="s">
        <v>2955</v>
      </c>
      <c r="CBL372" s="21" t="s">
        <v>2955</v>
      </c>
      <c r="CBM372" s="21" t="s">
        <v>2955</v>
      </c>
      <c r="CBN372" s="21" t="s">
        <v>2955</v>
      </c>
      <c r="CBO372" s="21" t="s">
        <v>2955</v>
      </c>
      <c r="CBP372" s="21" t="s">
        <v>2955</v>
      </c>
      <c r="CBQ372" s="21" t="s">
        <v>2955</v>
      </c>
      <c r="CBR372" s="21" t="s">
        <v>2955</v>
      </c>
      <c r="CBS372" s="21" t="s">
        <v>2955</v>
      </c>
      <c r="CBT372" s="21" t="s">
        <v>2955</v>
      </c>
      <c r="CBU372" s="21" t="s">
        <v>2955</v>
      </c>
      <c r="CBV372" s="21" t="s">
        <v>2955</v>
      </c>
      <c r="CBW372" s="21" t="s">
        <v>2955</v>
      </c>
      <c r="CBX372" s="21" t="s">
        <v>2955</v>
      </c>
      <c r="CBY372" s="21" t="s">
        <v>2955</v>
      </c>
      <c r="CBZ372" s="21" t="s">
        <v>2955</v>
      </c>
      <c r="CCA372" s="21" t="s">
        <v>2955</v>
      </c>
      <c r="CCB372" s="21" t="s">
        <v>2955</v>
      </c>
      <c r="CCC372" s="21" t="s">
        <v>2955</v>
      </c>
      <c r="CCD372" s="21" t="s">
        <v>2955</v>
      </c>
      <c r="CCE372" s="21" t="s">
        <v>2955</v>
      </c>
      <c r="CCF372" s="21" t="s">
        <v>2955</v>
      </c>
      <c r="CCG372" s="21" t="s">
        <v>2955</v>
      </c>
      <c r="CCH372" s="21" t="s">
        <v>2955</v>
      </c>
      <c r="CCI372" s="21" t="s">
        <v>2955</v>
      </c>
      <c r="CCJ372" s="21" t="s">
        <v>2955</v>
      </c>
      <c r="CCK372" s="21" t="s">
        <v>2955</v>
      </c>
      <c r="CCL372" s="21" t="s">
        <v>2955</v>
      </c>
      <c r="CCM372" s="21" t="s">
        <v>2955</v>
      </c>
      <c r="CCN372" s="21" t="s">
        <v>2955</v>
      </c>
      <c r="CCO372" s="21" t="s">
        <v>2955</v>
      </c>
      <c r="CCP372" s="21" t="s">
        <v>2955</v>
      </c>
      <c r="CCQ372" s="21" t="s">
        <v>2955</v>
      </c>
      <c r="CCR372" s="21" t="s">
        <v>2955</v>
      </c>
      <c r="CCS372" s="21" t="s">
        <v>2955</v>
      </c>
      <c r="CCT372" s="21" t="s">
        <v>2955</v>
      </c>
      <c r="CCU372" s="21" t="s">
        <v>2955</v>
      </c>
      <c r="CCV372" s="21" t="s">
        <v>2955</v>
      </c>
      <c r="CCW372" s="21" t="s">
        <v>2955</v>
      </c>
      <c r="CCX372" s="21" t="s">
        <v>2955</v>
      </c>
      <c r="CCY372" s="21" t="s">
        <v>2955</v>
      </c>
      <c r="CCZ372" s="21" t="s">
        <v>2955</v>
      </c>
      <c r="CDA372" s="21" t="s">
        <v>2955</v>
      </c>
      <c r="CDB372" s="21" t="s">
        <v>2955</v>
      </c>
      <c r="CDC372" s="21" t="s">
        <v>2955</v>
      </c>
      <c r="CDD372" s="21" t="s">
        <v>2955</v>
      </c>
      <c r="CDE372" s="21" t="s">
        <v>2955</v>
      </c>
      <c r="CDF372" s="21" t="s">
        <v>2955</v>
      </c>
      <c r="CDG372" s="21" t="s">
        <v>2955</v>
      </c>
      <c r="CDH372" s="21" t="s">
        <v>2955</v>
      </c>
      <c r="CDI372" s="21" t="s">
        <v>2955</v>
      </c>
      <c r="CDJ372" s="21" t="s">
        <v>2955</v>
      </c>
      <c r="CDK372" s="21" t="s">
        <v>2955</v>
      </c>
      <c r="CDL372" s="21" t="s">
        <v>2955</v>
      </c>
      <c r="CDM372" s="21" t="s">
        <v>2955</v>
      </c>
      <c r="CDN372" s="21" t="s">
        <v>2955</v>
      </c>
      <c r="CDO372" s="21" t="s">
        <v>2955</v>
      </c>
      <c r="CDP372" s="21" t="s">
        <v>2955</v>
      </c>
      <c r="CDQ372" s="21" t="s">
        <v>2955</v>
      </c>
      <c r="CDR372" s="21" t="s">
        <v>2955</v>
      </c>
      <c r="CDS372" s="21" t="s">
        <v>2955</v>
      </c>
      <c r="CDT372" s="21" t="s">
        <v>2955</v>
      </c>
      <c r="CDU372" s="21" t="s">
        <v>2955</v>
      </c>
      <c r="CDV372" s="21" t="s">
        <v>2955</v>
      </c>
      <c r="CDW372" s="21" t="s">
        <v>2955</v>
      </c>
      <c r="CDX372" s="21" t="s">
        <v>2955</v>
      </c>
      <c r="CDY372" s="21" t="s">
        <v>2955</v>
      </c>
      <c r="CDZ372" s="21" t="s">
        <v>2955</v>
      </c>
      <c r="CEA372" s="21" t="s">
        <v>2955</v>
      </c>
      <c r="CEB372" s="21" t="s">
        <v>2955</v>
      </c>
      <c r="CEC372" s="21" t="s">
        <v>2955</v>
      </c>
      <c r="CED372" s="21" t="s">
        <v>2955</v>
      </c>
      <c r="CEE372" s="21" t="s">
        <v>2955</v>
      </c>
      <c r="CEF372" s="21" t="s">
        <v>2955</v>
      </c>
      <c r="CEG372" s="21" t="s">
        <v>2955</v>
      </c>
      <c r="CEH372" s="21" t="s">
        <v>2955</v>
      </c>
      <c r="CEI372" s="21" t="s">
        <v>2955</v>
      </c>
      <c r="CEJ372" s="21" t="s">
        <v>2955</v>
      </c>
      <c r="CEK372" s="21" t="s">
        <v>2955</v>
      </c>
      <c r="CEL372" s="21" t="s">
        <v>2955</v>
      </c>
      <c r="CEM372" s="21" t="s">
        <v>2955</v>
      </c>
      <c r="CEN372" s="21" t="s">
        <v>2955</v>
      </c>
      <c r="CEO372" s="21" t="s">
        <v>2955</v>
      </c>
      <c r="CEP372" s="21" t="s">
        <v>2955</v>
      </c>
      <c r="CEQ372" s="21" t="s">
        <v>2955</v>
      </c>
      <c r="CER372" s="21" t="s">
        <v>2955</v>
      </c>
      <c r="CES372" s="21" t="s">
        <v>2955</v>
      </c>
      <c r="CET372" s="21" t="s">
        <v>2955</v>
      </c>
      <c r="CEU372" s="21" t="s">
        <v>2955</v>
      </c>
      <c r="CEV372" s="21" t="s">
        <v>2955</v>
      </c>
      <c r="CEW372" s="21" t="s">
        <v>2955</v>
      </c>
      <c r="CEX372" s="21" t="s">
        <v>2955</v>
      </c>
      <c r="CEY372" s="21" t="s">
        <v>2955</v>
      </c>
      <c r="CEZ372" s="21" t="s">
        <v>2955</v>
      </c>
      <c r="CFA372" s="21" t="s">
        <v>2955</v>
      </c>
      <c r="CFB372" s="21" t="s">
        <v>2955</v>
      </c>
      <c r="CFC372" s="21" t="s">
        <v>2955</v>
      </c>
      <c r="CFD372" s="21" t="s">
        <v>2955</v>
      </c>
      <c r="CFE372" s="21" t="s">
        <v>2955</v>
      </c>
      <c r="CFF372" s="21" t="s">
        <v>2955</v>
      </c>
      <c r="CFG372" s="21" t="s">
        <v>2955</v>
      </c>
      <c r="CFH372" s="21" t="s">
        <v>2955</v>
      </c>
      <c r="CFI372" s="21" t="s">
        <v>2955</v>
      </c>
      <c r="CFJ372" s="21" t="s">
        <v>2955</v>
      </c>
      <c r="CFK372" s="21" t="s">
        <v>2955</v>
      </c>
      <c r="CFL372" s="21" t="s">
        <v>2955</v>
      </c>
      <c r="CFM372" s="21" t="s">
        <v>2955</v>
      </c>
      <c r="CFN372" s="21" t="s">
        <v>2955</v>
      </c>
      <c r="CFO372" s="21" t="s">
        <v>2955</v>
      </c>
      <c r="CFP372" s="21" t="s">
        <v>2955</v>
      </c>
      <c r="CFQ372" s="21" t="s">
        <v>2955</v>
      </c>
      <c r="CFR372" s="21" t="s">
        <v>2955</v>
      </c>
      <c r="CFS372" s="21" t="s">
        <v>2955</v>
      </c>
      <c r="CFT372" s="21" t="s">
        <v>2955</v>
      </c>
      <c r="CFU372" s="21" t="s">
        <v>2955</v>
      </c>
      <c r="CFV372" s="21" t="s">
        <v>2955</v>
      </c>
      <c r="CFW372" s="21" t="s">
        <v>2955</v>
      </c>
      <c r="CFX372" s="21" t="s">
        <v>2955</v>
      </c>
      <c r="CFY372" s="21" t="s">
        <v>2955</v>
      </c>
      <c r="CFZ372" s="21" t="s">
        <v>2955</v>
      </c>
      <c r="CGA372" s="21" t="s">
        <v>2955</v>
      </c>
      <c r="CGB372" s="21" t="s">
        <v>2955</v>
      </c>
      <c r="CGC372" s="21" t="s">
        <v>2955</v>
      </c>
      <c r="CGD372" s="21" t="s">
        <v>2955</v>
      </c>
      <c r="CGE372" s="21" t="s">
        <v>2955</v>
      </c>
      <c r="CGF372" s="21" t="s">
        <v>2955</v>
      </c>
      <c r="CGG372" s="21" t="s">
        <v>2955</v>
      </c>
      <c r="CGH372" s="21" t="s">
        <v>2955</v>
      </c>
      <c r="CGI372" s="21" t="s">
        <v>2955</v>
      </c>
      <c r="CGJ372" s="21" t="s">
        <v>2955</v>
      </c>
      <c r="CGK372" s="21" t="s">
        <v>2955</v>
      </c>
      <c r="CGL372" s="21" t="s">
        <v>2955</v>
      </c>
      <c r="CGM372" s="21" t="s">
        <v>2955</v>
      </c>
      <c r="CGN372" s="21" t="s">
        <v>2955</v>
      </c>
      <c r="CGO372" s="21" t="s">
        <v>2955</v>
      </c>
      <c r="CGP372" s="21" t="s">
        <v>2955</v>
      </c>
      <c r="CGQ372" s="21" t="s">
        <v>2955</v>
      </c>
      <c r="CGR372" s="21" t="s">
        <v>2955</v>
      </c>
      <c r="CGS372" s="21" t="s">
        <v>2955</v>
      </c>
      <c r="CGT372" s="21" t="s">
        <v>2955</v>
      </c>
      <c r="CGU372" s="21" t="s">
        <v>2955</v>
      </c>
      <c r="CGV372" s="21" t="s">
        <v>2955</v>
      </c>
      <c r="CGW372" s="21" t="s">
        <v>2955</v>
      </c>
      <c r="CGX372" s="21" t="s">
        <v>2955</v>
      </c>
      <c r="CGY372" s="21" t="s">
        <v>2955</v>
      </c>
      <c r="CGZ372" s="21" t="s">
        <v>2955</v>
      </c>
      <c r="CHA372" s="21" t="s">
        <v>2955</v>
      </c>
      <c r="CHB372" s="21" t="s">
        <v>2955</v>
      </c>
      <c r="CHC372" s="21" t="s">
        <v>2955</v>
      </c>
      <c r="CHD372" s="21" t="s">
        <v>2955</v>
      </c>
      <c r="CHE372" s="21" t="s">
        <v>2955</v>
      </c>
      <c r="CHF372" s="21" t="s">
        <v>2955</v>
      </c>
      <c r="CHG372" s="21" t="s">
        <v>2955</v>
      </c>
      <c r="CHH372" s="21" t="s">
        <v>2955</v>
      </c>
      <c r="CHI372" s="21" t="s">
        <v>2955</v>
      </c>
      <c r="CHJ372" s="21" t="s">
        <v>2955</v>
      </c>
      <c r="CHK372" s="21" t="s">
        <v>2955</v>
      </c>
      <c r="CHL372" s="21" t="s">
        <v>2955</v>
      </c>
      <c r="CHM372" s="21" t="s">
        <v>2955</v>
      </c>
      <c r="CHN372" s="21" t="s">
        <v>2955</v>
      </c>
      <c r="CHO372" s="21" t="s">
        <v>2955</v>
      </c>
      <c r="CHP372" s="21" t="s">
        <v>2955</v>
      </c>
      <c r="CHQ372" s="21" t="s">
        <v>2955</v>
      </c>
      <c r="CHR372" s="21" t="s">
        <v>2955</v>
      </c>
      <c r="CHS372" s="21" t="s">
        <v>2955</v>
      </c>
      <c r="CHT372" s="21" t="s">
        <v>2955</v>
      </c>
      <c r="CHU372" s="21" t="s">
        <v>2955</v>
      </c>
      <c r="CHV372" s="21" t="s">
        <v>2955</v>
      </c>
      <c r="CHW372" s="21" t="s">
        <v>2955</v>
      </c>
      <c r="CHX372" s="21" t="s">
        <v>2955</v>
      </c>
      <c r="CHY372" s="21" t="s">
        <v>2955</v>
      </c>
      <c r="CHZ372" s="21" t="s">
        <v>2955</v>
      </c>
      <c r="CIA372" s="21" t="s">
        <v>2955</v>
      </c>
      <c r="CIB372" s="21" t="s">
        <v>2955</v>
      </c>
      <c r="CIC372" s="21" t="s">
        <v>2955</v>
      </c>
      <c r="CID372" s="21" t="s">
        <v>2955</v>
      </c>
      <c r="CIE372" s="21" t="s">
        <v>2955</v>
      </c>
      <c r="CIF372" s="21" t="s">
        <v>2955</v>
      </c>
      <c r="CIG372" s="21" t="s">
        <v>2955</v>
      </c>
      <c r="CIH372" s="21" t="s">
        <v>2955</v>
      </c>
      <c r="CII372" s="21" t="s">
        <v>2955</v>
      </c>
      <c r="CIJ372" s="21" t="s">
        <v>2955</v>
      </c>
      <c r="CIK372" s="21" t="s">
        <v>2955</v>
      </c>
      <c r="CIL372" s="21" t="s">
        <v>2955</v>
      </c>
      <c r="CIM372" s="21" t="s">
        <v>2955</v>
      </c>
      <c r="CIN372" s="21" t="s">
        <v>2955</v>
      </c>
      <c r="CIO372" s="21" t="s">
        <v>2955</v>
      </c>
      <c r="CIP372" s="21" t="s">
        <v>2955</v>
      </c>
      <c r="CIQ372" s="21" t="s">
        <v>2955</v>
      </c>
      <c r="CIR372" s="21" t="s">
        <v>2955</v>
      </c>
      <c r="CIS372" s="21" t="s">
        <v>2955</v>
      </c>
      <c r="CIT372" s="21" t="s">
        <v>2955</v>
      </c>
      <c r="CIU372" s="21" t="s">
        <v>2955</v>
      </c>
      <c r="CIV372" s="21" t="s">
        <v>2955</v>
      </c>
      <c r="CIW372" s="21" t="s">
        <v>2955</v>
      </c>
      <c r="CIX372" s="21" t="s">
        <v>2955</v>
      </c>
      <c r="CIY372" s="21" t="s">
        <v>2955</v>
      </c>
      <c r="CIZ372" s="21" t="s">
        <v>2955</v>
      </c>
      <c r="CJA372" s="21" t="s">
        <v>2955</v>
      </c>
      <c r="CJB372" s="21" t="s">
        <v>2955</v>
      </c>
      <c r="CJC372" s="21" t="s">
        <v>2955</v>
      </c>
      <c r="CJD372" s="21" t="s">
        <v>2955</v>
      </c>
      <c r="CJE372" s="21" t="s">
        <v>2955</v>
      </c>
      <c r="CJF372" s="21" t="s">
        <v>2955</v>
      </c>
      <c r="CJG372" s="21" t="s">
        <v>2955</v>
      </c>
      <c r="CJH372" s="21" t="s">
        <v>2955</v>
      </c>
      <c r="CJI372" s="21" t="s">
        <v>2955</v>
      </c>
      <c r="CJJ372" s="21" t="s">
        <v>2955</v>
      </c>
      <c r="CJK372" s="21" t="s">
        <v>2955</v>
      </c>
      <c r="CJL372" s="21" t="s">
        <v>2955</v>
      </c>
      <c r="CJM372" s="21" t="s">
        <v>2955</v>
      </c>
      <c r="CJN372" s="21" t="s">
        <v>2955</v>
      </c>
      <c r="CJO372" s="21" t="s">
        <v>2955</v>
      </c>
      <c r="CJP372" s="21" t="s">
        <v>2955</v>
      </c>
      <c r="CJQ372" s="21" t="s">
        <v>2955</v>
      </c>
      <c r="CJR372" s="21" t="s">
        <v>2955</v>
      </c>
      <c r="CJS372" s="21" t="s">
        <v>2955</v>
      </c>
      <c r="CJT372" s="21" t="s">
        <v>2955</v>
      </c>
      <c r="CJU372" s="21" t="s">
        <v>2955</v>
      </c>
      <c r="CJV372" s="21" t="s">
        <v>2955</v>
      </c>
      <c r="CJW372" s="21" t="s">
        <v>2955</v>
      </c>
      <c r="CJX372" s="21" t="s">
        <v>2955</v>
      </c>
      <c r="CJY372" s="21" t="s">
        <v>2955</v>
      </c>
      <c r="CJZ372" s="21" t="s">
        <v>2955</v>
      </c>
      <c r="CKA372" s="21" t="s">
        <v>2955</v>
      </c>
      <c r="CKB372" s="21" t="s">
        <v>2955</v>
      </c>
      <c r="CKC372" s="21" t="s">
        <v>2955</v>
      </c>
      <c r="CKD372" s="21" t="s">
        <v>2955</v>
      </c>
      <c r="CKE372" s="21" t="s">
        <v>2955</v>
      </c>
      <c r="CKF372" s="21" t="s">
        <v>2955</v>
      </c>
      <c r="CKG372" s="21" t="s">
        <v>2955</v>
      </c>
      <c r="CKH372" s="21" t="s">
        <v>2955</v>
      </c>
      <c r="CKI372" s="21" t="s">
        <v>2955</v>
      </c>
      <c r="CKJ372" s="21" t="s">
        <v>2955</v>
      </c>
      <c r="CKK372" s="21" t="s">
        <v>2955</v>
      </c>
      <c r="CKL372" s="21" t="s">
        <v>2955</v>
      </c>
      <c r="CKM372" s="21" t="s">
        <v>2955</v>
      </c>
      <c r="CKN372" s="21" t="s">
        <v>2955</v>
      </c>
      <c r="CKO372" s="21" t="s">
        <v>2955</v>
      </c>
      <c r="CKP372" s="21" t="s">
        <v>2955</v>
      </c>
      <c r="CKQ372" s="21" t="s">
        <v>2955</v>
      </c>
      <c r="CKR372" s="21" t="s">
        <v>2955</v>
      </c>
      <c r="CKS372" s="21" t="s">
        <v>2955</v>
      </c>
      <c r="CKT372" s="21" t="s">
        <v>2955</v>
      </c>
      <c r="CKU372" s="21" t="s">
        <v>2955</v>
      </c>
      <c r="CKV372" s="21" t="s">
        <v>2955</v>
      </c>
      <c r="CKW372" s="21" t="s">
        <v>2955</v>
      </c>
      <c r="CKX372" s="21" t="s">
        <v>2955</v>
      </c>
      <c r="CKY372" s="21" t="s">
        <v>2955</v>
      </c>
      <c r="CKZ372" s="21" t="s">
        <v>2955</v>
      </c>
      <c r="CLA372" s="21" t="s">
        <v>2955</v>
      </c>
      <c r="CLB372" s="21" t="s">
        <v>2955</v>
      </c>
      <c r="CLC372" s="21" t="s">
        <v>2955</v>
      </c>
      <c r="CLD372" s="21" t="s">
        <v>2955</v>
      </c>
      <c r="CLE372" s="21" t="s">
        <v>2955</v>
      </c>
      <c r="CLF372" s="21" t="s">
        <v>2955</v>
      </c>
      <c r="CLG372" s="21" t="s">
        <v>2955</v>
      </c>
      <c r="CLH372" s="21" t="s">
        <v>2955</v>
      </c>
      <c r="CLI372" s="21" t="s">
        <v>2955</v>
      </c>
      <c r="CLJ372" s="21" t="s">
        <v>2955</v>
      </c>
      <c r="CLK372" s="21" t="s">
        <v>2955</v>
      </c>
      <c r="CLL372" s="21" t="s">
        <v>2955</v>
      </c>
      <c r="CLM372" s="21" t="s">
        <v>2955</v>
      </c>
      <c r="CLN372" s="21" t="s">
        <v>2955</v>
      </c>
      <c r="CLO372" s="21" t="s">
        <v>2955</v>
      </c>
      <c r="CLP372" s="21" t="s">
        <v>2955</v>
      </c>
      <c r="CLQ372" s="21" t="s">
        <v>2955</v>
      </c>
      <c r="CLR372" s="21" t="s">
        <v>2955</v>
      </c>
      <c r="CLS372" s="21" t="s">
        <v>2955</v>
      </c>
      <c r="CLT372" s="21" t="s">
        <v>2955</v>
      </c>
      <c r="CLU372" s="21" t="s">
        <v>2955</v>
      </c>
      <c r="CLV372" s="21" t="s">
        <v>2955</v>
      </c>
      <c r="CLW372" s="21" t="s">
        <v>2955</v>
      </c>
      <c r="CLX372" s="21" t="s">
        <v>2955</v>
      </c>
      <c r="CLY372" s="21" t="s">
        <v>2955</v>
      </c>
      <c r="CLZ372" s="21" t="s">
        <v>2955</v>
      </c>
      <c r="CMA372" s="21" t="s">
        <v>2955</v>
      </c>
      <c r="CMB372" s="21" t="s">
        <v>2955</v>
      </c>
      <c r="CMC372" s="21" t="s">
        <v>2955</v>
      </c>
      <c r="CMD372" s="21" t="s">
        <v>2955</v>
      </c>
      <c r="CME372" s="21" t="s">
        <v>2955</v>
      </c>
      <c r="CMF372" s="21" t="s">
        <v>2955</v>
      </c>
      <c r="CMG372" s="21" t="s">
        <v>2955</v>
      </c>
      <c r="CMH372" s="21" t="s">
        <v>2955</v>
      </c>
      <c r="CMI372" s="21" t="s">
        <v>2955</v>
      </c>
      <c r="CMJ372" s="21" t="s">
        <v>2955</v>
      </c>
      <c r="CMK372" s="21" t="s">
        <v>2955</v>
      </c>
      <c r="CML372" s="21" t="s">
        <v>2955</v>
      </c>
      <c r="CMM372" s="21" t="s">
        <v>2955</v>
      </c>
      <c r="CMN372" s="21" t="s">
        <v>2955</v>
      </c>
      <c r="CMO372" s="21" t="s">
        <v>2955</v>
      </c>
      <c r="CMP372" s="21" t="s">
        <v>2955</v>
      </c>
      <c r="CMQ372" s="21" t="s">
        <v>2955</v>
      </c>
      <c r="CMR372" s="21" t="s">
        <v>2955</v>
      </c>
      <c r="CMS372" s="21" t="s">
        <v>2955</v>
      </c>
      <c r="CMT372" s="21" t="s">
        <v>2955</v>
      </c>
      <c r="CMU372" s="21" t="s">
        <v>2955</v>
      </c>
      <c r="CMV372" s="21" t="s">
        <v>2955</v>
      </c>
      <c r="CMW372" s="21" t="s">
        <v>2955</v>
      </c>
      <c r="CMX372" s="21" t="s">
        <v>2955</v>
      </c>
      <c r="CMY372" s="21" t="s">
        <v>2955</v>
      </c>
      <c r="CMZ372" s="21" t="s">
        <v>2955</v>
      </c>
      <c r="CNA372" s="21" t="s">
        <v>2955</v>
      </c>
      <c r="CNB372" s="21" t="s">
        <v>2955</v>
      </c>
      <c r="CNC372" s="21" t="s">
        <v>2955</v>
      </c>
      <c r="CND372" s="21" t="s">
        <v>2955</v>
      </c>
      <c r="CNE372" s="21" t="s">
        <v>2955</v>
      </c>
      <c r="CNF372" s="21" t="s">
        <v>2955</v>
      </c>
      <c r="CNG372" s="21" t="s">
        <v>2955</v>
      </c>
      <c r="CNH372" s="21" t="s">
        <v>2955</v>
      </c>
      <c r="CNI372" s="21" t="s">
        <v>2955</v>
      </c>
      <c r="CNJ372" s="21" t="s">
        <v>2955</v>
      </c>
      <c r="CNK372" s="21" t="s">
        <v>2955</v>
      </c>
      <c r="CNL372" s="21" t="s">
        <v>2955</v>
      </c>
      <c r="CNM372" s="21" t="s">
        <v>2955</v>
      </c>
      <c r="CNN372" s="21" t="s">
        <v>2955</v>
      </c>
      <c r="CNO372" s="21" t="s">
        <v>2955</v>
      </c>
      <c r="CNP372" s="21" t="s">
        <v>2955</v>
      </c>
      <c r="CNQ372" s="21" t="s">
        <v>2955</v>
      </c>
      <c r="CNR372" s="21" t="s">
        <v>2955</v>
      </c>
      <c r="CNS372" s="21" t="s">
        <v>2955</v>
      </c>
      <c r="CNT372" s="21" t="s">
        <v>2955</v>
      </c>
      <c r="CNU372" s="21" t="s">
        <v>2955</v>
      </c>
      <c r="CNV372" s="21" t="s">
        <v>2955</v>
      </c>
      <c r="CNW372" s="21" t="s">
        <v>2955</v>
      </c>
      <c r="CNX372" s="21" t="s">
        <v>2955</v>
      </c>
      <c r="CNY372" s="21" t="s">
        <v>2955</v>
      </c>
      <c r="CNZ372" s="21" t="s">
        <v>2955</v>
      </c>
      <c r="COA372" s="21" t="s">
        <v>2955</v>
      </c>
      <c r="COB372" s="21" t="s">
        <v>2955</v>
      </c>
      <c r="COC372" s="21" t="s">
        <v>2955</v>
      </c>
      <c r="COD372" s="21" t="s">
        <v>2955</v>
      </c>
      <c r="COE372" s="21" t="s">
        <v>2955</v>
      </c>
      <c r="COF372" s="21" t="s">
        <v>2955</v>
      </c>
      <c r="COG372" s="21" t="s">
        <v>2955</v>
      </c>
      <c r="COH372" s="21" t="s">
        <v>2955</v>
      </c>
      <c r="COI372" s="21" t="s">
        <v>2955</v>
      </c>
      <c r="COJ372" s="21" t="s">
        <v>2955</v>
      </c>
      <c r="COK372" s="21" t="s">
        <v>2955</v>
      </c>
      <c r="COL372" s="21" t="s">
        <v>2955</v>
      </c>
      <c r="COM372" s="21" t="s">
        <v>2955</v>
      </c>
      <c r="CON372" s="21" t="s">
        <v>2955</v>
      </c>
      <c r="COO372" s="21" t="s">
        <v>2955</v>
      </c>
      <c r="COP372" s="21" t="s">
        <v>2955</v>
      </c>
      <c r="COQ372" s="21" t="s">
        <v>2955</v>
      </c>
      <c r="COR372" s="21" t="s">
        <v>2955</v>
      </c>
      <c r="COS372" s="21" t="s">
        <v>2955</v>
      </c>
      <c r="COT372" s="21" t="s">
        <v>2955</v>
      </c>
      <c r="COU372" s="21" t="s">
        <v>2955</v>
      </c>
      <c r="COV372" s="21" t="s">
        <v>2955</v>
      </c>
      <c r="COW372" s="21" t="s">
        <v>2955</v>
      </c>
      <c r="COX372" s="21" t="s">
        <v>2955</v>
      </c>
      <c r="COY372" s="21" t="s">
        <v>2955</v>
      </c>
      <c r="COZ372" s="21" t="s">
        <v>2955</v>
      </c>
      <c r="CPA372" s="21" t="s">
        <v>2955</v>
      </c>
      <c r="CPB372" s="21" t="s">
        <v>2955</v>
      </c>
      <c r="CPC372" s="21" t="s">
        <v>2955</v>
      </c>
      <c r="CPD372" s="21" t="s">
        <v>2955</v>
      </c>
      <c r="CPE372" s="21" t="s">
        <v>2955</v>
      </c>
      <c r="CPF372" s="21" t="s">
        <v>2955</v>
      </c>
      <c r="CPG372" s="21" t="s">
        <v>2955</v>
      </c>
      <c r="CPH372" s="21" t="s">
        <v>2955</v>
      </c>
      <c r="CPI372" s="21" t="s">
        <v>2955</v>
      </c>
      <c r="CPJ372" s="21" t="s">
        <v>2955</v>
      </c>
      <c r="CPK372" s="21" t="s">
        <v>2955</v>
      </c>
      <c r="CPL372" s="21" t="s">
        <v>2955</v>
      </c>
      <c r="CPM372" s="21" t="s">
        <v>2955</v>
      </c>
      <c r="CPN372" s="21" t="s">
        <v>2955</v>
      </c>
      <c r="CPO372" s="21" t="s">
        <v>2955</v>
      </c>
      <c r="CPP372" s="21" t="s">
        <v>2955</v>
      </c>
      <c r="CPQ372" s="21" t="s">
        <v>2955</v>
      </c>
      <c r="CPR372" s="21" t="s">
        <v>2955</v>
      </c>
      <c r="CPS372" s="21" t="s">
        <v>2955</v>
      </c>
      <c r="CPT372" s="21" t="s">
        <v>2955</v>
      </c>
      <c r="CPU372" s="21" t="s">
        <v>2955</v>
      </c>
      <c r="CPV372" s="21" t="s">
        <v>2955</v>
      </c>
      <c r="CPW372" s="21" t="s">
        <v>2955</v>
      </c>
      <c r="CPX372" s="21" t="s">
        <v>2955</v>
      </c>
      <c r="CPY372" s="21" t="s">
        <v>2955</v>
      </c>
      <c r="CPZ372" s="21" t="s">
        <v>2955</v>
      </c>
      <c r="CQA372" s="21" t="s">
        <v>2955</v>
      </c>
      <c r="CQB372" s="21" t="s">
        <v>2955</v>
      </c>
      <c r="CQC372" s="21" t="s">
        <v>2955</v>
      </c>
      <c r="CQD372" s="21" t="s">
        <v>2955</v>
      </c>
      <c r="CQE372" s="21" t="s">
        <v>2955</v>
      </c>
      <c r="CQF372" s="21" t="s">
        <v>2955</v>
      </c>
      <c r="CQG372" s="21" t="s">
        <v>2955</v>
      </c>
      <c r="CQH372" s="21" t="s">
        <v>2955</v>
      </c>
      <c r="CQI372" s="21" t="s">
        <v>2955</v>
      </c>
      <c r="CQJ372" s="21" t="s">
        <v>2955</v>
      </c>
      <c r="CQK372" s="21" t="s">
        <v>2955</v>
      </c>
      <c r="CQL372" s="21" t="s">
        <v>2955</v>
      </c>
      <c r="CQM372" s="21" t="s">
        <v>2955</v>
      </c>
      <c r="CQN372" s="21" t="s">
        <v>2955</v>
      </c>
      <c r="CQO372" s="21" t="s">
        <v>2955</v>
      </c>
      <c r="CQP372" s="21" t="s">
        <v>2955</v>
      </c>
      <c r="CQQ372" s="21" t="s">
        <v>2955</v>
      </c>
      <c r="CQR372" s="21" t="s">
        <v>2955</v>
      </c>
      <c r="CQS372" s="21" t="s">
        <v>2955</v>
      </c>
      <c r="CQT372" s="21" t="s">
        <v>2955</v>
      </c>
      <c r="CQU372" s="21" t="s">
        <v>2955</v>
      </c>
      <c r="CQV372" s="21" t="s">
        <v>2955</v>
      </c>
      <c r="CQW372" s="21" t="s">
        <v>2955</v>
      </c>
      <c r="CQX372" s="21" t="s">
        <v>2955</v>
      </c>
      <c r="CQY372" s="21" t="s">
        <v>2955</v>
      </c>
      <c r="CQZ372" s="21" t="s">
        <v>2955</v>
      </c>
      <c r="CRA372" s="21" t="s">
        <v>2955</v>
      </c>
      <c r="CRB372" s="21" t="s">
        <v>2955</v>
      </c>
      <c r="CRC372" s="21" t="s">
        <v>2955</v>
      </c>
      <c r="CRD372" s="21" t="s">
        <v>2955</v>
      </c>
      <c r="CRE372" s="21" t="s">
        <v>2955</v>
      </c>
      <c r="CRF372" s="21" t="s">
        <v>2955</v>
      </c>
      <c r="CRG372" s="21" t="s">
        <v>2955</v>
      </c>
      <c r="CRH372" s="21" t="s">
        <v>2955</v>
      </c>
      <c r="CRI372" s="21" t="s">
        <v>2955</v>
      </c>
      <c r="CRJ372" s="21" t="s">
        <v>2955</v>
      </c>
      <c r="CRK372" s="21" t="s">
        <v>2955</v>
      </c>
      <c r="CRL372" s="21" t="s">
        <v>2955</v>
      </c>
      <c r="CRM372" s="21" t="s">
        <v>2955</v>
      </c>
      <c r="CRN372" s="21" t="s">
        <v>2955</v>
      </c>
      <c r="CRO372" s="21" t="s">
        <v>2955</v>
      </c>
      <c r="CRP372" s="21" t="s">
        <v>2955</v>
      </c>
      <c r="CRQ372" s="21" t="s">
        <v>2955</v>
      </c>
      <c r="CRR372" s="21" t="s">
        <v>2955</v>
      </c>
      <c r="CRS372" s="21" t="s">
        <v>2955</v>
      </c>
      <c r="CRT372" s="21" t="s">
        <v>2955</v>
      </c>
      <c r="CRU372" s="21" t="s">
        <v>2955</v>
      </c>
      <c r="CRV372" s="21" t="s">
        <v>2955</v>
      </c>
      <c r="CRW372" s="21" t="s">
        <v>2955</v>
      </c>
      <c r="CRX372" s="21" t="s">
        <v>2955</v>
      </c>
      <c r="CRY372" s="21" t="s">
        <v>2955</v>
      </c>
      <c r="CRZ372" s="21" t="s">
        <v>2955</v>
      </c>
      <c r="CSA372" s="21" t="s">
        <v>2955</v>
      </c>
      <c r="CSB372" s="21" t="s">
        <v>2955</v>
      </c>
      <c r="CSC372" s="21" t="s">
        <v>2955</v>
      </c>
      <c r="CSD372" s="21" t="s">
        <v>2955</v>
      </c>
      <c r="CSE372" s="21" t="s">
        <v>2955</v>
      </c>
      <c r="CSF372" s="21" t="s">
        <v>2955</v>
      </c>
      <c r="CSG372" s="21" t="s">
        <v>2955</v>
      </c>
      <c r="CSH372" s="21" t="s">
        <v>2955</v>
      </c>
      <c r="CSI372" s="21" t="s">
        <v>2955</v>
      </c>
      <c r="CSJ372" s="21" t="s">
        <v>2955</v>
      </c>
      <c r="CSK372" s="21" t="s">
        <v>2955</v>
      </c>
      <c r="CSL372" s="21" t="s">
        <v>2955</v>
      </c>
      <c r="CSM372" s="21" t="s">
        <v>2955</v>
      </c>
      <c r="CSN372" s="21" t="s">
        <v>2955</v>
      </c>
      <c r="CSO372" s="21" t="s">
        <v>2955</v>
      </c>
      <c r="CSP372" s="21" t="s">
        <v>2955</v>
      </c>
      <c r="CSQ372" s="21" t="s">
        <v>2955</v>
      </c>
      <c r="CSR372" s="21" t="s">
        <v>2955</v>
      </c>
      <c r="CSS372" s="21" t="s">
        <v>2955</v>
      </c>
      <c r="CST372" s="21" t="s">
        <v>2955</v>
      </c>
      <c r="CSU372" s="21" t="s">
        <v>2955</v>
      </c>
      <c r="CSV372" s="21" t="s">
        <v>2955</v>
      </c>
      <c r="CSW372" s="21" t="s">
        <v>2955</v>
      </c>
      <c r="CSX372" s="21" t="s">
        <v>2955</v>
      </c>
      <c r="CSY372" s="21" t="s">
        <v>2955</v>
      </c>
      <c r="CSZ372" s="21" t="s">
        <v>2955</v>
      </c>
      <c r="CTA372" s="21" t="s">
        <v>2955</v>
      </c>
      <c r="CTB372" s="21" t="s">
        <v>2955</v>
      </c>
      <c r="CTC372" s="21" t="s">
        <v>2955</v>
      </c>
      <c r="CTD372" s="21" t="s">
        <v>2955</v>
      </c>
      <c r="CTE372" s="21" t="s">
        <v>2955</v>
      </c>
      <c r="CTF372" s="21" t="s">
        <v>2955</v>
      </c>
      <c r="CTG372" s="21" t="s">
        <v>2955</v>
      </c>
      <c r="CTH372" s="21" t="s">
        <v>2955</v>
      </c>
      <c r="CTI372" s="21" t="s">
        <v>2955</v>
      </c>
      <c r="CTJ372" s="21" t="s">
        <v>2955</v>
      </c>
      <c r="CTK372" s="21" t="s">
        <v>2955</v>
      </c>
      <c r="CTL372" s="21" t="s">
        <v>2955</v>
      </c>
      <c r="CTM372" s="21" t="s">
        <v>2955</v>
      </c>
      <c r="CTN372" s="21" t="s">
        <v>2955</v>
      </c>
      <c r="CTO372" s="21" t="s">
        <v>2955</v>
      </c>
      <c r="CTP372" s="21" t="s">
        <v>2955</v>
      </c>
      <c r="CTQ372" s="21" t="s">
        <v>2955</v>
      </c>
      <c r="CTR372" s="21" t="s">
        <v>2955</v>
      </c>
      <c r="CTS372" s="21" t="s">
        <v>2955</v>
      </c>
      <c r="CTT372" s="21" t="s">
        <v>2955</v>
      </c>
      <c r="CTU372" s="21" t="s">
        <v>2955</v>
      </c>
      <c r="CTV372" s="21" t="s">
        <v>2955</v>
      </c>
      <c r="CTW372" s="21" t="s">
        <v>2955</v>
      </c>
      <c r="CTX372" s="21" t="s">
        <v>2955</v>
      </c>
      <c r="CTY372" s="21" t="s">
        <v>2955</v>
      </c>
      <c r="CTZ372" s="21" t="s">
        <v>2955</v>
      </c>
      <c r="CUA372" s="21" t="s">
        <v>2955</v>
      </c>
      <c r="CUB372" s="21" t="s">
        <v>2955</v>
      </c>
      <c r="CUC372" s="21" t="s">
        <v>2955</v>
      </c>
      <c r="CUD372" s="21" t="s">
        <v>2955</v>
      </c>
      <c r="CUE372" s="21" t="s">
        <v>2955</v>
      </c>
      <c r="CUF372" s="21" t="s">
        <v>2955</v>
      </c>
      <c r="CUG372" s="21" t="s">
        <v>2955</v>
      </c>
      <c r="CUH372" s="21" t="s">
        <v>2955</v>
      </c>
      <c r="CUI372" s="21" t="s">
        <v>2955</v>
      </c>
      <c r="CUJ372" s="21" t="s">
        <v>2955</v>
      </c>
      <c r="CUK372" s="21" t="s">
        <v>2955</v>
      </c>
      <c r="CUL372" s="21" t="s">
        <v>2955</v>
      </c>
      <c r="CUM372" s="21" t="s">
        <v>2955</v>
      </c>
      <c r="CUN372" s="21" t="s">
        <v>2955</v>
      </c>
      <c r="CUO372" s="21" t="s">
        <v>2955</v>
      </c>
      <c r="CUP372" s="21" t="s">
        <v>2955</v>
      </c>
      <c r="CUQ372" s="21" t="s">
        <v>2955</v>
      </c>
      <c r="CUR372" s="21" t="s">
        <v>2955</v>
      </c>
      <c r="CUS372" s="21" t="s">
        <v>2955</v>
      </c>
      <c r="CUT372" s="21" t="s">
        <v>2955</v>
      </c>
      <c r="CUU372" s="21" t="s">
        <v>2955</v>
      </c>
      <c r="CUV372" s="21" t="s">
        <v>2955</v>
      </c>
      <c r="CUW372" s="21" t="s">
        <v>2955</v>
      </c>
      <c r="CUX372" s="21" t="s">
        <v>2955</v>
      </c>
      <c r="CUY372" s="21" t="s">
        <v>2955</v>
      </c>
      <c r="CUZ372" s="21" t="s">
        <v>2955</v>
      </c>
      <c r="CVA372" s="21" t="s">
        <v>2955</v>
      </c>
      <c r="CVB372" s="21" t="s">
        <v>2955</v>
      </c>
      <c r="CVC372" s="21" t="s">
        <v>2955</v>
      </c>
      <c r="CVD372" s="21" t="s">
        <v>2955</v>
      </c>
      <c r="CVE372" s="21" t="s">
        <v>2955</v>
      </c>
      <c r="CVF372" s="21" t="s">
        <v>2955</v>
      </c>
      <c r="CVG372" s="21" t="s">
        <v>2955</v>
      </c>
      <c r="CVH372" s="21" t="s">
        <v>2955</v>
      </c>
      <c r="CVI372" s="21" t="s">
        <v>2955</v>
      </c>
      <c r="CVJ372" s="21" t="s">
        <v>2955</v>
      </c>
      <c r="CVK372" s="21" t="s">
        <v>2955</v>
      </c>
      <c r="CVL372" s="21" t="s">
        <v>2955</v>
      </c>
      <c r="CVM372" s="21" t="s">
        <v>2955</v>
      </c>
      <c r="CVN372" s="21" t="s">
        <v>2955</v>
      </c>
      <c r="CVO372" s="21" t="s">
        <v>2955</v>
      </c>
      <c r="CVP372" s="21" t="s">
        <v>2955</v>
      </c>
      <c r="CVQ372" s="21" t="s">
        <v>2955</v>
      </c>
      <c r="CVR372" s="21" t="s">
        <v>2955</v>
      </c>
      <c r="CVS372" s="21" t="s">
        <v>2955</v>
      </c>
      <c r="CVT372" s="21" t="s">
        <v>2955</v>
      </c>
      <c r="CVU372" s="21" t="s">
        <v>2955</v>
      </c>
      <c r="CVV372" s="21" t="s">
        <v>2955</v>
      </c>
      <c r="CVW372" s="21" t="s">
        <v>2955</v>
      </c>
      <c r="CVX372" s="21" t="s">
        <v>2955</v>
      </c>
      <c r="CVY372" s="21" t="s">
        <v>2955</v>
      </c>
      <c r="CVZ372" s="21" t="s">
        <v>2955</v>
      </c>
      <c r="CWA372" s="21" t="s">
        <v>2955</v>
      </c>
      <c r="CWB372" s="21" t="s">
        <v>2955</v>
      </c>
      <c r="CWC372" s="21" t="s">
        <v>2955</v>
      </c>
      <c r="CWD372" s="21" t="s">
        <v>2955</v>
      </c>
      <c r="CWE372" s="21" t="s">
        <v>2955</v>
      </c>
      <c r="CWF372" s="21" t="s">
        <v>2955</v>
      </c>
      <c r="CWG372" s="21" t="s">
        <v>2955</v>
      </c>
      <c r="CWH372" s="21" t="s">
        <v>2955</v>
      </c>
      <c r="CWI372" s="21" t="s">
        <v>2955</v>
      </c>
      <c r="CWJ372" s="21" t="s">
        <v>2955</v>
      </c>
      <c r="CWK372" s="21" t="s">
        <v>2955</v>
      </c>
      <c r="CWL372" s="21" t="s">
        <v>2955</v>
      </c>
      <c r="CWM372" s="21" t="s">
        <v>2955</v>
      </c>
      <c r="CWN372" s="21" t="s">
        <v>2955</v>
      </c>
      <c r="CWO372" s="21" t="s">
        <v>2955</v>
      </c>
      <c r="CWP372" s="21" t="s">
        <v>2955</v>
      </c>
      <c r="CWQ372" s="21" t="s">
        <v>2955</v>
      </c>
      <c r="CWR372" s="21" t="s">
        <v>2955</v>
      </c>
      <c r="CWS372" s="21" t="s">
        <v>2955</v>
      </c>
      <c r="CWT372" s="21" t="s">
        <v>2955</v>
      </c>
      <c r="CWU372" s="21" t="s">
        <v>2955</v>
      </c>
      <c r="CWV372" s="21" t="s">
        <v>2955</v>
      </c>
      <c r="CWW372" s="21" t="s">
        <v>2955</v>
      </c>
      <c r="CWX372" s="21" t="s">
        <v>2955</v>
      </c>
      <c r="CWY372" s="21" t="s">
        <v>2955</v>
      </c>
      <c r="CWZ372" s="21" t="s">
        <v>2955</v>
      </c>
      <c r="CXA372" s="21" t="s">
        <v>2955</v>
      </c>
      <c r="CXB372" s="21" t="s">
        <v>2955</v>
      </c>
      <c r="CXC372" s="21" t="s">
        <v>2955</v>
      </c>
      <c r="CXD372" s="21" t="s">
        <v>2955</v>
      </c>
      <c r="CXE372" s="21" t="s">
        <v>2955</v>
      </c>
      <c r="CXF372" s="21" t="s">
        <v>2955</v>
      </c>
      <c r="CXG372" s="21" t="s">
        <v>2955</v>
      </c>
      <c r="CXH372" s="21" t="s">
        <v>2955</v>
      </c>
      <c r="CXI372" s="21" t="s">
        <v>2955</v>
      </c>
      <c r="CXJ372" s="21" t="s">
        <v>2955</v>
      </c>
      <c r="CXK372" s="21" t="s">
        <v>2955</v>
      </c>
      <c r="CXL372" s="21" t="s">
        <v>2955</v>
      </c>
      <c r="CXM372" s="21" t="s">
        <v>2955</v>
      </c>
      <c r="CXN372" s="21" t="s">
        <v>2955</v>
      </c>
      <c r="CXO372" s="21" t="s">
        <v>2955</v>
      </c>
      <c r="CXP372" s="21" t="s">
        <v>2955</v>
      </c>
      <c r="CXQ372" s="21" t="s">
        <v>2955</v>
      </c>
      <c r="CXR372" s="21" t="s">
        <v>2955</v>
      </c>
      <c r="CXS372" s="21" t="s">
        <v>2955</v>
      </c>
      <c r="CXT372" s="21" t="s">
        <v>2955</v>
      </c>
      <c r="CXU372" s="21" t="s">
        <v>2955</v>
      </c>
      <c r="CXV372" s="21" t="s">
        <v>2955</v>
      </c>
      <c r="CXW372" s="21" t="s">
        <v>2955</v>
      </c>
      <c r="CXX372" s="21" t="s">
        <v>2955</v>
      </c>
      <c r="CXY372" s="21" t="s">
        <v>2955</v>
      </c>
      <c r="CXZ372" s="21" t="s">
        <v>2955</v>
      </c>
      <c r="CYA372" s="21" t="s">
        <v>2955</v>
      </c>
      <c r="CYB372" s="21" t="s">
        <v>2955</v>
      </c>
      <c r="CYC372" s="21" t="s">
        <v>2955</v>
      </c>
      <c r="CYD372" s="21" t="s">
        <v>2955</v>
      </c>
      <c r="CYE372" s="21" t="s">
        <v>2955</v>
      </c>
      <c r="CYF372" s="21" t="s">
        <v>2955</v>
      </c>
      <c r="CYG372" s="21" t="s">
        <v>2955</v>
      </c>
      <c r="CYH372" s="21" t="s">
        <v>2955</v>
      </c>
      <c r="CYI372" s="21" t="s">
        <v>2955</v>
      </c>
      <c r="CYJ372" s="21" t="s">
        <v>2955</v>
      </c>
      <c r="CYK372" s="21" t="s">
        <v>2955</v>
      </c>
      <c r="CYL372" s="21" t="s">
        <v>2955</v>
      </c>
      <c r="CYM372" s="21" t="s">
        <v>2955</v>
      </c>
      <c r="CYN372" s="21" t="s">
        <v>2955</v>
      </c>
      <c r="CYO372" s="21" t="s">
        <v>2955</v>
      </c>
      <c r="CYP372" s="21" t="s">
        <v>2955</v>
      </c>
      <c r="CYQ372" s="21" t="s">
        <v>2955</v>
      </c>
      <c r="CYR372" s="21" t="s">
        <v>2955</v>
      </c>
      <c r="CYS372" s="21" t="s">
        <v>2955</v>
      </c>
      <c r="CYT372" s="21" t="s">
        <v>2955</v>
      </c>
      <c r="CYU372" s="21" t="s">
        <v>2955</v>
      </c>
      <c r="CYV372" s="21" t="s">
        <v>2955</v>
      </c>
      <c r="CYW372" s="21" t="s">
        <v>2955</v>
      </c>
      <c r="CYX372" s="21" t="s">
        <v>2955</v>
      </c>
      <c r="CYY372" s="21" t="s">
        <v>2955</v>
      </c>
      <c r="CYZ372" s="21" t="s">
        <v>2955</v>
      </c>
      <c r="CZA372" s="21" t="s">
        <v>2955</v>
      </c>
      <c r="CZB372" s="21" t="s">
        <v>2955</v>
      </c>
      <c r="CZC372" s="21" t="s">
        <v>2955</v>
      </c>
      <c r="CZD372" s="21" t="s">
        <v>2955</v>
      </c>
      <c r="CZE372" s="21" t="s">
        <v>2955</v>
      </c>
      <c r="CZF372" s="21" t="s">
        <v>2955</v>
      </c>
      <c r="CZG372" s="21" t="s">
        <v>2955</v>
      </c>
      <c r="CZH372" s="21" t="s">
        <v>2955</v>
      </c>
      <c r="CZI372" s="21" t="s">
        <v>2955</v>
      </c>
      <c r="CZJ372" s="21" t="s">
        <v>2955</v>
      </c>
      <c r="CZK372" s="21" t="s">
        <v>2955</v>
      </c>
      <c r="CZL372" s="21" t="s">
        <v>2955</v>
      </c>
      <c r="CZM372" s="21" t="s">
        <v>2955</v>
      </c>
      <c r="CZN372" s="21" t="s">
        <v>2955</v>
      </c>
      <c r="CZO372" s="21" t="s">
        <v>2955</v>
      </c>
      <c r="CZP372" s="21" t="s">
        <v>2955</v>
      </c>
      <c r="CZQ372" s="21" t="s">
        <v>2955</v>
      </c>
      <c r="CZR372" s="21" t="s">
        <v>2955</v>
      </c>
      <c r="CZS372" s="21" t="s">
        <v>2955</v>
      </c>
      <c r="CZT372" s="21" t="s">
        <v>2955</v>
      </c>
      <c r="CZU372" s="21" t="s">
        <v>2955</v>
      </c>
      <c r="CZV372" s="21" t="s">
        <v>2955</v>
      </c>
      <c r="CZW372" s="21" t="s">
        <v>2955</v>
      </c>
      <c r="CZX372" s="21" t="s">
        <v>2955</v>
      </c>
      <c r="CZY372" s="21" t="s">
        <v>2955</v>
      </c>
      <c r="CZZ372" s="21" t="s">
        <v>2955</v>
      </c>
      <c r="DAA372" s="21" t="s">
        <v>2955</v>
      </c>
      <c r="DAB372" s="21" t="s">
        <v>2955</v>
      </c>
      <c r="DAC372" s="21" t="s">
        <v>2955</v>
      </c>
      <c r="DAD372" s="21" t="s">
        <v>2955</v>
      </c>
      <c r="DAE372" s="21" t="s">
        <v>2955</v>
      </c>
      <c r="DAF372" s="21" t="s">
        <v>2955</v>
      </c>
      <c r="DAG372" s="21" t="s">
        <v>2955</v>
      </c>
      <c r="DAH372" s="21" t="s">
        <v>2955</v>
      </c>
      <c r="DAI372" s="21" t="s">
        <v>2955</v>
      </c>
      <c r="DAJ372" s="21" t="s">
        <v>2955</v>
      </c>
      <c r="DAK372" s="21" t="s">
        <v>2955</v>
      </c>
      <c r="DAL372" s="21" t="s">
        <v>2955</v>
      </c>
      <c r="DAM372" s="21" t="s">
        <v>2955</v>
      </c>
      <c r="DAN372" s="21" t="s">
        <v>2955</v>
      </c>
      <c r="DAO372" s="21" t="s">
        <v>2955</v>
      </c>
      <c r="DAP372" s="21" t="s">
        <v>2955</v>
      </c>
      <c r="DAQ372" s="21" t="s">
        <v>2955</v>
      </c>
      <c r="DAR372" s="21" t="s">
        <v>2955</v>
      </c>
      <c r="DAS372" s="21" t="s">
        <v>2955</v>
      </c>
      <c r="DAT372" s="21" t="s">
        <v>2955</v>
      </c>
      <c r="DAU372" s="21" t="s">
        <v>2955</v>
      </c>
      <c r="DAV372" s="21" t="s">
        <v>2955</v>
      </c>
      <c r="DAW372" s="21" t="s">
        <v>2955</v>
      </c>
      <c r="DAX372" s="21" t="s">
        <v>2955</v>
      </c>
      <c r="DAY372" s="21" t="s">
        <v>2955</v>
      </c>
      <c r="DAZ372" s="21" t="s">
        <v>2955</v>
      </c>
      <c r="DBA372" s="21" t="s">
        <v>2955</v>
      </c>
      <c r="DBB372" s="21" t="s">
        <v>2955</v>
      </c>
      <c r="DBC372" s="21" t="s">
        <v>2955</v>
      </c>
      <c r="DBD372" s="21" t="s">
        <v>2955</v>
      </c>
      <c r="DBE372" s="21" t="s">
        <v>2955</v>
      </c>
      <c r="DBF372" s="21" t="s">
        <v>2955</v>
      </c>
      <c r="DBG372" s="21" t="s">
        <v>2955</v>
      </c>
      <c r="DBH372" s="21" t="s">
        <v>2955</v>
      </c>
      <c r="DBI372" s="21" t="s">
        <v>2955</v>
      </c>
      <c r="DBJ372" s="21" t="s">
        <v>2955</v>
      </c>
      <c r="DBK372" s="21" t="s">
        <v>2955</v>
      </c>
      <c r="DBL372" s="21" t="s">
        <v>2955</v>
      </c>
      <c r="DBM372" s="21" t="s">
        <v>2955</v>
      </c>
      <c r="DBN372" s="21" t="s">
        <v>2955</v>
      </c>
      <c r="DBO372" s="21" t="s">
        <v>2955</v>
      </c>
      <c r="DBP372" s="21" t="s">
        <v>2955</v>
      </c>
      <c r="DBQ372" s="21" t="s">
        <v>2955</v>
      </c>
      <c r="DBR372" s="21" t="s">
        <v>2955</v>
      </c>
      <c r="DBS372" s="21" t="s">
        <v>2955</v>
      </c>
      <c r="DBT372" s="21" t="s">
        <v>2955</v>
      </c>
      <c r="DBU372" s="21" t="s">
        <v>2955</v>
      </c>
      <c r="DBV372" s="21" t="s">
        <v>2955</v>
      </c>
      <c r="DBW372" s="21" t="s">
        <v>2955</v>
      </c>
      <c r="DBX372" s="21" t="s">
        <v>2955</v>
      </c>
      <c r="DBY372" s="21" t="s">
        <v>2955</v>
      </c>
      <c r="DBZ372" s="21" t="s">
        <v>2955</v>
      </c>
      <c r="DCA372" s="21" t="s">
        <v>2955</v>
      </c>
      <c r="DCB372" s="21" t="s">
        <v>2955</v>
      </c>
      <c r="DCC372" s="21" t="s">
        <v>2955</v>
      </c>
      <c r="DCD372" s="21" t="s">
        <v>2955</v>
      </c>
      <c r="DCE372" s="21" t="s">
        <v>2955</v>
      </c>
      <c r="DCF372" s="21" t="s">
        <v>2955</v>
      </c>
      <c r="DCG372" s="21" t="s">
        <v>2955</v>
      </c>
      <c r="DCH372" s="21" t="s">
        <v>2955</v>
      </c>
      <c r="DCI372" s="21" t="s">
        <v>2955</v>
      </c>
      <c r="DCJ372" s="21" t="s">
        <v>2955</v>
      </c>
      <c r="DCK372" s="21" t="s">
        <v>2955</v>
      </c>
      <c r="DCL372" s="21" t="s">
        <v>2955</v>
      </c>
      <c r="DCM372" s="21" t="s">
        <v>2955</v>
      </c>
      <c r="DCN372" s="21" t="s">
        <v>2955</v>
      </c>
      <c r="DCO372" s="21" t="s">
        <v>2955</v>
      </c>
      <c r="DCP372" s="21" t="s">
        <v>2955</v>
      </c>
      <c r="DCQ372" s="21" t="s">
        <v>2955</v>
      </c>
      <c r="DCR372" s="21" t="s">
        <v>2955</v>
      </c>
      <c r="DCS372" s="21" t="s">
        <v>2955</v>
      </c>
      <c r="DCT372" s="21" t="s">
        <v>2955</v>
      </c>
      <c r="DCU372" s="21" t="s">
        <v>2955</v>
      </c>
      <c r="DCV372" s="21" t="s">
        <v>2955</v>
      </c>
      <c r="DCW372" s="21" t="s">
        <v>2955</v>
      </c>
      <c r="DCX372" s="21" t="s">
        <v>2955</v>
      </c>
      <c r="DCY372" s="21" t="s">
        <v>2955</v>
      </c>
      <c r="DCZ372" s="21" t="s">
        <v>2955</v>
      </c>
      <c r="DDA372" s="21" t="s">
        <v>2955</v>
      </c>
      <c r="DDB372" s="21" t="s">
        <v>2955</v>
      </c>
      <c r="DDC372" s="21" t="s">
        <v>2955</v>
      </c>
      <c r="DDD372" s="21" t="s">
        <v>2955</v>
      </c>
      <c r="DDE372" s="21" t="s">
        <v>2955</v>
      </c>
      <c r="DDF372" s="21" t="s">
        <v>2955</v>
      </c>
      <c r="DDG372" s="21" t="s">
        <v>2955</v>
      </c>
      <c r="DDH372" s="21" t="s">
        <v>2955</v>
      </c>
      <c r="DDI372" s="21" t="s">
        <v>2955</v>
      </c>
      <c r="DDJ372" s="21" t="s">
        <v>2955</v>
      </c>
      <c r="DDK372" s="21" t="s">
        <v>2955</v>
      </c>
      <c r="DDL372" s="21" t="s">
        <v>2955</v>
      </c>
      <c r="DDM372" s="21" t="s">
        <v>2955</v>
      </c>
      <c r="DDN372" s="21" t="s">
        <v>2955</v>
      </c>
      <c r="DDO372" s="21" t="s">
        <v>2955</v>
      </c>
      <c r="DDP372" s="21" t="s">
        <v>2955</v>
      </c>
      <c r="DDQ372" s="21" t="s">
        <v>2955</v>
      </c>
      <c r="DDR372" s="21" t="s">
        <v>2955</v>
      </c>
      <c r="DDS372" s="21" t="s">
        <v>2955</v>
      </c>
      <c r="DDT372" s="21" t="s">
        <v>2955</v>
      </c>
      <c r="DDU372" s="21" t="s">
        <v>2955</v>
      </c>
      <c r="DDV372" s="21" t="s">
        <v>2955</v>
      </c>
      <c r="DDW372" s="21" t="s">
        <v>2955</v>
      </c>
      <c r="DDX372" s="21" t="s">
        <v>2955</v>
      </c>
      <c r="DDY372" s="21" t="s">
        <v>2955</v>
      </c>
      <c r="DDZ372" s="21" t="s">
        <v>2955</v>
      </c>
      <c r="DEA372" s="21" t="s">
        <v>2955</v>
      </c>
      <c r="DEB372" s="21" t="s">
        <v>2955</v>
      </c>
      <c r="DEC372" s="21" t="s">
        <v>2955</v>
      </c>
      <c r="DED372" s="21" t="s">
        <v>2955</v>
      </c>
      <c r="DEE372" s="21" t="s">
        <v>2955</v>
      </c>
      <c r="DEF372" s="21" t="s">
        <v>2955</v>
      </c>
      <c r="DEG372" s="21" t="s">
        <v>2955</v>
      </c>
      <c r="DEH372" s="21" t="s">
        <v>2955</v>
      </c>
      <c r="DEI372" s="21" t="s">
        <v>2955</v>
      </c>
      <c r="DEJ372" s="21" t="s">
        <v>2955</v>
      </c>
      <c r="DEK372" s="21" t="s">
        <v>2955</v>
      </c>
      <c r="DEL372" s="21" t="s">
        <v>2955</v>
      </c>
      <c r="DEM372" s="21" t="s">
        <v>2955</v>
      </c>
      <c r="DEN372" s="21" t="s">
        <v>2955</v>
      </c>
      <c r="DEO372" s="21" t="s">
        <v>2955</v>
      </c>
      <c r="DEP372" s="21" t="s">
        <v>2955</v>
      </c>
      <c r="DEQ372" s="21" t="s">
        <v>2955</v>
      </c>
      <c r="DER372" s="21" t="s">
        <v>2955</v>
      </c>
      <c r="DES372" s="21" t="s">
        <v>2955</v>
      </c>
      <c r="DET372" s="21" t="s">
        <v>2955</v>
      </c>
      <c r="DEU372" s="21" t="s">
        <v>2955</v>
      </c>
      <c r="DEV372" s="21" t="s">
        <v>2955</v>
      </c>
      <c r="DEW372" s="21" t="s">
        <v>2955</v>
      </c>
      <c r="DEX372" s="21" t="s">
        <v>2955</v>
      </c>
      <c r="DEY372" s="21" t="s">
        <v>2955</v>
      </c>
      <c r="DEZ372" s="21" t="s">
        <v>2955</v>
      </c>
      <c r="DFA372" s="21" t="s">
        <v>2955</v>
      </c>
      <c r="DFB372" s="21" t="s">
        <v>2955</v>
      </c>
      <c r="DFC372" s="21" t="s">
        <v>2955</v>
      </c>
      <c r="DFD372" s="21" t="s">
        <v>2955</v>
      </c>
      <c r="DFE372" s="21" t="s">
        <v>2955</v>
      </c>
      <c r="DFF372" s="21" t="s">
        <v>2955</v>
      </c>
      <c r="DFG372" s="21" t="s">
        <v>2955</v>
      </c>
      <c r="DFH372" s="21" t="s">
        <v>2955</v>
      </c>
      <c r="DFI372" s="21" t="s">
        <v>2955</v>
      </c>
      <c r="DFJ372" s="21" t="s">
        <v>2955</v>
      </c>
      <c r="DFK372" s="21" t="s">
        <v>2955</v>
      </c>
      <c r="DFL372" s="21" t="s">
        <v>2955</v>
      </c>
      <c r="DFM372" s="21" t="s">
        <v>2955</v>
      </c>
      <c r="DFN372" s="21" t="s">
        <v>2955</v>
      </c>
      <c r="DFO372" s="21" t="s">
        <v>2955</v>
      </c>
      <c r="DFP372" s="21" t="s">
        <v>2955</v>
      </c>
      <c r="DFQ372" s="21" t="s">
        <v>2955</v>
      </c>
      <c r="DFR372" s="21" t="s">
        <v>2955</v>
      </c>
      <c r="DFS372" s="21" t="s">
        <v>2955</v>
      </c>
      <c r="DFT372" s="21" t="s">
        <v>2955</v>
      </c>
      <c r="DFU372" s="21" t="s">
        <v>2955</v>
      </c>
      <c r="DFV372" s="21" t="s">
        <v>2955</v>
      </c>
      <c r="DFW372" s="21" t="s">
        <v>2955</v>
      </c>
      <c r="DFX372" s="21" t="s">
        <v>2955</v>
      </c>
      <c r="DFY372" s="21" t="s">
        <v>2955</v>
      </c>
      <c r="DFZ372" s="21" t="s">
        <v>2955</v>
      </c>
      <c r="DGA372" s="21" t="s">
        <v>2955</v>
      </c>
      <c r="DGB372" s="21" t="s">
        <v>2955</v>
      </c>
      <c r="DGC372" s="21" t="s">
        <v>2955</v>
      </c>
      <c r="DGD372" s="21" t="s">
        <v>2955</v>
      </c>
      <c r="DGE372" s="21" t="s">
        <v>2955</v>
      </c>
      <c r="DGF372" s="21" t="s">
        <v>2955</v>
      </c>
      <c r="DGG372" s="21" t="s">
        <v>2955</v>
      </c>
      <c r="DGH372" s="21" t="s">
        <v>2955</v>
      </c>
      <c r="DGI372" s="21" t="s">
        <v>2955</v>
      </c>
      <c r="DGJ372" s="21" t="s">
        <v>2955</v>
      </c>
      <c r="DGK372" s="21" t="s">
        <v>2955</v>
      </c>
      <c r="DGL372" s="21" t="s">
        <v>2955</v>
      </c>
      <c r="DGM372" s="21" t="s">
        <v>2955</v>
      </c>
      <c r="DGN372" s="21" t="s">
        <v>2955</v>
      </c>
      <c r="DGO372" s="21" t="s">
        <v>2955</v>
      </c>
      <c r="DGP372" s="21" t="s">
        <v>2955</v>
      </c>
      <c r="DGQ372" s="21" t="s">
        <v>2955</v>
      </c>
      <c r="DGR372" s="21" t="s">
        <v>2955</v>
      </c>
      <c r="DGS372" s="21" t="s">
        <v>2955</v>
      </c>
      <c r="DGT372" s="21" t="s">
        <v>2955</v>
      </c>
      <c r="DGU372" s="21" t="s">
        <v>2955</v>
      </c>
      <c r="DGV372" s="21" t="s">
        <v>2955</v>
      </c>
      <c r="DGW372" s="21" t="s">
        <v>2955</v>
      </c>
      <c r="DGX372" s="21" t="s">
        <v>2955</v>
      </c>
      <c r="DGY372" s="21" t="s">
        <v>2955</v>
      </c>
      <c r="DGZ372" s="21" t="s">
        <v>2955</v>
      </c>
      <c r="DHA372" s="21" t="s">
        <v>2955</v>
      </c>
      <c r="DHB372" s="21" t="s">
        <v>2955</v>
      </c>
      <c r="DHC372" s="21" t="s">
        <v>2955</v>
      </c>
      <c r="DHD372" s="21" t="s">
        <v>2955</v>
      </c>
      <c r="DHE372" s="21" t="s">
        <v>2955</v>
      </c>
      <c r="DHF372" s="21" t="s">
        <v>2955</v>
      </c>
      <c r="DHG372" s="21" t="s">
        <v>2955</v>
      </c>
      <c r="DHH372" s="21" t="s">
        <v>2955</v>
      </c>
      <c r="DHI372" s="21" t="s">
        <v>2955</v>
      </c>
      <c r="DHJ372" s="21" t="s">
        <v>2955</v>
      </c>
      <c r="DHK372" s="21" t="s">
        <v>2955</v>
      </c>
      <c r="DHL372" s="21" t="s">
        <v>2955</v>
      </c>
      <c r="DHM372" s="21" t="s">
        <v>2955</v>
      </c>
      <c r="DHN372" s="21" t="s">
        <v>2955</v>
      </c>
      <c r="DHO372" s="21" t="s">
        <v>2955</v>
      </c>
      <c r="DHP372" s="21" t="s">
        <v>2955</v>
      </c>
      <c r="DHQ372" s="21" t="s">
        <v>2955</v>
      </c>
      <c r="DHR372" s="21" t="s">
        <v>2955</v>
      </c>
      <c r="DHS372" s="21" t="s">
        <v>2955</v>
      </c>
      <c r="DHT372" s="21" t="s">
        <v>2955</v>
      </c>
      <c r="DHU372" s="21" t="s">
        <v>2955</v>
      </c>
      <c r="DHV372" s="21" t="s">
        <v>2955</v>
      </c>
      <c r="DHW372" s="21" t="s">
        <v>2955</v>
      </c>
      <c r="DHX372" s="21" t="s">
        <v>2955</v>
      </c>
      <c r="DHY372" s="21" t="s">
        <v>2955</v>
      </c>
      <c r="DHZ372" s="21" t="s">
        <v>2955</v>
      </c>
      <c r="DIA372" s="21" t="s">
        <v>2955</v>
      </c>
      <c r="DIB372" s="21" t="s">
        <v>2955</v>
      </c>
      <c r="DIC372" s="21" t="s">
        <v>2955</v>
      </c>
      <c r="DID372" s="21" t="s">
        <v>2955</v>
      </c>
      <c r="DIE372" s="21" t="s">
        <v>2955</v>
      </c>
      <c r="DIF372" s="21" t="s">
        <v>2955</v>
      </c>
      <c r="DIG372" s="21" t="s">
        <v>2955</v>
      </c>
      <c r="DIH372" s="21" t="s">
        <v>2955</v>
      </c>
      <c r="DII372" s="21" t="s">
        <v>2955</v>
      </c>
      <c r="DIJ372" s="21" t="s">
        <v>2955</v>
      </c>
      <c r="DIK372" s="21" t="s">
        <v>2955</v>
      </c>
      <c r="DIL372" s="21" t="s">
        <v>2955</v>
      </c>
      <c r="DIM372" s="21" t="s">
        <v>2955</v>
      </c>
      <c r="DIN372" s="21" t="s">
        <v>2955</v>
      </c>
      <c r="DIO372" s="21" t="s">
        <v>2955</v>
      </c>
      <c r="DIP372" s="21" t="s">
        <v>2955</v>
      </c>
      <c r="DIQ372" s="21" t="s">
        <v>2955</v>
      </c>
      <c r="DIR372" s="21" t="s">
        <v>2955</v>
      </c>
      <c r="DIS372" s="21" t="s">
        <v>2955</v>
      </c>
      <c r="DIT372" s="21" t="s">
        <v>2955</v>
      </c>
      <c r="DIU372" s="21" t="s">
        <v>2955</v>
      </c>
      <c r="DIV372" s="21" t="s">
        <v>2955</v>
      </c>
      <c r="DIW372" s="21" t="s">
        <v>2955</v>
      </c>
      <c r="DIX372" s="21" t="s">
        <v>2955</v>
      </c>
      <c r="DIY372" s="21" t="s">
        <v>2955</v>
      </c>
      <c r="DIZ372" s="21" t="s">
        <v>2955</v>
      </c>
      <c r="DJA372" s="21" t="s">
        <v>2955</v>
      </c>
      <c r="DJB372" s="21" t="s">
        <v>2955</v>
      </c>
      <c r="DJC372" s="21" t="s">
        <v>2955</v>
      </c>
      <c r="DJD372" s="21" t="s">
        <v>2955</v>
      </c>
      <c r="DJE372" s="21" t="s">
        <v>2955</v>
      </c>
      <c r="DJF372" s="21" t="s">
        <v>2955</v>
      </c>
      <c r="DJG372" s="21" t="s">
        <v>2955</v>
      </c>
      <c r="DJH372" s="21" t="s">
        <v>2955</v>
      </c>
      <c r="DJI372" s="21" t="s">
        <v>2955</v>
      </c>
      <c r="DJJ372" s="21" t="s">
        <v>2955</v>
      </c>
      <c r="DJK372" s="21" t="s">
        <v>2955</v>
      </c>
      <c r="DJL372" s="21" t="s">
        <v>2955</v>
      </c>
      <c r="DJM372" s="21" t="s">
        <v>2955</v>
      </c>
      <c r="DJN372" s="21" t="s">
        <v>2955</v>
      </c>
      <c r="DJO372" s="21" t="s">
        <v>2955</v>
      </c>
      <c r="DJP372" s="21" t="s">
        <v>2955</v>
      </c>
      <c r="DJQ372" s="21" t="s">
        <v>2955</v>
      </c>
      <c r="DJR372" s="21" t="s">
        <v>2955</v>
      </c>
      <c r="DJS372" s="21" t="s">
        <v>2955</v>
      </c>
      <c r="DJT372" s="21" t="s">
        <v>2955</v>
      </c>
      <c r="DJU372" s="21" t="s">
        <v>2955</v>
      </c>
      <c r="DJV372" s="21" t="s">
        <v>2955</v>
      </c>
      <c r="DJW372" s="21" t="s">
        <v>2955</v>
      </c>
      <c r="DJX372" s="21" t="s">
        <v>2955</v>
      </c>
      <c r="DJY372" s="21" t="s">
        <v>2955</v>
      </c>
      <c r="DJZ372" s="21" t="s">
        <v>2955</v>
      </c>
      <c r="DKA372" s="21" t="s">
        <v>2955</v>
      </c>
      <c r="DKB372" s="21" t="s">
        <v>2955</v>
      </c>
      <c r="DKC372" s="21" t="s">
        <v>2955</v>
      </c>
      <c r="DKD372" s="21" t="s">
        <v>2955</v>
      </c>
      <c r="DKE372" s="21" t="s">
        <v>2955</v>
      </c>
      <c r="DKF372" s="21" t="s">
        <v>2955</v>
      </c>
      <c r="DKG372" s="21" t="s">
        <v>2955</v>
      </c>
      <c r="DKH372" s="21" t="s">
        <v>2955</v>
      </c>
      <c r="DKI372" s="21" t="s">
        <v>2955</v>
      </c>
      <c r="DKJ372" s="21" t="s">
        <v>2955</v>
      </c>
      <c r="DKK372" s="21" t="s">
        <v>2955</v>
      </c>
      <c r="DKL372" s="21" t="s">
        <v>2955</v>
      </c>
      <c r="DKM372" s="21" t="s">
        <v>2955</v>
      </c>
      <c r="DKN372" s="21" t="s">
        <v>2955</v>
      </c>
      <c r="DKO372" s="21" t="s">
        <v>2955</v>
      </c>
      <c r="DKP372" s="21" t="s">
        <v>2955</v>
      </c>
      <c r="DKQ372" s="21" t="s">
        <v>2955</v>
      </c>
      <c r="DKR372" s="21" t="s">
        <v>2955</v>
      </c>
      <c r="DKS372" s="21" t="s">
        <v>2955</v>
      </c>
      <c r="DKT372" s="21" t="s">
        <v>2955</v>
      </c>
      <c r="DKU372" s="21" t="s">
        <v>2955</v>
      </c>
      <c r="DKV372" s="21" t="s">
        <v>2955</v>
      </c>
      <c r="DKW372" s="21" t="s">
        <v>2955</v>
      </c>
      <c r="DKX372" s="21" t="s">
        <v>2955</v>
      </c>
      <c r="DKY372" s="21" t="s">
        <v>2955</v>
      </c>
      <c r="DKZ372" s="21" t="s">
        <v>2955</v>
      </c>
      <c r="DLA372" s="21" t="s">
        <v>2955</v>
      </c>
      <c r="DLB372" s="21" t="s">
        <v>2955</v>
      </c>
      <c r="DLC372" s="21" t="s">
        <v>2955</v>
      </c>
      <c r="DLD372" s="21" t="s">
        <v>2955</v>
      </c>
      <c r="DLE372" s="21" t="s">
        <v>2955</v>
      </c>
      <c r="DLF372" s="21" t="s">
        <v>2955</v>
      </c>
      <c r="DLG372" s="21" t="s">
        <v>2955</v>
      </c>
      <c r="DLH372" s="21" t="s">
        <v>2955</v>
      </c>
      <c r="DLI372" s="21" t="s">
        <v>2955</v>
      </c>
      <c r="DLJ372" s="21" t="s">
        <v>2955</v>
      </c>
      <c r="DLK372" s="21" t="s">
        <v>2955</v>
      </c>
      <c r="DLL372" s="21" t="s">
        <v>2955</v>
      </c>
      <c r="DLM372" s="21" t="s">
        <v>2955</v>
      </c>
      <c r="DLN372" s="21" t="s">
        <v>2955</v>
      </c>
      <c r="DLO372" s="21" t="s">
        <v>2955</v>
      </c>
      <c r="DLP372" s="21" t="s">
        <v>2955</v>
      </c>
      <c r="DLQ372" s="21" t="s">
        <v>2955</v>
      </c>
      <c r="DLR372" s="21" t="s">
        <v>2955</v>
      </c>
      <c r="DLS372" s="21" t="s">
        <v>2955</v>
      </c>
      <c r="DLT372" s="21" t="s">
        <v>2955</v>
      </c>
      <c r="DLU372" s="21" t="s">
        <v>2955</v>
      </c>
      <c r="DLV372" s="21" t="s">
        <v>2955</v>
      </c>
      <c r="DLW372" s="21" t="s">
        <v>2955</v>
      </c>
      <c r="DLX372" s="21" t="s">
        <v>2955</v>
      </c>
      <c r="DLY372" s="21" t="s">
        <v>2955</v>
      </c>
      <c r="DLZ372" s="21" t="s">
        <v>2955</v>
      </c>
      <c r="DMA372" s="21" t="s">
        <v>2955</v>
      </c>
      <c r="DMB372" s="21" t="s">
        <v>2955</v>
      </c>
      <c r="DMC372" s="21" t="s">
        <v>2955</v>
      </c>
      <c r="DMD372" s="21" t="s">
        <v>2955</v>
      </c>
      <c r="DME372" s="21" t="s">
        <v>2955</v>
      </c>
      <c r="DMF372" s="21" t="s">
        <v>2955</v>
      </c>
      <c r="DMG372" s="21" t="s">
        <v>2955</v>
      </c>
      <c r="DMH372" s="21" t="s">
        <v>2955</v>
      </c>
      <c r="DMI372" s="21" t="s">
        <v>2955</v>
      </c>
      <c r="DMJ372" s="21" t="s">
        <v>2955</v>
      </c>
      <c r="DMK372" s="21" t="s">
        <v>2955</v>
      </c>
      <c r="DML372" s="21" t="s">
        <v>2955</v>
      </c>
      <c r="DMM372" s="21" t="s">
        <v>2955</v>
      </c>
      <c r="DMN372" s="21" t="s">
        <v>2955</v>
      </c>
      <c r="DMO372" s="21" t="s">
        <v>2955</v>
      </c>
      <c r="DMP372" s="21" t="s">
        <v>2955</v>
      </c>
      <c r="DMQ372" s="21" t="s">
        <v>2955</v>
      </c>
      <c r="DMR372" s="21" t="s">
        <v>2955</v>
      </c>
      <c r="DMS372" s="21" t="s">
        <v>2955</v>
      </c>
      <c r="DMT372" s="21" t="s">
        <v>2955</v>
      </c>
      <c r="DMU372" s="21" t="s">
        <v>2955</v>
      </c>
      <c r="DMV372" s="21" t="s">
        <v>2955</v>
      </c>
      <c r="DMW372" s="21" t="s">
        <v>2955</v>
      </c>
      <c r="DMX372" s="21" t="s">
        <v>2955</v>
      </c>
      <c r="DMY372" s="21" t="s">
        <v>2955</v>
      </c>
      <c r="DMZ372" s="21" t="s">
        <v>2955</v>
      </c>
      <c r="DNA372" s="21" t="s">
        <v>2955</v>
      </c>
      <c r="DNB372" s="21" t="s">
        <v>2955</v>
      </c>
      <c r="DNC372" s="21" t="s">
        <v>2955</v>
      </c>
      <c r="DND372" s="21" t="s">
        <v>2955</v>
      </c>
      <c r="DNE372" s="21" t="s">
        <v>2955</v>
      </c>
      <c r="DNF372" s="21" t="s">
        <v>2955</v>
      </c>
      <c r="DNG372" s="21" t="s">
        <v>2955</v>
      </c>
      <c r="DNH372" s="21" t="s">
        <v>2955</v>
      </c>
      <c r="DNI372" s="21" t="s">
        <v>2955</v>
      </c>
      <c r="DNJ372" s="21" t="s">
        <v>2955</v>
      </c>
      <c r="DNK372" s="21" t="s">
        <v>2955</v>
      </c>
      <c r="DNL372" s="21" t="s">
        <v>2955</v>
      </c>
      <c r="DNM372" s="21" t="s">
        <v>2955</v>
      </c>
      <c r="DNN372" s="21" t="s">
        <v>2955</v>
      </c>
      <c r="DNO372" s="21" t="s">
        <v>2955</v>
      </c>
      <c r="DNP372" s="21" t="s">
        <v>2955</v>
      </c>
      <c r="DNQ372" s="21" t="s">
        <v>2955</v>
      </c>
      <c r="DNR372" s="21" t="s">
        <v>2955</v>
      </c>
      <c r="DNS372" s="21" t="s">
        <v>2955</v>
      </c>
      <c r="DNT372" s="21" t="s">
        <v>2955</v>
      </c>
      <c r="DNU372" s="21" t="s">
        <v>2955</v>
      </c>
      <c r="DNV372" s="21" t="s">
        <v>2955</v>
      </c>
      <c r="DNW372" s="21" t="s">
        <v>2955</v>
      </c>
      <c r="DNX372" s="21" t="s">
        <v>2955</v>
      </c>
      <c r="DNY372" s="21" t="s">
        <v>2955</v>
      </c>
      <c r="DNZ372" s="21" t="s">
        <v>2955</v>
      </c>
      <c r="DOA372" s="21" t="s">
        <v>2955</v>
      </c>
      <c r="DOB372" s="21" t="s">
        <v>2955</v>
      </c>
      <c r="DOC372" s="21" t="s">
        <v>2955</v>
      </c>
      <c r="DOD372" s="21" t="s">
        <v>2955</v>
      </c>
      <c r="DOE372" s="21" t="s">
        <v>2955</v>
      </c>
      <c r="DOF372" s="21" t="s">
        <v>2955</v>
      </c>
      <c r="DOG372" s="21" t="s">
        <v>2955</v>
      </c>
      <c r="DOH372" s="21" t="s">
        <v>2955</v>
      </c>
      <c r="DOI372" s="21" t="s">
        <v>2955</v>
      </c>
      <c r="DOJ372" s="21" t="s">
        <v>2955</v>
      </c>
      <c r="DOK372" s="21" t="s">
        <v>2955</v>
      </c>
      <c r="DOL372" s="21" t="s">
        <v>2955</v>
      </c>
      <c r="DOM372" s="21" t="s">
        <v>2955</v>
      </c>
      <c r="DON372" s="21" t="s">
        <v>2955</v>
      </c>
      <c r="DOO372" s="21" t="s">
        <v>2955</v>
      </c>
      <c r="DOP372" s="21" t="s">
        <v>2955</v>
      </c>
      <c r="DOQ372" s="21" t="s">
        <v>2955</v>
      </c>
      <c r="DOR372" s="21" t="s">
        <v>2955</v>
      </c>
      <c r="DOS372" s="21" t="s">
        <v>2955</v>
      </c>
      <c r="DOT372" s="21" t="s">
        <v>2955</v>
      </c>
      <c r="DOU372" s="21" t="s">
        <v>2955</v>
      </c>
      <c r="DOV372" s="21" t="s">
        <v>2955</v>
      </c>
      <c r="DOW372" s="21" t="s">
        <v>2955</v>
      </c>
      <c r="DOX372" s="21" t="s">
        <v>2955</v>
      </c>
      <c r="DOY372" s="21" t="s">
        <v>2955</v>
      </c>
      <c r="DOZ372" s="21" t="s">
        <v>2955</v>
      </c>
      <c r="DPA372" s="21" t="s">
        <v>2955</v>
      </c>
      <c r="DPB372" s="21" t="s">
        <v>2955</v>
      </c>
      <c r="DPC372" s="21" t="s">
        <v>2955</v>
      </c>
      <c r="DPD372" s="21" t="s">
        <v>2955</v>
      </c>
      <c r="DPE372" s="21" t="s">
        <v>2955</v>
      </c>
      <c r="DPF372" s="21" t="s">
        <v>2955</v>
      </c>
      <c r="DPG372" s="21" t="s">
        <v>2955</v>
      </c>
      <c r="DPH372" s="21" t="s">
        <v>2955</v>
      </c>
      <c r="DPI372" s="21" t="s">
        <v>2955</v>
      </c>
      <c r="DPJ372" s="21" t="s">
        <v>2955</v>
      </c>
      <c r="DPK372" s="21" t="s">
        <v>2955</v>
      </c>
      <c r="DPL372" s="21" t="s">
        <v>2955</v>
      </c>
      <c r="DPM372" s="21" t="s">
        <v>2955</v>
      </c>
      <c r="DPN372" s="21" t="s">
        <v>2955</v>
      </c>
      <c r="DPO372" s="21" t="s">
        <v>2955</v>
      </c>
      <c r="DPP372" s="21" t="s">
        <v>2955</v>
      </c>
      <c r="DPQ372" s="21" t="s">
        <v>2955</v>
      </c>
      <c r="DPR372" s="21" t="s">
        <v>2955</v>
      </c>
      <c r="DPS372" s="21" t="s">
        <v>2955</v>
      </c>
      <c r="DPT372" s="21" t="s">
        <v>2955</v>
      </c>
      <c r="DPU372" s="21" t="s">
        <v>2955</v>
      </c>
      <c r="DPV372" s="21" t="s">
        <v>2955</v>
      </c>
      <c r="DPW372" s="21" t="s">
        <v>2955</v>
      </c>
      <c r="DPX372" s="21" t="s">
        <v>2955</v>
      </c>
      <c r="DPY372" s="21" t="s">
        <v>2955</v>
      </c>
      <c r="DPZ372" s="21" t="s">
        <v>2955</v>
      </c>
      <c r="DQA372" s="21" t="s">
        <v>2955</v>
      </c>
      <c r="DQB372" s="21" t="s">
        <v>2955</v>
      </c>
      <c r="DQC372" s="21" t="s">
        <v>2955</v>
      </c>
      <c r="DQD372" s="21" t="s">
        <v>2955</v>
      </c>
      <c r="DQE372" s="21" t="s">
        <v>2955</v>
      </c>
      <c r="DQF372" s="21" t="s">
        <v>2955</v>
      </c>
      <c r="DQG372" s="21" t="s">
        <v>2955</v>
      </c>
      <c r="DQH372" s="21" t="s">
        <v>2955</v>
      </c>
      <c r="DQI372" s="21" t="s">
        <v>2955</v>
      </c>
      <c r="DQJ372" s="21" t="s">
        <v>2955</v>
      </c>
      <c r="DQK372" s="21" t="s">
        <v>2955</v>
      </c>
      <c r="DQL372" s="21" t="s">
        <v>2955</v>
      </c>
      <c r="DQM372" s="21" t="s">
        <v>2955</v>
      </c>
      <c r="DQN372" s="21" t="s">
        <v>2955</v>
      </c>
      <c r="DQO372" s="21" t="s">
        <v>2955</v>
      </c>
      <c r="DQP372" s="21" t="s">
        <v>2955</v>
      </c>
      <c r="DQQ372" s="21" t="s">
        <v>2955</v>
      </c>
      <c r="DQR372" s="21" t="s">
        <v>2955</v>
      </c>
      <c r="DQS372" s="21" t="s">
        <v>2955</v>
      </c>
      <c r="DQT372" s="21" t="s">
        <v>2955</v>
      </c>
      <c r="DQU372" s="21" t="s">
        <v>2955</v>
      </c>
      <c r="DQV372" s="21" t="s">
        <v>2955</v>
      </c>
      <c r="DQW372" s="21" t="s">
        <v>2955</v>
      </c>
      <c r="DQX372" s="21" t="s">
        <v>2955</v>
      </c>
      <c r="DQY372" s="21" t="s">
        <v>2955</v>
      </c>
      <c r="DQZ372" s="21" t="s">
        <v>2955</v>
      </c>
      <c r="DRA372" s="21" t="s">
        <v>2955</v>
      </c>
      <c r="DRB372" s="21" t="s">
        <v>2955</v>
      </c>
      <c r="DRC372" s="21" t="s">
        <v>2955</v>
      </c>
      <c r="DRD372" s="21" t="s">
        <v>2955</v>
      </c>
      <c r="DRE372" s="21" t="s">
        <v>2955</v>
      </c>
      <c r="DRF372" s="21" t="s">
        <v>2955</v>
      </c>
      <c r="DRG372" s="21" t="s">
        <v>2955</v>
      </c>
      <c r="DRH372" s="21" t="s">
        <v>2955</v>
      </c>
      <c r="DRI372" s="21" t="s">
        <v>2955</v>
      </c>
      <c r="DRJ372" s="21" t="s">
        <v>2955</v>
      </c>
      <c r="DRK372" s="21" t="s">
        <v>2955</v>
      </c>
      <c r="DRL372" s="21" t="s">
        <v>2955</v>
      </c>
      <c r="DRM372" s="21" t="s">
        <v>2955</v>
      </c>
      <c r="DRN372" s="21" t="s">
        <v>2955</v>
      </c>
      <c r="DRO372" s="21" t="s">
        <v>2955</v>
      </c>
      <c r="DRP372" s="21" t="s">
        <v>2955</v>
      </c>
      <c r="DRQ372" s="21" t="s">
        <v>2955</v>
      </c>
      <c r="DRR372" s="21" t="s">
        <v>2955</v>
      </c>
      <c r="DRS372" s="21" t="s">
        <v>2955</v>
      </c>
      <c r="DRT372" s="21" t="s">
        <v>2955</v>
      </c>
      <c r="DRU372" s="21" t="s">
        <v>2955</v>
      </c>
      <c r="DRV372" s="21" t="s">
        <v>2955</v>
      </c>
      <c r="DRW372" s="21" t="s">
        <v>2955</v>
      </c>
      <c r="DRX372" s="21" t="s">
        <v>2955</v>
      </c>
      <c r="DRY372" s="21" t="s">
        <v>2955</v>
      </c>
      <c r="DRZ372" s="21" t="s">
        <v>2955</v>
      </c>
      <c r="DSA372" s="21" t="s">
        <v>2955</v>
      </c>
      <c r="DSB372" s="21" t="s">
        <v>2955</v>
      </c>
      <c r="DSC372" s="21" t="s">
        <v>2955</v>
      </c>
      <c r="DSD372" s="21" t="s">
        <v>2955</v>
      </c>
      <c r="DSE372" s="21" t="s">
        <v>2955</v>
      </c>
      <c r="DSF372" s="21" t="s">
        <v>2955</v>
      </c>
      <c r="DSG372" s="21" t="s">
        <v>2955</v>
      </c>
      <c r="DSH372" s="21" t="s">
        <v>2955</v>
      </c>
      <c r="DSI372" s="21" t="s">
        <v>2955</v>
      </c>
      <c r="DSJ372" s="21" t="s">
        <v>2955</v>
      </c>
      <c r="DSK372" s="21" t="s">
        <v>2955</v>
      </c>
      <c r="DSL372" s="21" t="s">
        <v>2955</v>
      </c>
      <c r="DSM372" s="21" t="s">
        <v>2955</v>
      </c>
      <c r="DSN372" s="21" t="s">
        <v>2955</v>
      </c>
      <c r="DSO372" s="21" t="s">
        <v>2955</v>
      </c>
      <c r="DSP372" s="21" t="s">
        <v>2955</v>
      </c>
      <c r="DSQ372" s="21" t="s">
        <v>2955</v>
      </c>
      <c r="DSR372" s="21" t="s">
        <v>2955</v>
      </c>
      <c r="DSS372" s="21" t="s">
        <v>2955</v>
      </c>
      <c r="DST372" s="21" t="s">
        <v>2955</v>
      </c>
      <c r="DSU372" s="21" t="s">
        <v>2955</v>
      </c>
      <c r="DSV372" s="21" t="s">
        <v>2955</v>
      </c>
      <c r="DSW372" s="21" t="s">
        <v>2955</v>
      </c>
      <c r="DSX372" s="21" t="s">
        <v>2955</v>
      </c>
      <c r="DSY372" s="21" t="s">
        <v>2955</v>
      </c>
      <c r="DSZ372" s="21" t="s">
        <v>2955</v>
      </c>
      <c r="DTA372" s="21" t="s">
        <v>2955</v>
      </c>
      <c r="DTB372" s="21" t="s">
        <v>2955</v>
      </c>
      <c r="DTC372" s="21" t="s">
        <v>2955</v>
      </c>
      <c r="DTD372" s="21" t="s">
        <v>2955</v>
      </c>
      <c r="DTE372" s="21" t="s">
        <v>2955</v>
      </c>
      <c r="DTF372" s="21" t="s">
        <v>2955</v>
      </c>
      <c r="DTG372" s="21" t="s">
        <v>2955</v>
      </c>
      <c r="DTH372" s="21" t="s">
        <v>2955</v>
      </c>
      <c r="DTI372" s="21" t="s">
        <v>2955</v>
      </c>
      <c r="DTJ372" s="21" t="s">
        <v>2955</v>
      </c>
      <c r="DTK372" s="21" t="s">
        <v>2955</v>
      </c>
      <c r="DTL372" s="21" t="s">
        <v>2955</v>
      </c>
      <c r="DTM372" s="21" t="s">
        <v>2955</v>
      </c>
      <c r="DTN372" s="21" t="s">
        <v>2955</v>
      </c>
      <c r="DTO372" s="21" t="s">
        <v>2955</v>
      </c>
      <c r="DTP372" s="21" t="s">
        <v>2955</v>
      </c>
      <c r="DTQ372" s="21" t="s">
        <v>2955</v>
      </c>
      <c r="DTR372" s="21" t="s">
        <v>2955</v>
      </c>
      <c r="DTS372" s="21" t="s">
        <v>2955</v>
      </c>
      <c r="DTT372" s="21" t="s">
        <v>2955</v>
      </c>
      <c r="DTU372" s="21" t="s">
        <v>2955</v>
      </c>
      <c r="DTV372" s="21" t="s">
        <v>2955</v>
      </c>
      <c r="DTW372" s="21" t="s">
        <v>2955</v>
      </c>
      <c r="DTX372" s="21" t="s">
        <v>2955</v>
      </c>
      <c r="DTY372" s="21" t="s">
        <v>2955</v>
      </c>
      <c r="DTZ372" s="21" t="s">
        <v>2955</v>
      </c>
      <c r="DUA372" s="21" t="s">
        <v>2955</v>
      </c>
      <c r="DUB372" s="21" t="s">
        <v>2955</v>
      </c>
      <c r="DUC372" s="21" t="s">
        <v>2955</v>
      </c>
      <c r="DUD372" s="21" t="s">
        <v>2955</v>
      </c>
      <c r="DUE372" s="21" t="s">
        <v>2955</v>
      </c>
      <c r="DUF372" s="21" t="s">
        <v>2955</v>
      </c>
      <c r="DUG372" s="21" t="s">
        <v>2955</v>
      </c>
      <c r="DUH372" s="21" t="s">
        <v>2955</v>
      </c>
      <c r="DUI372" s="21" t="s">
        <v>2955</v>
      </c>
      <c r="DUJ372" s="21" t="s">
        <v>2955</v>
      </c>
      <c r="DUK372" s="21" t="s">
        <v>2955</v>
      </c>
      <c r="DUL372" s="21" t="s">
        <v>2955</v>
      </c>
      <c r="DUM372" s="21" t="s">
        <v>2955</v>
      </c>
      <c r="DUN372" s="21" t="s">
        <v>2955</v>
      </c>
      <c r="DUO372" s="21" t="s">
        <v>2955</v>
      </c>
      <c r="DUP372" s="21" t="s">
        <v>2955</v>
      </c>
      <c r="DUQ372" s="21" t="s">
        <v>2955</v>
      </c>
      <c r="DUR372" s="21" t="s">
        <v>2955</v>
      </c>
      <c r="DUS372" s="21" t="s">
        <v>2955</v>
      </c>
      <c r="DUT372" s="21" t="s">
        <v>2955</v>
      </c>
      <c r="DUU372" s="21" t="s">
        <v>2955</v>
      </c>
      <c r="DUV372" s="21" t="s">
        <v>2955</v>
      </c>
      <c r="DUW372" s="21" t="s">
        <v>2955</v>
      </c>
      <c r="DUX372" s="21" t="s">
        <v>2955</v>
      </c>
      <c r="DUY372" s="21" t="s">
        <v>2955</v>
      </c>
      <c r="DUZ372" s="21" t="s">
        <v>2955</v>
      </c>
      <c r="DVA372" s="21" t="s">
        <v>2955</v>
      </c>
      <c r="DVB372" s="21" t="s">
        <v>2955</v>
      </c>
      <c r="DVC372" s="21" t="s">
        <v>2955</v>
      </c>
      <c r="DVD372" s="21" t="s">
        <v>2955</v>
      </c>
      <c r="DVE372" s="21" t="s">
        <v>2955</v>
      </c>
      <c r="DVF372" s="21" t="s">
        <v>2955</v>
      </c>
      <c r="DVG372" s="21" t="s">
        <v>2955</v>
      </c>
      <c r="DVH372" s="21" t="s">
        <v>2955</v>
      </c>
      <c r="DVI372" s="21" t="s">
        <v>2955</v>
      </c>
      <c r="DVJ372" s="21" t="s">
        <v>2955</v>
      </c>
      <c r="DVK372" s="21" t="s">
        <v>2955</v>
      </c>
      <c r="DVL372" s="21" t="s">
        <v>2955</v>
      </c>
      <c r="DVM372" s="21" t="s">
        <v>2955</v>
      </c>
      <c r="DVN372" s="21" t="s">
        <v>2955</v>
      </c>
      <c r="DVO372" s="21" t="s">
        <v>2955</v>
      </c>
      <c r="DVP372" s="21" t="s">
        <v>2955</v>
      </c>
      <c r="DVQ372" s="21" t="s">
        <v>2955</v>
      </c>
      <c r="DVR372" s="21" t="s">
        <v>2955</v>
      </c>
      <c r="DVS372" s="21" t="s">
        <v>2955</v>
      </c>
      <c r="DVT372" s="21" t="s">
        <v>2955</v>
      </c>
      <c r="DVU372" s="21" t="s">
        <v>2955</v>
      </c>
      <c r="DVV372" s="21" t="s">
        <v>2955</v>
      </c>
      <c r="DVW372" s="21" t="s">
        <v>2955</v>
      </c>
      <c r="DVX372" s="21" t="s">
        <v>2955</v>
      </c>
      <c r="DVY372" s="21" t="s">
        <v>2955</v>
      </c>
      <c r="DVZ372" s="21" t="s">
        <v>2955</v>
      </c>
      <c r="DWA372" s="21" t="s">
        <v>2955</v>
      </c>
      <c r="DWB372" s="21" t="s">
        <v>2955</v>
      </c>
      <c r="DWC372" s="21" t="s">
        <v>2955</v>
      </c>
      <c r="DWD372" s="21" t="s">
        <v>2955</v>
      </c>
      <c r="DWE372" s="21" t="s">
        <v>2955</v>
      </c>
      <c r="DWF372" s="21" t="s">
        <v>2955</v>
      </c>
      <c r="DWG372" s="21" t="s">
        <v>2955</v>
      </c>
      <c r="DWH372" s="21" t="s">
        <v>2955</v>
      </c>
      <c r="DWI372" s="21" t="s">
        <v>2955</v>
      </c>
      <c r="DWJ372" s="21" t="s">
        <v>2955</v>
      </c>
      <c r="DWK372" s="21" t="s">
        <v>2955</v>
      </c>
      <c r="DWL372" s="21" t="s">
        <v>2955</v>
      </c>
      <c r="DWM372" s="21" t="s">
        <v>2955</v>
      </c>
      <c r="DWN372" s="21" t="s">
        <v>2955</v>
      </c>
      <c r="DWO372" s="21" t="s">
        <v>2955</v>
      </c>
      <c r="DWP372" s="21" t="s">
        <v>2955</v>
      </c>
      <c r="DWQ372" s="21" t="s">
        <v>2955</v>
      </c>
      <c r="DWR372" s="21" t="s">
        <v>2955</v>
      </c>
      <c r="DWS372" s="21" t="s">
        <v>2955</v>
      </c>
      <c r="DWT372" s="21" t="s">
        <v>2955</v>
      </c>
      <c r="DWU372" s="21" t="s">
        <v>2955</v>
      </c>
      <c r="DWV372" s="21" t="s">
        <v>2955</v>
      </c>
      <c r="DWW372" s="21" t="s">
        <v>2955</v>
      </c>
      <c r="DWX372" s="21" t="s">
        <v>2955</v>
      </c>
      <c r="DWY372" s="21" t="s">
        <v>2955</v>
      </c>
      <c r="DWZ372" s="21" t="s">
        <v>2955</v>
      </c>
      <c r="DXA372" s="21" t="s">
        <v>2955</v>
      </c>
      <c r="DXB372" s="21" t="s">
        <v>2955</v>
      </c>
      <c r="DXC372" s="21" t="s">
        <v>2955</v>
      </c>
      <c r="DXD372" s="21" t="s">
        <v>2955</v>
      </c>
      <c r="DXE372" s="21" t="s">
        <v>2955</v>
      </c>
      <c r="DXF372" s="21" t="s">
        <v>2955</v>
      </c>
      <c r="DXG372" s="21" t="s">
        <v>2955</v>
      </c>
      <c r="DXH372" s="21" t="s">
        <v>2955</v>
      </c>
      <c r="DXI372" s="21" t="s">
        <v>2955</v>
      </c>
      <c r="DXJ372" s="21" t="s">
        <v>2955</v>
      </c>
      <c r="DXK372" s="21" t="s">
        <v>2955</v>
      </c>
      <c r="DXL372" s="21" t="s">
        <v>2955</v>
      </c>
      <c r="DXM372" s="21" t="s">
        <v>2955</v>
      </c>
      <c r="DXN372" s="21" t="s">
        <v>2955</v>
      </c>
      <c r="DXO372" s="21" t="s">
        <v>2955</v>
      </c>
      <c r="DXP372" s="21" t="s">
        <v>2955</v>
      </c>
      <c r="DXQ372" s="21" t="s">
        <v>2955</v>
      </c>
      <c r="DXR372" s="21" t="s">
        <v>2955</v>
      </c>
      <c r="DXS372" s="21" t="s">
        <v>2955</v>
      </c>
      <c r="DXT372" s="21" t="s">
        <v>2955</v>
      </c>
      <c r="DXU372" s="21" t="s">
        <v>2955</v>
      </c>
      <c r="DXV372" s="21" t="s">
        <v>2955</v>
      </c>
      <c r="DXW372" s="21" t="s">
        <v>2955</v>
      </c>
      <c r="DXX372" s="21" t="s">
        <v>2955</v>
      </c>
      <c r="DXY372" s="21" t="s">
        <v>2955</v>
      </c>
      <c r="DXZ372" s="21" t="s">
        <v>2955</v>
      </c>
      <c r="DYA372" s="21" t="s">
        <v>2955</v>
      </c>
      <c r="DYB372" s="21" t="s">
        <v>2955</v>
      </c>
      <c r="DYC372" s="21" t="s">
        <v>2955</v>
      </c>
      <c r="DYD372" s="21" t="s">
        <v>2955</v>
      </c>
      <c r="DYE372" s="21" t="s">
        <v>2955</v>
      </c>
      <c r="DYF372" s="21" t="s">
        <v>2955</v>
      </c>
      <c r="DYG372" s="21" t="s">
        <v>2955</v>
      </c>
      <c r="DYH372" s="21" t="s">
        <v>2955</v>
      </c>
      <c r="DYI372" s="21" t="s">
        <v>2955</v>
      </c>
      <c r="DYJ372" s="21" t="s">
        <v>2955</v>
      </c>
      <c r="DYK372" s="21" t="s">
        <v>2955</v>
      </c>
      <c r="DYL372" s="21" t="s">
        <v>2955</v>
      </c>
      <c r="DYM372" s="21" t="s">
        <v>2955</v>
      </c>
      <c r="DYN372" s="21" t="s">
        <v>2955</v>
      </c>
      <c r="DYO372" s="21" t="s">
        <v>2955</v>
      </c>
      <c r="DYP372" s="21" t="s">
        <v>2955</v>
      </c>
      <c r="DYQ372" s="21" t="s">
        <v>2955</v>
      </c>
      <c r="DYR372" s="21" t="s">
        <v>2955</v>
      </c>
      <c r="DYS372" s="21" t="s">
        <v>2955</v>
      </c>
      <c r="DYT372" s="21" t="s">
        <v>2955</v>
      </c>
      <c r="DYU372" s="21" t="s">
        <v>2955</v>
      </c>
      <c r="DYV372" s="21" t="s">
        <v>2955</v>
      </c>
      <c r="DYW372" s="21" t="s">
        <v>2955</v>
      </c>
      <c r="DYX372" s="21" t="s">
        <v>2955</v>
      </c>
      <c r="DYY372" s="21" t="s">
        <v>2955</v>
      </c>
      <c r="DYZ372" s="21" t="s">
        <v>2955</v>
      </c>
      <c r="DZA372" s="21" t="s">
        <v>2955</v>
      </c>
      <c r="DZB372" s="21" t="s">
        <v>2955</v>
      </c>
      <c r="DZC372" s="21" t="s">
        <v>2955</v>
      </c>
      <c r="DZD372" s="21" t="s">
        <v>2955</v>
      </c>
      <c r="DZE372" s="21" t="s">
        <v>2955</v>
      </c>
      <c r="DZF372" s="21" t="s">
        <v>2955</v>
      </c>
      <c r="DZG372" s="21" t="s">
        <v>2955</v>
      </c>
      <c r="DZH372" s="21" t="s">
        <v>2955</v>
      </c>
      <c r="DZI372" s="21" t="s">
        <v>2955</v>
      </c>
      <c r="DZJ372" s="21" t="s">
        <v>2955</v>
      </c>
      <c r="DZK372" s="21" t="s">
        <v>2955</v>
      </c>
      <c r="DZL372" s="21" t="s">
        <v>2955</v>
      </c>
      <c r="DZM372" s="21" t="s">
        <v>2955</v>
      </c>
      <c r="DZN372" s="21" t="s">
        <v>2955</v>
      </c>
      <c r="DZO372" s="21" t="s">
        <v>2955</v>
      </c>
      <c r="DZP372" s="21" t="s">
        <v>2955</v>
      </c>
      <c r="DZQ372" s="21" t="s">
        <v>2955</v>
      </c>
      <c r="DZR372" s="21" t="s">
        <v>2955</v>
      </c>
      <c r="DZS372" s="21" t="s">
        <v>2955</v>
      </c>
      <c r="DZT372" s="21" t="s">
        <v>2955</v>
      </c>
      <c r="DZU372" s="21" t="s">
        <v>2955</v>
      </c>
      <c r="DZV372" s="21" t="s">
        <v>2955</v>
      </c>
      <c r="DZW372" s="21" t="s">
        <v>2955</v>
      </c>
      <c r="DZX372" s="21" t="s">
        <v>2955</v>
      </c>
      <c r="DZY372" s="21" t="s">
        <v>2955</v>
      </c>
      <c r="DZZ372" s="21" t="s">
        <v>2955</v>
      </c>
      <c r="EAA372" s="21" t="s">
        <v>2955</v>
      </c>
      <c r="EAB372" s="21" t="s">
        <v>2955</v>
      </c>
      <c r="EAC372" s="21" t="s">
        <v>2955</v>
      </c>
      <c r="EAD372" s="21" t="s">
        <v>2955</v>
      </c>
      <c r="EAE372" s="21" t="s">
        <v>2955</v>
      </c>
      <c r="EAF372" s="21" t="s">
        <v>2955</v>
      </c>
      <c r="EAG372" s="21" t="s">
        <v>2955</v>
      </c>
      <c r="EAH372" s="21" t="s">
        <v>2955</v>
      </c>
      <c r="EAI372" s="21" t="s">
        <v>2955</v>
      </c>
      <c r="EAJ372" s="21" t="s">
        <v>2955</v>
      </c>
      <c r="EAK372" s="21" t="s">
        <v>2955</v>
      </c>
      <c r="EAL372" s="21" t="s">
        <v>2955</v>
      </c>
      <c r="EAM372" s="21" t="s">
        <v>2955</v>
      </c>
      <c r="EAN372" s="21" t="s">
        <v>2955</v>
      </c>
      <c r="EAO372" s="21" t="s">
        <v>2955</v>
      </c>
      <c r="EAP372" s="21" t="s">
        <v>2955</v>
      </c>
      <c r="EAQ372" s="21" t="s">
        <v>2955</v>
      </c>
      <c r="EAR372" s="21" t="s">
        <v>2955</v>
      </c>
      <c r="EAS372" s="21" t="s">
        <v>2955</v>
      </c>
      <c r="EAT372" s="21" t="s">
        <v>2955</v>
      </c>
      <c r="EAU372" s="21" t="s">
        <v>2955</v>
      </c>
      <c r="EAV372" s="21" t="s">
        <v>2955</v>
      </c>
      <c r="EAW372" s="21" t="s">
        <v>2955</v>
      </c>
      <c r="EAX372" s="21" t="s">
        <v>2955</v>
      </c>
      <c r="EAY372" s="21" t="s">
        <v>2955</v>
      </c>
      <c r="EAZ372" s="21" t="s">
        <v>2955</v>
      </c>
      <c r="EBA372" s="21" t="s">
        <v>2955</v>
      </c>
      <c r="EBB372" s="21" t="s">
        <v>2955</v>
      </c>
      <c r="EBC372" s="21" t="s">
        <v>2955</v>
      </c>
      <c r="EBD372" s="21" t="s">
        <v>2955</v>
      </c>
      <c r="EBE372" s="21" t="s">
        <v>2955</v>
      </c>
      <c r="EBF372" s="21" t="s">
        <v>2955</v>
      </c>
      <c r="EBG372" s="21" t="s">
        <v>2955</v>
      </c>
      <c r="EBH372" s="21" t="s">
        <v>2955</v>
      </c>
      <c r="EBI372" s="21" t="s">
        <v>2955</v>
      </c>
      <c r="EBJ372" s="21" t="s">
        <v>2955</v>
      </c>
      <c r="EBK372" s="21" t="s">
        <v>2955</v>
      </c>
      <c r="EBL372" s="21" t="s">
        <v>2955</v>
      </c>
      <c r="EBM372" s="21" t="s">
        <v>2955</v>
      </c>
      <c r="EBN372" s="21" t="s">
        <v>2955</v>
      </c>
      <c r="EBO372" s="21" t="s">
        <v>2955</v>
      </c>
      <c r="EBP372" s="21" t="s">
        <v>2955</v>
      </c>
      <c r="EBQ372" s="21" t="s">
        <v>2955</v>
      </c>
      <c r="EBR372" s="21" t="s">
        <v>2955</v>
      </c>
      <c r="EBS372" s="21" t="s">
        <v>2955</v>
      </c>
      <c r="EBT372" s="21" t="s">
        <v>2955</v>
      </c>
      <c r="EBU372" s="21" t="s">
        <v>2955</v>
      </c>
      <c r="EBV372" s="21" t="s">
        <v>2955</v>
      </c>
      <c r="EBW372" s="21" t="s">
        <v>2955</v>
      </c>
      <c r="EBX372" s="21" t="s">
        <v>2955</v>
      </c>
      <c r="EBY372" s="21" t="s">
        <v>2955</v>
      </c>
      <c r="EBZ372" s="21" t="s">
        <v>2955</v>
      </c>
      <c r="ECA372" s="21" t="s">
        <v>2955</v>
      </c>
      <c r="ECB372" s="21" t="s">
        <v>2955</v>
      </c>
      <c r="ECC372" s="21" t="s">
        <v>2955</v>
      </c>
      <c r="ECD372" s="21" t="s">
        <v>2955</v>
      </c>
      <c r="ECE372" s="21" t="s">
        <v>2955</v>
      </c>
      <c r="ECF372" s="21" t="s">
        <v>2955</v>
      </c>
      <c r="ECG372" s="21" t="s">
        <v>2955</v>
      </c>
      <c r="ECH372" s="21" t="s">
        <v>2955</v>
      </c>
      <c r="ECI372" s="21" t="s">
        <v>2955</v>
      </c>
      <c r="ECJ372" s="21" t="s">
        <v>2955</v>
      </c>
      <c r="ECK372" s="21" t="s">
        <v>2955</v>
      </c>
      <c r="ECL372" s="21" t="s">
        <v>2955</v>
      </c>
      <c r="ECM372" s="21" t="s">
        <v>2955</v>
      </c>
      <c r="ECN372" s="21" t="s">
        <v>2955</v>
      </c>
      <c r="ECO372" s="21" t="s">
        <v>2955</v>
      </c>
      <c r="ECP372" s="21" t="s">
        <v>2955</v>
      </c>
      <c r="ECQ372" s="21" t="s">
        <v>2955</v>
      </c>
      <c r="ECR372" s="21" t="s">
        <v>2955</v>
      </c>
      <c r="ECS372" s="21" t="s">
        <v>2955</v>
      </c>
      <c r="ECT372" s="21" t="s">
        <v>2955</v>
      </c>
      <c r="ECU372" s="21" t="s">
        <v>2955</v>
      </c>
      <c r="ECV372" s="21" t="s">
        <v>2955</v>
      </c>
      <c r="ECW372" s="21" t="s">
        <v>2955</v>
      </c>
      <c r="ECX372" s="21" t="s">
        <v>2955</v>
      </c>
      <c r="ECY372" s="21" t="s">
        <v>2955</v>
      </c>
      <c r="ECZ372" s="21" t="s">
        <v>2955</v>
      </c>
      <c r="EDA372" s="21" t="s">
        <v>2955</v>
      </c>
      <c r="EDB372" s="21" t="s">
        <v>2955</v>
      </c>
      <c r="EDC372" s="21" t="s">
        <v>2955</v>
      </c>
      <c r="EDD372" s="21" t="s">
        <v>2955</v>
      </c>
      <c r="EDE372" s="21" t="s">
        <v>2955</v>
      </c>
      <c r="EDF372" s="21" t="s">
        <v>2955</v>
      </c>
      <c r="EDG372" s="21" t="s">
        <v>2955</v>
      </c>
      <c r="EDH372" s="21" t="s">
        <v>2955</v>
      </c>
      <c r="EDI372" s="21" t="s">
        <v>2955</v>
      </c>
      <c r="EDJ372" s="21" t="s">
        <v>2955</v>
      </c>
      <c r="EDK372" s="21" t="s">
        <v>2955</v>
      </c>
      <c r="EDL372" s="21" t="s">
        <v>2955</v>
      </c>
      <c r="EDM372" s="21" t="s">
        <v>2955</v>
      </c>
      <c r="EDN372" s="21" t="s">
        <v>2955</v>
      </c>
      <c r="EDO372" s="21" t="s">
        <v>2955</v>
      </c>
      <c r="EDP372" s="21" t="s">
        <v>2955</v>
      </c>
      <c r="EDQ372" s="21" t="s">
        <v>2955</v>
      </c>
      <c r="EDR372" s="21" t="s">
        <v>2955</v>
      </c>
      <c r="EDS372" s="21" t="s">
        <v>2955</v>
      </c>
      <c r="EDT372" s="21" t="s">
        <v>2955</v>
      </c>
      <c r="EDU372" s="21" t="s">
        <v>2955</v>
      </c>
      <c r="EDV372" s="21" t="s">
        <v>2955</v>
      </c>
      <c r="EDW372" s="21" t="s">
        <v>2955</v>
      </c>
      <c r="EDX372" s="21" t="s">
        <v>2955</v>
      </c>
      <c r="EDY372" s="21" t="s">
        <v>2955</v>
      </c>
      <c r="EDZ372" s="21" t="s">
        <v>2955</v>
      </c>
      <c r="EEA372" s="21" t="s">
        <v>2955</v>
      </c>
      <c r="EEB372" s="21" t="s">
        <v>2955</v>
      </c>
      <c r="EEC372" s="21" t="s">
        <v>2955</v>
      </c>
      <c r="EED372" s="21" t="s">
        <v>2955</v>
      </c>
      <c r="EEE372" s="21" t="s">
        <v>2955</v>
      </c>
      <c r="EEF372" s="21" t="s">
        <v>2955</v>
      </c>
      <c r="EEG372" s="21" t="s">
        <v>2955</v>
      </c>
      <c r="EEH372" s="21" t="s">
        <v>2955</v>
      </c>
      <c r="EEI372" s="21" t="s">
        <v>2955</v>
      </c>
      <c r="EEJ372" s="21" t="s">
        <v>2955</v>
      </c>
      <c r="EEK372" s="21" t="s">
        <v>2955</v>
      </c>
      <c r="EEL372" s="21" t="s">
        <v>2955</v>
      </c>
      <c r="EEM372" s="21" t="s">
        <v>2955</v>
      </c>
      <c r="EEN372" s="21" t="s">
        <v>2955</v>
      </c>
      <c r="EEO372" s="21" t="s">
        <v>2955</v>
      </c>
      <c r="EEP372" s="21" t="s">
        <v>2955</v>
      </c>
      <c r="EEQ372" s="21" t="s">
        <v>2955</v>
      </c>
      <c r="EER372" s="21" t="s">
        <v>2955</v>
      </c>
      <c r="EES372" s="21" t="s">
        <v>2955</v>
      </c>
      <c r="EET372" s="21" t="s">
        <v>2955</v>
      </c>
      <c r="EEU372" s="21" t="s">
        <v>2955</v>
      </c>
      <c r="EEV372" s="21" t="s">
        <v>2955</v>
      </c>
      <c r="EEW372" s="21" t="s">
        <v>2955</v>
      </c>
      <c r="EEX372" s="21" t="s">
        <v>2955</v>
      </c>
      <c r="EEY372" s="21" t="s">
        <v>2955</v>
      </c>
      <c r="EEZ372" s="21" t="s">
        <v>2955</v>
      </c>
      <c r="EFA372" s="21" t="s">
        <v>2955</v>
      </c>
      <c r="EFB372" s="21" t="s">
        <v>2955</v>
      </c>
      <c r="EFC372" s="21" t="s">
        <v>2955</v>
      </c>
      <c r="EFD372" s="21" t="s">
        <v>2955</v>
      </c>
      <c r="EFE372" s="21" t="s">
        <v>2955</v>
      </c>
      <c r="EFF372" s="21" t="s">
        <v>2955</v>
      </c>
      <c r="EFG372" s="21" t="s">
        <v>2955</v>
      </c>
      <c r="EFH372" s="21" t="s">
        <v>2955</v>
      </c>
      <c r="EFI372" s="21" t="s">
        <v>2955</v>
      </c>
      <c r="EFJ372" s="21" t="s">
        <v>2955</v>
      </c>
      <c r="EFK372" s="21" t="s">
        <v>2955</v>
      </c>
      <c r="EFL372" s="21" t="s">
        <v>2955</v>
      </c>
      <c r="EFM372" s="21" t="s">
        <v>2955</v>
      </c>
      <c r="EFN372" s="21" t="s">
        <v>2955</v>
      </c>
      <c r="EFO372" s="21" t="s">
        <v>2955</v>
      </c>
      <c r="EFP372" s="21" t="s">
        <v>2955</v>
      </c>
      <c r="EFQ372" s="21" t="s">
        <v>2955</v>
      </c>
      <c r="EFR372" s="21" t="s">
        <v>2955</v>
      </c>
      <c r="EFS372" s="21" t="s">
        <v>2955</v>
      </c>
      <c r="EFT372" s="21" t="s">
        <v>2955</v>
      </c>
      <c r="EFU372" s="21" t="s">
        <v>2955</v>
      </c>
      <c r="EFV372" s="21" t="s">
        <v>2955</v>
      </c>
      <c r="EFW372" s="21" t="s">
        <v>2955</v>
      </c>
      <c r="EFX372" s="21" t="s">
        <v>2955</v>
      </c>
      <c r="EFY372" s="21" t="s">
        <v>2955</v>
      </c>
      <c r="EFZ372" s="21" t="s">
        <v>2955</v>
      </c>
      <c r="EGA372" s="21" t="s">
        <v>2955</v>
      </c>
      <c r="EGB372" s="21" t="s">
        <v>2955</v>
      </c>
      <c r="EGC372" s="21" t="s">
        <v>2955</v>
      </c>
      <c r="EGD372" s="21" t="s">
        <v>2955</v>
      </c>
      <c r="EGE372" s="21" t="s">
        <v>2955</v>
      </c>
      <c r="EGF372" s="21" t="s">
        <v>2955</v>
      </c>
      <c r="EGG372" s="21" t="s">
        <v>2955</v>
      </c>
      <c r="EGH372" s="21" t="s">
        <v>2955</v>
      </c>
      <c r="EGI372" s="21" t="s">
        <v>2955</v>
      </c>
      <c r="EGJ372" s="21" t="s">
        <v>2955</v>
      </c>
      <c r="EGK372" s="21" t="s">
        <v>2955</v>
      </c>
      <c r="EGL372" s="21" t="s">
        <v>2955</v>
      </c>
      <c r="EGM372" s="21" t="s">
        <v>2955</v>
      </c>
      <c r="EGN372" s="21" t="s">
        <v>2955</v>
      </c>
      <c r="EGO372" s="21" t="s">
        <v>2955</v>
      </c>
      <c r="EGP372" s="21" t="s">
        <v>2955</v>
      </c>
      <c r="EGQ372" s="21" t="s">
        <v>2955</v>
      </c>
      <c r="EGR372" s="21" t="s">
        <v>2955</v>
      </c>
      <c r="EGS372" s="21" t="s">
        <v>2955</v>
      </c>
      <c r="EGT372" s="21" t="s">
        <v>2955</v>
      </c>
      <c r="EGU372" s="21" t="s">
        <v>2955</v>
      </c>
      <c r="EGV372" s="21" t="s">
        <v>2955</v>
      </c>
      <c r="EGW372" s="21" t="s">
        <v>2955</v>
      </c>
      <c r="EGX372" s="21" t="s">
        <v>2955</v>
      </c>
      <c r="EGY372" s="21" t="s">
        <v>2955</v>
      </c>
      <c r="EGZ372" s="21" t="s">
        <v>2955</v>
      </c>
      <c r="EHA372" s="21" t="s">
        <v>2955</v>
      </c>
      <c r="EHB372" s="21" t="s">
        <v>2955</v>
      </c>
      <c r="EHC372" s="21" t="s">
        <v>2955</v>
      </c>
      <c r="EHD372" s="21" t="s">
        <v>2955</v>
      </c>
      <c r="EHE372" s="21" t="s">
        <v>2955</v>
      </c>
      <c r="EHF372" s="21" t="s">
        <v>2955</v>
      </c>
      <c r="EHG372" s="21" t="s">
        <v>2955</v>
      </c>
      <c r="EHH372" s="21" t="s">
        <v>2955</v>
      </c>
      <c r="EHI372" s="21" t="s">
        <v>2955</v>
      </c>
      <c r="EHJ372" s="21" t="s">
        <v>2955</v>
      </c>
      <c r="EHK372" s="21" t="s">
        <v>2955</v>
      </c>
      <c r="EHL372" s="21" t="s">
        <v>2955</v>
      </c>
      <c r="EHM372" s="21" t="s">
        <v>2955</v>
      </c>
      <c r="EHN372" s="21" t="s">
        <v>2955</v>
      </c>
      <c r="EHO372" s="21" t="s">
        <v>2955</v>
      </c>
      <c r="EHP372" s="21" t="s">
        <v>2955</v>
      </c>
      <c r="EHQ372" s="21" t="s">
        <v>2955</v>
      </c>
      <c r="EHR372" s="21" t="s">
        <v>2955</v>
      </c>
      <c r="EHS372" s="21" t="s">
        <v>2955</v>
      </c>
      <c r="EHT372" s="21" t="s">
        <v>2955</v>
      </c>
      <c r="EHU372" s="21" t="s">
        <v>2955</v>
      </c>
      <c r="EHV372" s="21" t="s">
        <v>2955</v>
      </c>
      <c r="EHW372" s="21" t="s">
        <v>2955</v>
      </c>
      <c r="EHX372" s="21" t="s">
        <v>2955</v>
      </c>
      <c r="EHY372" s="21" t="s">
        <v>2955</v>
      </c>
      <c r="EHZ372" s="21" t="s">
        <v>2955</v>
      </c>
      <c r="EIA372" s="21" t="s">
        <v>2955</v>
      </c>
      <c r="EIB372" s="21" t="s">
        <v>2955</v>
      </c>
      <c r="EIC372" s="21" t="s">
        <v>2955</v>
      </c>
      <c r="EID372" s="21" t="s">
        <v>2955</v>
      </c>
      <c r="EIE372" s="21" t="s">
        <v>2955</v>
      </c>
      <c r="EIF372" s="21" t="s">
        <v>2955</v>
      </c>
      <c r="EIG372" s="21" t="s">
        <v>2955</v>
      </c>
      <c r="EIH372" s="21" t="s">
        <v>2955</v>
      </c>
      <c r="EII372" s="21" t="s">
        <v>2955</v>
      </c>
      <c r="EIJ372" s="21" t="s">
        <v>2955</v>
      </c>
      <c r="EIK372" s="21" t="s">
        <v>2955</v>
      </c>
      <c r="EIL372" s="21" t="s">
        <v>2955</v>
      </c>
      <c r="EIM372" s="21" t="s">
        <v>2955</v>
      </c>
      <c r="EIN372" s="21" t="s">
        <v>2955</v>
      </c>
      <c r="EIO372" s="21" t="s">
        <v>2955</v>
      </c>
      <c r="EIP372" s="21" t="s">
        <v>2955</v>
      </c>
      <c r="EIQ372" s="21" t="s">
        <v>2955</v>
      </c>
      <c r="EIR372" s="21" t="s">
        <v>2955</v>
      </c>
      <c r="EIS372" s="21" t="s">
        <v>2955</v>
      </c>
      <c r="EIT372" s="21" t="s">
        <v>2955</v>
      </c>
      <c r="EIU372" s="21" t="s">
        <v>2955</v>
      </c>
      <c r="EIV372" s="21" t="s">
        <v>2955</v>
      </c>
      <c r="EIW372" s="21" t="s">
        <v>2955</v>
      </c>
      <c r="EIX372" s="21" t="s">
        <v>2955</v>
      </c>
      <c r="EIY372" s="21" t="s">
        <v>2955</v>
      </c>
      <c r="EIZ372" s="21" t="s">
        <v>2955</v>
      </c>
      <c r="EJA372" s="21" t="s">
        <v>2955</v>
      </c>
      <c r="EJB372" s="21" t="s">
        <v>2955</v>
      </c>
      <c r="EJC372" s="21" t="s">
        <v>2955</v>
      </c>
      <c r="EJD372" s="21" t="s">
        <v>2955</v>
      </c>
      <c r="EJE372" s="21" t="s">
        <v>2955</v>
      </c>
      <c r="EJF372" s="21" t="s">
        <v>2955</v>
      </c>
      <c r="EJG372" s="21" t="s">
        <v>2955</v>
      </c>
      <c r="EJH372" s="21" t="s">
        <v>2955</v>
      </c>
      <c r="EJI372" s="21" t="s">
        <v>2955</v>
      </c>
      <c r="EJJ372" s="21" t="s">
        <v>2955</v>
      </c>
      <c r="EJK372" s="21" t="s">
        <v>2955</v>
      </c>
      <c r="EJL372" s="21" t="s">
        <v>2955</v>
      </c>
      <c r="EJM372" s="21" t="s">
        <v>2955</v>
      </c>
      <c r="EJN372" s="21" t="s">
        <v>2955</v>
      </c>
      <c r="EJO372" s="21" t="s">
        <v>2955</v>
      </c>
      <c r="EJP372" s="21" t="s">
        <v>2955</v>
      </c>
      <c r="EJQ372" s="21" t="s">
        <v>2955</v>
      </c>
      <c r="EJR372" s="21" t="s">
        <v>2955</v>
      </c>
      <c r="EJS372" s="21" t="s">
        <v>2955</v>
      </c>
      <c r="EJT372" s="21" t="s">
        <v>2955</v>
      </c>
      <c r="EJU372" s="21" t="s">
        <v>2955</v>
      </c>
      <c r="EJV372" s="21" t="s">
        <v>2955</v>
      </c>
      <c r="EJW372" s="21" t="s">
        <v>2955</v>
      </c>
      <c r="EJX372" s="21" t="s">
        <v>2955</v>
      </c>
      <c r="EJY372" s="21" t="s">
        <v>2955</v>
      </c>
      <c r="EJZ372" s="21" t="s">
        <v>2955</v>
      </c>
      <c r="EKA372" s="21" t="s">
        <v>2955</v>
      </c>
      <c r="EKB372" s="21" t="s">
        <v>2955</v>
      </c>
      <c r="EKC372" s="21" t="s">
        <v>2955</v>
      </c>
      <c r="EKD372" s="21" t="s">
        <v>2955</v>
      </c>
      <c r="EKE372" s="21" t="s">
        <v>2955</v>
      </c>
      <c r="EKF372" s="21" t="s">
        <v>2955</v>
      </c>
      <c r="EKG372" s="21" t="s">
        <v>2955</v>
      </c>
      <c r="EKH372" s="21" t="s">
        <v>2955</v>
      </c>
      <c r="EKI372" s="21" t="s">
        <v>2955</v>
      </c>
      <c r="EKJ372" s="21" t="s">
        <v>2955</v>
      </c>
      <c r="EKK372" s="21" t="s">
        <v>2955</v>
      </c>
      <c r="EKL372" s="21" t="s">
        <v>2955</v>
      </c>
      <c r="EKM372" s="21" t="s">
        <v>2955</v>
      </c>
      <c r="EKN372" s="21" t="s">
        <v>2955</v>
      </c>
      <c r="EKO372" s="21" t="s">
        <v>2955</v>
      </c>
      <c r="EKP372" s="21" t="s">
        <v>2955</v>
      </c>
      <c r="EKQ372" s="21" t="s">
        <v>2955</v>
      </c>
      <c r="EKR372" s="21" t="s">
        <v>2955</v>
      </c>
      <c r="EKS372" s="21" t="s">
        <v>2955</v>
      </c>
      <c r="EKT372" s="21" t="s">
        <v>2955</v>
      </c>
      <c r="EKU372" s="21" t="s">
        <v>2955</v>
      </c>
      <c r="EKV372" s="21" t="s">
        <v>2955</v>
      </c>
      <c r="EKW372" s="21" t="s">
        <v>2955</v>
      </c>
      <c r="EKX372" s="21" t="s">
        <v>2955</v>
      </c>
      <c r="EKY372" s="21" t="s">
        <v>2955</v>
      </c>
      <c r="EKZ372" s="21" t="s">
        <v>2955</v>
      </c>
      <c r="ELA372" s="21" t="s">
        <v>2955</v>
      </c>
      <c r="ELB372" s="21" t="s">
        <v>2955</v>
      </c>
      <c r="ELC372" s="21" t="s">
        <v>2955</v>
      </c>
      <c r="ELD372" s="21" t="s">
        <v>2955</v>
      </c>
      <c r="ELE372" s="21" t="s">
        <v>2955</v>
      </c>
      <c r="ELF372" s="21" t="s">
        <v>2955</v>
      </c>
      <c r="ELG372" s="21" t="s">
        <v>2955</v>
      </c>
      <c r="ELH372" s="21" t="s">
        <v>2955</v>
      </c>
      <c r="ELI372" s="21" t="s">
        <v>2955</v>
      </c>
      <c r="ELJ372" s="21" t="s">
        <v>2955</v>
      </c>
      <c r="ELK372" s="21" t="s">
        <v>2955</v>
      </c>
      <c r="ELL372" s="21" t="s">
        <v>2955</v>
      </c>
      <c r="ELM372" s="21" t="s">
        <v>2955</v>
      </c>
      <c r="ELN372" s="21" t="s">
        <v>2955</v>
      </c>
      <c r="ELO372" s="21" t="s">
        <v>2955</v>
      </c>
      <c r="ELP372" s="21" t="s">
        <v>2955</v>
      </c>
      <c r="ELQ372" s="21" t="s">
        <v>2955</v>
      </c>
      <c r="ELR372" s="21" t="s">
        <v>2955</v>
      </c>
      <c r="ELS372" s="21" t="s">
        <v>2955</v>
      </c>
      <c r="ELT372" s="21" t="s">
        <v>2955</v>
      </c>
      <c r="ELU372" s="21" t="s">
        <v>2955</v>
      </c>
      <c r="ELV372" s="21" t="s">
        <v>2955</v>
      </c>
      <c r="ELW372" s="21" t="s">
        <v>2955</v>
      </c>
      <c r="ELX372" s="21" t="s">
        <v>2955</v>
      </c>
      <c r="ELY372" s="21" t="s">
        <v>2955</v>
      </c>
      <c r="ELZ372" s="21" t="s">
        <v>2955</v>
      </c>
      <c r="EMA372" s="21" t="s">
        <v>2955</v>
      </c>
      <c r="EMB372" s="21" t="s">
        <v>2955</v>
      </c>
      <c r="EMC372" s="21" t="s">
        <v>2955</v>
      </c>
      <c r="EMD372" s="21" t="s">
        <v>2955</v>
      </c>
      <c r="EME372" s="21" t="s">
        <v>2955</v>
      </c>
      <c r="EMF372" s="21" t="s">
        <v>2955</v>
      </c>
      <c r="EMG372" s="21" t="s">
        <v>2955</v>
      </c>
      <c r="EMH372" s="21" t="s">
        <v>2955</v>
      </c>
      <c r="EMI372" s="21" t="s">
        <v>2955</v>
      </c>
      <c r="EMJ372" s="21" t="s">
        <v>2955</v>
      </c>
      <c r="EMK372" s="21" t="s">
        <v>2955</v>
      </c>
      <c r="EML372" s="21" t="s">
        <v>2955</v>
      </c>
      <c r="EMM372" s="21" t="s">
        <v>2955</v>
      </c>
      <c r="EMN372" s="21" t="s">
        <v>2955</v>
      </c>
      <c r="EMO372" s="21" t="s">
        <v>2955</v>
      </c>
      <c r="EMP372" s="21" t="s">
        <v>2955</v>
      </c>
      <c r="EMQ372" s="21" t="s">
        <v>2955</v>
      </c>
      <c r="EMR372" s="21" t="s">
        <v>2955</v>
      </c>
      <c r="EMS372" s="21" t="s">
        <v>2955</v>
      </c>
      <c r="EMT372" s="21" t="s">
        <v>2955</v>
      </c>
      <c r="EMU372" s="21" t="s">
        <v>2955</v>
      </c>
      <c r="EMV372" s="21" t="s">
        <v>2955</v>
      </c>
      <c r="EMW372" s="21" t="s">
        <v>2955</v>
      </c>
      <c r="EMX372" s="21" t="s">
        <v>2955</v>
      </c>
      <c r="EMY372" s="21" t="s">
        <v>2955</v>
      </c>
      <c r="EMZ372" s="21" t="s">
        <v>2955</v>
      </c>
      <c r="ENA372" s="21" t="s">
        <v>2955</v>
      </c>
      <c r="ENB372" s="21" t="s">
        <v>2955</v>
      </c>
      <c r="ENC372" s="21" t="s">
        <v>2955</v>
      </c>
      <c r="END372" s="21" t="s">
        <v>2955</v>
      </c>
      <c r="ENE372" s="21" t="s">
        <v>2955</v>
      </c>
      <c r="ENF372" s="21" t="s">
        <v>2955</v>
      </c>
      <c r="ENG372" s="21" t="s">
        <v>2955</v>
      </c>
      <c r="ENH372" s="21" t="s">
        <v>2955</v>
      </c>
      <c r="ENI372" s="21" t="s">
        <v>2955</v>
      </c>
      <c r="ENJ372" s="21" t="s">
        <v>2955</v>
      </c>
      <c r="ENK372" s="21" t="s">
        <v>2955</v>
      </c>
      <c r="ENL372" s="21" t="s">
        <v>2955</v>
      </c>
      <c r="ENM372" s="21" t="s">
        <v>2955</v>
      </c>
      <c r="ENN372" s="21" t="s">
        <v>2955</v>
      </c>
      <c r="ENO372" s="21" t="s">
        <v>2955</v>
      </c>
      <c r="ENP372" s="21" t="s">
        <v>2955</v>
      </c>
      <c r="ENQ372" s="21" t="s">
        <v>2955</v>
      </c>
      <c r="ENR372" s="21" t="s">
        <v>2955</v>
      </c>
      <c r="ENS372" s="21" t="s">
        <v>2955</v>
      </c>
      <c r="ENT372" s="21" t="s">
        <v>2955</v>
      </c>
      <c r="ENU372" s="21" t="s">
        <v>2955</v>
      </c>
      <c r="ENV372" s="21" t="s">
        <v>2955</v>
      </c>
      <c r="ENW372" s="21" t="s">
        <v>2955</v>
      </c>
      <c r="ENX372" s="21" t="s">
        <v>2955</v>
      </c>
      <c r="ENY372" s="21" t="s">
        <v>2955</v>
      </c>
      <c r="ENZ372" s="21" t="s">
        <v>2955</v>
      </c>
      <c r="EOA372" s="21" t="s">
        <v>2955</v>
      </c>
      <c r="EOB372" s="21" t="s">
        <v>2955</v>
      </c>
      <c r="EOC372" s="21" t="s">
        <v>2955</v>
      </c>
      <c r="EOD372" s="21" t="s">
        <v>2955</v>
      </c>
      <c r="EOE372" s="21" t="s">
        <v>2955</v>
      </c>
      <c r="EOF372" s="21" t="s">
        <v>2955</v>
      </c>
      <c r="EOG372" s="21" t="s">
        <v>2955</v>
      </c>
      <c r="EOH372" s="21" t="s">
        <v>2955</v>
      </c>
      <c r="EOI372" s="21" t="s">
        <v>2955</v>
      </c>
      <c r="EOJ372" s="21" t="s">
        <v>2955</v>
      </c>
      <c r="EOK372" s="21" t="s">
        <v>2955</v>
      </c>
      <c r="EOL372" s="21" t="s">
        <v>2955</v>
      </c>
      <c r="EOM372" s="21" t="s">
        <v>2955</v>
      </c>
      <c r="EON372" s="21" t="s">
        <v>2955</v>
      </c>
      <c r="EOO372" s="21" t="s">
        <v>2955</v>
      </c>
      <c r="EOP372" s="21" t="s">
        <v>2955</v>
      </c>
      <c r="EOQ372" s="21" t="s">
        <v>2955</v>
      </c>
      <c r="EOR372" s="21" t="s">
        <v>2955</v>
      </c>
      <c r="EOS372" s="21" t="s">
        <v>2955</v>
      </c>
      <c r="EOT372" s="21" t="s">
        <v>2955</v>
      </c>
      <c r="EOU372" s="21" t="s">
        <v>2955</v>
      </c>
      <c r="EOV372" s="21" t="s">
        <v>2955</v>
      </c>
      <c r="EOW372" s="21" t="s">
        <v>2955</v>
      </c>
      <c r="EOX372" s="21" t="s">
        <v>2955</v>
      </c>
      <c r="EOY372" s="21" t="s">
        <v>2955</v>
      </c>
      <c r="EOZ372" s="21" t="s">
        <v>2955</v>
      </c>
      <c r="EPA372" s="21" t="s">
        <v>2955</v>
      </c>
      <c r="EPB372" s="21" t="s">
        <v>2955</v>
      </c>
      <c r="EPC372" s="21" t="s">
        <v>2955</v>
      </c>
      <c r="EPD372" s="21" t="s">
        <v>2955</v>
      </c>
      <c r="EPE372" s="21" t="s">
        <v>2955</v>
      </c>
      <c r="EPF372" s="21" t="s">
        <v>2955</v>
      </c>
      <c r="EPG372" s="21" t="s">
        <v>2955</v>
      </c>
      <c r="EPH372" s="21" t="s">
        <v>2955</v>
      </c>
      <c r="EPI372" s="21" t="s">
        <v>2955</v>
      </c>
      <c r="EPJ372" s="21" t="s">
        <v>2955</v>
      </c>
      <c r="EPK372" s="21" t="s">
        <v>2955</v>
      </c>
      <c r="EPL372" s="21" t="s">
        <v>2955</v>
      </c>
      <c r="EPM372" s="21" t="s">
        <v>2955</v>
      </c>
      <c r="EPN372" s="21" t="s">
        <v>2955</v>
      </c>
      <c r="EPO372" s="21" t="s">
        <v>2955</v>
      </c>
      <c r="EPP372" s="21" t="s">
        <v>2955</v>
      </c>
      <c r="EPQ372" s="21" t="s">
        <v>2955</v>
      </c>
      <c r="EPR372" s="21" t="s">
        <v>2955</v>
      </c>
      <c r="EPS372" s="21" t="s">
        <v>2955</v>
      </c>
      <c r="EPT372" s="21" t="s">
        <v>2955</v>
      </c>
      <c r="EPU372" s="21" t="s">
        <v>2955</v>
      </c>
      <c r="EPV372" s="21" t="s">
        <v>2955</v>
      </c>
      <c r="EPW372" s="21" t="s">
        <v>2955</v>
      </c>
      <c r="EPX372" s="21" t="s">
        <v>2955</v>
      </c>
      <c r="EPY372" s="21" t="s">
        <v>2955</v>
      </c>
      <c r="EPZ372" s="21" t="s">
        <v>2955</v>
      </c>
      <c r="EQA372" s="21" t="s">
        <v>2955</v>
      </c>
      <c r="EQB372" s="21" t="s">
        <v>2955</v>
      </c>
      <c r="EQC372" s="21" t="s">
        <v>2955</v>
      </c>
      <c r="EQD372" s="21" t="s">
        <v>2955</v>
      </c>
      <c r="EQE372" s="21" t="s">
        <v>2955</v>
      </c>
      <c r="EQF372" s="21" t="s">
        <v>2955</v>
      </c>
      <c r="EQG372" s="21" t="s">
        <v>2955</v>
      </c>
      <c r="EQH372" s="21" t="s">
        <v>2955</v>
      </c>
      <c r="EQI372" s="21" t="s">
        <v>2955</v>
      </c>
      <c r="EQJ372" s="21" t="s">
        <v>2955</v>
      </c>
      <c r="EQK372" s="21" t="s">
        <v>2955</v>
      </c>
      <c r="EQL372" s="21" t="s">
        <v>2955</v>
      </c>
      <c r="EQM372" s="21" t="s">
        <v>2955</v>
      </c>
      <c r="EQN372" s="21" t="s">
        <v>2955</v>
      </c>
      <c r="EQO372" s="21" t="s">
        <v>2955</v>
      </c>
      <c r="EQP372" s="21" t="s">
        <v>2955</v>
      </c>
      <c r="EQQ372" s="21" t="s">
        <v>2955</v>
      </c>
      <c r="EQR372" s="21" t="s">
        <v>2955</v>
      </c>
      <c r="EQS372" s="21" t="s">
        <v>2955</v>
      </c>
      <c r="EQT372" s="21" t="s">
        <v>2955</v>
      </c>
      <c r="EQU372" s="21" t="s">
        <v>2955</v>
      </c>
      <c r="EQV372" s="21" t="s">
        <v>2955</v>
      </c>
      <c r="EQW372" s="21" t="s">
        <v>2955</v>
      </c>
      <c r="EQX372" s="21" t="s">
        <v>2955</v>
      </c>
      <c r="EQY372" s="21" t="s">
        <v>2955</v>
      </c>
      <c r="EQZ372" s="21" t="s">
        <v>2955</v>
      </c>
      <c r="ERA372" s="21" t="s">
        <v>2955</v>
      </c>
      <c r="ERB372" s="21" t="s">
        <v>2955</v>
      </c>
      <c r="ERC372" s="21" t="s">
        <v>2955</v>
      </c>
      <c r="ERD372" s="21" t="s">
        <v>2955</v>
      </c>
      <c r="ERE372" s="21" t="s">
        <v>2955</v>
      </c>
      <c r="ERF372" s="21" t="s">
        <v>2955</v>
      </c>
      <c r="ERG372" s="21" t="s">
        <v>2955</v>
      </c>
      <c r="ERH372" s="21" t="s">
        <v>2955</v>
      </c>
      <c r="ERI372" s="21" t="s">
        <v>2955</v>
      </c>
      <c r="ERJ372" s="21" t="s">
        <v>2955</v>
      </c>
      <c r="ERK372" s="21" t="s">
        <v>2955</v>
      </c>
      <c r="ERL372" s="21" t="s">
        <v>2955</v>
      </c>
      <c r="ERM372" s="21" t="s">
        <v>2955</v>
      </c>
      <c r="ERN372" s="21" t="s">
        <v>2955</v>
      </c>
      <c r="ERO372" s="21" t="s">
        <v>2955</v>
      </c>
      <c r="ERP372" s="21" t="s">
        <v>2955</v>
      </c>
      <c r="ERQ372" s="21" t="s">
        <v>2955</v>
      </c>
      <c r="ERR372" s="21" t="s">
        <v>2955</v>
      </c>
      <c r="ERS372" s="21" t="s">
        <v>2955</v>
      </c>
      <c r="ERT372" s="21" t="s">
        <v>2955</v>
      </c>
      <c r="ERU372" s="21" t="s">
        <v>2955</v>
      </c>
      <c r="ERV372" s="21" t="s">
        <v>2955</v>
      </c>
      <c r="ERW372" s="21" t="s">
        <v>2955</v>
      </c>
      <c r="ERX372" s="21" t="s">
        <v>2955</v>
      </c>
      <c r="ERY372" s="21" t="s">
        <v>2955</v>
      </c>
      <c r="ERZ372" s="21" t="s">
        <v>2955</v>
      </c>
      <c r="ESA372" s="21" t="s">
        <v>2955</v>
      </c>
      <c r="ESB372" s="21" t="s">
        <v>2955</v>
      </c>
      <c r="ESC372" s="21" t="s">
        <v>2955</v>
      </c>
      <c r="ESD372" s="21" t="s">
        <v>2955</v>
      </c>
      <c r="ESE372" s="21" t="s">
        <v>2955</v>
      </c>
      <c r="ESF372" s="21" t="s">
        <v>2955</v>
      </c>
      <c r="ESG372" s="21" t="s">
        <v>2955</v>
      </c>
      <c r="ESH372" s="21" t="s">
        <v>2955</v>
      </c>
      <c r="ESI372" s="21" t="s">
        <v>2955</v>
      </c>
      <c r="ESJ372" s="21" t="s">
        <v>2955</v>
      </c>
      <c r="ESK372" s="21" t="s">
        <v>2955</v>
      </c>
      <c r="ESL372" s="21" t="s">
        <v>2955</v>
      </c>
      <c r="ESM372" s="21" t="s">
        <v>2955</v>
      </c>
      <c r="ESN372" s="21" t="s">
        <v>2955</v>
      </c>
      <c r="ESO372" s="21" t="s">
        <v>2955</v>
      </c>
      <c r="ESP372" s="21" t="s">
        <v>2955</v>
      </c>
      <c r="ESQ372" s="21" t="s">
        <v>2955</v>
      </c>
      <c r="ESR372" s="21" t="s">
        <v>2955</v>
      </c>
      <c r="ESS372" s="21" t="s">
        <v>2955</v>
      </c>
      <c r="EST372" s="21" t="s">
        <v>2955</v>
      </c>
      <c r="ESU372" s="21" t="s">
        <v>2955</v>
      </c>
      <c r="ESV372" s="21" t="s">
        <v>2955</v>
      </c>
      <c r="ESW372" s="21" t="s">
        <v>2955</v>
      </c>
      <c r="ESX372" s="21" t="s">
        <v>2955</v>
      </c>
      <c r="ESY372" s="21" t="s">
        <v>2955</v>
      </c>
      <c r="ESZ372" s="21" t="s">
        <v>2955</v>
      </c>
      <c r="ETA372" s="21" t="s">
        <v>2955</v>
      </c>
      <c r="ETB372" s="21" t="s">
        <v>2955</v>
      </c>
      <c r="ETC372" s="21" t="s">
        <v>2955</v>
      </c>
      <c r="ETD372" s="21" t="s">
        <v>2955</v>
      </c>
      <c r="ETE372" s="21" t="s">
        <v>2955</v>
      </c>
      <c r="ETF372" s="21" t="s">
        <v>2955</v>
      </c>
      <c r="ETG372" s="21" t="s">
        <v>2955</v>
      </c>
      <c r="ETH372" s="21" t="s">
        <v>2955</v>
      </c>
      <c r="ETI372" s="21" t="s">
        <v>2955</v>
      </c>
      <c r="ETJ372" s="21" t="s">
        <v>2955</v>
      </c>
      <c r="ETK372" s="21" t="s">
        <v>2955</v>
      </c>
      <c r="ETL372" s="21" t="s">
        <v>2955</v>
      </c>
      <c r="ETM372" s="21" t="s">
        <v>2955</v>
      </c>
      <c r="ETN372" s="21" t="s">
        <v>2955</v>
      </c>
      <c r="ETO372" s="21" t="s">
        <v>2955</v>
      </c>
      <c r="ETP372" s="21" t="s">
        <v>2955</v>
      </c>
      <c r="ETQ372" s="21" t="s">
        <v>2955</v>
      </c>
      <c r="ETR372" s="21" t="s">
        <v>2955</v>
      </c>
      <c r="ETS372" s="21" t="s">
        <v>2955</v>
      </c>
      <c r="ETT372" s="21" t="s">
        <v>2955</v>
      </c>
      <c r="ETU372" s="21" t="s">
        <v>2955</v>
      </c>
      <c r="ETV372" s="21" t="s">
        <v>2955</v>
      </c>
      <c r="ETW372" s="21" t="s">
        <v>2955</v>
      </c>
      <c r="ETX372" s="21" t="s">
        <v>2955</v>
      </c>
      <c r="ETY372" s="21" t="s">
        <v>2955</v>
      </c>
      <c r="ETZ372" s="21" t="s">
        <v>2955</v>
      </c>
      <c r="EUA372" s="21" t="s">
        <v>2955</v>
      </c>
      <c r="EUB372" s="21" t="s">
        <v>2955</v>
      </c>
      <c r="EUC372" s="21" t="s">
        <v>2955</v>
      </c>
      <c r="EUD372" s="21" t="s">
        <v>2955</v>
      </c>
      <c r="EUE372" s="21" t="s">
        <v>2955</v>
      </c>
      <c r="EUF372" s="21" t="s">
        <v>2955</v>
      </c>
      <c r="EUG372" s="21" t="s">
        <v>2955</v>
      </c>
      <c r="EUH372" s="21" t="s">
        <v>2955</v>
      </c>
      <c r="EUI372" s="21" t="s">
        <v>2955</v>
      </c>
      <c r="EUJ372" s="21" t="s">
        <v>2955</v>
      </c>
      <c r="EUK372" s="21" t="s">
        <v>2955</v>
      </c>
      <c r="EUL372" s="21" t="s">
        <v>2955</v>
      </c>
      <c r="EUM372" s="21" t="s">
        <v>2955</v>
      </c>
      <c r="EUN372" s="21" t="s">
        <v>2955</v>
      </c>
      <c r="EUO372" s="21" t="s">
        <v>2955</v>
      </c>
      <c r="EUP372" s="21" t="s">
        <v>2955</v>
      </c>
      <c r="EUQ372" s="21" t="s">
        <v>2955</v>
      </c>
      <c r="EUR372" s="21" t="s">
        <v>2955</v>
      </c>
      <c r="EUS372" s="21" t="s">
        <v>2955</v>
      </c>
      <c r="EUT372" s="21" t="s">
        <v>2955</v>
      </c>
      <c r="EUU372" s="21" t="s">
        <v>2955</v>
      </c>
      <c r="EUV372" s="21" t="s">
        <v>2955</v>
      </c>
      <c r="EUW372" s="21" t="s">
        <v>2955</v>
      </c>
      <c r="EUX372" s="21" t="s">
        <v>2955</v>
      </c>
      <c r="EUY372" s="21" t="s">
        <v>2955</v>
      </c>
      <c r="EUZ372" s="21" t="s">
        <v>2955</v>
      </c>
      <c r="EVA372" s="21" t="s">
        <v>2955</v>
      </c>
      <c r="EVB372" s="21" t="s">
        <v>2955</v>
      </c>
      <c r="EVC372" s="21" t="s">
        <v>2955</v>
      </c>
      <c r="EVD372" s="21" t="s">
        <v>2955</v>
      </c>
      <c r="EVE372" s="21" t="s">
        <v>2955</v>
      </c>
      <c r="EVF372" s="21" t="s">
        <v>2955</v>
      </c>
      <c r="EVG372" s="21" t="s">
        <v>2955</v>
      </c>
      <c r="EVH372" s="21" t="s">
        <v>2955</v>
      </c>
      <c r="EVI372" s="21" t="s">
        <v>2955</v>
      </c>
      <c r="EVJ372" s="21" t="s">
        <v>2955</v>
      </c>
      <c r="EVK372" s="21" t="s">
        <v>2955</v>
      </c>
      <c r="EVL372" s="21" t="s">
        <v>2955</v>
      </c>
      <c r="EVM372" s="21" t="s">
        <v>2955</v>
      </c>
      <c r="EVN372" s="21" t="s">
        <v>2955</v>
      </c>
      <c r="EVO372" s="21" t="s">
        <v>2955</v>
      </c>
      <c r="EVP372" s="21" t="s">
        <v>2955</v>
      </c>
      <c r="EVQ372" s="21" t="s">
        <v>2955</v>
      </c>
      <c r="EVR372" s="21" t="s">
        <v>2955</v>
      </c>
      <c r="EVS372" s="21" t="s">
        <v>2955</v>
      </c>
      <c r="EVT372" s="21" t="s">
        <v>2955</v>
      </c>
      <c r="EVU372" s="21" t="s">
        <v>2955</v>
      </c>
      <c r="EVV372" s="21" t="s">
        <v>2955</v>
      </c>
      <c r="EVW372" s="21" t="s">
        <v>2955</v>
      </c>
      <c r="EVX372" s="21" t="s">
        <v>2955</v>
      </c>
      <c r="EVY372" s="21" t="s">
        <v>2955</v>
      </c>
      <c r="EVZ372" s="21" t="s">
        <v>2955</v>
      </c>
      <c r="EWA372" s="21" t="s">
        <v>2955</v>
      </c>
      <c r="EWB372" s="21" t="s">
        <v>2955</v>
      </c>
      <c r="EWC372" s="21" t="s">
        <v>2955</v>
      </c>
      <c r="EWD372" s="21" t="s">
        <v>2955</v>
      </c>
      <c r="EWE372" s="21" t="s">
        <v>2955</v>
      </c>
      <c r="EWF372" s="21" t="s">
        <v>2955</v>
      </c>
      <c r="EWG372" s="21" t="s">
        <v>2955</v>
      </c>
      <c r="EWH372" s="21" t="s">
        <v>2955</v>
      </c>
      <c r="EWI372" s="21" t="s">
        <v>2955</v>
      </c>
      <c r="EWJ372" s="21" t="s">
        <v>2955</v>
      </c>
      <c r="EWK372" s="21" t="s">
        <v>2955</v>
      </c>
      <c r="EWL372" s="21" t="s">
        <v>2955</v>
      </c>
      <c r="EWM372" s="21" t="s">
        <v>2955</v>
      </c>
      <c r="EWN372" s="21" t="s">
        <v>2955</v>
      </c>
      <c r="EWO372" s="21" t="s">
        <v>2955</v>
      </c>
      <c r="EWP372" s="21" t="s">
        <v>2955</v>
      </c>
      <c r="EWQ372" s="21" t="s">
        <v>2955</v>
      </c>
      <c r="EWR372" s="21" t="s">
        <v>2955</v>
      </c>
      <c r="EWS372" s="21" t="s">
        <v>2955</v>
      </c>
      <c r="EWT372" s="21" t="s">
        <v>2955</v>
      </c>
      <c r="EWU372" s="21" t="s">
        <v>2955</v>
      </c>
      <c r="EWV372" s="21" t="s">
        <v>2955</v>
      </c>
      <c r="EWW372" s="21" t="s">
        <v>2955</v>
      </c>
      <c r="EWX372" s="21" t="s">
        <v>2955</v>
      </c>
      <c r="EWY372" s="21" t="s">
        <v>2955</v>
      </c>
      <c r="EWZ372" s="21" t="s">
        <v>2955</v>
      </c>
      <c r="EXA372" s="21" t="s">
        <v>2955</v>
      </c>
      <c r="EXB372" s="21" t="s">
        <v>2955</v>
      </c>
      <c r="EXC372" s="21" t="s">
        <v>2955</v>
      </c>
      <c r="EXD372" s="21" t="s">
        <v>2955</v>
      </c>
      <c r="EXE372" s="21" t="s">
        <v>2955</v>
      </c>
      <c r="EXF372" s="21" t="s">
        <v>2955</v>
      </c>
      <c r="EXG372" s="21" t="s">
        <v>2955</v>
      </c>
      <c r="EXH372" s="21" t="s">
        <v>2955</v>
      </c>
      <c r="EXI372" s="21" t="s">
        <v>2955</v>
      </c>
      <c r="EXJ372" s="21" t="s">
        <v>2955</v>
      </c>
      <c r="EXK372" s="21" t="s">
        <v>2955</v>
      </c>
      <c r="EXL372" s="21" t="s">
        <v>2955</v>
      </c>
      <c r="EXM372" s="21" t="s">
        <v>2955</v>
      </c>
      <c r="EXN372" s="21" t="s">
        <v>2955</v>
      </c>
      <c r="EXO372" s="21" t="s">
        <v>2955</v>
      </c>
      <c r="EXP372" s="21" t="s">
        <v>2955</v>
      </c>
      <c r="EXQ372" s="21" t="s">
        <v>2955</v>
      </c>
      <c r="EXR372" s="21" t="s">
        <v>2955</v>
      </c>
      <c r="EXS372" s="21" t="s">
        <v>2955</v>
      </c>
      <c r="EXT372" s="21" t="s">
        <v>2955</v>
      </c>
      <c r="EXU372" s="21" t="s">
        <v>2955</v>
      </c>
      <c r="EXV372" s="21" t="s">
        <v>2955</v>
      </c>
      <c r="EXW372" s="21" t="s">
        <v>2955</v>
      </c>
      <c r="EXX372" s="21" t="s">
        <v>2955</v>
      </c>
      <c r="EXY372" s="21" t="s">
        <v>2955</v>
      </c>
      <c r="EXZ372" s="21" t="s">
        <v>2955</v>
      </c>
      <c r="EYA372" s="21" t="s">
        <v>2955</v>
      </c>
      <c r="EYB372" s="21" t="s">
        <v>2955</v>
      </c>
      <c r="EYC372" s="21" t="s">
        <v>2955</v>
      </c>
      <c r="EYD372" s="21" t="s">
        <v>2955</v>
      </c>
      <c r="EYE372" s="21" t="s">
        <v>2955</v>
      </c>
      <c r="EYF372" s="21" t="s">
        <v>2955</v>
      </c>
      <c r="EYG372" s="21" t="s">
        <v>2955</v>
      </c>
      <c r="EYH372" s="21" t="s">
        <v>2955</v>
      </c>
      <c r="EYI372" s="21" t="s">
        <v>2955</v>
      </c>
      <c r="EYJ372" s="21" t="s">
        <v>2955</v>
      </c>
      <c r="EYK372" s="21" t="s">
        <v>2955</v>
      </c>
      <c r="EYL372" s="21" t="s">
        <v>2955</v>
      </c>
      <c r="EYM372" s="21" t="s">
        <v>2955</v>
      </c>
      <c r="EYN372" s="21" t="s">
        <v>2955</v>
      </c>
      <c r="EYO372" s="21" t="s">
        <v>2955</v>
      </c>
      <c r="EYP372" s="21" t="s">
        <v>2955</v>
      </c>
      <c r="EYQ372" s="21" t="s">
        <v>2955</v>
      </c>
      <c r="EYR372" s="21" t="s">
        <v>2955</v>
      </c>
      <c r="EYS372" s="21" t="s">
        <v>2955</v>
      </c>
      <c r="EYT372" s="21" t="s">
        <v>2955</v>
      </c>
      <c r="EYU372" s="21" t="s">
        <v>2955</v>
      </c>
      <c r="EYV372" s="21" t="s">
        <v>2955</v>
      </c>
      <c r="EYW372" s="21" t="s">
        <v>2955</v>
      </c>
      <c r="EYX372" s="21" t="s">
        <v>2955</v>
      </c>
      <c r="EYY372" s="21" t="s">
        <v>2955</v>
      </c>
      <c r="EYZ372" s="21" t="s">
        <v>2955</v>
      </c>
      <c r="EZA372" s="21" t="s">
        <v>2955</v>
      </c>
      <c r="EZB372" s="21" t="s">
        <v>2955</v>
      </c>
      <c r="EZC372" s="21" t="s">
        <v>2955</v>
      </c>
      <c r="EZD372" s="21" t="s">
        <v>2955</v>
      </c>
      <c r="EZE372" s="21" t="s">
        <v>2955</v>
      </c>
      <c r="EZF372" s="21" t="s">
        <v>2955</v>
      </c>
      <c r="EZG372" s="21" t="s">
        <v>2955</v>
      </c>
      <c r="EZH372" s="21" t="s">
        <v>2955</v>
      </c>
      <c r="EZI372" s="21" t="s">
        <v>2955</v>
      </c>
      <c r="EZJ372" s="21" t="s">
        <v>2955</v>
      </c>
      <c r="EZK372" s="21" t="s">
        <v>2955</v>
      </c>
      <c r="EZL372" s="21" t="s">
        <v>2955</v>
      </c>
      <c r="EZM372" s="21" t="s">
        <v>2955</v>
      </c>
      <c r="EZN372" s="21" t="s">
        <v>2955</v>
      </c>
      <c r="EZO372" s="21" t="s">
        <v>2955</v>
      </c>
      <c r="EZP372" s="21" t="s">
        <v>2955</v>
      </c>
      <c r="EZQ372" s="21" t="s">
        <v>2955</v>
      </c>
      <c r="EZR372" s="21" t="s">
        <v>2955</v>
      </c>
      <c r="EZS372" s="21" t="s">
        <v>2955</v>
      </c>
      <c r="EZT372" s="21" t="s">
        <v>2955</v>
      </c>
      <c r="EZU372" s="21" t="s">
        <v>2955</v>
      </c>
      <c r="EZV372" s="21" t="s">
        <v>2955</v>
      </c>
      <c r="EZW372" s="21" t="s">
        <v>2955</v>
      </c>
      <c r="EZX372" s="21" t="s">
        <v>2955</v>
      </c>
      <c r="EZY372" s="21" t="s">
        <v>2955</v>
      </c>
      <c r="EZZ372" s="21" t="s">
        <v>2955</v>
      </c>
      <c r="FAA372" s="21" t="s">
        <v>2955</v>
      </c>
      <c r="FAB372" s="21" t="s">
        <v>2955</v>
      </c>
      <c r="FAC372" s="21" t="s">
        <v>2955</v>
      </c>
      <c r="FAD372" s="21" t="s">
        <v>2955</v>
      </c>
      <c r="FAE372" s="21" t="s">
        <v>2955</v>
      </c>
      <c r="FAF372" s="21" t="s">
        <v>2955</v>
      </c>
      <c r="FAG372" s="21" t="s">
        <v>2955</v>
      </c>
      <c r="FAH372" s="21" t="s">
        <v>2955</v>
      </c>
      <c r="FAI372" s="21" t="s">
        <v>2955</v>
      </c>
      <c r="FAJ372" s="21" t="s">
        <v>2955</v>
      </c>
      <c r="FAK372" s="21" t="s">
        <v>2955</v>
      </c>
      <c r="FAL372" s="21" t="s">
        <v>2955</v>
      </c>
      <c r="FAM372" s="21" t="s">
        <v>2955</v>
      </c>
      <c r="FAN372" s="21" t="s">
        <v>2955</v>
      </c>
      <c r="FAO372" s="21" t="s">
        <v>2955</v>
      </c>
      <c r="FAP372" s="21" t="s">
        <v>2955</v>
      </c>
      <c r="FAQ372" s="21" t="s">
        <v>2955</v>
      </c>
      <c r="FAR372" s="21" t="s">
        <v>2955</v>
      </c>
      <c r="FAS372" s="21" t="s">
        <v>2955</v>
      </c>
      <c r="FAT372" s="21" t="s">
        <v>2955</v>
      </c>
      <c r="FAU372" s="21" t="s">
        <v>2955</v>
      </c>
      <c r="FAV372" s="21" t="s">
        <v>2955</v>
      </c>
      <c r="FAW372" s="21" t="s">
        <v>2955</v>
      </c>
      <c r="FAX372" s="21" t="s">
        <v>2955</v>
      </c>
      <c r="FAY372" s="21" t="s">
        <v>2955</v>
      </c>
      <c r="FAZ372" s="21" t="s">
        <v>2955</v>
      </c>
      <c r="FBA372" s="21" t="s">
        <v>2955</v>
      </c>
      <c r="FBB372" s="21" t="s">
        <v>2955</v>
      </c>
      <c r="FBC372" s="21" t="s">
        <v>2955</v>
      </c>
      <c r="FBD372" s="21" t="s">
        <v>2955</v>
      </c>
      <c r="FBE372" s="21" t="s">
        <v>2955</v>
      </c>
      <c r="FBF372" s="21" t="s">
        <v>2955</v>
      </c>
      <c r="FBG372" s="21" t="s">
        <v>2955</v>
      </c>
      <c r="FBH372" s="21" t="s">
        <v>2955</v>
      </c>
      <c r="FBI372" s="21" t="s">
        <v>2955</v>
      </c>
      <c r="FBJ372" s="21" t="s">
        <v>2955</v>
      </c>
      <c r="FBK372" s="21" t="s">
        <v>2955</v>
      </c>
      <c r="FBL372" s="21" t="s">
        <v>2955</v>
      </c>
      <c r="FBM372" s="21" t="s">
        <v>2955</v>
      </c>
      <c r="FBN372" s="21" t="s">
        <v>2955</v>
      </c>
      <c r="FBO372" s="21" t="s">
        <v>2955</v>
      </c>
      <c r="FBP372" s="21" t="s">
        <v>2955</v>
      </c>
      <c r="FBQ372" s="21" t="s">
        <v>2955</v>
      </c>
      <c r="FBR372" s="21" t="s">
        <v>2955</v>
      </c>
      <c r="FBS372" s="21" t="s">
        <v>2955</v>
      </c>
      <c r="FBT372" s="21" t="s">
        <v>2955</v>
      </c>
      <c r="FBU372" s="21" t="s">
        <v>2955</v>
      </c>
      <c r="FBV372" s="21" t="s">
        <v>2955</v>
      </c>
      <c r="FBW372" s="21" t="s">
        <v>2955</v>
      </c>
      <c r="FBX372" s="21" t="s">
        <v>2955</v>
      </c>
      <c r="FBY372" s="21" t="s">
        <v>2955</v>
      </c>
      <c r="FBZ372" s="21" t="s">
        <v>2955</v>
      </c>
      <c r="FCA372" s="21" t="s">
        <v>2955</v>
      </c>
      <c r="FCB372" s="21" t="s">
        <v>2955</v>
      </c>
      <c r="FCC372" s="21" t="s">
        <v>2955</v>
      </c>
      <c r="FCD372" s="21" t="s">
        <v>2955</v>
      </c>
      <c r="FCE372" s="21" t="s">
        <v>2955</v>
      </c>
      <c r="FCF372" s="21" t="s">
        <v>2955</v>
      </c>
      <c r="FCG372" s="21" t="s">
        <v>2955</v>
      </c>
      <c r="FCH372" s="21" t="s">
        <v>2955</v>
      </c>
      <c r="FCI372" s="21" t="s">
        <v>2955</v>
      </c>
      <c r="FCJ372" s="21" t="s">
        <v>2955</v>
      </c>
      <c r="FCK372" s="21" t="s">
        <v>2955</v>
      </c>
      <c r="FCL372" s="21" t="s">
        <v>2955</v>
      </c>
      <c r="FCM372" s="21" t="s">
        <v>2955</v>
      </c>
      <c r="FCN372" s="21" t="s">
        <v>2955</v>
      </c>
      <c r="FCO372" s="21" t="s">
        <v>2955</v>
      </c>
      <c r="FCP372" s="21" t="s">
        <v>2955</v>
      </c>
      <c r="FCQ372" s="21" t="s">
        <v>2955</v>
      </c>
      <c r="FCR372" s="21" t="s">
        <v>2955</v>
      </c>
      <c r="FCS372" s="21" t="s">
        <v>2955</v>
      </c>
      <c r="FCT372" s="21" t="s">
        <v>2955</v>
      </c>
      <c r="FCU372" s="21" t="s">
        <v>2955</v>
      </c>
      <c r="FCV372" s="21" t="s">
        <v>2955</v>
      </c>
      <c r="FCW372" s="21" t="s">
        <v>2955</v>
      </c>
      <c r="FCX372" s="21" t="s">
        <v>2955</v>
      </c>
      <c r="FCY372" s="21" t="s">
        <v>2955</v>
      </c>
      <c r="FCZ372" s="21" t="s">
        <v>2955</v>
      </c>
      <c r="FDA372" s="21" t="s">
        <v>2955</v>
      </c>
      <c r="FDB372" s="21" t="s">
        <v>2955</v>
      </c>
      <c r="FDC372" s="21" t="s">
        <v>2955</v>
      </c>
      <c r="FDD372" s="21" t="s">
        <v>2955</v>
      </c>
      <c r="FDE372" s="21" t="s">
        <v>2955</v>
      </c>
      <c r="FDF372" s="21" t="s">
        <v>2955</v>
      </c>
      <c r="FDG372" s="21" t="s">
        <v>2955</v>
      </c>
      <c r="FDH372" s="21" t="s">
        <v>2955</v>
      </c>
      <c r="FDI372" s="21" t="s">
        <v>2955</v>
      </c>
      <c r="FDJ372" s="21" t="s">
        <v>2955</v>
      </c>
      <c r="FDK372" s="21" t="s">
        <v>2955</v>
      </c>
      <c r="FDL372" s="21" t="s">
        <v>2955</v>
      </c>
      <c r="FDM372" s="21" t="s">
        <v>2955</v>
      </c>
      <c r="FDN372" s="21" t="s">
        <v>2955</v>
      </c>
      <c r="FDO372" s="21" t="s">
        <v>2955</v>
      </c>
      <c r="FDP372" s="21" t="s">
        <v>2955</v>
      </c>
      <c r="FDQ372" s="21" t="s">
        <v>2955</v>
      </c>
      <c r="FDR372" s="21" t="s">
        <v>2955</v>
      </c>
      <c r="FDS372" s="21" t="s">
        <v>2955</v>
      </c>
      <c r="FDT372" s="21" t="s">
        <v>2955</v>
      </c>
      <c r="FDU372" s="21" t="s">
        <v>2955</v>
      </c>
      <c r="FDV372" s="21" t="s">
        <v>2955</v>
      </c>
      <c r="FDW372" s="21" t="s">
        <v>2955</v>
      </c>
      <c r="FDX372" s="21" t="s">
        <v>2955</v>
      </c>
      <c r="FDY372" s="21" t="s">
        <v>2955</v>
      </c>
      <c r="FDZ372" s="21" t="s">
        <v>2955</v>
      </c>
      <c r="FEA372" s="21" t="s">
        <v>2955</v>
      </c>
      <c r="FEB372" s="21" t="s">
        <v>2955</v>
      </c>
      <c r="FEC372" s="21" t="s">
        <v>2955</v>
      </c>
      <c r="FED372" s="21" t="s">
        <v>2955</v>
      </c>
      <c r="FEE372" s="21" t="s">
        <v>2955</v>
      </c>
      <c r="FEF372" s="21" t="s">
        <v>2955</v>
      </c>
      <c r="FEG372" s="21" t="s">
        <v>2955</v>
      </c>
      <c r="FEH372" s="21" t="s">
        <v>2955</v>
      </c>
      <c r="FEI372" s="21" t="s">
        <v>2955</v>
      </c>
      <c r="FEJ372" s="21" t="s">
        <v>2955</v>
      </c>
      <c r="FEK372" s="21" t="s">
        <v>2955</v>
      </c>
      <c r="FEL372" s="21" t="s">
        <v>2955</v>
      </c>
      <c r="FEM372" s="21" t="s">
        <v>2955</v>
      </c>
      <c r="FEN372" s="21" t="s">
        <v>2955</v>
      </c>
      <c r="FEO372" s="21" t="s">
        <v>2955</v>
      </c>
      <c r="FEP372" s="21" t="s">
        <v>2955</v>
      </c>
      <c r="FEQ372" s="21" t="s">
        <v>2955</v>
      </c>
      <c r="FER372" s="21" t="s">
        <v>2955</v>
      </c>
      <c r="FES372" s="21" t="s">
        <v>2955</v>
      </c>
      <c r="FET372" s="21" t="s">
        <v>2955</v>
      </c>
      <c r="FEU372" s="21" t="s">
        <v>2955</v>
      </c>
      <c r="FEV372" s="21" t="s">
        <v>2955</v>
      </c>
      <c r="FEW372" s="21" t="s">
        <v>2955</v>
      </c>
      <c r="FEX372" s="21" t="s">
        <v>2955</v>
      </c>
      <c r="FEY372" s="21" t="s">
        <v>2955</v>
      </c>
      <c r="FEZ372" s="21" t="s">
        <v>2955</v>
      </c>
      <c r="FFA372" s="21" t="s">
        <v>2955</v>
      </c>
      <c r="FFB372" s="21" t="s">
        <v>2955</v>
      </c>
      <c r="FFC372" s="21" t="s">
        <v>2955</v>
      </c>
      <c r="FFD372" s="21" t="s">
        <v>2955</v>
      </c>
      <c r="FFE372" s="21" t="s">
        <v>2955</v>
      </c>
      <c r="FFF372" s="21" t="s">
        <v>2955</v>
      </c>
      <c r="FFG372" s="21" t="s">
        <v>2955</v>
      </c>
      <c r="FFH372" s="21" t="s">
        <v>2955</v>
      </c>
      <c r="FFI372" s="21" t="s">
        <v>2955</v>
      </c>
      <c r="FFJ372" s="21" t="s">
        <v>2955</v>
      </c>
      <c r="FFK372" s="21" t="s">
        <v>2955</v>
      </c>
      <c r="FFL372" s="21" t="s">
        <v>2955</v>
      </c>
      <c r="FFM372" s="21" t="s">
        <v>2955</v>
      </c>
      <c r="FFN372" s="21" t="s">
        <v>2955</v>
      </c>
      <c r="FFO372" s="21" t="s">
        <v>2955</v>
      </c>
      <c r="FFP372" s="21" t="s">
        <v>2955</v>
      </c>
      <c r="FFQ372" s="21" t="s">
        <v>2955</v>
      </c>
      <c r="FFR372" s="21" t="s">
        <v>2955</v>
      </c>
      <c r="FFS372" s="21" t="s">
        <v>2955</v>
      </c>
      <c r="FFT372" s="21" t="s">
        <v>2955</v>
      </c>
      <c r="FFU372" s="21" t="s">
        <v>2955</v>
      </c>
      <c r="FFV372" s="21" t="s">
        <v>2955</v>
      </c>
      <c r="FFW372" s="21" t="s">
        <v>2955</v>
      </c>
      <c r="FFX372" s="21" t="s">
        <v>2955</v>
      </c>
      <c r="FFY372" s="21" t="s">
        <v>2955</v>
      </c>
      <c r="FFZ372" s="21" t="s">
        <v>2955</v>
      </c>
      <c r="FGA372" s="21" t="s">
        <v>2955</v>
      </c>
      <c r="FGB372" s="21" t="s">
        <v>2955</v>
      </c>
      <c r="FGC372" s="21" t="s">
        <v>2955</v>
      </c>
      <c r="FGD372" s="21" t="s">
        <v>2955</v>
      </c>
      <c r="FGE372" s="21" t="s">
        <v>2955</v>
      </c>
      <c r="FGF372" s="21" t="s">
        <v>2955</v>
      </c>
      <c r="FGG372" s="21" t="s">
        <v>2955</v>
      </c>
      <c r="FGH372" s="21" t="s">
        <v>2955</v>
      </c>
      <c r="FGI372" s="21" t="s">
        <v>2955</v>
      </c>
      <c r="FGJ372" s="21" t="s">
        <v>2955</v>
      </c>
      <c r="FGK372" s="21" t="s">
        <v>2955</v>
      </c>
      <c r="FGL372" s="21" t="s">
        <v>2955</v>
      </c>
      <c r="FGM372" s="21" t="s">
        <v>2955</v>
      </c>
      <c r="FGN372" s="21" t="s">
        <v>2955</v>
      </c>
      <c r="FGO372" s="21" t="s">
        <v>2955</v>
      </c>
      <c r="FGP372" s="21" t="s">
        <v>2955</v>
      </c>
      <c r="FGQ372" s="21" t="s">
        <v>2955</v>
      </c>
      <c r="FGR372" s="21" t="s">
        <v>2955</v>
      </c>
      <c r="FGS372" s="21" t="s">
        <v>2955</v>
      </c>
      <c r="FGT372" s="21" t="s">
        <v>2955</v>
      </c>
      <c r="FGU372" s="21" t="s">
        <v>2955</v>
      </c>
      <c r="FGV372" s="21" t="s">
        <v>2955</v>
      </c>
      <c r="FGW372" s="21" t="s">
        <v>2955</v>
      </c>
      <c r="FGX372" s="21" t="s">
        <v>2955</v>
      </c>
      <c r="FGY372" s="21" t="s">
        <v>2955</v>
      </c>
      <c r="FGZ372" s="21" t="s">
        <v>2955</v>
      </c>
      <c r="FHA372" s="21" t="s">
        <v>2955</v>
      </c>
      <c r="FHB372" s="21" t="s">
        <v>2955</v>
      </c>
      <c r="FHC372" s="21" t="s">
        <v>2955</v>
      </c>
      <c r="FHD372" s="21" t="s">
        <v>2955</v>
      </c>
      <c r="FHE372" s="21" t="s">
        <v>2955</v>
      </c>
      <c r="FHF372" s="21" t="s">
        <v>2955</v>
      </c>
      <c r="FHG372" s="21" t="s">
        <v>2955</v>
      </c>
      <c r="FHH372" s="21" t="s">
        <v>2955</v>
      </c>
      <c r="FHI372" s="21" t="s">
        <v>2955</v>
      </c>
      <c r="FHJ372" s="21" t="s">
        <v>2955</v>
      </c>
      <c r="FHK372" s="21" t="s">
        <v>2955</v>
      </c>
      <c r="FHL372" s="21" t="s">
        <v>2955</v>
      </c>
      <c r="FHM372" s="21" t="s">
        <v>2955</v>
      </c>
      <c r="FHN372" s="21" t="s">
        <v>2955</v>
      </c>
      <c r="FHO372" s="21" t="s">
        <v>2955</v>
      </c>
      <c r="FHP372" s="21" t="s">
        <v>2955</v>
      </c>
      <c r="FHQ372" s="21" t="s">
        <v>2955</v>
      </c>
      <c r="FHR372" s="21" t="s">
        <v>2955</v>
      </c>
      <c r="FHS372" s="21" t="s">
        <v>2955</v>
      </c>
      <c r="FHT372" s="21" t="s">
        <v>2955</v>
      </c>
      <c r="FHU372" s="21" t="s">
        <v>2955</v>
      </c>
      <c r="FHV372" s="21" t="s">
        <v>2955</v>
      </c>
      <c r="FHW372" s="21" t="s">
        <v>2955</v>
      </c>
      <c r="FHX372" s="21" t="s">
        <v>2955</v>
      </c>
      <c r="FHY372" s="21" t="s">
        <v>2955</v>
      </c>
      <c r="FHZ372" s="21" t="s">
        <v>2955</v>
      </c>
      <c r="FIA372" s="21" t="s">
        <v>2955</v>
      </c>
      <c r="FIB372" s="21" t="s">
        <v>2955</v>
      </c>
      <c r="FIC372" s="21" t="s">
        <v>2955</v>
      </c>
      <c r="FID372" s="21" t="s">
        <v>2955</v>
      </c>
      <c r="FIE372" s="21" t="s">
        <v>2955</v>
      </c>
      <c r="FIF372" s="21" t="s">
        <v>2955</v>
      </c>
      <c r="FIG372" s="21" t="s">
        <v>2955</v>
      </c>
      <c r="FIH372" s="21" t="s">
        <v>2955</v>
      </c>
      <c r="FII372" s="21" t="s">
        <v>2955</v>
      </c>
      <c r="FIJ372" s="21" t="s">
        <v>2955</v>
      </c>
      <c r="FIK372" s="21" t="s">
        <v>2955</v>
      </c>
      <c r="FIL372" s="21" t="s">
        <v>2955</v>
      </c>
      <c r="FIM372" s="21" t="s">
        <v>2955</v>
      </c>
      <c r="FIN372" s="21" t="s">
        <v>2955</v>
      </c>
      <c r="FIO372" s="21" t="s">
        <v>2955</v>
      </c>
      <c r="FIP372" s="21" t="s">
        <v>2955</v>
      </c>
      <c r="FIQ372" s="21" t="s">
        <v>2955</v>
      </c>
      <c r="FIR372" s="21" t="s">
        <v>2955</v>
      </c>
      <c r="FIS372" s="21" t="s">
        <v>2955</v>
      </c>
      <c r="FIT372" s="21" t="s">
        <v>2955</v>
      </c>
      <c r="FIU372" s="21" t="s">
        <v>2955</v>
      </c>
      <c r="FIV372" s="21" t="s">
        <v>2955</v>
      </c>
      <c r="FIW372" s="21" t="s">
        <v>2955</v>
      </c>
      <c r="FIX372" s="21" t="s">
        <v>2955</v>
      </c>
      <c r="FIY372" s="21" t="s">
        <v>2955</v>
      </c>
      <c r="FIZ372" s="21" t="s">
        <v>2955</v>
      </c>
      <c r="FJA372" s="21" t="s">
        <v>2955</v>
      </c>
      <c r="FJB372" s="21" t="s">
        <v>2955</v>
      </c>
      <c r="FJC372" s="21" t="s">
        <v>2955</v>
      </c>
      <c r="FJD372" s="21" t="s">
        <v>2955</v>
      </c>
      <c r="FJE372" s="21" t="s">
        <v>2955</v>
      </c>
      <c r="FJF372" s="21" t="s">
        <v>2955</v>
      </c>
      <c r="FJG372" s="21" t="s">
        <v>2955</v>
      </c>
      <c r="FJH372" s="21" t="s">
        <v>2955</v>
      </c>
      <c r="FJI372" s="21" t="s">
        <v>2955</v>
      </c>
      <c r="FJJ372" s="21" t="s">
        <v>2955</v>
      </c>
      <c r="FJK372" s="21" t="s">
        <v>2955</v>
      </c>
      <c r="FJL372" s="21" t="s">
        <v>2955</v>
      </c>
      <c r="FJM372" s="21" t="s">
        <v>2955</v>
      </c>
      <c r="FJN372" s="21" t="s">
        <v>2955</v>
      </c>
      <c r="FJO372" s="21" t="s">
        <v>2955</v>
      </c>
      <c r="FJP372" s="21" t="s">
        <v>2955</v>
      </c>
      <c r="FJQ372" s="21" t="s">
        <v>2955</v>
      </c>
      <c r="FJR372" s="21" t="s">
        <v>2955</v>
      </c>
      <c r="FJS372" s="21" t="s">
        <v>2955</v>
      </c>
      <c r="FJT372" s="21" t="s">
        <v>2955</v>
      </c>
      <c r="FJU372" s="21" t="s">
        <v>2955</v>
      </c>
      <c r="FJV372" s="21" t="s">
        <v>2955</v>
      </c>
      <c r="FJW372" s="21" t="s">
        <v>2955</v>
      </c>
      <c r="FJX372" s="21" t="s">
        <v>2955</v>
      </c>
      <c r="FJY372" s="21" t="s">
        <v>2955</v>
      </c>
      <c r="FJZ372" s="21" t="s">
        <v>2955</v>
      </c>
      <c r="FKA372" s="21" t="s">
        <v>2955</v>
      </c>
      <c r="FKB372" s="21" t="s">
        <v>2955</v>
      </c>
      <c r="FKC372" s="21" t="s">
        <v>2955</v>
      </c>
      <c r="FKD372" s="21" t="s">
        <v>2955</v>
      </c>
      <c r="FKE372" s="21" t="s">
        <v>2955</v>
      </c>
      <c r="FKF372" s="21" t="s">
        <v>2955</v>
      </c>
      <c r="FKG372" s="21" t="s">
        <v>2955</v>
      </c>
      <c r="FKH372" s="21" t="s">
        <v>2955</v>
      </c>
      <c r="FKI372" s="21" t="s">
        <v>2955</v>
      </c>
      <c r="FKJ372" s="21" t="s">
        <v>2955</v>
      </c>
      <c r="FKK372" s="21" t="s">
        <v>2955</v>
      </c>
      <c r="FKL372" s="21" t="s">
        <v>2955</v>
      </c>
      <c r="FKM372" s="21" t="s">
        <v>2955</v>
      </c>
      <c r="FKN372" s="21" t="s">
        <v>2955</v>
      </c>
      <c r="FKO372" s="21" t="s">
        <v>2955</v>
      </c>
      <c r="FKP372" s="21" t="s">
        <v>2955</v>
      </c>
      <c r="FKQ372" s="21" t="s">
        <v>2955</v>
      </c>
      <c r="FKR372" s="21" t="s">
        <v>2955</v>
      </c>
      <c r="FKS372" s="21" t="s">
        <v>2955</v>
      </c>
      <c r="FKT372" s="21" t="s">
        <v>2955</v>
      </c>
      <c r="FKU372" s="21" t="s">
        <v>2955</v>
      </c>
      <c r="FKV372" s="21" t="s">
        <v>2955</v>
      </c>
      <c r="FKW372" s="21" t="s">
        <v>2955</v>
      </c>
      <c r="FKX372" s="21" t="s">
        <v>2955</v>
      </c>
      <c r="FKY372" s="21" t="s">
        <v>2955</v>
      </c>
      <c r="FKZ372" s="21" t="s">
        <v>2955</v>
      </c>
      <c r="FLA372" s="21" t="s">
        <v>2955</v>
      </c>
      <c r="FLB372" s="21" t="s">
        <v>2955</v>
      </c>
      <c r="FLC372" s="21" t="s">
        <v>2955</v>
      </c>
      <c r="FLD372" s="21" t="s">
        <v>2955</v>
      </c>
      <c r="FLE372" s="21" t="s">
        <v>2955</v>
      </c>
      <c r="FLF372" s="21" t="s">
        <v>2955</v>
      </c>
      <c r="FLG372" s="21" t="s">
        <v>2955</v>
      </c>
      <c r="FLH372" s="21" t="s">
        <v>2955</v>
      </c>
      <c r="FLI372" s="21" t="s">
        <v>2955</v>
      </c>
      <c r="FLJ372" s="21" t="s">
        <v>2955</v>
      </c>
      <c r="FLK372" s="21" t="s">
        <v>2955</v>
      </c>
      <c r="FLL372" s="21" t="s">
        <v>2955</v>
      </c>
      <c r="FLM372" s="21" t="s">
        <v>2955</v>
      </c>
      <c r="FLN372" s="21" t="s">
        <v>2955</v>
      </c>
      <c r="FLO372" s="21" t="s">
        <v>2955</v>
      </c>
      <c r="FLP372" s="21" t="s">
        <v>2955</v>
      </c>
      <c r="FLQ372" s="21" t="s">
        <v>2955</v>
      </c>
      <c r="FLR372" s="21" t="s">
        <v>2955</v>
      </c>
      <c r="FLS372" s="21" t="s">
        <v>2955</v>
      </c>
      <c r="FLT372" s="21" t="s">
        <v>2955</v>
      </c>
      <c r="FLU372" s="21" t="s">
        <v>2955</v>
      </c>
      <c r="FLV372" s="21" t="s">
        <v>2955</v>
      </c>
      <c r="FLW372" s="21" t="s">
        <v>2955</v>
      </c>
      <c r="FLX372" s="21" t="s">
        <v>2955</v>
      </c>
      <c r="FLY372" s="21" t="s">
        <v>2955</v>
      </c>
      <c r="FLZ372" s="21" t="s">
        <v>2955</v>
      </c>
      <c r="FMA372" s="21" t="s">
        <v>2955</v>
      </c>
      <c r="FMB372" s="21" t="s">
        <v>2955</v>
      </c>
      <c r="FMC372" s="21" t="s">
        <v>2955</v>
      </c>
      <c r="FMD372" s="21" t="s">
        <v>2955</v>
      </c>
      <c r="FME372" s="21" t="s">
        <v>2955</v>
      </c>
      <c r="FMF372" s="21" t="s">
        <v>2955</v>
      </c>
      <c r="FMG372" s="21" t="s">
        <v>2955</v>
      </c>
      <c r="FMH372" s="21" t="s">
        <v>2955</v>
      </c>
      <c r="FMI372" s="21" t="s">
        <v>2955</v>
      </c>
      <c r="FMJ372" s="21" t="s">
        <v>2955</v>
      </c>
      <c r="FMK372" s="21" t="s">
        <v>2955</v>
      </c>
      <c r="FML372" s="21" t="s">
        <v>2955</v>
      </c>
      <c r="FMM372" s="21" t="s">
        <v>2955</v>
      </c>
      <c r="FMN372" s="21" t="s">
        <v>2955</v>
      </c>
      <c r="FMO372" s="21" t="s">
        <v>2955</v>
      </c>
      <c r="FMP372" s="21" t="s">
        <v>2955</v>
      </c>
      <c r="FMQ372" s="21" t="s">
        <v>2955</v>
      </c>
      <c r="FMR372" s="21" t="s">
        <v>2955</v>
      </c>
      <c r="FMS372" s="21" t="s">
        <v>2955</v>
      </c>
      <c r="FMT372" s="21" t="s">
        <v>2955</v>
      </c>
      <c r="FMU372" s="21" t="s">
        <v>2955</v>
      </c>
      <c r="FMV372" s="21" t="s">
        <v>2955</v>
      </c>
      <c r="FMW372" s="21" t="s">
        <v>2955</v>
      </c>
      <c r="FMX372" s="21" t="s">
        <v>2955</v>
      </c>
      <c r="FMY372" s="21" t="s">
        <v>2955</v>
      </c>
      <c r="FMZ372" s="21" t="s">
        <v>2955</v>
      </c>
      <c r="FNA372" s="21" t="s">
        <v>2955</v>
      </c>
      <c r="FNB372" s="21" t="s">
        <v>2955</v>
      </c>
      <c r="FNC372" s="21" t="s">
        <v>2955</v>
      </c>
      <c r="FND372" s="21" t="s">
        <v>2955</v>
      </c>
      <c r="FNE372" s="21" t="s">
        <v>2955</v>
      </c>
      <c r="FNF372" s="21" t="s">
        <v>2955</v>
      </c>
      <c r="FNG372" s="21" t="s">
        <v>2955</v>
      </c>
      <c r="FNH372" s="21" t="s">
        <v>2955</v>
      </c>
      <c r="FNI372" s="21" t="s">
        <v>2955</v>
      </c>
      <c r="FNJ372" s="21" t="s">
        <v>2955</v>
      </c>
      <c r="FNK372" s="21" t="s">
        <v>2955</v>
      </c>
      <c r="FNL372" s="21" t="s">
        <v>2955</v>
      </c>
      <c r="FNM372" s="21" t="s">
        <v>2955</v>
      </c>
      <c r="FNN372" s="21" t="s">
        <v>2955</v>
      </c>
      <c r="FNO372" s="21" t="s">
        <v>2955</v>
      </c>
      <c r="FNP372" s="21" t="s">
        <v>2955</v>
      </c>
      <c r="FNQ372" s="21" t="s">
        <v>2955</v>
      </c>
      <c r="FNR372" s="21" t="s">
        <v>2955</v>
      </c>
      <c r="FNS372" s="21" t="s">
        <v>2955</v>
      </c>
      <c r="FNT372" s="21" t="s">
        <v>2955</v>
      </c>
      <c r="FNU372" s="21" t="s">
        <v>2955</v>
      </c>
      <c r="FNV372" s="21" t="s">
        <v>2955</v>
      </c>
      <c r="FNW372" s="21" t="s">
        <v>2955</v>
      </c>
      <c r="FNX372" s="21" t="s">
        <v>2955</v>
      </c>
      <c r="FNY372" s="21" t="s">
        <v>2955</v>
      </c>
      <c r="FNZ372" s="21" t="s">
        <v>2955</v>
      </c>
      <c r="FOA372" s="21" t="s">
        <v>2955</v>
      </c>
      <c r="FOB372" s="21" t="s">
        <v>2955</v>
      </c>
      <c r="FOC372" s="21" t="s">
        <v>2955</v>
      </c>
      <c r="FOD372" s="21" t="s">
        <v>2955</v>
      </c>
      <c r="FOE372" s="21" t="s">
        <v>2955</v>
      </c>
      <c r="FOF372" s="21" t="s">
        <v>2955</v>
      </c>
      <c r="FOG372" s="21" t="s">
        <v>2955</v>
      </c>
      <c r="FOH372" s="21" t="s">
        <v>2955</v>
      </c>
      <c r="FOI372" s="21" t="s">
        <v>2955</v>
      </c>
      <c r="FOJ372" s="21" t="s">
        <v>2955</v>
      </c>
      <c r="FOK372" s="21" t="s">
        <v>2955</v>
      </c>
      <c r="FOL372" s="21" t="s">
        <v>2955</v>
      </c>
      <c r="FOM372" s="21" t="s">
        <v>2955</v>
      </c>
      <c r="FON372" s="21" t="s">
        <v>2955</v>
      </c>
      <c r="FOO372" s="21" t="s">
        <v>2955</v>
      </c>
      <c r="FOP372" s="21" t="s">
        <v>2955</v>
      </c>
      <c r="FOQ372" s="21" t="s">
        <v>2955</v>
      </c>
      <c r="FOR372" s="21" t="s">
        <v>2955</v>
      </c>
      <c r="FOS372" s="21" t="s">
        <v>2955</v>
      </c>
      <c r="FOT372" s="21" t="s">
        <v>2955</v>
      </c>
      <c r="FOU372" s="21" t="s">
        <v>2955</v>
      </c>
      <c r="FOV372" s="21" t="s">
        <v>2955</v>
      </c>
      <c r="FOW372" s="21" t="s">
        <v>2955</v>
      </c>
      <c r="FOX372" s="21" t="s">
        <v>2955</v>
      </c>
      <c r="FOY372" s="21" t="s">
        <v>2955</v>
      </c>
      <c r="FOZ372" s="21" t="s">
        <v>2955</v>
      </c>
      <c r="FPA372" s="21" t="s">
        <v>2955</v>
      </c>
      <c r="FPB372" s="21" t="s">
        <v>2955</v>
      </c>
      <c r="FPC372" s="21" t="s">
        <v>2955</v>
      </c>
      <c r="FPD372" s="21" t="s">
        <v>2955</v>
      </c>
      <c r="FPE372" s="21" t="s">
        <v>2955</v>
      </c>
      <c r="FPF372" s="21" t="s">
        <v>2955</v>
      </c>
      <c r="FPG372" s="21" t="s">
        <v>2955</v>
      </c>
      <c r="FPH372" s="21" t="s">
        <v>2955</v>
      </c>
      <c r="FPI372" s="21" t="s">
        <v>2955</v>
      </c>
      <c r="FPJ372" s="21" t="s">
        <v>2955</v>
      </c>
      <c r="FPK372" s="21" t="s">
        <v>2955</v>
      </c>
      <c r="FPL372" s="21" t="s">
        <v>2955</v>
      </c>
      <c r="FPM372" s="21" t="s">
        <v>2955</v>
      </c>
      <c r="FPN372" s="21" t="s">
        <v>2955</v>
      </c>
      <c r="FPO372" s="21" t="s">
        <v>2955</v>
      </c>
      <c r="FPP372" s="21" t="s">
        <v>2955</v>
      </c>
      <c r="FPQ372" s="21" t="s">
        <v>2955</v>
      </c>
      <c r="FPR372" s="21" t="s">
        <v>2955</v>
      </c>
      <c r="FPS372" s="21" t="s">
        <v>2955</v>
      </c>
      <c r="FPT372" s="21" t="s">
        <v>2955</v>
      </c>
      <c r="FPU372" s="21" t="s">
        <v>2955</v>
      </c>
      <c r="FPV372" s="21" t="s">
        <v>2955</v>
      </c>
      <c r="FPW372" s="21" t="s">
        <v>2955</v>
      </c>
      <c r="FPX372" s="21" t="s">
        <v>2955</v>
      </c>
      <c r="FPY372" s="21" t="s">
        <v>2955</v>
      </c>
      <c r="FPZ372" s="21" t="s">
        <v>2955</v>
      </c>
      <c r="FQA372" s="21" t="s">
        <v>2955</v>
      </c>
      <c r="FQB372" s="21" t="s">
        <v>2955</v>
      </c>
      <c r="FQC372" s="21" t="s">
        <v>2955</v>
      </c>
      <c r="FQD372" s="21" t="s">
        <v>2955</v>
      </c>
      <c r="FQE372" s="21" t="s">
        <v>2955</v>
      </c>
      <c r="FQF372" s="21" t="s">
        <v>2955</v>
      </c>
      <c r="FQG372" s="21" t="s">
        <v>2955</v>
      </c>
      <c r="FQH372" s="21" t="s">
        <v>2955</v>
      </c>
      <c r="FQI372" s="21" t="s">
        <v>2955</v>
      </c>
      <c r="FQJ372" s="21" t="s">
        <v>2955</v>
      </c>
      <c r="FQK372" s="21" t="s">
        <v>2955</v>
      </c>
      <c r="FQL372" s="21" t="s">
        <v>2955</v>
      </c>
      <c r="FQM372" s="21" t="s">
        <v>2955</v>
      </c>
      <c r="FQN372" s="21" t="s">
        <v>2955</v>
      </c>
      <c r="FQO372" s="21" t="s">
        <v>2955</v>
      </c>
      <c r="FQP372" s="21" t="s">
        <v>2955</v>
      </c>
      <c r="FQQ372" s="21" t="s">
        <v>2955</v>
      </c>
      <c r="FQR372" s="21" t="s">
        <v>2955</v>
      </c>
      <c r="FQS372" s="21" t="s">
        <v>2955</v>
      </c>
      <c r="FQT372" s="21" t="s">
        <v>2955</v>
      </c>
      <c r="FQU372" s="21" t="s">
        <v>2955</v>
      </c>
      <c r="FQV372" s="21" t="s">
        <v>2955</v>
      </c>
      <c r="FQW372" s="21" t="s">
        <v>2955</v>
      </c>
      <c r="FQX372" s="21" t="s">
        <v>2955</v>
      </c>
      <c r="FQY372" s="21" t="s">
        <v>2955</v>
      </c>
      <c r="FQZ372" s="21" t="s">
        <v>2955</v>
      </c>
      <c r="FRA372" s="21" t="s">
        <v>2955</v>
      </c>
      <c r="FRB372" s="21" t="s">
        <v>2955</v>
      </c>
      <c r="FRC372" s="21" t="s">
        <v>2955</v>
      </c>
      <c r="FRD372" s="21" t="s">
        <v>2955</v>
      </c>
      <c r="FRE372" s="21" t="s">
        <v>2955</v>
      </c>
      <c r="FRF372" s="21" t="s">
        <v>2955</v>
      </c>
      <c r="FRG372" s="21" t="s">
        <v>2955</v>
      </c>
      <c r="FRH372" s="21" t="s">
        <v>2955</v>
      </c>
      <c r="FRI372" s="21" t="s">
        <v>2955</v>
      </c>
      <c r="FRJ372" s="21" t="s">
        <v>2955</v>
      </c>
      <c r="FRK372" s="21" t="s">
        <v>2955</v>
      </c>
      <c r="FRL372" s="21" t="s">
        <v>2955</v>
      </c>
      <c r="FRM372" s="21" t="s">
        <v>2955</v>
      </c>
      <c r="FRN372" s="21" t="s">
        <v>2955</v>
      </c>
      <c r="FRO372" s="21" t="s">
        <v>2955</v>
      </c>
      <c r="FRP372" s="21" t="s">
        <v>2955</v>
      </c>
      <c r="FRQ372" s="21" t="s">
        <v>2955</v>
      </c>
      <c r="FRR372" s="21" t="s">
        <v>2955</v>
      </c>
      <c r="FRS372" s="21" t="s">
        <v>2955</v>
      </c>
      <c r="FRT372" s="21" t="s">
        <v>2955</v>
      </c>
      <c r="FRU372" s="21" t="s">
        <v>2955</v>
      </c>
      <c r="FRV372" s="21" t="s">
        <v>2955</v>
      </c>
      <c r="FRW372" s="21" t="s">
        <v>2955</v>
      </c>
      <c r="FRX372" s="21" t="s">
        <v>2955</v>
      </c>
      <c r="FRY372" s="21" t="s">
        <v>2955</v>
      </c>
      <c r="FRZ372" s="21" t="s">
        <v>2955</v>
      </c>
      <c r="FSA372" s="21" t="s">
        <v>2955</v>
      </c>
      <c r="FSB372" s="21" t="s">
        <v>2955</v>
      </c>
      <c r="FSC372" s="21" t="s">
        <v>2955</v>
      </c>
      <c r="FSD372" s="21" t="s">
        <v>2955</v>
      </c>
      <c r="FSE372" s="21" t="s">
        <v>2955</v>
      </c>
      <c r="FSF372" s="21" t="s">
        <v>2955</v>
      </c>
      <c r="FSG372" s="21" t="s">
        <v>2955</v>
      </c>
      <c r="FSH372" s="21" t="s">
        <v>2955</v>
      </c>
      <c r="FSI372" s="21" t="s">
        <v>2955</v>
      </c>
      <c r="FSJ372" s="21" t="s">
        <v>2955</v>
      </c>
      <c r="FSK372" s="21" t="s">
        <v>2955</v>
      </c>
      <c r="FSL372" s="21" t="s">
        <v>2955</v>
      </c>
      <c r="FSM372" s="21" t="s">
        <v>2955</v>
      </c>
      <c r="FSN372" s="21" t="s">
        <v>2955</v>
      </c>
      <c r="FSO372" s="21" t="s">
        <v>2955</v>
      </c>
      <c r="FSP372" s="21" t="s">
        <v>2955</v>
      </c>
      <c r="FSQ372" s="21" t="s">
        <v>2955</v>
      </c>
      <c r="FSR372" s="21" t="s">
        <v>2955</v>
      </c>
      <c r="FSS372" s="21" t="s">
        <v>2955</v>
      </c>
      <c r="FST372" s="21" t="s">
        <v>2955</v>
      </c>
      <c r="FSU372" s="21" t="s">
        <v>2955</v>
      </c>
      <c r="FSV372" s="21" t="s">
        <v>2955</v>
      </c>
      <c r="FSW372" s="21" t="s">
        <v>2955</v>
      </c>
      <c r="FSX372" s="21" t="s">
        <v>2955</v>
      </c>
      <c r="FSY372" s="21" t="s">
        <v>2955</v>
      </c>
      <c r="FSZ372" s="21" t="s">
        <v>2955</v>
      </c>
      <c r="FTA372" s="21" t="s">
        <v>2955</v>
      </c>
      <c r="FTB372" s="21" t="s">
        <v>2955</v>
      </c>
      <c r="FTC372" s="21" t="s">
        <v>2955</v>
      </c>
      <c r="FTD372" s="21" t="s">
        <v>2955</v>
      </c>
      <c r="FTE372" s="21" t="s">
        <v>2955</v>
      </c>
      <c r="FTF372" s="21" t="s">
        <v>2955</v>
      </c>
      <c r="FTG372" s="21" t="s">
        <v>2955</v>
      </c>
      <c r="FTH372" s="21" t="s">
        <v>2955</v>
      </c>
      <c r="FTI372" s="21" t="s">
        <v>2955</v>
      </c>
      <c r="FTJ372" s="21" t="s">
        <v>2955</v>
      </c>
      <c r="FTK372" s="21" t="s">
        <v>2955</v>
      </c>
      <c r="FTL372" s="21" t="s">
        <v>2955</v>
      </c>
      <c r="FTM372" s="21" t="s">
        <v>2955</v>
      </c>
      <c r="FTN372" s="21" t="s">
        <v>2955</v>
      </c>
      <c r="FTO372" s="21" t="s">
        <v>2955</v>
      </c>
      <c r="FTP372" s="21" t="s">
        <v>2955</v>
      </c>
      <c r="FTQ372" s="21" t="s">
        <v>2955</v>
      </c>
      <c r="FTR372" s="21" t="s">
        <v>2955</v>
      </c>
      <c r="FTS372" s="21" t="s">
        <v>2955</v>
      </c>
      <c r="FTT372" s="21" t="s">
        <v>2955</v>
      </c>
      <c r="FTU372" s="21" t="s">
        <v>2955</v>
      </c>
      <c r="FTV372" s="21" t="s">
        <v>2955</v>
      </c>
      <c r="FTW372" s="21" t="s">
        <v>2955</v>
      </c>
      <c r="FTX372" s="21" t="s">
        <v>2955</v>
      </c>
      <c r="FTY372" s="21" t="s">
        <v>2955</v>
      </c>
      <c r="FTZ372" s="21" t="s">
        <v>2955</v>
      </c>
      <c r="FUA372" s="21" t="s">
        <v>2955</v>
      </c>
      <c r="FUB372" s="21" t="s">
        <v>2955</v>
      </c>
      <c r="FUC372" s="21" t="s">
        <v>2955</v>
      </c>
      <c r="FUD372" s="21" t="s">
        <v>2955</v>
      </c>
      <c r="FUE372" s="21" t="s">
        <v>2955</v>
      </c>
      <c r="FUF372" s="21" t="s">
        <v>2955</v>
      </c>
      <c r="FUG372" s="21" t="s">
        <v>2955</v>
      </c>
      <c r="FUH372" s="21" t="s">
        <v>2955</v>
      </c>
      <c r="FUI372" s="21" t="s">
        <v>2955</v>
      </c>
      <c r="FUJ372" s="21" t="s">
        <v>2955</v>
      </c>
      <c r="FUK372" s="21" t="s">
        <v>2955</v>
      </c>
      <c r="FUL372" s="21" t="s">
        <v>2955</v>
      </c>
      <c r="FUM372" s="21" t="s">
        <v>2955</v>
      </c>
      <c r="FUN372" s="21" t="s">
        <v>2955</v>
      </c>
      <c r="FUO372" s="21" t="s">
        <v>2955</v>
      </c>
      <c r="FUP372" s="21" t="s">
        <v>2955</v>
      </c>
      <c r="FUQ372" s="21" t="s">
        <v>2955</v>
      </c>
      <c r="FUR372" s="21" t="s">
        <v>2955</v>
      </c>
      <c r="FUS372" s="21" t="s">
        <v>2955</v>
      </c>
      <c r="FUT372" s="21" t="s">
        <v>2955</v>
      </c>
      <c r="FUU372" s="21" t="s">
        <v>2955</v>
      </c>
      <c r="FUV372" s="21" t="s">
        <v>2955</v>
      </c>
      <c r="FUW372" s="21" t="s">
        <v>2955</v>
      </c>
      <c r="FUX372" s="21" t="s">
        <v>2955</v>
      </c>
      <c r="FUY372" s="21" t="s">
        <v>2955</v>
      </c>
      <c r="FUZ372" s="21" t="s">
        <v>2955</v>
      </c>
      <c r="FVA372" s="21" t="s">
        <v>2955</v>
      </c>
      <c r="FVB372" s="21" t="s">
        <v>2955</v>
      </c>
      <c r="FVC372" s="21" t="s">
        <v>2955</v>
      </c>
      <c r="FVD372" s="21" t="s">
        <v>2955</v>
      </c>
      <c r="FVE372" s="21" t="s">
        <v>2955</v>
      </c>
      <c r="FVF372" s="21" t="s">
        <v>2955</v>
      </c>
      <c r="FVG372" s="21" t="s">
        <v>2955</v>
      </c>
      <c r="FVH372" s="21" t="s">
        <v>2955</v>
      </c>
      <c r="FVI372" s="21" t="s">
        <v>2955</v>
      </c>
      <c r="FVJ372" s="21" t="s">
        <v>2955</v>
      </c>
      <c r="FVK372" s="21" t="s">
        <v>2955</v>
      </c>
      <c r="FVL372" s="21" t="s">
        <v>2955</v>
      </c>
      <c r="FVM372" s="21" t="s">
        <v>2955</v>
      </c>
      <c r="FVN372" s="21" t="s">
        <v>2955</v>
      </c>
      <c r="FVO372" s="21" t="s">
        <v>2955</v>
      </c>
      <c r="FVP372" s="21" t="s">
        <v>2955</v>
      </c>
      <c r="FVQ372" s="21" t="s">
        <v>2955</v>
      </c>
      <c r="FVR372" s="21" t="s">
        <v>2955</v>
      </c>
      <c r="FVS372" s="21" t="s">
        <v>2955</v>
      </c>
      <c r="FVT372" s="21" t="s">
        <v>2955</v>
      </c>
      <c r="FVU372" s="21" t="s">
        <v>2955</v>
      </c>
      <c r="FVV372" s="21" t="s">
        <v>2955</v>
      </c>
      <c r="FVW372" s="21" t="s">
        <v>2955</v>
      </c>
      <c r="FVX372" s="21" t="s">
        <v>2955</v>
      </c>
      <c r="FVY372" s="21" t="s">
        <v>2955</v>
      </c>
      <c r="FVZ372" s="21" t="s">
        <v>2955</v>
      </c>
      <c r="FWA372" s="21" t="s">
        <v>2955</v>
      </c>
      <c r="FWB372" s="21" t="s">
        <v>2955</v>
      </c>
      <c r="FWC372" s="21" t="s">
        <v>2955</v>
      </c>
      <c r="FWD372" s="21" t="s">
        <v>2955</v>
      </c>
      <c r="FWE372" s="21" t="s">
        <v>2955</v>
      </c>
      <c r="FWF372" s="21" t="s">
        <v>2955</v>
      </c>
      <c r="FWG372" s="21" t="s">
        <v>2955</v>
      </c>
      <c r="FWH372" s="21" t="s">
        <v>2955</v>
      </c>
      <c r="FWI372" s="21" t="s">
        <v>2955</v>
      </c>
      <c r="FWJ372" s="21" t="s">
        <v>2955</v>
      </c>
      <c r="FWK372" s="21" t="s">
        <v>2955</v>
      </c>
      <c r="FWL372" s="21" t="s">
        <v>2955</v>
      </c>
      <c r="FWM372" s="21" t="s">
        <v>2955</v>
      </c>
      <c r="FWN372" s="21" t="s">
        <v>2955</v>
      </c>
      <c r="FWO372" s="21" t="s">
        <v>2955</v>
      </c>
      <c r="FWP372" s="21" t="s">
        <v>2955</v>
      </c>
      <c r="FWQ372" s="21" t="s">
        <v>2955</v>
      </c>
      <c r="FWR372" s="21" t="s">
        <v>2955</v>
      </c>
      <c r="FWS372" s="21" t="s">
        <v>2955</v>
      </c>
      <c r="FWT372" s="21" t="s">
        <v>2955</v>
      </c>
      <c r="FWU372" s="21" t="s">
        <v>2955</v>
      </c>
      <c r="FWV372" s="21" t="s">
        <v>2955</v>
      </c>
      <c r="FWW372" s="21" t="s">
        <v>2955</v>
      </c>
      <c r="FWX372" s="21" t="s">
        <v>2955</v>
      </c>
      <c r="FWY372" s="21" t="s">
        <v>2955</v>
      </c>
      <c r="FWZ372" s="21" t="s">
        <v>2955</v>
      </c>
      <c r="FXA372" s="21" t="s">
        <v>2955</v>
      </c>
      <c r="FXB372" s="21" t="s">
        <v>2955</v>
      </c>
      <c r="FXC372" s="21" t="s">
        <v>2955</v>
      </c>
      <c r="FXD372" s="21" t="s">
        <v>2955</v>
      </c>
      <c r="FXE372" s="21" t="s">
        <v>2955</v>
      </c>
      <c r="FXF372" s="21" t="s">
        <v>2955</v>
      </c>
      <c r="FXG372" s="21" t="s">
        <v>2955</v>
      </c>
      <c r="FXH372" s="21" t="s">
        <v>2955</v>
      </c>
      <c r="FXI372" s="21" t="s">
        <v>2955</v>
      </c>
      <c r="FXJ372" s="21" t="s">
        <v>2955</v>
      </c>
      <c r="FXK372" s="21" t="s">
        <v>2955</v>
      </c>
      <c r="FXL372" s="21" t="s">
        <v>2955</v>
      </c>
      <c r="FXM372" s="21" t="s">
        <v>2955</v>
      </c>
      <c r="FXN372" s="21" t="s">
        <v>2955</v>
      </c>
      <c r="FXO372" s="21" t="s">
        <v>2955</v>
      </c>
      <c r="FXP372" s="21" t="s">
        <v>2955</v>
      </c>
      <c r="FXQ372" s="21" t="s">
        <v>2955</v>
      </c>
      <c r="FXR372" s="21" t="s">
        <v>2955</v>
      </c>
      <c r="FXS372" s="21" t="s">
        <v>2955</v>
      </c>
      <c r="FXT372" s="21" t="s">
        <v>2955</v>
      </c>
      <c r="FXU372" s="21" t="s">
        <v>2955</v>
      </c>
      <c r="FXV372" s="21" t="s">
        <v>2955</v>
      </c>
      <c r="FXW372" s="21" t="s">
        <v>2955</v>
      </c>
      <c r="FXX372" s="21" t="s">
        <v>2955</v>
      </c>
      <c r="FXY372" s="21" t="s">
        <v>2955</v>
      </c>
      <c r="FXZ372" s="21" t="s">
        <v>2955</v>
      </c>
      <c r="FYA372" s="21" t="s">
        <v>2955</v>
      </c>
      <c r="FYB372" s="21" t="s">
        <v>2955</v>
      </c>
      <c r="FYC372" s="21" t="s">
        <v>2955</v>
      </c>
      <c r="FYD372" s="21" t="s">
        <v>2955</v>
      </c>
      <c r="FYE372" s="21" t="s">
        <v>2955</v>
      </c>
      <c r="FYF372" s="21" t="s">
        <v>2955</v>
      </c>
      <c r="FYG372" s="21" t="s">
        <v>2955</v>
      </c>
      <c r="FYH372" s="21" t="s">
        <v>2955</v>
      </c>
      <c r="FYI372" s="21" t="s">
        <v>2955</v>
      </c>
      <c r="FYJ372" s="21" t="s">
        <v>2955</v>
      </c>
      <c r="FYK372" s="21" t="s">
        <v>2955</v>
      </c>
      <c r="FYL372" s="21" t="s">
        <v>2955</v>
      </c>
      <c r="FYM372" s="21" t="s">
        <v>2955</v>
      </c>
      <c r="FYN372" s="21" t="s">
        <v>2955</v>
      </c>
      <c r="FYO372" s="21" t="s">
        <v>2955</v>
      </c>
      <c r="FYP372" s="21" t="s">
        <v>2955</v>
      </c>
      <c r="FYQ372" s="21" t="s">
        <v>2955</v>
      </c>
      <c r="FYR372" s="21" t="s">
        <v>2955</v>
      </c>
      <c r="FYS372" s="21" t="s">
        <v>2955</v>
      </c>
      <c r="FYT372" s="21" t="s">
        <v>2955</v>
      </c>
      <c r="FYU372" s="21" t="s">
        <v>2955</v>
      </c>
      <c r="FYV372" s="21" t="s">
        <v>2955</v>
      </c>
      <c r="FYW372" s="21" t="s">
        <v>2955</v>
      </c>
      <c r="FYX372" s="21" t="s">
        <v>2955</v>
      </c>
      <c r="FYY372" s="21" t="s">
        <v>2955</v>
      </c>
      <c r="FYZ372" s="21" t="s">
        <v>2955</v>
      </c>
      <c r="FZA372" s="21" t="s">
        <v>2955</v>
      </c>
      <c r="FZB372" s="21" t="s">
        <v>2955</v>
      </c>
      <c r="FZC372" s="21" t="s">
        <v>2955</v>
      </c>
      <c r="FZD372" s="21" t="s">
        <v>2955</v>
      </c>
      <c r="FZE372" s="21" t="s">
        <v>2955</v>
      </c>
      <c r="FZF372" s="21" t="s">
        <v>2955</v>
      </c>
      <c r="FZG372" s="21" t="s">
        <v>2955</v>
      </c>
      <c r="FZH372" s="21" t="s">
        <v>2955</v>
      </c>
      <c r="FZI372" s="21" t="s">
        <v>2955</v>
      </c>
      <c r="FZJ372" s="21" t="s">
        <v>2955</v>
      </c>
      <c r="FZK372" s="21" t="s">
        <v>2955</v>
      </c>
      <c r="FZL372" s="21" t="s">
        <v>2955</v>
      </c>
      <c r="FZM372" s="21" t="s">
        <v>2955</v>
      </c>
      <c r="FZN372" s="21" t="s">
        <v>2955</v>
      </c>
      <c r="FZO372" s="21" t="s">
        <v>2955</v>
      </c>
      <c r="FZP372" s="21" t="s">
        <v>2955</v>
      </c>
      <c r="FZQ372" s="21" t="s">
        <v>2955</v>
      </c>
      <c r="FZR372" s="21" t="s">
        <v>2955</v>
      </c>
      <c r="FZS372" s="21" t="s">
        <v>2955</v>
      </c>
      <c r="FZT372" s="21" t="s">
        <v>2955</v>
      </c>
      <c r="FZU372" s="21" t="s">
        <v>2955</v>
      </c>
      <c r="FZV372" s="21" t="s">
        <v>2955</v>
      </c>
      <c r="FZW372" s="21" t="s">
        <v>2955</v>
      </c>
      <c r="FZX372" s="21" t="s">
        <v>2955</v>
      </c>
      <c r="FZY372" s="21" t="s">
        <v>2955</v>
      </c>
      <c r="FZZ372" s="21" t="s">
        <v>2955</v>
      </c>
      <c r="GAA372" s="21" t="s">
        <v>2955</v>
      </c>
      <c r="GAB372" s="21" t="s">
        <v>2955</v>
      </c>
      <c r="GAC372" s="21" t="s">
        <v>2955</v>
      </c>
      <c r="GAD372" s="21" t="s">
        <v>2955</v>
      </c>
      <c r="GAE372" s="21" t="s">
        <v>2955</v>
      </c>
      <c r="GAF372" s="21" t="s">
        <v>2955</v>
      </c>
      <c r="GAG372" s="21" t="s">
        <v>2955</v>
      </c>
      <c r="GAH372" s="21" t="s">
        <v>2955</v>
      </c>
      <c r="GAI372" s="21" t="s">
        <v>2955</v>
      </c>
      <c r="GAJ372" s="21" t="s">
        <v>2955</v>
      </c>
      <c r="GAK372" s="21" t="s">
        <v>2955</v>
      </c>
      <c r="GAL372" s="21" t="s">
        <v>2955</v>
      </c>
      <c r="GAM372" s="21" t="s">
        <v>2955</v>
      </c>
      <c r="GAN372" s="21" t="s">
        <v>2955</v>
      </c>
      <c r="GAO372" s="21" t="s">
        <v>2955</v>
      </c>
      <c r="GAP372" s="21" t="s">
        <v>2955</v>
      </c>
      <c r="GAQ372" s="21" t="s">
        <v>2955</v>
      </c>
      <c r="GAR372" s="21" t="s">
        <v>2955</v>
      </c>
      <c r="GAS372" s="21" t="s">
        <v>2955</v>
      </c>
      <c r="GAT372" s="21" t="s">
        <v>2955</v>
      </c>
      <c r="GAU372" s="21" t="s">
        <v>2955</v>
      </c>
      <c r="GAV372" s="21" t="s">
        <v>2955</v>
      </c>
      <c r="GAW372" s="21" t="s">
        <v>2955</v>
      </c>
      <c r="GAX372" s="21" t="s">
        <v>2955</v>
      </c>
      <c r="GAY372" s="21" t="s">
        <v>2955</v>
      </c>
      <c r="GAZ372" s="21" t="s">
        <v>2955</v>
      </c>
      <c r="GBA372" s="21" t="s">
        <v>2955</v>
      </c>
      <c r="GBB372" s="21" t="s">
        <v>2955</v>
      </c>
      <c r="GBC372" s="21" t="s">
        <v>2955</v>
      </c>
      <c r="GBD372" s="21" t="s">
        <v>2955</v>
      </c>
      <c r="GBE372" s="21" t="s">
        <v>2955</v>
      </c>
      <c r="GBF372" s="21" t="s">
        <v>2955</v>
      </c>
      <c r="GBG372" s="21" t="s">
        <v>2955</v>
      </c>
      <c r="GBH372" s="21" t="s">
        <v>2955</v>
      </c>
      <c r="GBI372" s="21" t="s">
        <v>2955</v>
      </c>
      <c r="GBJ372" s="21" t="s">
        <v>2955</v>
      </c>
      <c r="GBK372" s="21" t="s">
        <v>2955</v>
      </c>
      <c r="GBL372" s="21" t="s">
        <v>2955</v>
      </c>
      <c r="GBM372" s="21" t="s">
        <v>2955</v>
      </c>
      <c r="GBN372" s="21" t="s">
        <v>2955</v>
      </c>
      <c r="GBO372" s="21" t="s">
        <v>2955</v>
      </c>
      <c r="GBP372" s="21" t="s">
        <v>2955</v>
      </c>
      <c r="GBQ372" s="21" t="s">
        <v>2955</v>
      </c>
      <c r="GBR372" s="21" t="s">
        <v>2955</v>
      </c>
      <c r="GBS372" s="21" t="s">
        <v>2955</v>
      </c>
      <c r="GBT372" s="21" t="s">
        <v>2955</v>
      </c>
      <c r="GBU372" s="21" t="s">
        <v>2955</v>
      </c>
      <c r="GBV372" s="21" t="s">
        <v>2955</v>
      </c>
      <c r="GBW372" s="21" t="s">
        <v>2955</v>
      </c>
      <c r="GBX372" s="21" t="s">
        <v>2955</v>
      </c>
      <c r="GBY372" s="21" t="s">
        <v>2955</v>
      </c>
      <c r="GBZ372" s="21" t="s">
        <v>2955</v>
      </c>
      <c r="GCA372" s="21" t="s">
        <v>2955</v>
      </c>
      <c r="GCB372" s="21" t="s">
        <v>2955</v>
      </c>
      <c r="GCC372" s="21" t="s">
        <v>2955</v>
      </c>
      <c r="GCD372" s="21" t="s">
        <v>2955</v>
      </c>
      <c r="GCE372" s="21" t="s">
        <v>2955</v>
      </c>
      <c r="GCF372" s="21" t="s">
        <v>2955</v>
      </c>
      <c r="GCG372" s="21" t="s">
        <v>2955</v>
      </c>
      <c r="GCH372" s="21" t="s">
        <v>2955</v>
      </c>
      <c r="GCI372" s="21" t="s">
        <v>2955</v>
      </c>
      <c r="GCJ372" s="21" t="s">
        <v>2955</v>
      </c>
      <c r="GCK372" s="21" t="s">
        <v>2955</v>
      </c>
      <c r="GCL372" s="21" t="s">
        <v>2955</v>
      </c>
      <c r="GCM372" s="21" t="s">
        <v>2955</v>
      </c>
      <c r="GCN372" s="21" t="s">
        <v>2955</v>
      </c>
      <c r="GCO372" s="21" t="s">
        <v>2955</v>
      </c>
      <c r="GCP372" s="21" t="s">
        <v>2955</v>
      </c>
      <c r="GCQ372" s="21" t="s">
        <v>2955</v>
      </c>
      <c r="GCR372" s="21" t="s">
        <v>2955</v>
      </c>
      <c r="GCS372" s="21" t="s">
        <v>2955</v>
      </c>
      <c r="GCT372" s="21" t="s">
        <v>2955</v>
      </c>
      <c r="GCU372" s="21" t="s">
        <v>2955</v>
      </c>
      <c r="GCV372" s="21" t="s">
        <v>2955</v>
      </c>
      <c r="GCW372" s="21" t="s">
        <v>2955</v>
      </c>
      <c r="GCX372" s="21" t="s">
        <v>2955</v>
      </c>
      <c r="GCY372" s="21" t="s">
        <v>2955</v>
      </c>
      <c r="GCZ372" s="21" t="s">
        <v>2955</v>
      </c>
      <c r="GDA372" s="21" t="s">
        <v>2955</v>
      </c>
      <c r="GDB372" s="21" t="s">
        <v>2955</v>
      </c>
      <c r="GDC372" s="21" t="s">
        <v>2955</v>
      </c>
      <c r="GDD372" s="21" t="s">
        <v>2955</v>
      </c>
      <c r="GDE372" s="21" t="s">
        <v>2955</v>
      </c>
      <c r="GDF372" s="21" t="s">
        <v>2955</v>
      </c>
      <c r="GDG372" s="21" t="s">
        <v>2955</v>
      </c>
      <c r="GDH372" s="21" t="s">
        <v>2955</v>
      </c>
      <c r="GDI372" s="21" t="s">
        <v>2955</v>
      </c>
      <c r="GDJ372" s="21" t="s">
        <v>2955</v>
      </c>
      <c r="GDK372" s="21" t="s">
        <v>2955</v>
      </c>
      <c r="GDL372" s="21" t="s">
        <v>2955</v>
      </c>
      <c r="GDM372" s="21" t="s">
        <v>2955</v>
      </c>
      <c r="GDN372" s="21" t="s">
        <v>2955</v>
      </c>
      <c r="GDO372" s="21" t="s">
        <v>2955</v>
      </c>
      <c r="GDP372" s="21" t="s">
        <v>2955</v>
      </c>
      <c r="GDQ372" s="21" t="s">
        <v>2955</v>
      </c>
      <c r="GDR372" s="21" t="s">
        <v>2955</v>
      </c>
      <c r="GDS372" s="21" t="s">
        <v>2955</v>
      </c>
      <c r="GDT372" s="21" t="s">
        <v>2955</v>
      </c>
      <c r="GDU372" s="21" t="s">
        <v>2955</v>
      </c>
      <c r="GDV372" s="21" t="s">
        <v>2955</v>
      </c>
      <c r="GDW372" s="21" t="s">
        <v>2955</v>
      </c>
      <c r="GDX372" s="21" t="s">
        <v>2955</v>
      </c>
      <c r="GDY372" s="21" t="s">
        <v>2955</v>
      </c>
      <c r="GDZ372" s="21" t="s">
        <v>2955</v>
      </c>
      <c r="GEA372" s="21" t="s">
        <v>2955</v>
      </c>
      <c r="GEB372" s="21" t="s">
        <v>2955</v>
      </c>
      <c r="GEC372" s="21" t="s">
        <v>2955</v>
      </c>
      <c r="GED372" s="21" t="s">
        <v>2955</v>
      </c>
      <c r="GEE372" s="21" t="s">
        <v>2955</v>
      </c>
      <c r="GEF372" s="21" t="s">
        <v>2955</v>
      </c>
      <c r="GEG372" s="21" t="s">
        <v>2955</v>
      </c>
      <c r="GEH372" s="21" t="s">
        <v>2955</v>
      </c>
      <c r="GEI372" s="21" t="s">
        <v>2955</v>
      </c>
      <c r="GEJ372" s="21" t="s">
        <v>2955</v>
      </c>
      <c r="GEK372" s="21" t="s">
        <v>2955</v>
      </c>
      <c r="GEL372" s="21" t="s">
        <v>2955</v>
      </c>
      <c r="GEM372" s="21" t="s">
        <v>2955</v>
      </c>
      <c r="GEN372" s="21" t="s">
        <v>2955</v>
      </c>
      <c r="GEO372" s="21" t="s">
        <v>2955</v>
      </c>
      <c r="GEP372" s="21" t="s">
        <v>2955</v>
      </c>
      <c r="GEQ372" s="21" t="s">
        <v>2955</v>
      </c>
      <c r="GER372" s="21" t="s">
        <v>2955</v>
      </c>
      <c r="GES372" s="21" t="s">
        <v>2955</v>
      </c>
      <c r="GET372" s="21" t="s">
        <v>2955</v>
      </c>
      <c r="GEU372" s="21" t="s">
        <v>2955</v>
      </c>
      <c r="GEV372" s="21" t="s">
        <v>2955</v>
      </c>
      <c r="GEW372" s="21" t="s">
        <v>2955</v>
      </c>
      <c r="GEX372" s="21" t="s">
        <v>2955</v>
      </c>
      <c r="GEY372" s="21" t="s">
        <v>2955</v>
      </c>
      <c r="GEZ372" s="21" t="s">
        <v>2955</v>
      </c>
      <c r="GFA372" s="21" t="s">
        <v>2955</v>
      </c>
      <c r="GFB372" s="21" t="s">
        <v>2955</v>
      </c>
      <c r="GFC372" s="21" t="s">
        <v>2955</v>
      </c>
      <c r="GFD372" s="21" t="s">
        <v>2955</v>
      </c>
      <c r="GFE372" s="21" t="s">
        <v>2955</v>
      </c>
      <c r="GFF372" s="21" t="s">
        <v>2955</v>
      </c>
      <c r="GFG372" s="21" t="s">
        <v>2955</v>
      </c>
      <c r="GFH372" s="21" t="s">
        <v>2955</v>
      </c>
      <c r="GFI372" s="21" t="s">
        <v>2955</v>
      </c>
      <c r="GFJ372" s="21" t="s">
        <v>2955</v>
      </c>
      <c r="GFK372" s="21" t="s">
        <v>2955</v>
      </c>
      <c r="GFL372" s="21" t="s">
        <v>2955</v>
      </c>
      <c r="GFM372" s="21" t="s">
        <v>2955</v>
      </c>
      <c r="GFN372" s="21" t="s">
        <v>2955</v>
      </c>
      <c r="GFO372" s="21" t="s">
        <v>2955</v>
      </c>
      <c r="GFP372" s="21" t="s">
        <v>2955</v>
      </c>
      <c r="GFQ372" s="21" t="s">
        <v>2955</v>
      </c>
      <c r="GFR372" s="21" t="s">
        <v>2955</v>
      </c>
      <c r="GFS372" s="21" t="s">
        <v>2955</v>
      </c>
      <c r="GFT372" s="21" t="s">
        <v>2955</v>
      </c>
      <c r="GFU372" s="21" t="s">
        <v>2955</v>
      </c>
      <c r="GFV372" s="21" t="s">
        <v>2955</v>
      </c>
      <c r="GFW372" s="21" t="s">
        <v>2955</v>
      </c>
      <c r="GFX372" s="21" t="s">
        <v>2955</v>
      </c>
      <c r="GFY372" s="21" t="s">
        <v>2955</v>
      </c>
      <c r="GFZ372" s="21" t="s">
        <v>2955</v>
      </c>
      <c r="GGA372" s="21" t="s">
        <v>2955</v>
      </c>
      <c r="GGB372" s="21" t="s">
        <v>2955</v>
      </c>
      <c r="GGC372" s="21" t="s">
        <v>2955</v>
      </c>
      <c r="GGD372" s="21" t="s">
        <v>2955</v>
      </c>
      <c r="GGE372" s="21" t="s">
        <v>2955</v>
      </c>
      <c r="GGF372" s="21" t="s">
        <v>2955</v>
      </c>
      <c r="GGG372" s="21" t="s">
        <v>2955</v>
      </c>
      <c r="GGH372" s="21" t="s">
        <v>2955</v>
      </c>
      <c r="GGI372" s="21" t="s">
        <v>2955</v>
      </c>
      <c r="GGJ372" s="21" t="s">
        <v>2955</v>
      </c>
      <c r="GGK372" s="21" t="s">
        <v>2955</v>
      </c>
      <c r="GGL372" s="21" t="s">
        <v>2955</v>
      </c>
      <c r="GGM372" s="21" t="s">
        <v>2955</v>
      </c>
      <c r="GGN372" s="21" t="s">
        <v>2955</v>
      </c>
      <c r="GGO372" s="21" t="s">
        <v>2955</v>
      </c>
      <c r="GGP372" s="21" t="s">
        <v>2955</v>
      </c>
      <c r="GGQ372" s="21" t="s">
        <v>2955</v>
      </c>
      <c r="GGR372" s="21" t="s">
        <v>2955</v>
      </c>
      <c r="GGS372" s="21" t="s">
        <v>2955</v>
      </c>
      <c r="GGT372" s="21" t="s">
        <v>2955</v>
      </c>
      <c r="GGU372" s="21" t="s">
        <v>2955</v>
      </c>
      <c r="GGV372" s="21" t="s">
        <v>2955</v>
      </c>
      <c r="GGW372" s="21" t="s">
        <v>2955</v>
      </c>
      <c r="GGX372" s="21" t="s">
        <v>2955</v>
      </c>
      <c r="GGY372" s="21" t="s">
        <v>2955</v>
      </c>
      <c r="GGZ372" s="21" t="s">
        <v>2955</v>
      </c>
      <c r="GHA372" s="21" t="s">
        <v>2955</v>
      </c>
      <c r="GHB372" s="21" t="s">
        <v>2955</v>
      </c>
      <c r="GHC372" s="21" t="s">
        <v>2955</v>
      </c>
      <c r="GHD372" s="21" t="s">
        <v>2955</v>
      </c>
      <c r="GHE372" s="21" t="s">
        <v>2955</v>
      </c>
      <c r="GHF372" s="21" t="s">
        <v>2955</v>
      </c>
      <c r="GHG372" s="21" t="s">
        <v>2955</v>
      </c>
      <c r="GHH372" s="21" t="s">
        <v>2955</v>
      </c>
      <c r="GHI372" s="21" t="s">
        <v>2955</v>
      </c>
      <c r="GHJ372" s="21" t="s">
        <v>2955</v>
      </c>
      <c r="GHK372" s="21" t="s">
        <v>2955</v>
      </c>
      <c r="GHL372" s="21" t="s">
        <v>2955</v>
      </c>
      <c r="GHM372" s="21" t="s">
        <v>2955</v>
      </c>
      <c r="GHN372" s="21" t="s">
        <v>2955</v>
      </c>
      <c r="GHO372" s="21" t="s">
        <v>2955</v>
      </c>
      <c r="GHP372" s="21" t="s">
        <v>2955</v>
      </c>
      <c r="GHQ372" s="21" t="s">
        <v>2955</v>
      </c>
      <c r="GHR372" s="21" t="s">
        <v>2955</v>
      </c>
      <c r="GHS372" s="21" t="s">
        <v>2955</v>
      </c>
      <c r="GHT372" s="21" t="s">
        <v>2955</v>
      </c>
      <c r="GHU372" s="21" t="s">
        <v>2955</v>
      </c>
      <c r="GHV372" s="21" t="s">
        <v>2955</v>
      </c>
      <c r="GHW372" s="21" t="s">
        <v>2955</v>
      </c>
      <c r="GHX372" s="21" t="s">
        <v>2955</v>
      </c>
      <c r="GHY372" s="21" t="s">
        <v>2955</v>
      </c>
      <c r="GHZ372" s="21" t="s">
        <v>2955</v>
      </c>
      <c r="GIA372" s="21" t="s">
        <v>2955</v>
      </c>
      <c r="GIB372" s="21" t="s">
        <v>2955</v>
      </c>
      <c r="GIC372" s="21" t="s">
        <v>2955</v>
      </c>
      <c r="GID372" s="21" t="s">
        <v>2955</v>
      </c>
      <c r="GIE372" s="21" t="s">
        <v>2955</v>
      </c>
      <c r="GIF372" s="21" t="s">
        <v>2955</v>
      </c>
      <c r="GIG372" s="21" t="s">
        <v>2955</v>
      </c>
      <c r="GIH372" s="21" t="s">
        <v>2955</v>
      </c>
      <c r="GII372" s="21" t="s">
        <v>2955</v>
      </c>
      <c r="GIJ372" s="21" t="s">
        <v>2955</v>
      </c>
      <c r="GIK372" s="21" t="s">
        <v>2955</v>
      </c>
      <c r="GIL372" s="21" t="s">
        <v>2955</v>
      </c>
      <c r="GIM372" s="21" t="s">
        <v>2955</v>
      </c>
      <c r="GIN372" s="21" t="s">
        <v>2955</v>
      </c>
      <c r="GIO372" s="21" t="s">
        <v>2955</v>
      </c>
      <c r="GIP372" s="21" t="s">
        <v>2955</v>
      </c>
      <c r="GIQ372" s="21" t="s">
        <v>2955</v>
      </c>
      <c r="GIR372" s="21" t="s">
        <v>2955</v>
      </c>
      <c r="GIS372" s="21" t="s">
        <v>2955</v>
      </c>
      <c r="GIT372" s="21" t="s">
        <v>2955</v>
      </c>
      <c r="GIU372" s="21" t="s">
        <v>2955</v>
      </c>
      <c r="GIV372" s="21" t="s">
        <v>2955</v>
      </c>
      <c r="GIW372" s="21" t="s">
        <v>2955</v>
      </c>
      <c r="GIX372" s="21" t="s">
        <v>2955</v>
      </c>
      <c r="GIY372" s="21" t="s">
        <v>2955</v>
      </c>
      <c r="GIZ372" s="21" t="s">
        <v>2955</v>
      </c>
      <c r="GJA372" s="21" t="s">
        <v>2955</v>
      </c>
      <c r="GJB372" s="21" t="s">
        <v>2955</v>
      </c>
      <c r="GJC372" s="21" t="s">
        <v>2955</v>
      </c>
      <c r="GJD372" s="21" t="s">
        <v>2955</v>
      </c>
      <c r="GJE372" s="21" t="s">
        <v>2955</v>
      </c>
      <c r="GJF372" s="21" t="s">
        <v>2955</v>
      </c>
      <c r="GJG372" s="21" t="s">
        <v>2955</v>
      </c>
      <c r="GJH372" s="21" t="s">
        <v>2955</v>
      </c>
      <c r="GJI372" s="21" t="s">
        <v>2955</v>
      </c>
      <c r="GJJ372" s="21" t="s">
        <v>2955</v>
      </c>
      <c r="GJK372" s="21" t="s">
        <v>2955</v>
      </c>
      <c r="GJL372" s="21" t="s">
        <v>2955</v>
      </c>
      <c r="GJM372" s="21" t="s">
        <v>2955</v>
      </c>
      <c r="GJN372" s="21" t="s">
        <v>2955</v>
      </c>
      <c r="GJO372" s="21" t="s">
        <v>2955</v>
      </c>
      <c r="GJP372" s="21" t="s">
        <v>2955</v>
      </c>
      <c r="GJQ372" s="21" t="s">
        <v>2955</v>
      </c>
      <c r="GJR372" s="21" t="s">
        <v>2955</v>
      </c>
      <c r="GJS372" s="21" t="s">
        <v>2955</v>
      </c>
      <c r="GJT372" s="21" t="s">
        <v>2955</v>
      </c>
      <c r="GJU372" s="21" t="s">
        <v>2955</v>
      </c>
      <c r="GJV372" s="21" t="s">
        <v>2955</v>
      </c>
      <c r="GJW372" s="21" t="s">
        <v>2955</v>
      </c>
      <c r="GJX372" s="21" t="s">
        <v>2955</v>
      </c>
      <c r="GJY372" s="21" t="s">
        <v>2955</v>
      </c>
      <c r="GJZ372" s="21" t="s">
        <v>2955</v>
      </c>
      <c r="GKA372" s="21" t="s">
        <v>2955</v>
      </c>
      <c r="GKB372" s="21" t="s">
        <v>2955</v>
      </c>
      <c r="GKC372" s="21" t="s">
        <v>2955</v>
      </c>
      <c r="GKD372" s="21" t="s">
        <v>2955</v>
      </c>
      <c r="GKE372" s="21" t="s">
        <v>2955</v>
      </c>
      <c r="GKF372" s="21" t="s">
        <v>2955</v>
      </c>
      <c r="GKG372" s="21" t="s">
        <v>2955</v>
      </c>
      <c r="GKH372" s="21" t="s">
        <v>2955</v>
      </c>
      <c r="GKI372" s="21" t="s">
        <v>2955</v>
      </c>
      <c r="GKJ372" s="21" t="s">
        <v>2955</v>
      </c>
      <c r="GKK372" s="21" t="s">
        <v>2955</v>
      </c>
      <c r="GKL372" s="21" t="s">
        <v>2955</v>
      </c>
      <c r="GKM372" s="21" t="s">
        <v>2955</v>
      </c>
      <c r="GKN372" s="21" t="s">
        <v>2955</v>
      </c>
      <c r="GKO372" s="21" t="s">
        <v>2955</v>
      </c>
      <c r="GKP372" s="21" t="s">
        <v>2955</v>
      </c>
      <c r="GKQ372" s="21" t="s">
        <v>2955</v>
      </c>
      <c r="GKR372" s="21" t="s">
        <v>2955</v>
      </c>
      <c r="GKS372" s="21" t="s">
        <v>2955</v>
      </c>
      <c r="GKT372" s="21" t="s">
        <v>2955</v>
      </c>
      <c r="GKU372" s="21" t="s">
        <v>2955</v>
      </c>
      <c r="GKV372" s="21" t="s">
        <v>2955</v>
      </c>
      <c r="GKW372" s="21" t="s">
        <v>2955</v>
      </c>
      <c r="GKX372" s="21" t="s">
        <v>2955</v>
      </c>
      <c r="GKY372" s="21" t="s">
        <v>2955</v>
      </c>
      <c r="GKZ372" s="21" t="s">
        <v>2955</v>
      </c>
      <c r="GLA372" s="21" t="s">
        <v>2955</v>
      </c>
      <c r="GLB372" s="21" t="s">
        <v>2955</v>
      </c>
      <c r="GLC372" s="21" t="s">
        <v>2955</v>
      </c>
      <c r="GLD372" s="21" t="s">
        <v>2955</v>
      </c>
      <c r="GLE372" s="21" t="s">
        <v>2955</v>
      </c>
      <c r="GLF372" s="21" t="s">
        <v>2955</v>
      </c>
      <c r="GLG372" s="21" t="s">
        <v>2955</v>
      </c>
      <c r="GLH372" s="21" t="s">
        <v>2955</v>
      </c>
      <c r="GLI372" s="21" t="s">
        <v>2955</v>
      </c>
      <c r="GLJ372" s="21" t="s">
        <v>2955</v>
      </c>
      <c r="GLK372" s="21" t="s">
        <v>2955</v>
      </c>
      <c r="GLL372" s="21" t="s">
        <v>2955</v>
      </c>
      <c r="GLM372" s="21" t="s">
        <v>2955</v>
      </c>
      <c r="GLN372" s="21" t="s">
        <v>2955</v>
      </c>
      <c r="GLO372" s="21" t="s">
        <v>2955</v>
      </c>
      <c r="GLP372" s="21" t="s">
        <v>2955</v>
      </c>
      <c r="GLQ372" s="21" t="s">
        <v>2955</v>
      </c>
      <c r="GLR372" s="21" t="s">
        <v>2955</v>
      </c>
      <c r="GLS372" s="21" t="s">
        <v>2955</v>
      </c>
      <c r="GLT372" s="21" t="s">
        <v>2955</v>
      </c>
      <c r="GLU372" s="21" t="s">
        <v>2955</v>
      </c>
      <c r="GLV372" s="21" t="s">
        <v>2955</v>
      </c>
      <c r="GLW372" s="21" t="s">
        <v>2955</v>
      </c>
      <c r="GLX372" s="21" t="s">
        <v>2955</v>
      </c>
      <c r="GLY372" s="21" t="s">
        <v>2955</v>
      </c>
      <c r="GLZ372" s="21" t="s">
        <v>2955</v>
      </c>
      <c r="GMA372" s="21" t="s">
        <v>2955</v>
      </c>
      <c r="GMB372" s="21" t="s">
        <v>2955</v>
      </c>
      <c r="GMC372" s="21" t="s">
        <v>2955</v>
      </c>
      <c r="GMD372" s="21" t="s">
        <v>2955</v>
      </c>
      <c r="GME372" s="21" t="s">
        <v>2955</v>
      </c>
      <c r="GMF372" s="21" t="s">
        <v>2955</v>
      </c>
      <c r="GMG372" s="21" t="s">
        <v>2955</v>
      </c>
      <c r="GMH372" s="21" t="s">
        <v>2955</v>
      </c>
      <c r="GMI372" s="21" t="s">
        <v>2955</v>
      </c>
      <c r="GMJ372" s="21" t="s">
        <v>2955</v>
      </c>
      <c r="GMK372" s="21" t="s">
        <v>2955</v>
      </c>
      <c r="GML372" s="21" t="s">
        <v>2955</v>
      </c>
      <c r="GMM372" s="21" t="s">
        <v>2955</v>
      </c>
      <c r="GMN372" s="21" t="s">
        <v>2955</v>
      </c>
      <c r="GMO372" s="21" t="s">
        <v>2955</v>
      </c>
      <c r="GMP372" s="21" t="s">
        <v>2955</v>
      </c>
      <c r="GMQ372" s="21" t="s">
        <v>2955</v>
      </c>
      <c r="GMR372" s="21" t="s">
        <v>2955</v>
      </c>
      <c r="GMS372" s="21" t="s">
        <v>2955</v>
      </c>
      <c r="GMT372" s="21" t="s">
        <v>2955</v>
      </c>
      <c r="GMU372" s="21" t="s">
        <v>2955</v>
      </c>
      <c r="GMV372" s="21" t="s">
        <v>2955</v>
      </c>
      <c r="GMW372" s="21" t="s">
        <v>2955</v>
      </c>
      <c r="GMX372" s="21" t="s">
        <v>2955</v>
      </c>
      <c r="GMY372" s="21" t="s">
        <v>2955</v>
      </c>
      <c r="GMZ372" s="21" t="s">
        <v>2955</v>
      </c>
      <c r="GNA372" s="21" t="s">
        <v>2955</v>
      </c>
      <c r="GNB372" s="21" t="s">
        <v>2955</v>
      </c>
      <c r="GNC372" s="21" t="s">
        <v>2955</v>
      </c>
      <c r="GND372" s="21" t="s">
        <v>2955</v>
      </c>
      <c r="GNE372" s="21" t="s">
        <v>2955</v>
      </c>
      <c r="GNF372" s="21" t="s">
        <v>2955</v>
      </c>
      <c r="GNG372" s="21" t="s">
        <v>2955</v>
      </c>
      <c r="GNH372" s="21" t="s">
        <v>2955</v>
      </c>
      <c r="GNI372" s="21" t="s">
        <v>2955</v>
      </c>
      <c r="GNJ372" s="21" t="s">
        <v>2955</v>
      </c>
      <c r="GNK372" s="21" t="s">
        <v>2955</v>
      </c>
      <c r="GNL372" s="21" t="s">
        <v>2955</v>
      </c>
      <c r="GNM372" s="21" t="s">
        <v>2955</v>
      </c>
      <c r="GNN372" s="21" t="s">
        <v>2955</v>
      </c>
      <c r="GNO372" s="21" t="s">
        <v>2955</v>
      </c>
      <c r="GNP372" s="21" t="s">
        <v>2955</v>
      </c>
      <c r="GNQ372" s="21" t="s">
        <v>2955</v>
      </c>
      <c r="GNR372" s="21" t="s">
        <v>2955</v>
      </c>
      <c r="GNS372" s="21" t="s">
        <v>2955</v>
      </c>
      <c r="GNT372" s="21" t="s">
        <v>2955</v>
      </c>
      <c r="GNU372" s="21" t="s">
        <v>2955</v>
      </c>
      <c r="GNV372" s="21" t="s">
        <v>2955</v>
      </c>
      <c r="GNW372" s="21" t="s">
        <v>2955</v>
      </c>
      <c r="GNX372" s="21" t="s">
        <v>2955</v>
      </c>
      <c r="GNY372" s="21" t="s">
        <v>2955</v>
      </c>
      <c r="GNZ372" s="21" t="s">
        <v>2955</v>
      </c>
      <c r="GOA372" s="21" t="s">
        <v>2955</v>
      </c>
      <c r="GOB372" s="21" t="s">
        <v>2955</v>
      </c>
      <c r="GOC372" s="21" t="s">
        <v>2955</v>
      </c>
      <c r="GOD372" s="21" t="s">
        <v>2955</v>
      </c>
      <c r="GOE372" s="21" t="s">
        <v>2955</v>
      </c>
      <c r="GOF372" s="21" t="s">
        <v>2955</v>
      </c>
      <c r="GOG372" s="21" t="s">
        <v>2955</v>
      </c>
      <c r="GOH372" s="21" t="s">
        <v>2955</v>
      </c>
      <c r="GOI372" s="21" t="s">
        <v>2955</v>
      </c>
      <c r="GOJ372" s="21" t="s">
        <v>2955</v>
      </c>
      <c r="GOK372" s="21" t="s">
        <v>2955</v>
      </c>
      <c r="GOL372" s="21" t="s">
        <v>2955</v>
      </c>
      <c r="GOM372" s="21" t="s">
        <v>2955</v>
      </c>
      <c r="GON372" s="21" t="s">
        <v>2955</v>
      </c>
      <c r="GOO372" s="21" t="s">
        <v>2955</v>
      </c>
      <c r="GOP372" s="21" t="s">
        <v>2955</v>
      </c>
      <c r="GOQ372" s="21" t="s">
        <v>2955</v>
      </c>
      <c r="GOR372" s="21" t="s">
        <v>2955</v>
      </c>
      <c r="GOS372" s="21" t="s">
        <v>2955</v>
      </c>
      <c r="GOT372" s="21" t="s">
        <v>2955</v>
      </c>
      <c r="GOU372" s="21" t="s">
        <v>2955</v>
      </c>
      <c r="GOV372" s="21" t="s">
        <v>2955</v>
      </c>
      <c r="GOW372" s="21" t="s">
        <v>2955</v>
      </c>
      <c r="GOX372" s="21" t="s">
        <v>2955</v>
      </c>
      <c r="GOY372" s="21" t="s">
        <v>2955</v>
      </c>
      <c r="GOZ372" s="21" t="s">
        <v>2955</v>
      </c>
      <c r="GPA372" s="21" t="s">
        <v>2955</v>
      </c>
      <c r="GPB372" s="21" t="s">
        <v>2955</v>
      </c>
      <c r="GPC372" s="21" t="s">
        <v>2955</v>
      </c>
      <c r="GPD372" s="21" t="s">
        <v>2955</v>
      </c>
      <c r="GPE372" s="21" t="s">
        <v>2955</v>
      </c>
      <c r="GPF372" s="21" t="s">
        <v>2955</v>
      </c>
      <c r="GPG372" s="21" t="s">
        <v>2955</v>
      </c>
      <c r="GPH372" s="21" t="s">
        <v>2955</v>
      </c>
      <c r="GPI372" s="21" t="s">
        <v>2955</v>
      </c>
      <c r="GPJ372" s="21" t="s">
        <v>2955</v>
      </c>
      <c r="GPK372" s="21" t="s">
        <v>2955</v>
      </c>
      <c r="GPL372" s="21" t="s">
        <v>2955</v>
      </c>
      <c r="GPM372" s="21" t="s">
        <v>2955</v>
      </c>
      <c r="GPN372" s="21" t="s">
        <v>2955</v>
      </c>
      <c r="GPO372" s="21" t="s">
        <v>2955</v>
      </c>
      <c r="GPP372" s="21" t="s">
        <v>2955</v>
      </c>
      <c r="GPQ372" s="21" t="s">
        <v>2955</v>
      </c>
      <c r="GPR372" s="21" t="s">
        <v>2955</v>
      </c>
      <c r="GPS372" s="21" t="s">
        <v>2955</v>
      </c>
      <c r="GPT372" s="21" t="s">
        <v>2955</v>
      </c>
      <c r="GPU372" s="21" t="s">
        <v>2955</v>
      </c>
      <c r="GPV372" s="21" t="s">
        <v>2955</v>
      </c>
      <c r="GPW372" s="21" t="s">
        <v>2955</v>
      </c>
      <c r="GPX372" s="21" t="s">
        <v>2955</v>
      </c>
      <c r="GPY372" s="21" t="s">
        <v>2955</v>
      </c>
      <c r="GPZ372" s="21" t="s">
        <v>2955</v>
      </c>
      <c r="GQA372" s="21" t="s">
        <v>2955</v>
      </c>
      <c r="GQB372" s="21" t="s">
        <v>2955</v>
      </c>
      <c r="GQC372" s="21" t="s">
        <v>2955</v>
      </c>
      <c r="GQD372" s="21" t="s">
        <v>2955</v>
      </c>
      <c r="GQE372" s="21" t="s">
        <v>2955</v>
      </c>
      <c r="GQF372" s="21" t="s">
        <v>2955</v>
      </c>
      <c r="GQG372" s="21" t="s">
        <v>2955</v>
      </c>
      <c r="GQH372" s="21" t="s">
        <v>2955</v>
      </c>
      <c r="GQI372" s="21" t="s">
        <v>2955</v>
      </c>
      <c r="GQJ372" s="21" t="s">
        <v>2955</v>
      </c>
      <c r="GQK372" s="21" t="s">
        <v>2955</v>
      </c>
      <c r="GQL372" s="21" t="s">
        <v>2955</v>
      </c>
      <c r="GQM372" s="21" t="s">
        <v>2955</v>
      </c>
      <c r="GQN372" s="21" t="s">
        <v>2955</v>
      </c>
      <c r="GQO372" s="21" t="s">
        <v>2955</v>
      </c>
      <c r="GQP372" s="21" t="s">
        <v>2955</v>
      </c>
      <c r="GQQ372" s="21" t="s">
        <v>2955</v>
      </c>
      <c r="GQR372" s="21" t="s">
        <v>2955</v>
      </c>
      <c r="GQS372" s="21" t="s">
        <v>2955</v>
      </c>
      <c r="GQT372" s="21" t="s">
        <v>2955</v>
      </c>
      <c r="GQU372" s="21" t="s">
        <v>2955</v>
      </c>
      <c r="GQV372" s="21" t="s">
        <v>2955</v>
      </c>
      <c r="GQW372" s="21" t="s">
        <v>2955</v>
      </c>
      <c r="GQX372" s="21" t="s">
        <v>2955</v>
      </c>
      <c r="GQY372" s="21" t="s">
        <v>2955</v>
      </c>
      <c r="GQZ372" s="21" t="s">
        <v>2955</v>
      </c>
      <c r="GRA372" s="21" t="s">
        <v>2955</v>
      </c>
      <c r="GRB372" s="21" t="s">
        <v>2955</v>
      </c>
      <c r="GRC372" s="21" t="s">
        <v>2955</v>
      </c>
      <c r="GRD372" s="21" t="s">
        <v>2955</v>
      </c>
      <c r="GRE372" s="21" t="s">
        <v>2955</v>
      </c>
      <c r="GRF372" s="21" t="s">
        <v>2955</v>
      </c>
      <c r="GRG372" s="21" t="s">
        <v>2955</v>
      </c>
      <c r="GRH372" s="21" t="s">
        <v>2955</v>
      </c>
      <c r="GRI372" s="21" t="s">
        <v>2955</v>
      </c>
      <c r="GRJ372" s="21" t="s">
        <v>2955</v>
      </c>
      <c r="GRK372" s="21" t="s">
        <v>2955</v>
      </c>
      <c r="GRL372" s="21" t="s">
        <v>2955</v>
      </c>
      <c r="GRM372" s="21" t="s">
        <v>2955</v>
      </c>
      <c r="GRN372" s="21" t="s">
        <v>2955</v>
      </c>
      <c r="GRO372" s="21" t="s">
        <v>2955</v>
      </c>
      <c r="GRP372" s="21" t="s">
        <v>2955</v>
      </c>
      <c r="GRQ372" s="21" t="s">
        <v>2955</v>
      </c>
      <c r="GRR372" s="21" t="s">
        <v>2955</v>
      </c>
      <c r="GRS372" s="21" t="s">
        <v>2955</v>
      </c>
      <c r="GRT372" s="21" t="s">
        <v>2955</v>
      </c>
      <c r="GRU372" s="21" t="s">
        <v>2955</v>
      </c>
      <c r="GRV372" s="21" t="s">
        <v>2955</v>
      </c>
      <c r="GRW372" s="21" t="s">
        <v>2955</v>
      </c>
      <c r="GRX372" s="21" t="s">
        <v>2955</v>
      </c>
      <c r="GRY372" s="21" t="s">
        <v>2955</v>
      </c>
      <c r="GRZ372" s="21" t="s">
        <v>2955</v>
      </c>
      <c r="GSA372" s="21" t="s">
        <v>2955</v>
      </c>
      <c r="GSB372" s="21" t="s">
        <v>2955</v>
      </c>
      <c r="GSC372" s="21" t="s">
        <v>2955</v>
      </c>
      <c r="GSD372" s="21" t="s">
        <v>2955</v>
      </c>
      <c r="GSE372" s="21" t="s">
        <v>2955</v>
      </c>
      <c r="GSF372" s="21" t="s">
        <v>2955</v>
      </c>
      <c r="GSG372" s="21" t="s">
        <v>2955</v>
      </c>
      <c r="GSH372" s="21" t="s">
        <v>2955</v>
      </c>
      <c r="GSI372" s="21" t="s">
        <v>2955</v>
      </c>
      <c r="GSJ372" s="21" t="s">
        <v>2955</v>
      </c>
      <c r="GSK372" s="21" t="s">
        <v>2955</v>
      </c>
      <c r="GSL372" s="21" t="s">
        <v>2955</v>
      </c>
      <c r="GSM372" s="21" t="s">
        <v>2955</v>
      </c>
      <c r="GSN372" s="21" t="s">
        <v>2955</v>
      </c>
      <c r="GSO372" s="21" t="s">
        <v>2955</v>
      </c>
      <c r="GSP372" s="21" t="s">
        <v>2955</v>
      </c>
      <c r="GSQ372" s="21" t="s">
        <v>2955</v>
      </c>
      <c r="GSR372" s="21" t="s">
        <v>2955</v>
      </c>
      <c r="GSS372" s="21" t="s">
        <v>2955</v>
      </c>
      <c r="GST372" s="21" t="s">
        <v>2955</v>
      </c>
      <c r="GSU372" s="21" t="s">
        <v>2955</v>
      </c>
      <c r="GSV372" s="21" t="s">
        <v>2955</v>
      </c>
      <c r="GSW372" s="21" t="s">
        <v>2955</v>
      </c>
      <c r="GSX372" s="21" t="s">
        <v>2955</v>
      </c>
      <c r="GSY372" s="21" t="s">
        <v>2955</v>
      </c>
      <c r="GSZ372" s="21" t="s">
        <v>2955</v>
      </c>
      <c r="GTA372" s="21" t="s">
        <v>2955</v>
      </c>
      <c r="GTB372" s="21" t="s">
        <v>2955</v>
      </c>
      <c r="GTC372" s="21" t="s">
        <v>2955</v>
      </c>
      <c r="GTD372" s="21" t="s">
        <v>2955</v>
      </c>
      <c r="GTE372" s="21" t="s">
        <v>2955</v>
      </c>
      <c r="GTF372" s="21" t="s">
        <v>2955</v>
      </c>
      <c r="GTG372" s="21" t="s">
        <v>2955</v>
      </c>
      <c r="GTH372" s="21" t="s">
        <v>2955</v>
      </c>
      <c r="GTI372" s="21" t="s">
        <v>2955</v>
      </c>
      <c r="GTJ372" s="21" t="s">
        <v>2955</v>
      </c>
      <c r="GTK372" s="21" t="s">
        <v>2955</v>
      </c>
      <c r="GTL372" s="21" t="s">
        <v>2955</v>
      </c>
      <c r="GTM372" s="21" t="s">
        <v>2955</v>
      </c>
      <c r="GTN372" s="21" t="s">
        <v>2955</v>
      </c>
      <c r="GTO372" s="21" t="s">
        <v>2955</v>
      </c>
      <c r="GTP372" s="21" t="s">
        <v>2955</v>
      </c>
      <c r="GTQ372" s="21" t="s">
        <v>2955</v>
      </c>
      <c r="GTR372" s="21" t="s">
        <v>2955</v>
      </c>
      <c r="GTS372" s="21" t="s">
        <v>2955</v>
      </c>
      <c r="GTT372" s="21" t="s">
        <v>2955</v>
      </c>
      <c r="GTU372" s="21" t="s">
        <v>2955</v>
      </c>
      <c r="GTV372" s="21" t="s">
        <v>2955</v>
      </c>
      <c r="GTW372" s="21" t="s">
        <v>2955</v>
      </c>
      <c r="GTX372" s="21" t="s">
        <v>2955</v>
      </c>
      <c r="GTY372" s="21" t="s">
        <v>2955</v>
      </c>
      <c r="GTZ372" s="21" t="s">
        <v>2955</v>
      </c>
      <c r="GUA372" s="21" t="s">
        <v>2955</v>
      </c>
      <c r="GUB372" s="21" t="s">
        <v>2955</v>
      </c>
      <c r="GUC372" s="21" t="s">
        <v>2955</v>
      </c>
      <c r="GUD372" s="21" t="s">
        <v>2955</v>
      </c>
      <c r="GUE372" s="21" t="s">
        <v>2955</v>
      </c>
      <c r="GUF372" s="21" t="s">
        <v>2955</v>
      </c>
      <c r="GUG372" s="21" t="s">
        <v>2955</v>
      </c>
      <c r="GUH372" s="21" t="s">
        <v>2955</v>
      </c>
      <c r="GUI372" s="21" t="s">
        <v>2955</v>
      </c>
      <c r="GUJ372" s="21" t="s">
        <v>2955</v>
      </c>
      <c r="GUK372" s="21" t="s">
        <v>2955</v>
      </c>
      <c r="GUL372" s="21" t="s">
        <v>2955</v>
      </c>
      <c r="GUM372" s="21" t="s">
        <v>2955</v>
      </c>
      <c r="GUN372" s="21" t="s">
        <v>2955</v>
      </c>
      <c r="GUO372" s="21" t="s">
        <v>2955</v>
      </c>
      <c r="GUP372" s="21" t="s">
        <v>2955</v>
      </c>
      <c r="GUQ372" s="21" t="s">
        <v>2955</v>
      </c>
      <c r="GUR372" s="21" t="s">
        <v>2955</v>
      </c>
      <c r="GUS372" s="21" t="s">
        <v>2955</v>
      </c>
      <c r="GUT372" s="21" t="s">
        <v>2955</v>
      </c>
      <c r="GUU372" s="21" t="s">
        <v>2955</v>
      </c>
      <c r="GUV372" s="21" t="s">
        <v>2955</v>
      </c>
      <c r="GUW372" s="21" t="s">
        <v>2955</v>
      </c>
      <c r="GUX372" s="21" t="s">
        <v>2955</v>
      </c>
      <c r="GUY372" s="21" t="s">
        <v>2955</v>
      </c>
      <c r="GUZ372" s="21" t="s">
        <v>2955</v>
      </c>
      <c r="GVA372" s="21" t="s">
        <v>2955</v>
      </c>
      <c r="GVB372" s="21" t="s">
        <v>2955</v>
      </c>
      <c r="GVC372" s="21" t="s">
        <v>2955</v>
      </c>
      <c r="GVD372" s="21" t="s">
        <v>2955</v>
      </c>
      <c r="GVE372" s="21" t="s">
        <v>2955</v>
      </c>
      <c r="GVF372" s="21" t="s">
        <v>2955</v>
      </c>
      <c r="GVG372" s="21" t="s">
        <v>2955</v>
      </c>
      <c r="GVH372" s="21" t="s">
        <v>2955</v>
      </c>
      <c r="GVI372" s="21" t="s">
        <v>2955</v>
      </c>
      <c r="GVJ372" s="21" t="s">
        <v>2955</v>
      </c>
      <c r="GVK372" s="21" t="s">
        <v>2955</v>
      </c>
      <c r="GVL372" s="21" t="s">
        <v>2955</v>
      </c>
      <c r="GVM372" s="21" t="s">
        <v>2955</v>
      </c>
      <c r="GVN372" s="21" t="s">
        <v>2955</v>
      </c>
      <c r="GVO372" s="21" t="s">
        <v>2955</v>
      </c>
      <c r="GVP372" s="21" t="s">
        <v>2955</v>
      </c>
      <c r="GVQ372" s="21" t="s">
        <v>2955</v>
      </c>
      <c r="GVR372" s="21" t="s">
        <v>2955</v>
      </c>
      <c r="GVS372" s="21" t="s">
        <v>2955</v>
      </c>
      <c r="GVT372" s="21" t="s">
        <v>2955</v>
      </c>
      <c r="GVU372" s="21" t="s">
        <v>2955</v>
      </c>
      <c r="GVV372" s="21" t="s">
        <v>2955</v>
      </c>
      <c r="GVW372" s="21" t="s">
        <v>2955</v>
      </c>
      <c r="GVX372" s="21" t="s">
        <v>2955</v>
      </c>
      <c r="GVY372" s="21" t="s">
        <v>2955</v>
      </c>
      <c r="GVZ372" s="21" t="s">
        <v>2955</v>
      </c>
      <c r="GWA372" s="21" t="s">
        <v>2955</v>
      </c>
      <c r="GWB372" s="21" t="s">
        <v>2955</v>
      </c>
      <c r="GWC372" s="21" t="s">
        <v>2955</v>
      </c>
      <c r="GWD372" s="21" t="s">
        <v>2955</v>
      </c>
      <c r="GWE372" s="21" t="s">
        <v>2955</v>
      </c>
      <c r="GWF372" s="21" t="s">
        <v>2955</v>
      </c>
      <c r="GWG372" s="21" t="s">
        <v>2955</v>
      </c>
      <c r="GWH372" s="21" t="s">
        <v>2955</v>
      </c>
      <c r="GWI372" s="21" t="s">
        <v>2955</v>
      </c>
      <c r="GWJ372" s="21" t="s">
        <v>2955</v>
      </c>
      <c r="GWK372" s="21" t="s">
        <v>2955</v>
      </c>
      <c r="GWL372" s="21" t="s">
        <v>2955</v>
      </c>
      <c r="GWM372" s="21" t="s">
        <v>2955</v>
      </c>
      <c r="GWN372" s="21" t="s">
        <v>2955</v>
      </c>
      <c r="GWO372" s="21" t="s">
        <v>2955</v>
      </c>
      <c r="GWP372" s="21" t="s">
        <v>2955</v>
      </c>
      <c r="GWQ372" s="21" t="s">
        <v>2955</v>
      </c>
      <c r="GWR372" s="21" t="s">
        <v>2955</v>
      </c>
      <c r="GWS372" s="21" t="s">
        <v>2955</v>
      </c>
      <c r="GWT372" s="21" t="s">
        <v>2955</v>
      </c>
      <c r="GWU372" s="21" t="s">
        <v>2955</v>
      </c>
      <c r="GWV372" s="21" t="s">
        <v>2955</v>
      </c>
      <c r="GWW372" s="21" t="s">
        <v>2955</v>
      </c>
      <c r="GWX372" s="21" t="s">
        <v>2955</v>
      </c>
      <c r="GWY372" s="21" t="s">
        <v>2955</v>
      </c>
      <c r="GWZ372" s="21" t="s">
        <v>2955</v>
      </c>
      <c r="GXA372" s="21" t="s">
        <v>2955</v>
      </c>
      <c r="GXB372" s="21" t="s">
        <v>2955</v>
      </c>
      <c r="GXC372" s="21" t="s">
        <v>2955</v>
      </c>
      <c r="GXD372" s="21" t="s">
        <v>2955</v>
      </c>
      <c r="GXE372" s="21" t="s">
        <v>2955</v>
      </c>
      <c r="GXF372" s="21" t="s">
        <v>2955</v>
      </c>
      <c r="GXG372" s="21" t="s">
        <v>2955</v>
      </c>
      <c r="GXH372" s="21" t="s">
        <v>2955</v>
      </c>
      <c r="GXI372" s="21" t="s">
        <v>2955</v>
      </c>
      <c r="GXJ372" s="21" t="s">
        <v>2955</v>
      </c>
      <c r="GXK372" s="21" t="s">
        <v>2955</v>
      </c>
      <c r="GXL372" s="21" t="s">
        <v>2955</v>
      </c>
      <c r="GXM372" s="21" t="s">
        <v>2955</v>
      </c>
      <c r="GXN372" s="21" t="s">
        <v>2955</v>
      </c>
      <c r="GXO372" s="21" t="s">
        <v>2955</v>
      </c>
      <c r="GXP372" s="21" t="s">
        <v>2955</v>
      </c>
      <c r="GXQ372" s="21" t="s">
        <v>2955</v>
      </c>
      <c r="GXR372" s="21" t="s">
        <v>2955</v>
      </c>
      <c r="GXS372" s="21" t="s">
        <v>2955</v>
      </c>
      <c r="GXT372" s="21" t="s">
        <v>2955</v>
      </c>
      <c r="GXU372" s="21" t="s">
        <v>2955</v>
      </c>
      <c r="GXV372" s="21" t="s">
        <v>2955</v>
      </c>
      <c r="GXW372" s="21" t="s">
        <v>2955</v>
      </c>
      <c r="GXX372" s="21" t="s">
        <v>2955</v>
      </c>
      <c r="GXY372" s="21" t="s">
        <v>2955</v>
      </c>
      <c r="GXZ372" s="21" t="s">
        <v>2955</v>
      </c>
      <c r="GYA372" s="21" t="s">
        <v>2955</v>
      </c>
      <c r="GYB372" s="21" t="s">
        <v>2955</v>
      </c>
      <c r="GYC372" s="21" t="s">
        <v>2955</v>
      </c>
      <c r="GYD372" s="21" t="s">
        <v>2955</v>
      </c>
      <c r="GYE372" s="21" t="s">
        <v>2955</v>
      </c>
      <c r="GYF372" s="21" t="s">
        <v>2955</v>
      </c>
      <c r="GYG372" s="21" t="s">
        <v>2955</v>
      </c>
      <c r="GYH372" s="21" t="s">
        <v>2955</v>
      </c>
      <c r="GYI372" s="21" t="s">
        <v>2955</v>
      </c>
      <c r="GYJ372" s="21" t="s">
        <v>2955</v>
      </c>
      <c r="GYK372" s="21" t="s">
        <v>2955</v>
      </c>
      <c r="GYL372" s="21" t="s">
        <v>2955</v>
      </c>
      <c r="GYM372" s="21" t="s">
        <v>2955</v>
      </c>
      <c r="GYN372" s="21" t="s">
        <v>2955</v>
      </c>
      <c r="GYO372" s="21" t="s">
        <v>2955</v>
      </c>
      <c r="GYP372" s="21" t="s">
        <v>2955</v>
      </c>
      <c r="GYQ372" s="21" t="s">
        <v>2955</v>
      </c>
      <c r="GYR372" s="21" t="s">
        <v>2955</v>
      </c>
      <c r="GYS372" s="21" t="s">
        <v>2955</v>
      </c>
      <c r="GYT372" s="21" t="s">
        <v>2955</v>
      </c>
      <c r="GYU372" s="21" t="s">
        <v>2955</v>
      </c>
      <c r="GYV372" s="21" t="s">
        <v>2955</v>
      </c>
      <c r="GYW372" s="21" t="s">
        <v>2955</v>
      </c>
      <c r="GYX372" s="21" t="s">
        <v>2955</v>
      </c>
      <c r="GYY372" s="21" t="s">
        <v>2955</v>
      </c>
      <c r="GYZ372" s="21" t="s">
        <v>2955</v>
      </c>
      <c r="GZA372" s="21" t="s">
        <v>2955</v>
      </c>
      <c r="GZB372" s="21" t="s">
        <v>2955</v>
      </c>
      <c r="GZC372" s="21" t="s">
        <v>2955</v>
      </c>
      <c r="GZD372" s="21" t="s">
        <v>2955</v>
      </c>
      <c r="GZE372" s="21" t="s">
        <v>2955</v>
      </c>
      <c r="GZF372" s="21" t="s">
        <v>2955</v>
      </c>
      <c r="GZG372" s="21" t="s">
        <v>2955</v>
      </c>
      <c r="GZH372" s="21" t="s">
        <v>2955</v>
      </c>
      <c r="GZI372" s="21" t="s">
        <v>2955</v>
      </c>
      <c r="GZJ372" s="21" t="s">
        <v>2955</v>
      </c>
      <c r="GZK372" s="21" t="s">
        <v>2955</v>
      </c>
      <c r="GZL372" s="21" t="s">
        <v>2955</v>
      </c>
      <c r="GZM372" s="21" t="s">
        <v>2955</v>
      </c>
      <c r="GZN372" s="21" t="s">
        <v>2955</v>
      </c>
      <c r="GZO372" s="21" t="s">
        <v>2955</v>
      </c>
      <c r="GZP372" s="21" t="s">
        <v>2955</v>
      </c>
      <c r="GZQ372" s="21" t="s">
        <v>2955</v>
      </c>
      <c r="GZR372" s="21" t="s">
        <v>2955</v>
      </c>
      <c r="GZS372" s="21" t="s">
        <v>2955</v>
      </c>
      <c r="GZT372" s="21" t="s">
        <v>2955</v>
      </c>
      <c r="GZU372" s="21" t="s">
        <v>2955</v>
      </c>
      <c r="GZV372" s="21" t="s">
        <v>2955</v>
      </c>
      <c r="GZW372" s="21" t="s">
        <v>2955</v>
      </c>
      <c r="GZX372" s="21" t="s">
        <v>2955</v>
      </c>
      <c r="GZY372" s="21" t="s">
        <v>2955</v>
      </c>
      <c r="GZZ372" s="21" t="s">
        <v>2955</v>
      </c>
      <c r="HAA372" s="21" t="s">
        <v>2955</v>
      </c>
      <c r="HAB372" s="21" t="s">
        <v>2955</v>
      </c>
      <c r="HAC372" s="21" t="s">
        <v>2955</v>
      </c>
      <c r="HAD372" s="21" t="s">
        <v>2955</v>
      </c>
      <c r="HAE372" s="21" t="s">
        <v>2955</v>
      </c>
      <c r="HAF372" s="21" t="s">
        <v>2955</v>
      </c>
      <c r="HAG372" s="21" t="s">
        <v>2955</v>
      </c>
      <c r="HAH372" s="21" t="s">
        <v>2955</v>
      </c>
      <c r="HAI372" s="21" t="s">
        <v>2955</v>
      </c>
      <c r="HAJ372" s="21" t="s">
        <v>2955</v>
      </c>
      <c r="HAK372" s="21" t="s">
        <v>2955</v>
      </c>
      <c r="HAL372" s="21" t="s">
        <v>2955</v>
      </c>
      <c r="HAM372" s="21" t="s">
        <v>2955</v>
      </c>
      <c r="HAN372" s="21" t="s">
        <v>2955</v>
      </c>
      <c r="HAO372" s="21" t="s">
        <v>2955</v>
      </c>
      <c r="HAP372" s="21" t="s">
        <v>2955</v>
      </c>
      <c r="HAQ372" s="21" t="s">
        <v>2955</v>
      </c>
      <c r="HAR372" s="21" t="s">
        <v>2955</v>
      </c>
      <c r="HAS372" s="21" t="s">
        <v>2955</v>
      </c>
      <c r="HAT372" s="21" t="s">
        <v>2955</v>
      </c>
      <c r="HAU372" s="21" t="s">
        <v>2955</v>
      </c>
      <c r="HAV372" s="21" t="s">
        <v>2955</v>
      </c>
      <c r="HAW372" s="21" t="s">
        <v>2955</v>
      </c>
      <c r="HAX372" s="21" t="s">
        <v>2955</v>
      </c>
      <c r="HAY372" s="21" t="s">
        <v>2955</v>
      </c>
      <c r="HAZ372" s="21" t="s">
        <v>2955</v>
      </c>
      <c r="HBA372" s="21" t="s">
        <v>2955</v>
      </c>
      <c r="HBB372" s="21" t="s">
        <v>2955</v>
      </c>
      <c r="HBC372" s="21" t="s">
        <v>2955</v>
      </c>
      <c r="HBD372" s="21" t="s">
        <v>2955</v>
      </c>
      <c r="HBE372" s="21" t="s">
        <v>2955</v>
      </c>
      <c r="HBF372" s="21" t="s">
        <v>2955</v>
      </c>
      <c r="HBG372" s="21" t="s">
        <v>2955</v>
      </c>
      <c r="HBH372" s="21" t="s">
        <v>2955</v>
      </c>
      <c r="HBI372" s="21" t="s">
        <v>2955</v>
      </c>
      <c r="HBJ372" s="21" t="s">
        <v>2955</v>
      </c>
      <c r="HBK372" s="21" t="s">
        <v>2955</v>
      </c>
      <c r="HBL372" s="21" t="s">
        <v>2955</v>
      </c>
      <c r="HBM372" s="21" t="s">
        <v>2955</v>
      </c>
      <c r="HBN372" s="21" t="s">
        <v>2955</v>
      </c>
      <c r="HBO372" s="21" t="s">
        <v>2955</v>
      </c>
      <c r="HBP372" s="21" t="s">
        <v>2955</v>
      </c>
      <c r="HBQ372" s="21" t="s">
        <v>2955</v>
      </c>
      <c r="HBR372" s="21" t="s">
        <v>2955</v>
      </c>
      <c r="HBS372" s="21" t="s">
        <v>2955</v>
      </c>
      <c r="HBT372" s="21" t="s">
        <v>2955</v>
      </c>
      <c r="HBU372" s="21" t="s">
        <v>2955</v>
      </c>
      <c r="HBV372" s="21" t="s">
        <v>2955</v>
      </c>
      <c r="HBW372" s="21" t="s">
        <v>2955</v>
      </c>
      <c r="HBX372" s="21" t="s">
        <v>2955</v>
      </c>
      <c r="HBY372" s="21" t="s">
        <v>2955</v>
      </c>
      <c r="HBZ372" s="21" t="s">
        <v>2955</v>
      </c>
      <c r="HCA372" s="21" t="s">
        <v>2955</v>
      </c>
      <c r="HCB372" s="21" t="s">
        <v>2955</v>
      </c>
      <c r="HCC372" s="21" t="s">
        <v>2955</v>
      </c>
      <c r="HCD372" s="21" t="s">
        <v>2955</v>
      </c>
      <c r="HCE372" s="21" t="s">
        <v>2955</v>
      </c>
      <c r="HCF372" s="21" t="s">
        <v>2955</v>
      </c>
      <c r="HCG372" s="21" t="s">
        <v>2955</v>
      </c>
      <c r="HCH372" s="21" t="s">
        <v>2955</v>
      </c>
      <c r="HCI372" s="21" t="s">
        <v>2955</v>
      </c>
      <c r="HCJ372" s="21" t="s">
        <v>2955</v>
      </c>
      <c r="HCK372" s="21" t="s">
        <v>2955</v>
      </c>
      <c r="HCL372" s="21" t="s">
        <v>2955</v>
      </c>
      <c r="HCM372" s="21" t="s">
        <v>2955</v>
      </c>
      <c r="HCN372" s="21" t="s">
        <v>2955</v>
      </c>
      <c r="HCO372" s="21" t="s">
        <v>2955</v>
      </c>
      <c r="HCP372" s="21" t="s">
        <v>2955</v>
      </c>
      <c r="HCQ372" s="21" t="s">
        <v>2955</v>
      </c>
      <c r="HCR372" s="21" t="s">
        <v>2955</v>
      </c>
      <c r="HCS372" s="21" t="s">
        <v>2955</v>
      </c>
      <c r="HCT372" s="21" t="s">
        <v>2955</v>
      </c>
      <c r="HCU372" s="21" t="s">
        <v>2955</v>
      </c>
      <c r="HCV372" s="21" t="s">
        <v>2955</v>
      </c>
      <c r="HCW372" s="21" t="s">
        <v>2955</v>
      </c>
      <c r="HCX372" s="21" t="s">
        <v>2955</v>
      </c>
      <c r="HCY372" s="21" t="s">
        <v>2955</v>
      </c>
      <c r="HCZ372" s="21" t="s">
        <v>2955</v>
      </c>
      <c r="HDA372" s="21" t="s">
        <v>2955</v>
      </c>
      <c r="HDB372" s="21" t="s">
        <v>2955</v>
      </c>
      <c r="HDC372" s="21" t="s">
        <v>2955</v>
      </c>
      <c r="HDD372" s="21" t="s">
        <v>2955</v>
      </c>
      <c r="HDE372" s="21" t="s">
        <v>2955</v>
      </c>
      <c r="HDF372" s="21" t="s">
        <v>2955</v>
      </c>
      <c r="HDG372" s="21" t="s">
        <v>2955</v>
      </c>
      <c r="HDH372" s="21" t="s">
        <v>2955</v>
      </c>
      <c r="HDI372" s="21" t="s">
        <v>2955</v>
      </c>
      <c r="HDJ372" s="21" t="s">
        <v>2955</v>
      </c>
      <c r="HDK372" s="21" t="s">
        <v>2955</v>
      </c>
      <c r="HDL372" s="21" t="s">
        <v>2955</v>
      </c>
      <c r="HDM372" s="21" t="s">
        <v>2955</v>
      </c>
      <c r="HDN372" s="21" t="s">
        <v>2955</v>
      </c>
      <c r="HDO372" s="21" t="s">
        <v>2955</v>
      </c>
      <c r="HDP372" s="21" t="s">
        <v>2955</v>
      </c>
      <c r="HDQ372" s="21" t="s">
        <v>2955</v>
      </c>
      <c r="HDR372" s="21" t="s">
        <v>2955</v>
      </c>
      <c r="HDS372" s="21" t="s">
        <v>2955</v>
      </c>
      <c r="HDT372" s="21" t="s">
        <v>2955</v>
      </c>
      <c r="HDU372" s="21" t="s">
        <v>2955</v>
      </c>
      <c r="HDV372" s="21" t="s">
        <v>2955</v>
      </c>
      <c r="HDW372" s="21" t="s">
        <v>2955</v>
      </c>
      <c r="HDX372" s="21" t="s">
        <v>2955</v>
      </c>
      <c r="HDY372" s="21" t="s">
        <v>2955</v>
      </c>
      <c r="HDZ372" s="21" t="s">
        <v>2955</v>
      </c>
      <c r="HEA372" s="21" t="s">
        <v>2955</v>
      </c>
      <c r="HEB372" s="21" t="s">
        <v>2955</v>
      </c>
      <c r="HEC372" s="21" t="s">
        <v>2955</v>
      </c>
      <c r="HED372" s="21" t="s">
        <v>2955</v>
      </c>
      <c r="HEE372" s="21" t="s">
        <v>2955</v>
      </c>
      <c r="HEF372" s="21" t="s">
        <v>2955</v>
      </c>
      <c r="HEG372" s="21" t="s">
        <v>2955</v>
      </c>
      <c r="HEH372" s="21" t="s">
        <v>2955</v>
      </c>
      <c r="HEI372" s="21" t="s">
        <v>2955</v>
      </c>
      <c r="HEJ372" s="21" t="s">
        <v>2955</v>
      </c>
      <c r="HEK372" s="21" t="s">
        <v>2955</v>
      </c>
      <c r="HEL372" s="21" t="s">
        <v>2955</v>
      </c>
      <c r="HEM372" s="21" t="s">
        <v>2955</v>
      </c>
      <c r="HEN372" s="21" t="s">
        <v>2955</v>
      </c>
      <c r="HEO372" s="21" t="s">
        <v>2955</v>
      </c>
      <c r="HEP372" s="21" t="s">
        <v>2955</v>
      </c>
      <c r="HEQ372" s="21" t="s">
        <v>2955</v>
      </c>
      <c r="HER372" s="21" t="s">
        <v>2955</v>
      </c>
      <c r="HES372" s="21" t="s">
        <v>2955</v>
      </c>
      <c r="HET372" s="21" t="s">
        <v>2955</v>
      </c>
      <c r="HEU372" s="21" t="s">
        <v>2955</v>
      </c>
      <c r="HEV372" s="21" t="s">
        <v>2955</v>
      </c>
      <c r="HEW372" s="21" t="s">
        <v>2955</v>
      </c>
      <c r="HEX372" s="21" t="s">
        <v>2955</v>
      </c>
      <c r="HEY372" s="21" t="s">
        <v>2955</v>
      </c>
      <c r="HEZ372" s="21" t="s">
        <v>2955</v>
      </c>
      <c r="HFA372" s="21" t="s">
        <v>2955</v>
      </c>
      <c r="HFB372" s="21" t="s">
        <v>2955</v>
      </c>
      <c r="HFC372" s="21" t="s">
        <v>2955</v>
      </c>
      <c r="HFD372" s="21" t="s">
        <v>2955</v>
      </c>
      <c r="HFE372" s="21" t="s">
        <v>2955</v>
      </c>
      <c r="HFF372" s="21" t="s">
        <v>2955</v>
      </c>
      <c r="HFG372" s="21" t="s">
        <v>2955</v>
      </c>
      <c r="HFH372" s="21" t="s">
        <v>2955</v>
      </c>
      <c r="HFI372" s="21" t="s">
        <v>2955</v>
      </c>
      <c r="HFJ372" s="21" t="s">
        <v>2955</v>
      </c>
      <c r="HFK372" s="21" t="s">
        <v>2955</v>
      </c>
      <c r="HFL372" s="21" t="s">
        <v>2955</v>
      </c>
      <c r="HFM372" s="21" t="s">
        <v>2955</v>
      </c>
      <c r="HFN372" s="21" t="s">
        <v>2955</v>
      </c>
      <c r="HFO372" s="21" t="s">
        <v>2955</v>
      </c>
      <c r="HFP372" s="21" t="s">
        <v>2955</v>
      </c>
      <c r="HFQ372" s="21" t="s">
        <v>2955</v>
      </c>
      <c r="HFR372" s="21" t="s">
        <v>2955</v>
      </c>
      <c r="HFS372" s="21" t="s">
        <v>2955</v>
      </c>
      <c r="HFT372" s="21" t="s">
        <v>2955</v>
      </c>
      <c r="HFU372" s="21" t="s">
        <v>2955</v>
      </c>
      <c r="HFV372" s="21" t="s">
        <v>2955</v>
      </c>
      <c r="HFW372" s="21" t="s">
        <v>2955</v>
      </c>
      <c r="HFX372" s="21" t="s">
        <v>2955</v>
      </c>
      <c r="HFY372" s="21" t="s">
        <v>2955</v>
      </c>
      <c r="HFZ372" s="21" t="s">
        <v>2955</v>
      </c>
      <c r="HGA372" s="21" t="s">
        <v>2955</v>
      </c>
      <c r="HGB372" s="21" t="s">
        <v>2955</v>
      </c>
      <c r="HGC372" s="21" t="s">
        <v>2955</v>
      </c>
      <c r="HGD372" s="21" t="s">
        <v>2955</v>
      </c>
      <c r="HGE372" s="21" t="s">
        <v>2955</v>
      </c>
      <c r="HGF372" s="21" t="s">
        <v>2955</v>
      </c>
      <c r="HGG372" s="21" t="s">
        <v>2955</v>
      </c>
      <c r="HGH372" s="21" t="s">
        <v>2955</v>
      </c>
      <c r="HGI372" s="21" t="s">
        <v>2955</v>
      </c>
      <c r="HGJ372" s="21" t="s">
        <v>2955</v>
      </c>
      <c r="HGK372" s="21" t="s">
        <v>2955</v>
      </c>
      <c r="HGL372" s="21" t="s">
        <v>2955</v>
      </c>
      <c r="HGM372" s="21" t="s">
        <v>2955</v>
      </c>
      <c r="HGN372" s="21" t="s">
        <v>2955</v>
      </c>
      <c r="HGO372" s="21" t="s">
        <v>2955</v>
      </c>
      <c r="HGP372" s="21" t="s">
        <v>2955</v>
      </c>
      <c r="HGQ372" s="21" t="s">
        <v>2955</v>
      </c>
      <c r="HGR372" s="21" t="s">
        <v>2955</v>
      </c>
      <c r="HGS372" s="21" t="s">
        <v>2955</v>
      </c>
      <c r="HGT372" s="21" t="s">
        <v>2955</v>
      </c>
      <c r="HGU372" s="21" t="s">
        <v>2955</v>
      </c>
      <c r="HGV372" s="21" t="s">
        <v>2955</v>
      </c>
      <c r="HGW372" s="21" t="s">
        <v>2955</v>
      </c>
      <c r="HGX372" s="21" t="s">
        <v>2955</v>
      </c>
      <c r="HGY372" s="21" t="s">
        <v>2955</v>
      </c>
      <c r="HGZ372" s="21" t="s">
        <v>2955</v>
      </c>
      <c r="HHA372" s="21" t="s">
        <v>2955</v>
      </c>
      <c r="HHB372" s="21" t="s">
        <v>2955</v>
      </c>
      <c r="HHC372" s="21" t="s">
        <v>2955</v>
      </c>
      <c r="HHD372" s="21" t="s">
        <v>2955</v>
      </c>
      <c r="HHE372" s="21" t="s">
        <v>2955</v>
      </c>
      <c r="HHF372" s="21" t="s">
        <v>2955</v>
      </c>
      <c r="HHG372" s="21" t="s">
        <v>2955</v>
      </c>
      <c r="HHH372" s="21" t="s">
        <v>2955</v>
      </c>
      <c r="HHI372" s="21" t="s">
        <v>2955</v>
      </c>
      <c r="HHJ372" s="21" t="s">
        <v>2955</v>
      </c>
      <c r="HHK372" s="21" t="s">
        <v>2955</v>
      </c>
      <c r="HHL372" s="21" t="s">
        <v>2955</v>
      </c>
      <c r="HHM372" s="21" t="s">
        <v>2955</v>
      </c>
      <c r="HHN372" s="21" t="s">
        <v>2955</v>
      </c>
      <c r="HHO372" s="21" t="s">
        <v>2955</v>
      </c>
      <c r="HHP372" s="21" t="s">
        <v>2955</v>
      </c>
      <c r="HHQ372" s="21" t="s">
        <v>2955</v>
      </c>
      <c r="HHR372" s="21" t="s">
        <v>2955</v>
      </c>
      <c r="HHS372" s="21" t="s">
        <v>2955</v>
      </c>
      <c r="HHT372" s="21" t="s">
        <v>2955</v>
      </c>
      <c r="HHU372" s="21" t="s">
        <v>2955</v>
      </c>
      <c r="HHV372" s="21" t="s">
        <v>2955</v>
      </c>
      <c r="HHW372" s="21" t="s">
        <v>2955</v>
      </c>
      <c r="HHX372" s="21" t="s">
        <v>2955</v>
      </c>
      <c r="HHY372" s="21" t="s">
        <v>2955</v>
      </c>
      <c r="HHZ372" s="21" t="s">
        <v>2955</v>
      </c>
      <c r="HIA372" s="21" t="s">
        <v>2955</v>
      </c>
      <c r="HIB372" s="21" t="s">
        <v>2955</v>
      </c>
      <c r="HIC372" s="21" t="s">
        <v>2955</v>
      </c>
      <c r="HID372" s="21" t="s">
        <v>2955</v>
      </c>
      <c r="HIE372" s="21" t="s">
        <v>2955</v>
      </c>
      <c r="HIF372" s="21" t="s">
        <v>2955</v>
      </c>
      <c r="HIG372" s="21" t="s">
        <v>2955</v>
      </c>
      <c r="HIH372" s="21" t="s">
        <v>2955</v>
      </c>
      <c r="HII372" s="21" t="s">
        <v>2955</v>
      </c>
      <c r="HIJ372" s="21" t="s">
        <v>2955</v>
      </c>
      <c r="HIK372" s="21" t="s">
        <v>2955</v>
      </c>
      <c r="HIL372" s="21" t="s">
        <v>2955</v>
      </c>
      <c r="HIM372" s="21" t="s">
        <v>2955</v>
      </c>
      <c r="HIN372" s="21" t="s">
        <v>2955</v>
      </c>
      <c r="HIO372" s="21" t="s">
        <v>2955</v>
      </c>
      <c r="HIP372" s="21" t="s">
        <v>2955</v>
      </c>
      <c r="HIQ372" s="21" t="s">
        <v>2955</v>
      </c>
      <c r="HIR372" s="21" t="s">
        <v>2955</v>
      </c>
      <c r="HIS372" s="21" t="s">
        <v>2955</v>
      </c>
      <c r="HIT372" s="21" t="s">
        <v>2955</v>
      </c>
      <c r="HIU372" s="21" t="s">
        <v>2955</v>
      </c>
      <c r="HIV372" s="21" t="s">
        <v>2955</v>
      </c>
      <c r="HIW372" s="21" t="s">
        <v>2955</v>
      </c>
      <c r="HIX372" s="21" t="s">
        <v>2955</v>
      </c>
      <c r="HIY372" s="21" t="s">
        <v>2955</v>
      </c>
      <c r="HIZ372" s="21" t="s">
        <v>2955</v>
      </c>
      <c r="HJA372" s="21" t="s">
        <v>2955</v>
      </c>
      <c r="HJB372" s="21" t="s">
        <v>2955</v>
      </c>
      <c r="HJC372" s="21" t="s">
        <v>2955</v>
      </c>
      <c r="HJD372" s="21" t="s">
        <v>2955</v>
      </c>
      <c r="HJE372" s="21" t="s">
        <v>2955</v>
      </c>
      <c r="HJF372" s="21" t="s">
        <v>2955</v>
      </c>
      <c r="HJG372" s="21" t="s">
        <v>2955</v>
      </c>
      <c r="HJH372" s="21" t="s">
        <v>2955</v>
      </c>
      <c r="HJI372" s="21" t="s">
        <v>2955</v>
      </c>
      <c r="HJJ372" s="21" t="s">
        <v>2955</v>
      </c>
      <c r="HJK372" s="21" t="s">
        <v>2955</v>
      </c>
      <c r="HJL372" s="21" t="s">
        <v>2955</v>
      </c>
      <c r="HJM372" s="21" t="s">
        <v>2955</v>
      </c>
      <c r="HJN372" s="21" t="s">
        <v>2955</v>
      </c>
      <c r="HJO372" s="21" t="s">
        <v>2955</v>
      </c>
      <c r="HJP372" s="21" t="s">
        <v>2955</v>
      </c>
      <c r="HJQ372" s="21" t="s">
        <v>2955</v>
      </c>
      <c r="HJR372" s="21" t="s">
        <v>2955</v>
      </c>
      <c r="HJS372" s="21" t="s">
        <v>2955</v>
      </c>
      <c r="HJT372" s="21" t="s">
        <v>2955</v>
      </c>
      <c r="HJU372" s="21" t="s">
        <v>2955</v>
      </c>
      <c r="HJV372" s="21" t="s">
        <v>2955</v>
      </c>
      <c r="HJW372" s="21" t="s">
        <v>2955</v>
      </c>
      <c r="HJX372" s="21" t="s">
        <v>2955</v>
      </c>
      <c r="HJY372" s="21" t="s">
        <v>2955</v>
      </c>
      <c r="HJZ372" s="21" t="s">
        <v>2955</v>
      </c>
      <c r="HKA372" s="21" t="s">
        <v>2955</v>
      </c>
      <c r="HKB372" s="21" t="s">
        <v>2955</v>
      </c>
      <c r="HKC372" s="21" t="s">
        <v>2955</v>
      </c>
      <c r="HKD372" s="21" t="s">
        <v>2955</v>
      </c>
      <c r="HKE372" s="21" t="s">
        <v>2955</v>
      </c>
      <c r="HKF372" s="21" t="s">
        <v>2955</v>
      </c>
      <c r="HKG372" s="21" t="s">
        <v>2955</v>
      </c>
      <c r="HKH372" s="21" t="s">
        <v>2955</v>
      </c>
      <c r="HKI372" s="21" t="s">
        <v>2955</v>
      </c>
      <c r="HKJ372" s="21" t="s">
        <v>2955</v>
      </c>
      <c r="HKK372" s="21" t="s">
        <v>2955</v>
      </c>
      <c r="HKL372" s="21" t="s">
        <v>2955</v>
      </c>
      <c r="HKM372" s="21" t="s">
        <v>2955</v>
      </c>
      <c r="HKN372" s="21" t="s">
        <v>2955</v>
      </c>
      <c r="HKO372" s="21" t="s">
        <v>2955</v>
      </c>
      <c r="HKP372" s="21" t="s">
        <v>2955</v>
      </c>
      <c r="HKQ372" s="21" t="s">
        <v>2955</v>
      </c>
      <c r="HKR372" s="21" t="s">
        <v>2955</v>
      </c>
      <c r="HKS372" s="21" t="s">
        <v>2955</v>
      </c>
      <c r="HKT372" s="21" t="s">
        <v>2955</v>
      </c>
      <c r="HKU372" s="21" t="s">
        <v>2955</v>
      </c>
      <c r="HKV372" s="21" t="s">
        <v>2955</v>
      </c>
      <c r="HKW372" s="21" t="s">
        <v>2955</v>
      </c>
      <c r="HKX372" s="21" t="s">
        <v>2955</v>
      </c>
      <c r="HKY372" s="21" t="s">
        <v>2955</v>
      </c>
      <c r="HKZ372" s="21" t="s">
        <v>2955</v>
      </c>
      <c r="HLA372" s="21" t="s">
        <v>2955</v>
      </c>
      <c r="HLB372" s="21" t="s">
        <v>2955</v>
      </c>
      <c r="HLC372" s="21" t="s">
        <v>2955</v>
      </c>
      <c r="HLD372" s="21" t="s">
        <v>2955</v>
      </c>
      <c r="HLE372" s="21" t="s">
        <v>2955</v>
      </c>
      <c r="HLF372" s="21" t="s">
        <v>2955</v>
      </c>
      <c r="HLG372" s="21" t="s">
        <v>2955</v>
      </c>
      <c r="HLH372" s="21" t="s">
        <v>2955</v>
      </c>
      <c r="HLI372" s="21" t="s">
        <v>2955</v>
      </c>
      <c r="HLJ372" s="21" t="s">
        <v>2955</v>
      </c>
      <c r="HLK372" s="21" t="s">
        <v>2955</v>
      </c>
      <c r="HLL372" s="21" t="s">
        <v>2955</v>
      </c>
      <c r="HLM372" s="21" t="s">
        <v>2955</v>
      </c>
      <c r="HLN372" s="21" t="s">
        <v>2955</v>
      </c>
      <c r="HLO372" s="21" t="s">
        <v>2955</v>
      </c>
      <c r="HLP372" s="21" t="s">
        <v>2955</v>
      </c>
      <c r="HLQ372" s="21" t="s">
        <v>2955</v>
      </c>
      <c r="HLR372" s="21" t="s">
        <v>2955</v>
      </c>
      <c r="HLS372" s="21" t="s">
        <v>2955</v>
      </c>
      <c r="HLT372" s="21" t="s">
        <v>2955</v>
      </c>
      <c r="HLU372" s="21" t="s">
        <v>2955</v>
      </c>
      <c r="HLV372" s="21" t="s">
        <v>2955</v>
      </c>
      <c r="HLW372" s="21" t="s">
        <v>2955</v>
      </c>
      <c r="HLX372" s="21" t="s">
        <v>2955</v>
      </c>
      <c r="HLY372" s="21" t="s">
        <v>2955</v>
      </c>
      <c r="HLZ372" s="21" t="s">
        <v>2955</v>
      </c>
      <c r="HMA372" s="21" t="s">
        <v>2955</v>
      </c>
      <c r="HMB372" s="21" t="s">
        <v>2955</v>
      </c>
      <c r="HMC372" s="21" t="s">
        <v>2955</v>
      </c>
      <c r="HMD372" s="21" t="s">
        <v>2955</v>
      </c>
      <c r="HME372" s="21" t="s">
        <v>2955</v>
      </c>
      <c r="HMF372" s="21" t="s">
        <v>2955</v>
      </c>
      <c r="HMG372" s="21" t="s">
        <v>2955</v>
      </c>
      <c r="HMH372" s="21" t="s">
        <v>2955</v>
      </c>
      <c r="HMI372" s="21" t="s">
        <v>2955</v>
      </c>
      <c r="HMJ372" s="21" t="s">
        <v>2955</v>
      </c>
      <c r="HMK372" s="21" t="s">
        <v>2955</v>
      </c>
      <c r="HML372" s="21" t="s">
        <v>2955</v>
      </c>
      <c r="HMM372" s="21" t="s">
        <v>2955</v>
      </c>
      <c r="HMN372" s="21" t="s">
        <v>2955</v>
      </c>
      <c r="HMO372" s="21" t="s">
        <v>2955</v>
      </c>
      <c r="HMP372" s="21" t="s">
        <v>2955</v>
      </c>
      <c r="HMQ372" s="21" t="s">
        <v>2955</v>
      </c>
      <c r="HMR372" s="21" t="s">
        <v>2955</v>
      </c>
      <c r="HMS372" s="21" t="s">
        <v>2955</v>
      </c>
      <c r="HMT372" s="21" t="s">
        <v>2955</v>
      </c>
      <c r="HMU372" s="21" t="s">
        <v>2955</v>
      </c>
      <c r="HMV372" s="21" t="s">
        <v>2955</v>
      </c>
      <c r="HMW372" s="21" t="s">
        <v>2955</v>
      </c>
      <c r="HMX372" s="21" t="s">
        <v>2955</v>
      </c>
      <c r="HMY372" s="21" t="s">
        <v>2955</v>
      </c>
      <c r="HMZ372" s="21" t="s">
        <v>2955</v>
      </c>
      <c r="HNA372" s="21" t="s">
        <v>2955</v>
      </c>
      <c r="HNB372" s="21" t="s">
        <v>2955</v>
      </c>
      <c r="HNC372" s="21" t="s">
        <v>2955</v>
      </c>
      <c r="HND372" s="21" t="s">
        <v>2955</v>
      </c>
      <c r="HNE372" s="21" t="s">
        <v>2955</v>
      </c>
      <c r="HNF372" s="21" t="s">
        <v>2955</v>
      </c>
      <c r="HNG372" s="21" t="s">
        <v>2955</v>
      </c>
      <c r="HNH372" s="21" t="s">
        <v>2955</v>
      </c>
      <c r="HNI372" s="21" t="s">
        <v>2955</v>
      </c>
      <c r="HNJ372" s="21" t="s">
        <v>2955</v>
      </c>
      <c r="HNK372" s="21" t="s">
        <v>2955</v>
      </c>
      <c r="HNL372" s="21" t="s">
        <v>2955</v>
      </c>
      <c r="HNM372" s="21" t="s">
        <v>2955</v>
      </c>
      <c r="HNN372" s="21" t="s">
        <v>2955</v>
      </c>
      <c r="HNO372" s="21" t="s">
        <v>2955</v>
      </c>
      <c r="HNP372" s="21" t="s">
        <v>2955</v>
      </c>
      <c r="HNQ372" s="21" t="s">
        <v>2955</v>
      </c>
      <c r="HNR372" s="21" t="s">
        <v>2955</v>
      </c>
      <c r="HNS372" s="21" t="s">
        <v>2955</v>
      </c>
      <c r="HNT372" s="21" t="s">
        <v>2955</v>
      </c>
      <c r="HNU372" s="21" t="s">
        <v>2955</v>
      </c>
      <c r="HNV372" s="21" t="s">
        <v>2955</v>
      </c>
      <c r="HNW372" s="21" t="s">
        <v>2955</v>
      </c>
      <c r="HNX372" s="21" t="s">
        <v>2955</v>
      </c>
      <c r="HNY372" s="21" t="s">
        <v>2955</v>
      </c>
      <c r="HNZ372" s="21" t="s">
        <v>2955</v>
      </c>
      <c r="HOA372" s="21" t="s">
        <v>2955</v>
      </c>
      <c r="HOB372" s="21" t="s">
        <v>2955</v>
      </c>
      <c r="HOC372" s="21" t="s">
        <v>2955</v>
      </c>
      <c r="HOD372" s="21" t="s">
        <v>2955</v>
      </c>
      <c r="HOE372" s="21" t="s">
        <v>2955</v>
      </c>
      <c r="HOF372" s="21" t="s">
        <v>2955</v>
      </c>
      <c r="HOG372" s="21" t="s">
        <v>2955</v>
      </c>
      <c r="HOH372" s="21" t="s">
        <v>2955</v>
      </c>
      <c r="HOI372" s="21" t="s">
        <v>2955</v>
      </c>
      <c r="HOJ372" s="21" t="s">
        <v>2955</v>
      </c>
      <c r="HOK372" s="21" t="s">
        <v>2955</v>
      </c>
      <c r="HOL372" s="21" t="s">
        <v>2955</v>
      </c>
      <c r="HOM372" s="21" t="s">
        <v>2955</v>
      </c>
      <c r="HON372" s="21" t="s">
        <v>2955</v>
      </c>
      <c r="HOO372" s="21" t="s">
        <v>2955</v>
      </c>
      <c r="HOP372" s="21" t="s">
        <v>2955</v>
      </c>
      <c r="HOQ372" s="21" t="s">
        <v>2955</v>
      </c>
      <c r="HOR372" s="21" t="s">
        <v>2955</v>
      </c>
      <c r="HOS372" s="21" t="s">
        <v>2955</v>
      </c>
      <c r="HOT372" s="21" t="s">
        <v>2955</v>
      </c>
      <c r="HOU372" s="21" t="s">
        <v>2955</v>
      </c>
      <c r="HOV372" s="21" t="s">
        <v>2955</v>
      </c>
      <c r="HOW372" s="21" t="s">
        <v>2955</v>
      </c>
      <c r="HOX372" s="21" t="s">
        <v>2955</v>
      </c>
      <c r="HOY372" s="21" t="s">
        <v>2955</v>
      </c>
      <c r="HOZ372" s="21" t="s">
        <v>2955</v>
      </c>
      <c r="HPA372" s="21" t="s">
        <v>2955</v>
      </c>
      <c r="HPB372" s="21" t="s">
        <v>2955</v>
      </c>
      <c r="HPC372" s="21" t="s">
        <v>2955</v>
      </c>
      <c r="HPD372" s="21" t="s">
        <v>2955</v>
      </c>
      <c r="HPE372" s="21" t="s">
        <v>2955</v>
      </c>
      <c r="HPF372" s="21" t="s">
        <v>2955</v>
      </c>
      <c r="HPG372" s="21" t="s">
        <v>2955</v>
      </c>
      <c r="HPH372" s="21" t="s">
        <v>2955</v>
      </c>
      <c r="HPI372" s="21" t="s">
        <v>2955</v>
      </c>
      <c r="HPJ372" s="21" t="s">
        <v>2955</v>
      </c>
      <c r="HPK372" s="21" t="s">
        <v>2955</v>
      </c>
      <c r="HPL372" s="21" t="s">
        <v>2955</v>
      </c>
      <c r="HPM372" s="21" t="s">
        <v>2955</v>
      </c>
      <c r="HPN372" s="21" t="s">
        <v>2955</v>
      </c>
      <c r="HPO372" s="21" t="s">
        <v>2955</v>
      </c>
      <c r="HPP372" s="21" t="s">
        <v>2955</v>
      </c>
      <c r="HPQ372" s="21" t="s">
        <v>2955</v>
      </c>
      <c r="HPR372" s="21" t="s">
        <v>2955</v>
      </c>
      <c r="HPS372" s="21" t="s">
        <v>2955</v>
      </c>
      <c r="HPT372" s="21" t="s">
        <v>2955</v>
      </c>
      <c r="HPU372" s="21" t="s">
        <v>2955</v>
      </c>
      <c r="HPV372" s="21" t="s">
        <v>2955</v>
      </c>
      <c r="HPW372" s="21" t="s">
        <v>2955</v>
      </c>
      <c r="HPX372" s="21" t="s">
        <v>2955</v>
      </c>
      <c r="HPY372" s="21" t="s">
        <v>2955</v>
      </c>
      <c r="HPZ372" s="21" t="s">
        <v>2955</v>
      </c>
      <c r="HQA372" s="21" t="s">
        <v>2955</v>
      </c>
      <c r="HQB372" s="21" t="s">
        <v>2955</v>
      </c>
      <c r="HQC372" s="21" t="s">
        <v>2955</v>
      </c>
      <c r="HQD372" s="21" t="s">
        <v>2955</v>
      </c>
      <c r="HQE372" s="21" t="s">
        <v>2955</v>
      </c>
      <c r="HQF372" s="21" t="s">
        <v>2955</v>
      </c>
      <c r="HQG372" s="21" t="s">
        <v>2955</v>
      </c>
      <c r="HQH372" s="21" t="s">
        <v>2955</v>
      </c>
      <c r="HQI372" s="21" t="s">
        <v>2955</v>
      </c>
      <c r="HQJ372" s="21" t="s">
        <v>2955</v>
      </c>
      <c r="HQK372" s="21" t="s">
        <v>2955</v>
      </c>
      <c r="HQL372" s="21" t="s">
        <v>2955</v>
      </c>
      <c r="HQM372" s="21" t="s">
        <v>2955</v>
      </c>
      <c r="HQN372" s="21" t="s">
        <v>2955</v>
      </c>
      <c r="HQO372" s="21" t="s">
        <v>2955</v>
      </c>
      <c r="HQP372" s="21" t="s">
        <v>2955</v>
      </c>
      <c r="HQQ372" s="21" t="s">
        <v>2955</v>
      </c>
      <c r="HQR372" s="21" t="s">
        <v>2955</v>
      </c>
      <c r="HQS372" s="21" t="s">
        <v>2955</v>
      </c>
      <c r="HQT372" s="21" t="s">
        <v>2955</v>
      </c>
      <c r="HQU372" s="21" t="s">
        <v>2955</v>
      </c>
      <c r="HQV372" s="21" t="s">
        <v>2955</v>
      </c>
      <c r="HQW372" s="21" t="s">
        <v>2955</v>
      </c>
      <c r="HQX372" s="21" t="s">
        <v>2955</v>
      </c>
      <c r="HQY372" s="21" t="s">
        <v>2955</v>
      </c>
      <c r="HQZ372" s="21" t="s">
        <v>2955</v>
      </c>
      <c r="HRA372" s="21" t="s">
        <v>2955</v>
      </c>
      <c r="HRB372" s="21" t="s">
        <v>2955</v>
      </c>
      <c r="HRC372" s="21" t="s">
        <v>2955</v>
      </c>
      <c r="HRD372" s="21" t="s">
        <v>2955</v>
      </c>
      <c r="HRE372" s="21" t="s">
        <v>2955</v>
      </c>
      <c r="HRF372" s="21" t="s">
        <v>2955</v>
      </c>
      <c r="HRG372" s="21" t="s">
        <v>2955</v>
      </c>
      <c r="HRH372" s="21" t="s">
        <v>2955</v>
      </c>
      <c r="HRI372" s="21" t="s">
        <v>2955</v>
      </c>
      <c r="HRJ372" s="21" t="s">
        <v>2955</v>
      </c>
      <c r="HRK372" s="21" t="s">
        <v>2955</v>
      </c>
      <c r="HRL372" s="21" t="s">
        <v>2955</v>
      </c>
      <c r="HRM372" s="21" t="s">
        <v>2955</v>
      </c>
      <c r="HRN372" s="21" t="s">
        <v>2955</v>
      </c>
      <c r="HRO372" s="21" t="s">
        <v>2955</v>
      </c>
      <c r="HRP372" s="21" t="s">
        <v>2955</v>
      </c>
      <c r="HRQ372" s="21" t="s">
        <v>2955</v>
      </c>
      <c r="HRR372" s="21" t="s">
        <v>2955</v>
      </c>
      <c r="HRS372" s="21" t="s">
        <v>2955</v>
      </c>
      <c r="HRT372" s="21" t="s">
        <v>2955</v>
      </c>
      <c r="HRU372" s="21" t="s">
        <v>2955</v>
      </c>
      <c r="HRV372" s="21" t="s">
        <v>2955</v>
      </c>
      <c r="HRW372" s="21" t="s">
        <v>2955</v>
      </c>
      <c r="HRX372" s="21" t="s">
        <v>2955</v>
      </c>
      <c r="HRY372" s="21" t="s">
        <v>2955</v>
      </c>
      <c r="HRZ372" s="21" t="s">
        <v>2955</v>
      </c>
      <c r="HSA372" s="21" t="s">
        <v>2955</v>
      </c>
      <c r="HSB372" s="21" t="s">
        <v>2955</v>
      </c>
      <c r="HSC372" s="21" t="s">
        <v>2955</v>
      </c>
      <c r="HSD372" s="21" t="s">
        <v>2955</v>
      </c>
      <c r="HSE372" s="21" t="s">
        <v>2955</v>
      </c>
      <c r="HSF372" s="21" t="s">
        <v>2955</v>
      </c>
      <c r="HSG372" s="21" t="s">
        <v>2955</v>
      </c>
      <c r="HSH372" s="21" t="s">
        <v>2955</v>
      </c>
      <c r="HSI372" s="21" t="s">
        <v>2955</v>
      </c>
      <c r="HSJ372" s="21" t="s">
        <v>2955</v>
      </c>
      <c r="HSK372" s="21" t="s">
        <v>2955</v>
      </c>
      <c r="HSL372" s="21" t="s">
        <v>2955</v>
      </c>
      <c r="HSM372" s="21" t="s">
        <v>2955</v>
      </c>
      <c r="HSN372" s="21" t="s">
        <v>2955</v>
      </c>
      <c r="HSO372" s="21" t="s">
        <v>2955</v>
      </c>
      <c r="HSP372" s="21" t="s">
        <v>2955</v>
      </c>
      <c r="HSQ372" s="21" t="s">
        <v>2955</v>
      </c>
      <c r="HSR372" s="21" t="s">
        <v>2955</v>
      </c>
      <c r="HSS372" s="21" t="s">
        <v>2955</v>
      </c>
      <c r="HST372" s="21" t="s">
        <v>2955</v>
      </c>
      <c r="HSU372" s="21" t="s">
        <v>2955</v>
      </c>
      <c r="HSV372" s="21" t="s">
        <v>2955</v>
      </c>
      <c r="HSW372" s="21" t="s">
        <v>2955</v>
      </c>
      <c r="HSX372" s="21" t="s">
        <v>2955</v>
      </c>
      <c r="HSY372" s="21" t="s">
        <v>2955</v>
      </c>
      <c r="HSZ372" s="21" t="s">
        <v>2955</v>
      </c>
      <c r="HTA372" s="21" t="s">
        <v>2955</v>
      </c>
      <c r="HTB372" s="21" t="s">
        <v>2955</v>
      </c>
      <c r="HTC372" s="21" t="s">
        <v>2955</v>
      </c>
      <c r="HTD372" s="21" t="s">
        <v>2955</v>
      </c>
      <c r="HTE372" s="21" t="s">
        <v>2955</v>
      </c>
      <c r="HTF372" s="21" t="s">
        <v>2955</v>
      </c>
      <c r="HTG372" s="21" t="s">
        <v>2955</v>
      </c>
      <c r="HTH372" s="21" t="s">
        <v>2955</v>
      </c>
      <c r="HTI372" s="21" t="s">
        <v>2955</v>
      </c>
      <c r="HTJ372" s="21" t="s">
        <v>2955</v>
      </c>
      <c r="HTK372" s="21" t="s">
        <v>2955</v>
      </c>
      <c r="HTL372" s="21" t="s">
        <v>2955</v>
      </c>
      <c r="HTM372" s="21" t="s">
        <v>2955</v>
      </c>
      <c r="HTN372" s="21" t="s">
        <v>2955</v>
      </c>
      <c r="HTO372" s="21" t="s">
        <v>2955</v>
      </c>
      <c r="HTP372" s="21" t="s">
        <v>2955</v>
      </c>
      <c r="HTQ372" s="21" t="s">
        <v>2955</v>
      </c>
      <c r="HTR372" s="21" t="s">
        <v>2955</v>
      </c>
      <c r="HTS372" s="21" t="s">
        <v>2955</v>
      </c>
      <c r="HTT372" s="21" t="s">
        <v>2955</v>
      </c>
      <c r="HTU372" s="21" t="s">
        <v>2955</v>
      </c>
      <c r="HTV372" s="21" t="s">
        <v>2955</v>
      </c>
      <c r="HTW372" s="21" t="s">
        <v>2955</v>
      </c>
      <c r="HTX372" s="21" t="s">
        <v>2955</v>
      </c>
      <c r="HTY372" s="21" t="s">
        <v>2955</v>
      </c>
      <c r="HTZ372" s="21" t="s">
        <v>2955</v>
      </c>
      <c r="HUA372" s="21" t="s">
        <v>2955</v>
      </c>
      <c r="HUB372" s="21" t="s">
        <v>2955</v>
      </c>
      <c r="HUC372" s="21" t="s">
        <v>2955</v>
      </c>
      <c r="HUD372" s="21" t="s">
        <v>2955</v>
      </c>
      <c r="HUE372" s="21" t="s">
        <v>2955</v>
      </c>
      <c r="HUF372" s="21" t="s">
        <v>2955</v>
      </c>
      <c r="HUG372" s="21" t="s">
        <v>2955</v>
      </c>
      <c r="HUH372" s="21" t="s">
        <v>2955</v>
      </c>
      <c r="HUI372" s="21" t="s">
        <v>2955</v>
      </c>
      <c r="HUJ372" s="21" t="s">
        <v>2955</v>
      </c>
      <c r="HUK372" s="21" t="s">
        <v>2955</v>
      </c>
      <c r="HUL372" s="21" t="s">
        <v>2955</v>
      </c>
      <c r="HUM372" s="21" t="s">
        <v>2955</v>
      </c>
      <c r="HUN372" s="21" t="s">
        <v>2955</v>
      </c>
      <c r="HUO372" s="21" t="s">
        <v>2955</v>
      </c>
      <c r="HUP372" s="21" t="s">
        <v>2955</v>
      </c>
      <c r="HUQ372" s="21" t="s">
        <v>2955</v>
      </c>
      <c r="HUR372" s="21" t="s">
        <v>2955</v>
      </c>
      <c r="HUS372" s="21" t="s">
        <v>2955</v>
      </c>
      <c r="HUT372" s="21" t="s">
        <v>2955</v>
      </c>
      <c r="HUU372" s="21" t="s">
        <v>2955</v>
      </c>
      <c r="HUV372" s="21" t="s">
        <v>2955</v>
      </c>
      <c r="HUW372" s="21" t="s">
        <v>2955</v>
      </c>
      <c r="HUX372" s="21" t="s">
        <v>2955</v>
      </c>
      <c r="HUY372" s="21" t="s">
        <v>2955</v>
      </c>
      <c r="HUZ372" s="21" t="s">
        <v>2955</v>
      </c>
      <c r="HVA372" s="21" t="s">
        <v>2955</v>
      </c>
      <c r="HVB372" s="21" t="s">
        <v>2955</v>
      </c>
      <c r="HVC372" s="21" t="s">
        <v>2955</v>
      </c>
      <c r="HVD372" s="21" t="s">
        <v>2955</v>
      </c>
      <c r="HVE372" s="21" t="s">
        <v>2955</v>
      </c>
      <c r="HVF372" s="21" t="s">
        <v>2955</v>
      </c>
      <c r="HVG372" s="21" t="s">
        <v>2955</v>
      </c>
      <c r="HVH372" s="21" t="s">
        <v>2955</v>
      </c>
      <c r="HVI372" s="21" t="s">
        <v>2955</v>
      </c>
      <c r="HVJ372" s="21" t="s">
        <v>2955</v>
      </c>
      <c r="HVK372" s="21" t="s">
        <v>2955</v>
      </c>
      <c r="HVL372" s="21" t="s">
        <v>2955</v>
      </c>
      <c r="HVM372" s="21" t="s">
        <v>2955</v>
      </c>
      <c r="HVN372" s="21" t="s">
        <v>2955</v>
      </c>
      <c r="HVO372" s="21" t="s">
        <v>2955</v>
      </c>
      <c r="HVP372" s="21" t="s">
        <v>2955</v>
      </c>
      <c r="HVQ372" s="21" t="s">
        <v>2955</v>
      </c>
      <c r="HVR372" s="21" t="s">
        <v>2955</v>
      </c>
      <c r="HVS372" s="21" t="s">
        <v>2955</v>
      </c>
      <c r="HVT372" s="21" t="s">
        <v>2955</v>
      </c>
      <c r="HVU372" s="21" t="s">
        <v>2955</v>
      </c>
      <c r="HVV372" s="21" t="s">
        <v>2955</v>
      </c>
      <c r="HVW372" s="21" t="s">
        <v>2955</v>
      </c>
      <c r="HVX372" s="21" t="s">
        <v>2955</v>
      </c>
      <c r="HVY372" s="21" t="s">
        <v>2955</v>
      </c>
      <c r="HVZ372" s="21" t="s">
        <v>2955</v>
      </c>
      <c r="HWA372" s="21" t="s">
        <v>2955</v>
      </c>
      <c r="HWB372" s="21" t="s">
        <v>2955</v>
      </c>
      <c r="HWC372" s="21" t="s">
        <v>2955</v>
      </c>
      <c r="HWD372" s="21" t="s">
        <v>2955</v>
      </c>
      <c r="HWE372" s="21" t="s">
        <v>2955</v>
      </c>
      <c r="HWF372" s="21" t="s">
        <v>2955</v>
      </c>
      <c r="HWG372" s="21" t="s">
        <v>2955</v>
      </c>
      <c r="HWH372" s="21" t="s">
        <v>2955</v>
      </c>
      <c r="HWI372" s="21" t="s">
        <v>2955</v>
      </c>
      <c r="HWJ372" s="21" t="s">
        <v>2955</v>
      </c>
      <c r="HWK372" s="21" t="s">
        <v>2955</v>
      </c>
      <c r="HWL372" s="21" t="s">
        <v>2955</v>
      </c>
      <c r="HWM372" s="21" t="s">
        <v>2955</v>
      </c>
      <c r="HWN372" s="21" t="s">
        <v>2955</v>
      </c>
      <c r="HWO372" s="21" t="s">
        <v>2955</v>
      </c>
      <c r="HWP372" s="21" t="s">
        <v>2955</v>
      </c>
      <c r="HWQ372" s="21" t="s">
        <v>2955</v>
      </c>
      <c r="HWR372" s="21" t="s">
        <v>2955</v>
      </c>
      <c r="HWS372" s="21" t="s">
        <v>2955</v>
      </c>
      <c r="HWT372" s="21" t="s">
        <v>2955</v>
      </c>
      <c r="HWU372" s="21" t="s">
        <v>2955</v>
      </c>
      <c r="HWV372" s="21" t="s">
        <v>2955</v>
      </c>
      <c r="HWW372" s="21" t="s">
        <v>2955</v>
      </c>
      <c r="HWX372" s="21" t="s">
        <v>2955</v>
      </c>
      <c r="HWY372" s="21" t="s">
        <v>2955</v>
      </c>
      <c r="HWZ372" s="21" t="s">
        <v>2955</v>
      </c>
      <c r="HXA372" s="21" t="s">
        <v>2955</v>
      </c>
      <c r="HXB372" s="21" t="s">
        <v>2955</v>
      </c>
      <c r="HXC372" s="21" t="s">
        <v>2955</v>
      </c>
      <c r="HXD372" s="21" t="s">
        <v>2955</v>
      </c>
      <c r="HXE372" s="21" t="s">
        <v>2955</v>
      </c>
      <c r="HXF372" s="21" t="s">
        <v>2955</v>
      </c>
      <c r="HXG372" s="21" t="s">
        <v>2955</v>
      </c>
      <c r="HXH372" s="21" t="s">
        <v>2955</v>
      </c>
      <c r="HXI372" s="21" t="s">
        <v>2955</v>
      </c>
      <c r="HXJ372" s="21" t="s">
        <v>2955</v>
      </c>
      <c r="HXK372" s="21" t="s">
        <v>2955</v>
      </c>
      <c r="HXL372" s="21" t="s">
        <v>2955</v>
      </c>
      <c r="HXM372" s="21" t="s">
        <v>2955</v>
      </c>
      <c r="HXN372" s="21" t="s">
        <v>2955</v>
      </c>
      <c r="HXO372" s="21" t="s">
        <v>2955</v>
      </c>
      <c r="HXP372" s="21" t="s">
        <v>2955</v>
      </c>
      <c r="HXQ372" s="21" t="s">
        <v>2955</v>
      </c>
      <c r="HXR372" s="21" t="s">
        <v>2955</v>
      </c>
      <c r="HXS372" s="21" t="s">
        <v>2955</v>
      </c>
      <c r="HXT372" s="21" t="s">
        <v>2955</v>
      </c>
      <c r="HXU372" s="21" t="s">
        <v>2955</v>
      </c>
      <c r="HXV372" s="21" t="s">
        <v>2955</v>
      </c>
      <c r="HXW372" s="21" t="s">
        <v>2955</v>
      </c>
      <c r="HXX372" s="21" t="s">
        <v>2955</v>
      </c>
      <c r="HXY372" s="21" t="s">
        <v>2955</v>
      </c>
      <c r="HXZ372" s="21" t="s">
        <v>2955</v>
      </c>
      <c r="HYA372" s="21" t="s">
        <v>2955</v>
      </c>
      <c r="HYB372" s="21" t="s">
        <v>2955</v>
      </c>
      <c r="HYC372" s="21" t="s">
        <v>2955</v>
      </c>
      <c r="HYD372" s="21" t="s">
        <v>2955</v>
      </c>
      <c r="HYE372" s="21" t="s">
        <v>2955</v>
      </c>
      <c r="HYF372" s="21" t="s">
        <v>2955</v>
      </c>
      <c r="HYG372" s="21" t="s">
        <v>2955</v>
      </c>
      <c r="HYH372" s="21" t="s">
        <v>2955</v>
      </c>
      <c r="HYI372" s="21" t="s">
        <v>2955</v>
      </c>
      <c r="HYJ372" s="21" t="s">
        <v>2955</v>
      </c>
      <c r="HYK372" s="21" t="s">
        <v>2955</v>
      </c>
      <c r="HYL372" s="21" t="s">
        <v>2955</v>
      </c>
      <c r="HYM372" s="21" t="s">
        <v>2955</v>
      </c>
      <c r="HYN372" s="21" t="s">
        <v>2955</v>
      </c>
      <c r="HYO372" s="21" t="s">
        <v>2955</v>
      </c>
      <c r="HYP372" s="21" t="s">
        <v>2955</v>
      </c>
      <c r="HYQ372" s="21" t="s">
        <v>2955</v>
      </c>
      <c r="HYR372" s="21" t="s">
        <v>2955</v>
      </c>
      <c r="HYS372" s="21" t="s">
        <v>2955</v>
      </c>
      <c r="HYT372" s="21" t="s">
        <v>2955</v>
      </c>
      <c r="HYU372" s="21" t="s">
        <v>2955</v>
      </c>
      <c r="HYV372" s="21" t="s">
        <v>2955</v>
      </c>
      <c r="HYW372" s="21" t="s">
        <v>2955</v>
      </c>
      <c r="HYX372" s="21" t="s">
        <v>2955</v>
      </c>
      <c r="HYY372" s="21" t="s">
        <v>2955</v>
      </c>
      <c r="HYZ372" s="21" t="s">
        <v>2955</v>
      </c>
      <c r="HZA372" s="21" t="s">
        <v>2955</v>
      </c>
      <c r="HZB372" s="21" t="s">
        <v>2955</v>
      </c>
      <c r="HZC372" s="21" t="s">
        <v>2955</v>
      </c>
      <c r="HZD372" s="21" t="s">
        <v>2955</v>
      </c>
      <c r="HZE372" s="21" t="s">
        <v>2955</v>
      </c>
      <c r="HZF372" s="21" t="s">
        <v>2955</v>
      </c>
      <c r="HZG372" s="21" t="s">
        <v>2955</v>
      </c>
      <c r="HZH372" s="21" t="s">
        <v>2955</v>
      </c>
      <c r="HZI372" s="21" t="s">
        <v>2955</v>
      </c>
      <c r="HZJ372" s="21" t="s">
        <v>2955</v>
      </c>
      <c r="HZK372" s="21" t="s">
        <v>2955</v>
      </c>
      <c r="HZL372" s="21" t="s">
        <v>2955</v>
      </c>
      <c r="HZM372" s="21" t="s">
        <v>2955</v>
      </c>
      <c r="HZN372" s="21" t="s">
        <v>2955</v>
      </c>
      <c r="HZO372" s="21" t="s">
        <v>2955</v>
      </c>
      <c r="HZP372" s="21" t="s">
        <v>2955</v>
      </c>
      <c r="HZQ372" s="21" t="s">
        <v>2955</v>
      </c>
      <c r="HZR372" s="21" t="s">
        <v>2955</v>
      </c>
      <c r="HZS372" s="21" t="s">
        <v>2955</v>
      </c>
      <c r="HZT372" s="21" t="s">
        <v>2955</v>
      </c>
      <c r="HZU372" s="21" t="s">
        <v>2955</v>
      </c>
      <c r="HZV372" s="21" t="s">
        <v>2955</v>
      </c>
      <c r="HZW372" s="21" t="s">
        <v>2955</v>
      </c>
      <c r="HZX372" s="21" t="s">
        <v>2955</v>
      </c>
      <c r="HZY372" s="21" t="s">
        <v>2955</v>
      </c>
      <c r="HZZ372" s="21" t="s">
        <v>2955</v>
      </c>
      <c r="IAA372" s="21" t="s">
        <v>2955</v>
      </c>
      <c r="IAB372" s="21" t="s">
        <v>2955</v>
      </c>
      <c r="IAC372" s="21" t="s">
        <v>2955</v>
      </c>
      <c r="IAD372" s="21" t="s">
        <v>2955</v>
      </c>
      <c r="IAE372" s="21" t="s">
        <v>2955</v>
      </c>
      <c r="IAF372" s="21" t="s">
        <v>2955</v>
      </c>
      <c r="IAG372" s="21" t="s">
        <v>2955</v>
      </c>
      <c r="IAH372" s="21" t="s">
        <v>2955</v>
      </c>
      <c r="IAI372" s="21" t="s">
        <v>2955</v>
      </c>
      <c r="IAJ372" s="21" t="s">
        <v>2955</v>
      </c>
      <c r="IAK372" s="21" t="s">
        <v>2955</v>
      </c>
      <c r="IAL372" s="21" t="s">
        <v>2955</v>
      </c>
      <c r="IAM372" s="21" t="s">
        <v>2955</v>
      </c>
      <c r="IAN372" s="21" t="s">
        <v>2955</v>
      </c>
      <c r="IAO372" s="21" t="s">
        <v>2955</v>
      </c>
      <c r="IAP372" s="21" t="s">
        <v>2955</v>
      </c>
      <c r="IAQ372" s="21" t="s">
        <v>2955</v>
      </c>
      <c r="IAR372" s="21" t="s">
        <v>2955</v>
      </c>
      <c r="IAS372" s="21" t="s">
        <v>2955</v>
      </c>
      <c r="IAT372" s="21" t="s">
        <v>2955</v>
      </c>
      <c r="IAU372" s="21" t="s">
        <v>2955</v>
      </c>
      <c r="IAV372" s="21" t="s">
        <v>2955</v>
      </c>
      <c r="IAW372" s="21" t="s">
        <v>2955</v>
      </c>
      <c r="IAX372" s="21" t="s">
        <v>2955</v>
      </c>
      <c r="IAY372" s="21" t="s">
        <v>2955</v>
      </c>
      <c r="IAZ372" s="21" t="s">
        <v>2955</v>
      </c>
      <c r="IBA372" s="21" t="s">
        <v>2955</v>
      </c>
      <c r="IBB372" s="21" t="s">
        <v>2955</v>
      </c>
      <c r="IBC372" s="21" t="s">
        <v>2955</v>
      </c>
      <c r="IBD372" s="21" t="s">
        <v>2955</v>
      </c>
      <c r="IBE372" s="21" t="s">
        <v>2955</v>
      </c>
      <c r="IBF372" s="21" t="s">
        <v>2955</v>
      </c>
      <c r="IBG372" s="21" t="s">
        <v>2955</v>
      </c>
      <c r="IBH372" s="21" t="s">
        <v>2955</v>
      </c>
      <c r="IBI372" s="21" t="s">
        <v>2955</v>
      </c>
      <c r="IBJ372" s="21" t="s">
        <v>2955</v>
      </c>
      <c r="IBK372" s="21" t="s">
        <v>2955</v>
      </c>
      <c r="IBL372" s="21" t="s">
        <v>2955</v>
      </c>
      <c r="IBM372" s="21" t="s">
        <v>2955</v>
      </c>
      <c r="IBN372" s="21" t="s">
        <v>2955</v>
      </c>
      <c r="IBO372" s="21" t="s">
        <v>2955</v>
      </c>
      <c r="IBP372" s="21" t="s">
        <v>2955</v>
      </c>
      <c r="IBQ372" s="21" t="s">
        <v>2955</v>
      </c>
      <c r="IBR372" s="21" t="s">
        <v>2955</v>
      </c>
      <c r="IBS372" s="21" t="s">
        <v>2955</v>
      </c>
      <c r="IBT372" s="21" t="s">
        <v>2955</v>
      </c>
      <c r="IBU372" s="21" t="s">
        <v>2955</v>
      </c>
      <c r="IBV372" s="21" t="s">
        <v>2955</v>
      </c>
      <c r="IBW372" s="21" t="s">
        <v>2955</v>
      </c>
      <c r="IBX372" s="21" t="s">
        <v>2955</v>
      </c>
      <c r="IBY372" s="21" t="s">
        <v>2955</v>
      </c>
      <c r="IBZ372" s="21" t="s">
        <v>2955</v>
      </c>
      <c r="ICA372" s="21" t="s">
        <v>2955</v>
      </c>
      <c r="ICB372" s="21" t="s">
        <v>2955</v>
      </c>
      <c r="ICC372" s="21" t="s">
        <v>2955</v>
      </c>
      <c r="ICD372" s="21" t="s">
        <v>2955</v>
      </c>
      <c r="ICE372" s="21" t="s">
        <v>2955</v>
      </c>
      <c r="ICF372" s="21" t="s">
        <v>2955</v>
      </c>
      <c r="ICG372" s="21" t="s">
        <v>2955</v>
      </c>
      <c r="ICH372" s="21" t="s">
        <v>2955</v>
      </c>
      <c r="ICI372" s="21" t="s">
        <v>2955</v>
      </c>
      <c r="ICJ372" s="21" t="s">
        <v>2955</v>
      </c>
      <c r="ICK372" s="21" t="s">
        <v>2955</v>
      </c>
      <c r="ICL372" s="21" t="s">
        <v>2955</v>
      </c>
      <c r="ICM372" s="21" t="s">
        <v>2955</v>
      </c>
      <c r="ICN372" s="21" t="s">
        <v>2955</v>
      </c>
      <c r="ICO372" s="21" t="s">
        <v>2955</v>
      </c>
      <c r="ICP372" s="21" t="s">
        <v>2955</v>
      </c>
      <c r="ICQ372" s="21" t="s">
        <v>2955</v>
      </c>
      <c r="ICR372" s="21" t="s">
        <v>2955</v>
      </c>
      <c r="ICS372" s="21" t="s">
        <v>2955</v>
      </c>
      <c r="ICT372" s="21" t="s">
        <v>2955</v>
      </c>
      <c r="ICU372" s="21" t="s">
        <v>2955</v>
      </c>
      <c r="ICV372" s="21" t="s">
        <v>2955</v>
      </c>
      <c r="ICW372" s="21" t="s">
        <v>2955</v>
      </c>
      <c r="ICX372" s="21" t="s">
        <v>2955</v>
      </c>
      <c r="ICY372" s="21" t="s">
        <v>2955</v>
      </c>
      <c r="ICZ372" s="21" t="s">
        <v>2955</v>
      </c>
      <c r="IDA372" s="21" t="s">
        <v>2955</v>
      </c>
      <c r="IDB372" s="21" t="s">
        <v>2955</v>
      </c>
      <c r="IDC372" s="21" t="s">
        <v>2955</v>
      </c>
      <c r="IDD372" s="21" t="s">
        <v>2955</v>
      </c>
      <c r="IDE372" s="21" t="s">
        <v>2955</v>
      </c>
      <c r="IDF372" s="21" t="s">
        <v>2955</v>
      </c>
      <c r="IDG372" s="21" t="s">
        <v>2955</v>
      </c>
      <c r="IDH372" s="21" t="s">
        <v>2955</v>
      </c>
      <c r="IDI372" s="21" t="s">
        <v>2955</v>
      </c>
      <c r="IDJ372" s="21" t="s">
        <v>2955</v>
      </c>
      <c r="IDK372" s="21" t="s">
        <v>2955</v>
      </c>
      <c r="IDL372" s="21" t="s">
        <v>2955</v>
      </c>
      <c r="IDM372" s="21" t="s">
        <v>2955</v>
      </c>
      <c r="IDN372" s="21" t="s">
        <v>2955</v>
      </c>
      <c r="IDO372" s="21" t="s">
        <v>2955</v>
      </c>
      <c r="IDP372" s="21" t="s">
        <v>2955</v>
      </c>
      <c r="IDQ372" s="21" t="s">
        <v>2955</v>
      </c>
      <c r="IDR372" s="21" t="s">
        <v>2955</v>
      </c>
      <c r="IDS372" s="21" t="s">
        <v>2955</v>
      </c>
      <c r="IDT372" s="21" t="s">
        <v>2955</v>
      </c>
      <c r="IDU372" s="21" t="s">
        <v>2955</v>
      </c>
      <c r="IDV372" s="21" t="s">
        <v>2955</v>
      </c>
      <c r="IDW372" s="21" t="s">
        <v>2955</v>
      </c>
      <c r="IDX372" s="21" t="s">
        <v>2955</v>
      </c>
      <c r="IDY372" s="21" t="s">
        <v>2955</v>
      </c>
      <c r="IDZ372" s="21" t="s">
        <v>2955</v>
      </c>
      <c r="IEA372" s="21" t="s">
        <v>2955</v>
      </c>
      <c r="IEB372" s="21" t="s">
        <v>2955</v>
      </c>
      <c r="IEC372" s="21" t="s">
        <v>2955</v>
      </c>
      <c r="IED372" s="21" t="s">
        <v>2955</v>
      </c>
      <c r="IEE372" s="21" t="s">
        <v>2955</v>
      </c>
      <c r="IEF372" s="21" t="s">
        <v>2955</v>
      </c>
      <c r="IEG372" s="21" t="s">
        <v>2955</v>
      </c>
      <c r="IEH372" s="21" t="s">
        <v>2955</v>
      </c>
      <c r="IEI372" s="21" t="s">
        <v>2955</v>
      </c>
      <c r="IEJ372" s="21" t="s">
        <v>2955</v>
      </c>
      <c r="IEK372" s="21" t="s">
        <v>2955</v>
      </c>
      <c r="IEL372" s="21" t="s">
        <v>2955</v>
      </c>
      <c r="IEM372" s="21" t="s">
        <v>2955</v>
      </c>
      <c r="IEN372" s="21" t="s">
        <v>2955</v>
      </c>
      <c r="IEO372" s="21" t="s">
        <v>2955</v>
      </c>
      <c r="IEP372" s="21" t="s">
        <v>2955</v>
      </c>
      <c r="IEQ372" s="21" t="s">
        <v>2955</v>
      </c>
      <c r="IER372" s="21" t="s">
        <v>2955</v>
      </c>
      <c r="IES372" s="21" t="s">
        <v>2955</v>
      </c>
      <c r="IET372" s="21" t="s">
        <v>2955</v>
      </c>
      <c r="IEU372" s="21" t="s">
        <v>2955</v>
      </c>
      <c r="IEV372" s="21" t="s">
        <v>2955</v>
      </c>
      <c r="IEW372" s="21" t="s">
        <v>2955</v>
      </c>
      <c r="IEX372" s="21" t="s">
        <v>2955</v>
      </c>
      <c r="IEY372" s="21" t="s">
        <v>2955</v>
      </c>
      <c r="IEZ372" s="21" t="s">
        <v>2955</v>
      </c>
      <c r="IFA372" s="21" t="s">
        <v>2955</v>
      </c>
      <c r="IFB372" s="21" t="s">
        <v>2955</v>
      </c>
      <c r="IFC372" s="21" t="s">
        <v>2955</v>
      </c>
      <c r="IFD372" s="21" t="s">
        <v>2955</v>
      </c>
      <c r="IFE372" s="21" t="s">
        <v>2955</v>
      </c>
      <c r="IFF372" s="21" t="s">
        <v>2955</v>
      </c>
      <c r="IFG372" s="21" t="s">
        <v>2955</v>
      </c>
      <c r="IFH372" s="21" t="s">
        <v>2955</v>
      </c>
      <c r="IFI372" s="21" t="s">
        <v>2955</v>
      </c>
      <c r="IFJ372" s="21" t="s">
        <v>2955</v>
      </c>
      <c r="IFK372" s="21" t="s">
        <v>2955</v>
      </c>
      <c r="IFL372" s="21" t="s">
        <v>2955</v>
      </c>
      <c r="IFM372" s="21" t="s">
        <v>2955</v>
      </c>
      <c r="IFN372" s="21" t="s">
        <v>2955</v>
      </c>
      <c r="IFO372" s="21" t="s">
        <v>2955</v>
      </c>
      <c r="IFP372" s="21" t="s">
        <v>2955</v>
      </c>
      <c r="IFQ372" s="21" t="s">
        <v>2955</v>
      </c>
      <c r="IFR372" s="21" t="s">
        <v>2955</v>
      </c>
      <c r="IFS372" s="21" t="s">
        <v>2955</v>
      </c>
      <c r="IFT372" s="21" t="s">
        <v>2955</v>
      </c>
      <c r="IFU372" s="21" t="s">
        <v>2955</v>
      </c>
      <c r="IFV372" s="21" t="s">
        <v>2955</v>
      </c>
      <c r="IFW372" s="21" t="s">
        <v>2955</v>
      </c>
      <c r="IFX372" s="21" t="s">
        <v>2955</v>
      </c>
      <c r="IFY372" s="21" t="s">
        <v>2955</v>
      </c>
      <c r="IFZ372" s="21" t="s">
        <v>2955</v>
      </c>
      <c r="IGA372" s="21" t="s">
        <v>2955</v>
      </c>
      <c r="IGB372" s="21" t="s">
        <v>2955</v>
      </c>
      <c r="IGC372" s="21" t="s">
        <v>2955</v>
      </c>
      <c r="IGD372" s="21" t="s">
        <v>2955</v>
      </c>
      <c r="IGE372" s="21" t="s">
        <v>2955</v>
      </c>
      <c r="IGF372" s="21" t="s">
        <v>2955</v>
      </c>
      <c r="IGG372" s="21" t="s">
        <v>2955</v>
      </c>
      <c r="IGH372" s="21" t="s">
        <v>2955</v>
      </c>
      <c r="IGI372" s="21" t="s">
        <v>2955</v>
      </c>
      <c r="IGJ372" s="21" t="s">
        <v>2955</v>
      </c>
      <c r="IGK372" s="21" t="s">
        <v>2955</v>
      </c>
      <c r="IGL372" s="21" t="s">
        <v>2955</v>
      </c>
      <c r="IGM372" s="21" t="s">
        <v>2955</v>
      </c>
      <c r="IGN372" s="21" t="s">
        <v>2955</v>
      </c>
      <c r="IGO372" s="21" t="s">
        <v>2955</v>
      </c>
      <c r="IGP372" s="21" t="s">
        <v>2955</v>
      </c>
      <c r="IGQ372" s="21" t="s">
        <v>2955</v>
      </c>
      <c r="IGR372" s="21" t="s">
        <v>2955</v>
      </c>
      <c r="IGS372" s="21" t="s">
        <v>2955</v>
      </c>
      <c r="IGT372" s="21" t="s">
        <v>2955</v>
      </c>
      <c r="IGU372" s="21" t="s">
        <v>2955</v>
      </c>
      <c r="IGV372" s="21" t="s">
        <v>2955</v>
      </c>
      <c r="IGW372" s="21" t="s">
        <v>2955</v>
      </c>
      <c r="IGX372" s="21" t="s">
        <v>2955</v>
      </c>
      <c r="IGY372" s="21" t="s">
        <v>2955</v>
      </c>
      <c r="IGZ372" s="21" t="s">
        <v>2955</v>
      </c>
      <c r="IHA372" s="21" t="s">
        <v>2955</v>
      </c>
      <c r="IHB372" s="21" t="s">
        <v>2955</v>
      </c>
      <c r="IHC372" s="21" t="s">
        <v>2955</v>
      </c>
      <c r="IHD372" s="21" t="s">
        <v>2955</v>
      </c>
      <c r="IHE372" s="21" t="s">
        <v>2955</v>
      </c>
      <c r="IHF372" s="21" t="s">
        <v>2955</v>
      </c>
      <c r="IHG372" s="21" t="s">
        <v>2955</v>
      </c>
      <c r="IHH372" s="21" t="s">
        <v>2955</v>
      </c>
      <c r="IHI372" s="21" t="s">
        <v>2955</v>
      </c>
      <c r="IHJ372" s="21" t="s">
        <v>2955</v>
      </c>
      <c r="IHK372" s="21" t="s">
        <v>2955</v>
      </c>
      <c r="IHL372" s="21" t="s">
        <v>2955</v>
      </c>
      <c r="IHM372" s="21" t="s">
        <v>2955</v>
      </c>
      <c r="IHN372" s="21" t="s">
        <v>2955</v>
      </c>
      <c r="IHO372" s="21" t="s">
        <v>2955</v>
      </c>
      <c r="IHP372" s="21" t="s">
        <v>2955</v>
      </c>
      <c r="IHQ372" s="21" t="s">
        <v>2955</v>
      </c>
      <c r="IHR372" s="21" t="s">
        <v>2955</v>
      </c>
      <c r="IHS372" s="21" t="s">
        <v>2955</v>
      </c>
      <c r="IHT372" s="21" t="s">
        <v>2955</v>
      </c>
      <c r="IHU372" s="21" t="s">
        <v>2955</v>
      </c>
      <c r="IHV372" s="21" t="s">
        <v>2955</v>
      </c>
      <c r="IHW372" s="21" t="s">
        <v>2955</v>
      </c>
      <c r="IHX372" s="21" t="s">
        <v>2955</v>
      </c>
      <c r="IHY372" s="21" t="s">
        <v>2955</v>
      </c>
      <c r="IHZ372" s="21" t="s">
        <v>2955</v>
      </c>
      <c r="IIA372" s="21" t="s">
        <v>2955</v>
      </c>
      <c r="IIB372" s="21" t="s">
        <v>2955</v>
      </c>
      <c r="IIC372" s="21" t="s">
        <v>2955</v>
      </c>
      <c r="IID372" s="21" t="s">
        <v>2955</v>
      </c>
      <c r="IIE372" s="21" t="s">
        <v>2955</v>
      </c>
      <c r="IIF372" s="21" t="s">
        <v>2955</v>
      </c>
      <c r="IIG372" s="21" t="s">
        <v>2955</v>
      </c>
      <c r="IIH372" s="21" t="s">
        <v>2955</v>
      </c>
      <c r="III372" s="21" t="s">
        <v>2955</v>
      </c>
      <c r="IIJ372" s="21" t="s">
        <v>2955</v>
      </c>
      <c r="IIK372" s="21" t="s">
        <v>2955</v>
      </c>
      <c r="IIL372" s="21" t="s">
        <v>2955</v>
      </c>
      <c r="IIM372" s="21" t="s">
        <v>2955</v>
      </c>
      <c r="IIN372" s="21" t="s">
        <v>2955</v>
      </c>
      <c r="IIO372" s="21" t="s">
        <v>2955</v>
      </c>
      <c r="IIP372" s="21" t="s">
        <v>2955</v>
      </c>
      <c r="IIQ372" s="21" t="s">
        <v>2955</v>
      </c>
      <c r="IIR372" s="21" t="s">
        <v>2955</v>
      </c>
      <c r="IIS372" s="21" t="s">
        <v>2955</v>
      </c>
      <c r="IIT372" s="21" t="s">
        <v>2955</v>
      </c>
      <c r="IIU372" s="21" t="s">
        <v>2955</v>
      </c>
      <c r="IIV372" s="21" t="s">
        <v>2955</v>
      </c>
      <c r="IIW372" s="21" t="s">
        <v>2955</v>
      </c>
      <c r="IIX372" s="21" t="s">
        <v>2955</v>
      </c>
      <c r="IIY372" s="21" t="s">
        <v>2955</v>
      </c>
      <c r="IIZ372" s="21" t="s">
        <v>2955</v>
      </c>
      <c r="IJA372" s="21" t="s">
        <v>2955</v>
      </c>
      <c r="IJB372" s="21" t="s">
        <v>2955</v>
      </c>
      <c r="IJC372" s="21" t="s">
        <v>2955</v>
      </c>
      <c r="IJD372" s="21" t="s">
        <v>2955</v>
      </c>
      <c r="IJE372" s="21" t="s">
        <v>2955</v>
      </c>
      <c r="IJF372" s="21" t="s">
        <v>2955</v>
      </c>
      <c r="IJG372" s="21" t="s">
        <v>2955</v>
      </c>
      <c r="IJH372" s="21" t="s">
        <v>2955</v>
      </c>
      <c r="IJI372" s="21" t="s">
        <v>2955</v>
      </c>
      <c r="IJJ372" s="21" t="s">
        <v>2955</v>
      </c>
      <c r="IJK372" s="21" t="s">
        <v>2955</v>
      </c>
      <c r="IJL372" s="21" t="s">
        <v>2955</v>
      </c>
      <c r="IJM372" s="21" t="s">
        <v>2955</v>
      </c>
      <c r="IJN372" s="21" t="s">
        <v>2955</v>
      </c>
      <c r="IJO372" s="21" t="s">
        <v>2955</v>
      </c>
      <c r="IJP372" s="21" t="s">
        <v>2955</v>
      </c>
      <c r="IJQ372" s="21" t="s">
        <v>2955</v>
      </c>
      <c r="IJR372" s="21" t="s">
        <v>2955</v>
      </c>
      <c r="IJS372" s="21" t="s">
        <v>2955</v>
      </c>
      <c r="IJT372" s="21" t="s">
        <v>2955</v>
      </c>
      <c r="IJU372" s="21" t="s">
        <v>2955</v>
      </c>
      <c r="IJV372" s="21" t="s">
        <v>2955</v>
      </c>
      <c r="IJW372" s="21" t="s">
        <v>2955</v>
      </c>
      <c r="IJX372" s="21" t="s">
        <v>2955</v>
      </c>
      <c r="IJY372" s="21" t="s">
        <v>2955</v>
      </c>
      <c r="IJZ372" s="21" t="s">
        <v>2955</v>
      </c>
      <c r="IKA372" s="21" t="s">
        <v>2955</v>
      </c>
      <c r="IKB372" s="21" t="s">
        <v>2955</v>
      </c>
      <c r="IKC372" s="21" t="s">
        <v>2955</v>
      </c>
      <c r="IKD372" s="21" t="s">
        <v>2955</v>
      </c>
      <c r="IKE372" s="21" t="s">
        <v>2955</v>
      </c>
      <c r="IKF372" s="21" t="s">
        <v>2955</v>
      </c>
      <c r="IKG372" s="21" t="s">
        <v>2955</v>
      </c>
      <c r="IKH372" s="21" t="s">
        <v>2955</v>
      </c>
      <c r="IKI372" s="21" t="s">
        <v>2955</v>
      </c>
      <c r="IKJ372" s="21" t="s">
        <v>2955</v>
      </c>
      <c r="IKK372" s="21" t="s">
        <v>2955</v>
      </c>
      <c r="IKL372" s="21" t="s">
        <v>2955</v>
      </c>
      <c r="IKM372" s="21" t="s">
        <v>2955</v>
      </c>
      <c r="IKN372" s="21" t="s">
        <v>2955</v>
      </c>
      <c r="IKO372" s="21" t="s">
        <v>2955</v>
      </c>
      <c r="IKP372" s="21" t="s">
        <v>2955</v>
      </c>
      <c r="IKQ372" s="21" t="s">
        <v>2955</v>
      </c>
      <c r="IKR372" s="21" t="s">
        <v>2955</v>
      </c>
      <c r="IKS372" s="21" t="s">
        <v>2955</v>
      </c>
      <c r="IKT372" s="21" t="s">
        <v>2955</v>
      </c>
      <c r="IKU372" s="21" t="s">
        <v>2955</v>
      </c>
      <c r="IKV372" s="21" t="s">
        <v>2955</v>
      </c>
      <c r="IKW372" s="21" t="s">
        <v>2955</v>
      </c>
      <c r="IKX372" s="21" t="s">
        <v>2955</v>
      </c>
      <c r="IKY372" s="21" t="s">
        <v>2955</v>
      </c>
      <c r="IKZ372" s="21" t="s">
        <v>2955</v>
      </c>
      <c r="ILA372" s="21" t="s">
        <v>2955</v>
      </c>
      <c r="ILB372" s="21" t="s">
        <v>2955</v>
      </c>
      <c r="ILC372" s="21" t="s">
        <v>2955</v>
      </c>
      <c r="ILD372" s="21" t="s">
        <v>2955</v>
      </c>
      <c r="ILE372" s="21" t="s">
        <v>2955</v>
      </c>
      <c r="ILF372" s="21" t="s">
        <v>2955</v>
      </c>
      <c r="ILG372" s="21" t="s">
        <v>2955</v>
      </c>
      <c r="ILH372" s="21" t="s">
        <v>2955</v>
      </c>
      <c r="ILI372" s="21" t="s">
        <v>2955</v>
      </c>
      <c r="ILJ372" s="21" t="s">
        <v>2955</v>
      </c>
      <c r="ILK372" s="21" t="s">
        <v>2955</v>
      </c>
      <c r="ILL372" s="21" t="s">
        <v>2955</v>
      </c>
      <c r="ILM372" s="21" t="s">
        <v>2955</v>
      </c>
      <c r="ILN372" s="21" t="s">
        <v>2955</v>
      </c>
      <c r="ILO372" s="21" t="s">
        <v>2955</v>
      </c>
      <c r="ILP372" s="21" t="s">
        <v>2955</v>
      </c>
      <c r="ILQ372" s="21" t="s">
        <v>2955</v>
      </c>
      <c r="ILR372" s="21" t="s">
        <v>2955</v>
      </c>
      <c r="ILS372" s="21" t="s">
        <v>2955</v>
      </c>
      <c r="ILT372" s="21" t="s">
        <v>2955</v>
      </c>
      <c r="ILU372" s="21" t="s">
        <v>2955</v>
      </c>
      <c r="ILV372" s="21" t="s">
        <v>2955</v>
      </c>
      <c r="ILW372" s="21" t="s">
        <v>2955</v>
      </c>
      <c r="ILX372" s="21" t="s">
        <v>2955</v>
      </c>
      <c r="ILY372" s="21" t="s">
        <v>2955</v>
      </c>
      <c r="ILZ372" s="21" t="s">
        <v>2955</v>
      </c>
      <c r="IMA372" s="21" t="s">
        <v>2955</v>
      </c>
      <c r="IMB372" s="21" t="s">
        <v>2955</v>
      </c>
      <c r="IMC372" s="21" t="s">
        <v>2955</v>
      </c>
      <c r="IMD372" s="21" t="s">
        <v>2955</v>
      </c>
      <c r="IME372" s="21" t="s">
        <v>2955</v>
      </c>
      <c r="IMF372" s="21" t="s">
        <v>2955</v>
      </c>
      <c r="IMG372" s="21" t="s">
        <v>2955</v>
      </c>
      <c r="IMH372" s="21" t="s">
        <v>2955</v>
      </c>
      <c r="IMI372" s="21" t="s">
        <v>2955</v>
      </c>
      <c r="IMJ372" s="21" t="s">
        <v>2955</v>
      </c>
      <c r="IMK372" s="21" t="s">
        <v>2955</v>
      </c>
      <c r="IML372" s="21" t="s">
        <v>2955</v>
      </c>
      <c r="IMM372" s="21" t="s">
        <v>2955</v>
      </c>
      <c r="IMN372" s="21" t="s">
        <v>2955</v>
      </c>
      <c r="IMO372" s="21" t="s">
        <v>2955</v>
      </c>
      <c r="IMP372" s="21" t="s">
        <v>2955</v>
      </c>
      <c r="IMQ372" s="21" t="s">
        <v>2955</v>
      </c>
      <c r="IMR372" s="21" t="s">
        <v>2955</v>
      </c>
      <c r="IMS372" s="21" t="s">
        <v>2955</v>
      </c>
      <c r="IMT372" s="21" t="s">
        <v>2955</v>
      </c>
      <c r="IMU372" s="21" t="s">
        <v>2955</v>
      </c>
      <c r="IMV372" s="21" t="s">
        <v>2955</v>
      </c>
      <c r="IMW372" s="21" t="s">
        <v>2955</v>
      </c>
      <c r="IMX372" s="21" t="s">
        <v>2955</v>
      </c>
      <c r="IMY372" s="21" t="s">
        <v>2955</v>
      </c>
      <c r="IMZ372" s="21" t="s">
        <v>2955</v>
      </c>
      <c r="INA372" s="21" t="s">
        <v>2955</v>
      </c>
      <c r="INB372" s="21" t="s">
        <v>2955</v>
      </c>
      <c r="INC372" s="21" t="s">
        <v>2955</v>
      </c>
      <c r="IND372" s="21" t="s">
        <v>2955</v>
      </c>
      <c r="INE372" s="21" t="s">
        <v>2955</v>
      </c>
      <c r="INF372" s="21" t="s">
        <v>2955</v>
      </c>
      <c r="ING372" s="21" t="s">
        <v>2955</v>
      </c>
      <c r="INH372" s="21" t="s">
        <v>2955</v>
      </c>
      <c r="INI372" s="21" t="s">
        <v>2955</v>
      </c>
      <c r="INJ372" s="21" t="s">
        <v>2955</v>
      </c>
      <c r="INK372" s="21" t="s">
        <v>2955</v>
      </c>
      <c r="INL372" s="21" t="s">
        <v>2955</v>
      </c>
      <c r="INM372" s="21" t="s">
        <v>2955</v>
      </c>
      <c r="INN372" s="21" t="s">
        <v>2955</v>
      </c>
      <c r="INO372" s="21" t="s">
        <v>2955</v>
      </c>
      <c r="INP372" s="21" t="s">
        <v>2955</v>
      </c>
      <c r="INQ372" s="21" t="s">
        <v>2955</v>
      </c>
      <c r="INR372" s="21" t="s">
        <v>2955</v>
      </c>
      <c r="INS372" s="21" t="s">
        <v>2955</v>
      </c>
      <c r="INT372" s="21" t="s">
        <v>2955</v>
      </c>
      <c r="INU372" s="21" t="s">
        <v>2955</v>
      </c>
      <c r="INV372" s="21" t="s">
        <v>2955</v>
      </c>
      <c r="INW372" s="21" t="s">
        <v>2955</v>
      </c>
      <c r="INX372" s="21" t="s">
        <v>2955</v>
      </c>
      <c r="INY372" s="21" t="s">
        <v>2955</v>
      </c>
      <c r="INZ372" s="21" t="s">
        <v>2955</v>
      </c>
      <c r="IOA372" s="21" t="s">
        <v>2955</v>
      </c>
      <c r="IOB372" s="21" t="s">
        <v>2955</v>
      </c>
      <c r="IOC372" s="21" t="s">
        <v>2955</v>
      </c>
      <c r="IOD372" s="21" t="s">
        <v>2955</v>
      </c>
      <c r="IOE372" s="21" t="s">
        <v>2955</v>
      </c>
      <c r="IOF372" s="21" t="s">
        <v>2955</v>
      </c>
      <c r="IOG372" s="21" t="s">
        <v>2955</v>
      </c>
      <c r="IOH372" s="21" t="s">
        <v>2955</v>
      </c>
      <c r="IOI372" s="21" t="s">
        <v>2955</v>
      </c>
      <c r="IOJ372" s="21" t="s">
        <v>2955</v>
      </c>
      <c r="IOK372" s="21" t="s">
        <v>2955</v>
      </c>
      <c r="IOL372" s="21" t="s">
        <v>2955</v>
      </c>
      <c r="IOM372" s="21" t="s">
        <v>2955</v>
      </c>
      <c r="ION372" s="21" t="s">
        <v>2955</v>
      </c>
      <c r="IOO372" s="21" t="s">
        <v>2955</v>
      </c>
      <c r="IOP372" s="21" t="s">
        <v>2955</v>
      </c>
      <c r="IOQ372" s="21" t="s">
        <v>2955</v>
      </c>
      <c r="IOR372" s="21" t="s">
        <v>2955</v>
      </c>
      <c r="IOS372" s="21" t="s">
        <v>2955</v>
      </c>
      <c r="IOT372" s="21" t="s">
        <v>2955</v>
      </c>
      <c r="IOU372" s="21" t="s">
        <v>2955</v>
      </c>
      <c r="IOV372" s="21" t="s">
        <v>2955</v>
      </c>
      <c r="IOW372" s="21" t="s">
        <v>2955</v>
      </c>
      <c r="IOX372" s="21" t="s">
        <v>2955</v>
      </c>
      <c r="IOY372" s="21" t="s">
        <v>2955</v>
      </c>
      <c r="IOZ372" s="21" t="s">
        <v>2955</v>
      </c>
      <c r="IPA372" s="21" t="s">
        <v>2955</v>
      </c>
      <c r="IPB372" s="21" t="s">
        <v>2955</v>
      </c>
      <c r="IPC372" s="21" t="s">
        <v>2955</v>
      </c>
      <c r="IPD372" s="21" t="s">
        <v>2955</v>
      </c>
      <c r="IPE372" s="21" t="s">
        <v>2955</v>
      </c>
      <c r="IPF372" s="21" t="s">
        <v>2955</v>
      </c>
      <c r="IPG372" s="21" t="s">
        <v>2955</v>
      </c>
      <c r="IPH372" s="21" t="s">
        <v>2955</v>
      </c>
      <c r="IPI372" s="21" t="s">
        <v>2955</v>
      </c>
      <c r="IPJ372" s="21" t="s">
        <v>2955</v>
      </c>
      <c r="IPK372" s="21" t="s">
        <v>2955</v>
      </c>
      <c r="IPL372" s="21" t="s">
        <v>2955</v>
      </c>
      <c r="IPM372" s="21" t="s">
        <v>2955</v>
      </c>
      <c r="IPN372" s="21" t="s">
        <v>2955</v>
      </c>
      <c r="IPO372" s="21" t="s">
        <v>2955</v>
      </c>
      <c r="IPP372" s="21" t="s">
        <v>2955</v>
      </c>
      <c r="IPQ372" s="21" t="s">
        <v>2955</v>
      </c>
      <c r="IPR372" s="21" t="s">
        <v>2955</v>
      </c>
      <c r="IPS372" s="21" t="s">
        <v>2955</v>
      </c>
      <c r="IPT372" s="21" t="s">
        <v>2955</v>
      </c>
      <c r="IPU372" s="21" t="s">
        <v>2955</v>
      </c>
      <c r="IPV372" s="21" t="s">
        <v>2955</v>
      </c>
      <c r="IPW372" s="21" t="s">
        <v>2955</v>
      </c>
      <c r="IPX372" s="21" t="s">
        <v>2955</v>
      </c>
      <c r="IPY372" s="21" t="s">
        <v>2955</v>
      </c>
      <c r="IPZ372" s="21" t="s">
        <v>2955</v>
      </c>
      <c r="IQA372" s="21" t="s">
        <v>2955</v>
      </c>
      <c r="IQB372" s="21" t="s">
        <v>2955</v>
      </c>
      <c r="IQC372" s="21" t="s">
        <v>2955</v>
      </c>
      <c r="IQD372" s="21" t="s">
        <v>2955</v>
      </c>
      <c r="IQE372" s="21" t="s">
        <v>2955</v>
      </c>
      <c r="IQF372" s="21" t="s">
        <v>2955</v>
      </c>
      <c r="IQG372" s="21" t="s">
        <v>2955</v>
      </c>
      <c r="IQH372" s="21" t="s">
        <v>2955</v>
      </c>
      <c r="IQI372" s="21" t="s">
        <v>2955</v>
      </c>
      <c r="IQJ372" s="21" t="s">
        <v>2955</v>
      </c>
      <c r="IQK372" s="21" t="s">
        <v>2955</v>
      </c>
      <c r="IQL372" s="21" t="s">
        <v>2955</v>
      </c>
      <c r="IQM372" s="21" t="s">
        <v>2955</v>
      </c>
      <c r="IQN372" s="21" t="s">
        <v>2955</v>
      </c>
      <c r="IQO372" s="21" t="s">
        <v>2955</v>
      </c>
      <c r="IQP372" s="21" t="s">
        <v>2955</v>
      </c>
      <c r="IQQ372" s="21" t="s">
        <v>2955</v>
      </c>
      <c r="IQR372" s="21" t="s">
        <v>2955</v>
      </c>
      <c r="IQS372" s="21" t="s">
        <v>2955</v>
      </c>
      <c r="IQT372" s="21" t="s">
        <v>2955</v>
      </c>
      <c r="IQU372" s="21" t="s">
        <v>2955</v>
      </c>
      <c r="IQV372" s="21" t="s">
        <v>2955</v>
      </c>
      <c r="IQW372" s="21" t="s">
        <v>2955</v>
      </c>
      <c r="IQX372" s="21" t="s">
        <v>2955</v>
      </c>
      <c r="IQY372" s="21" t="s">
        <v>2955</v>
      </c>
      <c r="IQZ372" s="21" t="s">
        <v>2955</v>
      </c>
      <c r="IRA372" s="21" t="s">
        <v>2955</v>
      </c>
      <c r="IRB372" s="21" t="s">
        <v>2955</v>
      </c>
      <c r="IRC372" s="21" t="s">
        <v>2955</v>
      </c>
      <c r="IRD372" s="21" t="s">
        <v>2955</v>
      </c>
      <c r="IRE372" s="21" t="s">
        <v>2955</v>
      </c>
      <c r="IRF372" s="21" t="s">
        <v>2955</v>
      </c>
      <c r="IRG372" s="21" t="s">
        <v>2955</v>
      </c>
      <c r="IRH372" s="21" t="s">
        <v>2955</v>
      </c>
      <c r="IRI372" s="21" t="s">
        <v>2955</v>
      </c>
      <c r="IRJ372" s="21" t="s">
        <v>2955</v>
      </c>
      <c r="IRK372" s="21" t="s">
        <v>2955</v>
      </c>
      <c r="IRL372" s="21" t="s">
        <v>2955</v>
      </c>
      <c r="IRM372" s="21" t="s">
        <v>2955</v>
      </c>
      <c r="IRN372" s="21" t="s">
        <v>2955</v>
      </c>
      <c r="IRO372" s="21" t="s">
        <v>2955</v>
      </c>
      <c r="IRP372" s="21" t="s">
        <v>2955</v>
      </c>
      <c r="IRQ372" s="21" t="s">
        <v>2955</v>
      </c>
      <c r="IRR372" s="21" t="s">
        <v>2955</v>
      </c>
      <c r="IRS372" s="21" t="s">
        <v>2955</v>
      </c>
      <c r="IRT372" s="21" t="s">
        <v>2955</v>
      </c>
      <c r="IRU372" s="21" t="s">
        <v>2955</v>
      </c>
      <c r="IRV372" s="21" t="s">
        <v>2955</v>
      </c>
      <c r="IRW372" s="21" t="s">
        <v>2955</v>
      </c>
      <c r="IRX372" s="21" t="s">
        <v>2955</v>
      </c>
      <c r="IRY372" s="21" t="s">
        <v>2955</v>
      </c>
      <c r="IRZ372" s="21" t="s">
        <v>2955</v>
      </c>
      <c r="ISA372" s="21" t="s">
        <v>2955</v>
      </c>
      <c r="ISB372" s="21" t="s">
        <v>2955</v>
      </c>
      <c r="ISC372" s="21" t="s">
        <v>2955</v>
      </c>
      <c r="ISD372" s="21" t="s">
        <v>2955</v>
      </c>
      <c r="ISE372" s="21" t="s">
        <v>2955</v>
      </c>
      <c r="ISF372" s="21" t="s">
        <v>2955</v>
      </c>
      <c r="ISG372" s="21" t="s">
        <v>2955</v>
      </c>
      <c r="ISH372" s="21" t="s">
        <v>2955</v>
      </c>
      <c r="ISI372" s="21" t="s">
        <v>2955</v>
      </c>
      <c r="ISJ372" s="21" t="s">
        <v>2955</v>
      </c>
      <c r="ISK372" s="21" t="s">
        <v>2955</v>
      </c>
      <c r="ISL372" s="21" t="s">
        <v>2955</v>
      </c>
      <c r="ISM372" s="21" t="s">
        <v>2955</v>
      </c>
      <c r="ISN372" s="21" t="s">
        <v>2955</v>
      </c>
      <c r="ISO372" s="21" t="s">
        <v>2955</v>
      </c>
      <c r="ISP372" s="21" t="s">
        <v>2955</v>
      </c>
      <c r="ISQ372" s="21" t="s">
        <v>2955</v>
      </c>
      <c r="ISR372" s="21" t="s">
        <v>2955</v>
      </c>
      <c r="ISS372" s="21" t="s">
        <v>2955</v>
      </c>
      <c r="IST372" s="21" t="s">
        <v>2955</v>
      </c>
      <c r="ISU372" s="21" t="s">
        <v>2955</v>
      </c>
      <c r="ISV372" s="21" t="s">
        <v>2955</v>
      </c>
      <c r="ISW372" s="21" t="s">
        <v>2955</v>
      </c>
      <c r="ISX372" s="21" t="s">
        <v>2955</v>
      </c>
      <c r="ISY372" s="21" t="s">
        <v>2955</v>
      </c>
      <c r="ISZ372" s="21" t="s">
        <v>2955</v>
      </c>
      <c r="ITA372" s="21" t="s">
        <v>2955</v>
      </c>
      <c r="ITB372" s="21" t="s">
        <v>2955</v>
      </c>
      <c r="ITC372" s="21" t="s">
        <v>2955</v>
      </c>
      <c r="ITD372" s="21" t="s">
        <v>2955</v>
      </c>
      <c r="ITE372" s="21" t="s">
        <v>2955</v>
      </c>
      <c r="ITF372" s="21" t="s">
        <v>2955</v>
      </c>
      <c r="ITG372" s="21" t="s">
        <v>2955</v>
      </c>
      <c r="ITH372" s="21" t="s">
        <v>2955</v>
      </c>
      <c r="ITI372" s="21" t="s">
        <v>2955</v>
      </c>
      <c r="ITJ372" s="21" t="s">
        <v>2955</v>
      </c>
      <c r="ITK372" s="21" t="s">
        <v>2955</v>
      </c>
      <c r="ITL372" s="21" t="s">
        <v>2955</v>
      </c>
      <c r="ITM372" s="21" t="s">
        <v>2955</v>
      </c>
      <c r="ITN372" s="21" t="s">
        <v>2955</v>
      </c>
      <c r="ITO372" s="21" t="s">
        <v>2955</v>
      </c>
      <c r="ITP372" s="21" t="s">
        <v>2955</v>
      </c>
      <c r="ITQ372" s="21" t="s">
        <v>2955</v>
      </c>
      <c r="ITR372" s="21" t="s">
        <v>2955</v>
      </c>
      <c r="ITS372" s="21" t="s">
        <v>2955</v>
      </c>
      <c r="ITT372" s="21" t="s">
        <v>2955</v>
      </c>
      <c r="ITU372" s="21" t="s">
        <v>2955</v>
      </c>
      <c r="ITV372" s="21" t="s">
        <v>2955</v>
      </c>
      <c r="ITW372" s="21" t="s">
        <v>2955</v>
      </c>
      <c r="ITX372" s="21" t="s">
        <v>2955</v>
      </c>
      <c r="ITY372" s="21" t="s">
        <v>2955</v>
      </c>
      <c r="ITZ372" s="21" t="s">
        <v>2955</v>
      </c>
      <c r="IUA372" s="21" t="s">
        <v>2955</v>
      </c>
      <c r="IUB372" s="21" t="s">
        <v>2955</v>
      </c>
      <c r="IUC372" s="21" t="s">
        <v>2955</v>
      </c>
      <c r="IUD372" s="21" t="s">
        <v>2955</v>
      </c>
      <c r="IUE372" s="21" t="s">
        <v>2955</v>
      </c>
      <c r="IUF372" s="21" t="s">
        <v>2955</v>
      </c>
      <c r="IUG372" s="21" t="s">
        <v>2955</v>
      </c>
      <c r="IUH372" s="21" t="s">
        <v>2955</v>
      </c>
      <c r="IUI372" s="21" t="s">
        <v>2955</v>
      </c>
      <c r="IUJ372" s="21" t="s">
        <v>2955</v>
      </c>
      <c r="IUK372" s="21" t="s">
        <v>2955</v>
      </c>
      <c r="IUL372" s="21" t="s">
        <v>2955</v>
      </c>
      <c r="IUM372" s="21" t="s">
        <v>2955</v>
      </c>
      <c r="IUN372" s="21" t="s">
        <v>2955</v>
      </c>
      <c r="IUO372" s="21" t="s">
        <v>2955</v>
      </c>
      <c r="IUP372" s="21" t="s">
        <v>2955</v>
      </c>
      <c r="IUQ372" s="21" t="s">
        <v>2955</v>
      </c>
      <c r="IUR372" s="21" t="s">
        <v>2955</v>
      </c>
      <c r="IUS372" s="21" t="s">
        <v>2955</v>
      </c>
      <c r="IUT372" s="21" t="s">
        <v>2955</v>
      </c>
      <c r="IUU372" s="21" t="s">
        <v>2955</v>
      </c>
      <c r="IUV372" s="21" t="s">
        <v>2955</v>
      </c>
      <c r="IUW372" s="21" t="s">
        <v>2955</v>
      </c>
      <c r="IUX372" s="21" t="s">
        <v>2955</v>
      </c>
      <c r="IUY372" s="21" t="s">
        <v>2955</v>
      </c>
      <c r="IUZ372" s="21" t="s">
        <v>2955</v>
      </c>
      <c r="IVA372" s="21" t="s">
        <v>2955</v>
      </c>
      <c r="IVB372" s="21" t="s">
        <v>2955</v>
      </c>
      <c r="IVC372" s="21" t="s">
        <v>2955</v>
      </c>
      <c r="IVD372" s="21" t="s">
        <v>2955</v>
      </c>
      <c r="IVE372" s="21" t="s">
        <v>2955</v>
      </c>
      <c r="IVF372" s="21" t="s">
        <v>2955</v>
      </c>
      <c r="IVG372" s="21" t="s">
        <v>2955</v>
      </c>
      <c r="IVH372" s="21" t="s">
        <v>2955</v>
      </c>
      <c r="IVI372" s="21" t="s">
        <v>2955</v>
      </c>
      <c r="IVJ372" s="21" t="s">
        <v>2955</v>
      </c>
      <c r="IVK372" s="21" t="s">
        <v>2955</v>
      </c>
      <c r="IVL372" s="21" t="s">
        <v>2955</v>
      </c>
      <c r="IVM372" s="21" t="s">
        <v>2955</v>
      </c>
      <c r="IVN372" s="21" t="s">
        <v>2955</v>
      </c>
      <c r="IVO372" s="21" t="s">
        <v>2955</v>
      </c>
      <c r="IVP372" s="21" t="s">
        <v>2955</v>
      </c>
      <c r="IVQ372" s="21" t="s">
        <v>2955</v>
      </c>
      <c r="IVR372" s="21" t="s">
        <v>2955</v>
      </c>
      <c r="IVS372" s="21" t="s">
        <v>2955</v>
      </c>
      <c r="IVT372" s="21" t="s">
        <v>2955</v>
      </c>
      <c r="IVU372" s="21" t="s">
        <v>2955</v>
      </c>
      <c r="IVV372" s="21" t="s">
        <v>2955</v>
      </c>
      <c r="IVW372" s="21" t="s">
        <v>2955</v>
      </c>
      <c r="IVX372" s="21" t="s">
        <v>2955</v>
      </c>
      <c r="IVY372" s="21" t="s">
        <v>2955</v>
      </c>
      <c r="IVZ372" s="21" t="s">
        <v>2955</v>
      </c>
      <c r="IWA372" s="21" t="s">
        <v>2955</v>
      </c>
      <c r="IWB372" s="21" t="s">
        <v>2955</v>
      </c>
      <c r="IWC372" s="21" t="s">
        <v>2955</v>
      </c>
      <c r="IWD372" s="21" t="s">
        <v>2955</v>
      </c>
      <c r="IWE372" s="21" t="s">
        <v>2955</v>
      </c>
      <c r="IWF372" s="21" t="s">
        <v>2955</v>
      </c>
      <c r="IWG372" s="21" t="s">
        <v>2955</v>
      </c>
      <c r="IWH372" s="21" t="s">
        <v>2955</v>
      </c>
      <c r="IWI372" s="21" t="s">
        <v>2955</v>
      </c>
      <c r="IWJ372" s="21" t="s">
        <v>2955</v>
      </c>
      <c r="IWK372" s="21" t="s">
        <v>2955</v>
      </c>
      <c r="IWL372" s="21" t="s">
        <v>2955</v>
      </c>
      <c r="IWM372" s="21" t="s">
        <v>2955</v>
      </c>
      <c r="IWN372" s="21" t="s">
        <v>2955</v>
      </c>
      <c r="IWO372" s="21" t="s">
        <v>2955</v>
      </c>
      <c r="IWP372" s="21" t="s">
        <v>2955</v>
      </c>
      <c r="IWQ372" s="21" t="s">
        <v>2955</v>
      </c>
      <c r="IWR372" s="21" t="s">
        <v>2955</v>
      </c>
      <c r="IWS372" s="21" t="s">
        <v>2955</v>
      </c>
      <c r="IWT372" s="21" t="s">
        <v>2955</v>
      </c>
      <c r="IWU372" s="21" t="s">
        <v>2955</v>
      </c>
      <c r="IWV372" s="21" t="s">
        <v>2955</v>
      </c>
      <c r="IWW372" s="21" t="s">
        <v>2955</v>
      </c>
      <c r="IWX372" s="21" t="s">
        <v>2955</v>
      </c>
      <c r="IWY372" s="21" t="s">
        <v>2955</v>
      </c>
      <c r="IWZ372" s="21" t="s">
        <v>2955</v>
      </c>
      <c r="IXA372" s="21" t="s">
        <v>2955</v>
      </c>
      <c r="IXB372" s="21" t="s">
        <v>2955</v>
      </c>
      <c r="IXC372" s="21" t="s">
        <v>2955</v>
      </c>
      <c r="IXD372" s="21" t="s">
        <v>2955</v>
      </c>
      <c r="IXE372" s="21" t="s">
        <v>2955</v>
      </c>
      <c r="IXF372" s="21" t="s">
        <v>2955</v>
      </c>
      <c r="IXG372" s="21" t="s">
        <v>2955</v>
      </c>
      <c r="IXH372" s="21" t="s">
        <v>2955</v>
      </c>
      <c r="IXI372" s="21" t="s">
        <v>2955</v>
      </c>
      <c r="IXJ372" s="21" t="s">
        <v>2955</v>
      </c>
      <c r="IXK372" s="21" t="s">
        <v>2955</v>
      </c>
      <c r="IXL372" s="21" t="s">
        <v>2955</v>
      </c>
      <c r="IXM372" s="21" t="s">
        <v>2955</v>
      </c>
      <c r="IXN372" s="21" t="s">
        <v>2955</v>
      </c>
      <c r="IXO372" s="21" t="s">
        <v>2955</v>
      </c>
      <c r="IXP372" s="21" t="s">
        <v>2955</v>
      </c>
      <c r="IXQ372" s="21" t="s">
        <v>2955</v>
      </c>
      <c r="IXR372" s="21" t="s">
        <v>2955</v>
      </c>
      <c r="IXS372" s="21" t="s">
        <v>2955</v>
      </c>
      <c r="IXT372" s="21" t="s">
        <v>2955</v>
      </c>
      <c r="IXU372" s="21" t="s">
        <v>2955</v>
      </c>
      <c r="IXV372" s="21" t="s">
        <v>2955</v>
      </c>
      <c r="IXW372" s="21" t="s">
        <v>2955</v>
      </c>
      <c r="IXX372" s="21" t="s">
        <v>2955</v>
      </c>
      <c r="IXY372" s="21" t="s">
        <v>2955</v>
      </c>
      <c r="IXZ372" s="21" t="s">
        <v>2955</v>
      </c>
      <c r="IYA372" s="21" t="s">
        <v>2955</v>
      </c>
      <c r="IYB372" s="21" t="s">
        <v>2955</v>
      </c>
      <c r="IYC372" s="21" t="s">
        <v>2955</v>
      </c>
      <c r="IYD372" s="21" t="s">
        <v>2955</v>
      </c>
      <c r="IYE372" s="21" t="s">
        <v>2955</v>
      </c>
      <c r="IYF372" s="21" t="s">
        <v>2955</v>
      </c>
      <c r="IYG372" s="21" t="s">
        <v>2955</v>
      </c>
      <c r="IYH372" s="21" t="s">
        <v>2955</v>
      </c>
      <c r="IYI372" s="21" t="s">
        <v>2955</v>
      </c>
      <c r="IYJ372" s="21" t="s">
        <v>2955</v>
      </c>
      <c r="IYK372" s="21" t="s">
        <v>2955</v>
      </c>
      <c r="IYL372" s="21" t="s">
        <v>2955</v>
      </c>
      <c r="IYM372" s="21" t="s">
        <v>2955</v>
      </c>
      <c r="IYN372" s="21" t="s">
        <v>2955</v>
      </c>
      <c r="IYO372" s="21" t="s">
        <v>2955</v>
      </c>
      <c r="IYP372" s="21" t="s">
        <v>2955</v>
      </c>
      <c r="IYQ372" s="21" t="s">
        <v>2955</v>
      </c>
      <c r="IYR372" s="21" t="s">
        <v>2955</v>
      </c>
      <c r="IYS372" s="21" t="s">
        <v>2955</v>
      </c>
      <c r="IYT372" s="21" t="s">
        <v>2955</v>
      </c>
      <c r="IYU372" s="21" t="s">
        <v>2955</v>
      </c>
      <c r="IYV372" s="21" t="s">
        <v>2955</v>
      </c>
      <c r="IYW372" s="21" t="s">
        <v>2955</v>
      </c>
      <c r="IYX372" s="21" t="s">
        <v>2955</v>
      </c>
      <c r="IYY372" s="21" t="s">
        <v>2955</v>
      </c>
      <c r="IYZ372" s="21" t="s">
        <v>2955</v>
      </c>
      <c r="IZA372" s="21" t="s">
        <v>2955</v>
      </c>
      <c r="IZB372" s="21" t="s">
        <v>2955</v>
      </c>
      <c r="IZC372" s="21" t="s">
        <v>2955</v>
      </c>
      <c r="IZD372" s="21" t="s">
        <v>2955</v>
      </c>
      <c r="IZE372" s="21" t="s">
        <v>2955</v>
      </c>
      <c r="IZF372" s="21" t="s">
        <v>2955</v>
      </c>
      <c r="IZG372" s="21" t="s">
        <v>2955</v>
      </c>
      <c r="IZH372" s="21" t="s">
        <v>2955</v>
      </c>
      <c r="IZI372" s="21" t="s">
        <v>2955</v>
      </c>
      <c r="IZJ372" s="21" t="s">
        <v>2955</v>
      </c>
      <c r="IZK372" s="21" t="s">
        <v>2955</v>
      </c>
      <c r="IZL372" s="21" t="s">
        <v>2955</v>
      </c>
      <c r="IZM372" s="21" t="s">
        <v>2955</v>
      </c>
      <c r="IZN372" s="21" t="s">
        <v>2955</v>
      </c>
      <c r="IZO372" s="21" t="s">
        <v>2955</v>
      </c>
      <c r="IZP372" s="21" t="s">
        <v>2955</v>
      </c>
      <c r="IZQ372" s="21" t="s">
        <v>2955</v>
      </c>
      <c r="IZR372" s="21" t="s">
        <v>2955</v>
      </c>
      <c r="IZS372" s="21" t="s">
        <v>2955</v>
      </c>
      <c r="IZT372" s="21" t="s">
        <v>2955</v>
      </c>
      <c r="IZU372" s="21" t="s">
        <v>2955</v>
      </c>
      <c r="IZV372" s="21" t="s">
        <v>2955</v>
      </c>
      <c r="IZW372" s="21" t="s">
        <v>2955</v>
      </c>
      <c r="IZX372" s="21" t="s">
        <v>2955</v>
      </c>
      <c r="IZY372" s="21" t="s">
        <v>2955</v>
      </c>
      <c r="IZZ372" s="21" t="s">
        <v>2955</v>
      </c>
      <c r="JAA372" s="21" t="s">
        <v>2955</v>
      </c>
      <c r="JAB372" s="21" t="s">
        <v>2955</v>
      </c>
      <c r="JAC372" s="21" t="s">
        <v>2955</v>
      </c>
      <c r="JAD372" s="21" t="s">
        <v>2955</v>
      </c>
      <c r="JAE372" s="21" t="s">
        <v>2955</v>
      </c>
      <c r="JAF372" s="21" t="s">
        <v>2955</v>
      </c>
      <c r="JAG372" s="21" t="s">
        <v>2955</v>
      </c>
      <c r="JAH372" s="21" t="s">
        <v>2955</v>
      </c>
      <c r="JAI372" s="21" t="s">
        <v>2955</v>
      </c>
      <c r="JAJ372" s="21" t="s">
        <v>2955</v>
      </c>
      <c r="JAK372" s="21" t="s">
        <v>2955</v>
      </c>
      <c r="JAL372" s="21" t="s">
        <v>2955</v>
      </c>
      <c r="JAM372" s="21" t="s">
        <v>2955</v>
      </c>
      <c r="JAN372" s="21" t="s">
        <v>2955</v>
      </c>
      <c r="JAO372" s="21" t="s">
        <v>2955</v>
      </c>
      <c r="JAP372" s="21" t="s">
        <v>2955</v>
      </c>
      <c r="JAQ372" s="21" t="s">
        <v>2955</v>
      </c>
      <c r="JAR372" s="21" t="s">
        <v>2955</v>
      </c>
      <c r="JAS372" s="21" t="s">
        <v>2955</v>
      </c>
      <c r="JAT372" s="21" t="s">
        <v>2955</v>
      </c>
      <c r="JAU372" s="21" t="s">
        <v>2955</v>
      </c>
      <c r="JAV372" s="21" t="s">
        <v>2955</v>
      </c>
      <c r="JAW372" s="21" t="s">
        <v>2955</v>
      </c>
      <c r="JAX372" s="21" t="s">
        <v>2955</v>
      </c>
      <c r="JAY372" s="21" t="s">
        <v>2955</v>
      </c>
      <c r="JAZ372" s="21" t="s">
        <v>2955</v>
      </c>
      <c r="JBA372" s="21" t="s">
        <v>2955</v>
      </c>
      <c r="JBB372" s="21" t="s">
        <v>2955</v>
      </c>
      <c r="JBC372" s="21" t="s">
        <v>2955</v>
      </c>
      <c r="JBD372" s="21" t="s">
        <v>2955</v>
      </c>
      <c r="JBE372" s="21" t="s">
        <v>2955</v>
      </c>
      <c r="JBF372" s="21" t="s">
        <v>2955</v>
      </c>
      <c r="JBG372" s="21" t="s">
        <v>2955</v>
      </c>
      <c r="JBH372" s="21" t="s">
        <v>2955</v>
      </c>
      <c r="JBI372" s="21" t="s">
        <v>2955</v>
      </c>
      <c r="JBJ372" s="21" t="s">
        <v>2955</v>
      </c>
      <c r="JBK372" s="21" t="s">
        <v>2955</v>
      </c>
      <c r="JBL372" s="21" t="s">
        <v>2955</v>
      </c>
      <c r="JBM372" s="21" t="s">
        <v>2955</v>
      </c>
      <c r="JBN372" s="21" t="s">
        <v>2955</v>
      </c>
      <c r="JBO372" s="21" t="s">
        <v>2955</v>
      </c>
      <c r="JBP372" s="21" t="s">
        <v>2955</v>
      </c>
      <c r="JBQ372" s="21" t="s">
        <v>2955</v>
      </c>
      <c r="JBR372" s="21" t="s">
        <v>2955</v>
      </c>
      <c r="JBS372" s="21" t="s">
        <v>2955</v>
      </c>
      <c r="JBT372" s="21" t="s">
        <v>2955</v>
      </c>
      <c r="JBU372" s="21" t="s">
        <v>2955</v>
      </c>
      <c r="JBV372" s="21" t="s">
        <v>2955</v>
      </c>
      <c r="JBW372" s="21" t="s">
        <v>2955</v>
      </c>
      <c r="JBX372" s="21" t="s">
        <v>2955</v>
      </c>
      <c r="JBY372" s="21" t="s">
        <v>2955</v>
      </c>
      <c r="JBZ372" s="21" t="s">
        <v>2955</v>
      </c>
      <c r="JCA372" s="21" t="s">
        <v>2955</v>
      </c>
      <c r="JCB372" s="21" t="s">
        <v>2955</v>
      </c>
      <c r="JCC372" s="21" t="s">
        <v>2955</v>
      </c>
      <c r="JCD372" s="21" t="s">
        <v>2955</v>
      </c>
      <c r="JCE372" s="21" t="s">
        <v>2955</v>
      </c>
      <c r="JCF372" s="21" t="s">
        <v>2955</v>
      </c>
      <c r="JCG372" s="21" t="s">
        <v>2955</v>
      </c>
      <c r="JCH372" s="21" t="s">
        <v>2955</v>
      </c>
      <c r="JCI372" s="21" t="s">
        <v>2955</v>
      </c>
      <c r="JCJ372" s="21" t="s">
        <v>2955</v>
      </c>
      <c r="JCK372" s="21" t="s">
        <v>2955</v>
      </c>
      <c r="JCL372" s="21" t="s">
        <v>2955</v>
      </c>
      <c r="JCM372" s="21" t="s">
        <v>2955</v>
      </c>
      <c r="JCN372" s="21" t="s">
        <v>2955</v>
      </c>
      <c r="JCO372" s="21" t="s">
        <v>2955</v>
      </c>
      <c r="JCP372" s="21" t="s">
        <v>2955</v>
      </c>
      <c r="JCQ372" s="21" t="s">
        <v>2955</v>
      </c>
      <c r="JCR372" s="21" t="s">
        <v>2955</v>
      </c>
      <c r="JCS372" s="21" t="s">
        <v>2955</v>
      </c>
      <c r="JCT372" s="21" t="s">
        <v>2955</v>
      </c>
      <c r="JCU372" s="21" t="s">
        <v>2955</v>
      </c>
      <c r="JCV372" s="21" t="s">
        <v>2955</v>
      </c>
      <c r="JCW372" s="21" t="s">
        <v>2955</v>
      </c>
      <c r="JCX372" s="21" t="s">
        <v>2955</v>
      </c>
      <c r="JCY372" s="21" t="s">
        <v>2955</v>
      </c>
      <c r="JCZ372" s="21" t="s">
        <v>2955</v>
      </c>
      <c r="JDA372" s="21" t="s">
        <v>2955</v>
      </c>
      <c r="JDB372" s="21" t="s">
        <v>2955</v>
      </c>
      <c r="JDC372" s="21" t="s">
        <v>2955</v>
      </c>
      <c r="JDD372" s="21" t="s">
        <v>2955</v>
      </c>
      <c r="JDE372" s="21" t="s">
        <v>2955</v>
      </c>
      <c r="JDF372" s="21" t="s">
        <v>2955</v>
      </c>
      <c r="JDG372" s="21" t="s">
        <v>2955</v>
      </c>
      <c r="JDH372" s="21" t="s">
        <v>2955</v>
      </c>
      <c r="JDI372" s="21" t="s">
        <v>2955</v>
      </c>
      <c r="JDJ372" s="21" t="s">
        <v>2955</v>
      </c>
      <c r="JDK372" s="21" t="s">
        <v>2955</v>
      </c>
      <c r="JDL372" s="21" t="s">
        <v>2955</v>
      </c>
      <c r="JDM372" s="21" t="s">
        <v>2955</v>
      </c>
      <c r="JDN372" s="21" t="s">
        <v>2955</v>
      </c>
      <c r="JDO372" s="21" t="s">
        <v>2955</v>
      </c>
      <c r="JDP372" s="21" t="s">
        <v>2955</v>
      </c>
      <c r="JDQ372" s="21" t="s">
        <v>2955</v>
      </c>
      <c r="JDR372" s="21" t="s">
        <v>2955</v>
      </c>
      <c r="JDS372" s="21" t="s">
        <v>2955</v>
      </c>
      <c r="JDT372" s="21" t="s">
        <v>2955</v>
      </c>
      <c r="JDU372" s="21" t="s">
        <v>2955</v>
      </c>
      <c r="JDV372" s="21" t="s">
        <v>2955</v>
      </c>
      <c r="JDW372" s="21" t="s">
        <v>2955</v>
      </c>
      <c r="JDX372" s="21" t="s">
        <v>2955</v>
      </c>
      <c r="JDY372" s="21" t="s">
        <v>2955</v>
      </c>
      <c r="JDZ372" s="21" t="s">
        <v>2955</v>
      </c>
      <c r="JEA372" s="21" t="s">
        <v>2955</v>
      </c>
      <c r="JEB372" s="21" t="s">
        <v>2955</v>
      </c>
      <c r="JEC372" s="21" t="s">
        <v>2955</v>
      </c>
      <c r="JED372" s="21" t="s">
        <v>2955</v>
      </c>
      <c r="JEE372" s="21" t="s">
        <v>2955</v>
      </c>
      <c r="JEF372" s="21" t="s">
        <v>2955</v>
      </c>
      <c r="JEG372" s="21" t="s">
        <v>2955</v>
      </c>
      <c r="JEH372" s="21" t="s">
        <v>2955</v>
      </c>
      <c r="JEI372" s="21" t="s">
        <v>2955</v>
      </c>
      <c r="JEJ372" s="21" t="s">
        <v>2955</v>
      </c>
      <c r="JEK372" s="21" t="s">
        <v>2955</v>
      </c>
      <c r="JEL372" s="21" t="s">
        <v>2955</v>
      </c>
      <c r="JEM372" s="21" t="s">
        <v>2955</v>
      </c>
      <c r="JEN372" s="21" t="s">
        <v>2955</v>
      </c>
      <c r="JEO372" s="21" t="s">
        <v>2955</v>
      </c>
      <c r="JEP372" s="21" t="s">
        <v>2955</v>
      </c>
      <c r="JEQ372" s="21" t="s">
        <v>2955</v>
      </c>
      <c r="JER372" s="21" t="s">
        <v>2955</v>
      </c>
      <c r="JES372" s="21" t="s">
        <v>2955</v>
      </c>
      <c r="JET372" s="21" t="s">
        <v>2955</v>
      </c>
      <c r="JEU372" s="21" t="s">
        <v>2955</v>
      </c>
      <c r="JEV372" s="21" t="s">
        <v>2955</v>
      </c>
      <c r="JEW372" s="21" t="s">
        <v>2955</v>
      </c>
      <c r="JEX372" s="21" t="s">
        <v>2955</v>
      </c>
      <c r="JEY372" s="21" t="s">
        <v>2955</v>
      </c>
      <c r="JEZ372" s="21" t="s">
        <v>2955</v>
      </c>
      <c r="JFA372" s="21" t="s">
        <v>2955</v>
      </c>
      <c r="JFB372" s="21" t="s">
        <v>2955</v>
      </c>
      <c r="JFC372" s="21" t="s">
        <v>2955</v>
      </c>
      <c r="JFD372" s="21" t="s">
        <v>2955</v>
      </c>
      <c r="JFE372" s="21" t="s">
        <v>2955</v>
      </c>
      <c r="JFF372" s="21" t="s">
        <v>2955</v>
      </c>
      <c r="JFG372" s="21" t="s">
        <v>2955</v>
      </c>
      <c r="JFH372" s="21" t="s">
        <v>2955</v>
      </c>
      <c r="JFI372" s="21" t="s">
        <v>2955</v>
      </c>
      <c r="JFJ372" s="21" t="s">
        <v>2955</v>
      </c>
      <c r="JFK372" s="21" t="s">
        <v>2955</v>
      </c>
      <c r="JFL372" s="21" t="s">
        <v>2955</v>
      </c>
      <c r="JFM372" s="21" t="s">
        <v>2955</v>
      </c>
      <c r="JFN372" s="21" t="s">
        <v>2955</v>
      </c>
      <c r="JFO372" s="21" t="s">
        <v>2955</v>
      </c>
      <c r="JFP372" s="21" t="s">
        <v>2955</v>
      </c>
      <c r="JFQ372" s="21" t="s">
        <v>2955</v>
      </c>
      <c r="JFR372" s="21" t="s">
        <v>2955</v>
      </c>
      <c r="JFS372" s="21" t="s">
        <v>2955</v>
      </c>
      <c r="JFT372" s="21" t="s">
        <v>2955</v>
      </c>
      <c r="JFU372" s="21" t="s">
        <v>2955</v>
      </c>
      <c r="JFV372" s="21" t="s">
        <v>2955</v>
      </c>
      <c r="JFW372" s="21" t="s">
        <v>2955</v>
      </c>
      <c r="JFX372" s="21" t="s">
        <v>2955</v>
      </c>
      <c r="JFY372" s="21" t="s">
        <v>2955</v>
      </c>
      <c r="JFZ372" s="21" t="s">
        <v>2955</v>
      </c>
      <c r="JGA372" s="21" t="s">
        <v>2955</v>
      </c>
      <c r="JGB372" s="21" t="s">
        <v>2955</v>
      </c>
      <c r="JGC372" s="21" t="s">
        <v>2955</v>
      </c>
      <c r="JGD372" s="21" t="s">
        <v>2955</v>
      </c>
      <c r="JGE372" s="21" t="s">
        <v>2955</v>
      </c>
      <c r="JGF372" s="21" t="s">
        <v>2955</v>
      </c>
      <c r="JGG372" s="21" t="s">
        <v>2955</v>
      </c>
      <c r="JGH372" s="21" t="s">
        <v>2955</v>
      </c>
      <c r="JGI372" s="21" t="s">
        <v>2955</v>
      </c>
      <c r="JGJ372" s="21" t="s">
        <v>2955</v>
      </c>
      <c r="JGK372" s="21" t="s">
        <v>2955</v>
      </c>
      <c r="JGL372" s="21" t="s">
        <v>2955</v>
      </c>
      <c r="JGM372" s="21" t="s">
        <v>2955</v>
      </c>
      <c r="JGN372" s="21" t="s">
        <v>2955</v>
      </c>
      <c r="JGO372" s="21" t="s">
        <v>2955</v>
      </c>
      <c r="JGP372" s="21" t="s">
        <v>2955</v>
      </c>
      <c r="JGQ372" s="21" t="s">
        <v>2955</v>
      </c>
      <c r="JGR372" s="21" t="s">
        <v>2955</v>
      </c>
      <c r="JGS372" s="21" t="s">
        <v>2955</v>
      </c>
      <c r="JGT372" s="21" t="s">
        <v>2955</v>
      </c>
      <c r="JGU372" s="21" t="s">
        <v>2955</v>
      </c>
      <c r="JGV372" s="21" t="s">
        <v>2955</v>
      </c>
      <c r="JGW372" s="21" t="s">
        <v>2955</v>
      </c>
      <c r="JGX372" s="21" t="s">
        <v>2955</v>
      </c>
      <c r="JGY372" s="21" t="s">
        <v>2955</v>
      </c>
      <c r="JGZ372" s="21" t="s">
        <v>2955</v>
      </c>
      <c r="JHA372" s="21" t="s">
        <v>2955</v>
      </c>
      <c r="JHB372" s="21" t="s">
        <v>2955</v>
      </c>
      <c r="JHC372" s="21" t="s">
        <v>2955</v>
      </c>
      <c r="JHD372" s="21" t="s">
        <v>2955</v>
      </c>
      <c r="JHE372" s="21" t="s">
        <v>2955</v>
      </c>
      <c r="JHF372" s="21" t="s">
        <v>2955</v>
      </c>
      <c r="JHG372" s="21" t="s">
        <v>2955</v>
      </c>
      <c r="JHH372" s="21" t="s">
        <v>2955</v>
      </c>
      <c r="JHI372" s="21" t="s">
        <v>2955</v>
      </c>
      <c r="JHJ372" s="21" t="s">
        <v>2955</v>
      </c>
      <c r="JHK372" s="21" t="s">
        <v>2955</v>
      </c>
      <c r="JHL372" s="21" t="s">
        <v>2955</v>
      </c>
      <c r="JHM372" s="21" t="s">
        <v>2955</v>
      </c>
      <c r="JHN372" s="21" t="s">
        <v>2955</v>
      </c>
      <c r="JHO372" s="21" t="s">
        <v>2955</v>
      </c>
      <c r="JHP372" s="21" t="s">
        <v>2955</v>
      </c>
      <c r="JHQ372" s="21" t="s">
        <v>2955</v>
      </c>
      <c r="JHR372" s="21" t="s">
        <v>2955</v>
      </c>
      <c r="JHS372" s="21" t="s">
        <v>2955</v>
      </c>
      <c r="JHT372" s="21" t="s">
        <v>2955</v>
      </c>
      <c r="JHU372" s="21" t="s">
        <v>2955</v>
      </c>
      <c r="JHV372" s="21" t="s">
        <v>2955</v>
      </c>
      <c r="JHW372" s="21" t="s">
        <v>2955</v>
      </c>
      <c r="JHX372" s="21" t="s">
        <v>2955</v>
      </c>
      <c r="JHY372" s="21" t="s">
        <v>2955</v>
      </c>
      <c r="JHZ372" s="21" t="s">
        <v>2955</v>
      </c>
      <c r="JIA372" s="21" t="s">
        <v>2955</v>
      </c>
      <c r="JIB372" s="21" t="s">
        <v>2955</v>
      </c>
      <c r="JIC372" s="21" t="s">
        <v>2955</v>
      </c>
      <c r="JID372" s="21" t="s">
        <v>2955</v>
      </c>
      <c r="JIE372" s="21" t="s">
        <v>2955</v>
      </c>
      <c r="JIF372" s="21" t="s">
        <v>2955</v>
      </c>
      <c r="JIG372" s="21" t="s">
        <v>2955</v>
      </c>
      <c r="JIH372" s="21" t="s">
        <v>2955</v>
      </c>
      <c r="JII372" s="21" t="s">
        <v>2955</v>
      </c>
      <c r="JIJ372" s="21" t="s">
        <v>2955</v>
      </c>
      <c r="JIK372" s="21" t="s">
        <v>2955</v>
      </c>
      <c r="JIL372" s="21" t="s">
        <v>2955</v>
      </c>
      <c r="JIM372" s="21" t="s">
        <v>2955</v>
      </c>
      <c r="JIN372" s="21" t="s">
        <v>2955</v>
      </c>
      <c r="JIO372" s="21" t="s">
        <v>2955</v>
      </c>
      <c r="JIP372" s="21" t="s">
        <v>2955</v>
      </c>
      <c r="JIQ372" s="21" t="s">
        <v>2955</v>
      </c>
      <c r="JIR372" s="21" t="s">
        <v>2955</v>
      </c>
      <c r="JIS372" s="21" t="s">
        <v>2955</v>
      </c>
      <c r="JIT372" s="21" t="s">
        <v>2955</v>
      </c>
      <c r="JIU372" s="21" t="s">
        <v>2955</v>
      </c>
      <c r="JIV372" s="21" t="s">
        <v>2955</v>
      </c>
      <c r="JIW372" s="21" t="s">
        <v>2955</v>
      </c>
      <c r="JIX372" s="21" t="s">
        <v>2955</v>
      </c>
      <c r="JIY372" s="21" t="s">
        <v>2955</v>
      </c>
      <c r="JIZ372" s="21" t="s">
        <v>2955</v>
      </c>
      <c r="JJA372" s="21" t="s">
        <v>2955</v>
      </c>
      <c r="JJB372" s="21" t="s">
        <v>2955</v>
      </c>
      <c r="JJC372" s="21" t="s">
        <v>2955</v>
      </c>
      <c r="JJD372" s="21" t="s">
        <v>2955</v>
      </c>
      <c r="JJE372" s="21" t="s">
        <v>2955</v>
      </c>
      <c r="JJF372" s="21" t="s">
        <v>2955</v>
      </c>
      <c r="JJG372" s="21" t="s">
        <v>2955</v>
      </c>
      <c r="JJH372" s="21" t="s">
        <v>2955</v>
      </c>
      <c r="JJI372" s="21" t="s">
        <v>2955</v>
      </c>
      <c r="JJJ372" s="21" t="s">
        <v>2955</v>
      </c>
      <c r="JJK372" s="21" t="s">
        <v>2955</v>
      </c>
      <c r="JJL372" s="21" t="s">
        <v>2955</v>
      </c>
      <c r="JJM372" s="21" t="s">
        <v>2955</v>
      </c>
      <c r="JJN372" s="21" t="s">
        <v>2955</v>
      </c>
      <c r="JJO372" s="21" t="s">
        <v>2955</v>
      </c>
      <c r="JJP372" s="21" t="s">
        <v>2955</v>
      </c>
      <c r="JJQ372" s="21" t="s">
        <v>2955</v>
      </c>
      <c r="JJR372" s="21" t="s">
        <v>2955</v>
      </c>
      <c r="JJS372" s="21" t="s">
        <v>2955</v>
      </c>
      <c r="JJT372" s="21" t="s">
        <v>2955</v>
      </c>
      <c r="JJU372" s="21" t="s">
        <v>2955</v>
      </c>
      <c r="JJV372" s="21" t="s">
        <v>2955</v>
      </c>
      <c r="JJW372" s="21" t="s">
        <v>2955</v>
      </c>
      <c r="JJX372" s="21" t="s">
        <v>2955</v>
      </c>
      <c r="JJY372" s="21" t="s">
        <v>2955</v>
      </c>
      <c r="JJZ372" s="21" t="s">
        <v>2955</v>
      </c>
      <c r="JKA372" s="21" t="s">
        <v>2955</v>
      </c>
      <c r="JKB372" s="21" t="s">
        <v>2955</v>
      </c>
      <c r="JKC372" s="21" t="s">
        <v>2955</v>
      </c>
      <c r="JKD372" s="21" t="s">
        <v>2955</v>
      </c>
      <c r="JKE372" s="21" t="s">
        <v>2955</v>
      </c>
      <c r="JKF372" s="21" t="s">
        <v>2955</v>
      </c>
      <c r="JKG372" s="21" t="s">
        <v>2955</v>
      </c>
      <c r="JKH372" s="21" t="s">
        <v>2955</v>
      </c>
      <c r="JKI372" s="21" t="s">
        <v>2955</v>
      </c>
      <c r="JKJ372" s="21" t="s">
        <v>2955</v>
      </c>
      <c r="JKK372" s="21" t="s">
        <v>2955</v>
      </c>
      <c r="JKL372" s="21" t="s">
        <v>2955</v>
      </c>
      <c r="JKM372" s="21" t="s">
        <v>2955</v>
      </c>
      <c r="JKN372" s="21" t="s">
        <v>2955</v>
      </c>
      <c r="JKO372" s="21" t="s">
        <v>2955</v>
      </c>
      <c r="JKP372" s="21" t="s">
        <v>2955</v>
      </c>
      <c r="JKQ372" s="21" t="s">
        <v>2955</v>
      </c>
      <c r="JKR372" s="21" t="s">
        <v>2955</v>
      </c>
      <c r="JKS372" s="21" t="s">
        <v>2955</v>
      </c>
      <c r="JKT372" s="21" t="s">
        <v>2955</v>
      </c>
      <c r="JKU372" s="21" t="s">
        <v>2955</v>
      </c>
      <c r="JKV372" s="21" t="s">
        <v>2955</v>
      </c>
      <c r="JKW372" s="21" t="s">
        <v>2955</v>
      </c>
      <c r="JKX372" s="21" t="s">
        <v>2955</v>
      </c>
      <c r="JKY372" s="21" t="s">
        <v>2955</v>
      </c>
      <c r="JKZ372" s="21" t="s">
        <v>2955</v>
      </c>
      <c r="JLA372" s="21" t="s">
        <v>2955</v>
      </c>
      <c r="JLB372" s="21" t="s">
        <v>2955</v>
      </c>
      <c r="JLC372" s="21" t="s">
        <v>2955</v>
      </c>
      <c r="JLD372" s="21" t="s">
        <v>2955</v>
      </c>
      <c r="JLE372" s="21" t="s">
        <v>2955</v>
      </c>
      <c r="JLF372" s="21" t="s">
        <v>2955</v>
      </c>
      <c r="JLG372" s="21" t="s">
        <v>2955</v>
      </c>
      <c r="JLH372" s="21" t="s">
        <v>2955</v>
      </c>
      <c r="JLI372" s="21" t="s">
        <v>2955</v>
      </c>
      <c r="JLJ372" s="21" t="s">
        <v>2955</v>
      </c>
      <c r="JLK372" s="21" t="s">
        <v>2955</v>
      </c>
      <c r="JLL372" s="21" t="s">
        <v>2955</v>
      </c>
      <c r="JLM372" s="21" t="s">
        <v>2955</v>
      </c>
      <c r="JLN372" s="21" t="s">
        <v>2955</v>
      </c>
      <c r="JLO372" s="21" t="s">
        <v>2955</v>
      </c>
      <c r="JLP372" s="21" t="s">
        <v>2955</v>
      </c>
      <c r="JLQ372" s="21" t="s">
        <v>2955</v>
      </c>
      <c r="JLR372" s="21" t="s">
        <v>2955</v>
      </c>
      <c r="JLS372" s="21" t="s">
        <v>2955</v>
      </c>
      <c r="JLT372" s="21" t="s">
        <v>2955</v>
      </c>
      <c r="JLU372" s="21" t="s">
        <v>2955</v>
      </c>
      <c r="JLV372" s="21" t="s">
        <v>2955</v>
      </c>
      <c r="JLW372" s="21" t="s">
        <v>2955</v>
      </c>
      <c r="JLX372" s="21" t="s">
        <v>2955</v>
      </c>
      <c r="JLY372" s="21" t="s">
        <v>2955</v>
      </c>
      <c r="JLZ372" s="21" t="s">
        <v>2955</v>
      </c>
      <c r="JMA372" s="21" t="s">
        <v>2955</v>
      </c>
      <c r="JMB372" s="21" t="s">
        <v>2955</v>
      </c>
      <c r="JMC372" s="21" t="s">
        <v>2955</v>
      </c>
      <c r="JMD372" s="21" t="s">
        <v>2955</v>
      </c>
      <c r="JME372" s="21" t="s">
        <v>2955</v>
      </c>
      <c r="JMF372" s="21" t="s">
        <v>2955</v>
      </c>
      <c r="JMG372" s="21" t="s">
        <v>2955</v>
      </c>
      <c r="JMH372" s="21" t="s">
        <v>2955</v>
      </c>
      <c r="JMI372" s="21" t="s">
        <v>2955</v>
      </c>
      <c r="JMJ372" s="21" t="s">
        <v>2955</v>
      </c>
      <c r="JMK372" s="21" t="s">
        <v>2955</v>
      </c>
      <c r="JML372" s="21" t="s">
        <v>2955</v>
      </c>
      <c r="JMM372" s="21" t="s">
        <v>2955</v>
      </c>
      <c r="JMN372" s="21" t="s">
        <v>2955</v>
      </c>
      <c r="JMO372" s="21" t="s">
        <v>2955</v>
      </c>
      <c r="JMP372" s="21" t="s">
        <v>2955</v>
      </c>
      <c r="JMQ372" s="21" t="s">
        <v>2955</v>
      </c>
      <c r="JMR372" s="21" t="s">
        <v>2955</v>
      </c>
      <c r="JMS372" s="21" t="s">
        <v>2955</v>
      </c>
      <c r="JMT372" s="21" t="s">
        <v>2955</v>
      </c>
      <c r="JMU372" s="21" t="s">
        <v>2955</v>
      </c>
      <c r="JMV372" s="21" t="s">
        <v>2955</v>
      </c>
      <c r="JMW372" s="21" t="s">
        <v>2955</v>
      </c>
      <c r="JMX372" s="21" t="s">
        <v>2955</v>
      </c>
      <c r="JMY372" s="21" t="s">
        <v>2955</v>
      </c>
      <c r="JMZ372" s="21" t="s">
        <v>2955</v>
      </c>
      <c r="JNA372" s="21" t="s">
        <v>2955</v>
      </c>
      <c r="JNB372" s="21" t="s">
        <v>2955</v>
      </c>
      <c r="JNC372" s="21" t="s">
        <v>2955</v>
      </c>
      <c r="JND372" s="21" t="s">
        <v>2955</v>
      </c>
      <c r="JNE372" s="21" t="s">
        <v>2955</v>
      </c>
      <c r="JNF372" s="21" t="s">
        <v>2955</v>
      </c>
      <c r="JNG372" s="21" t="s">
        <v>2955</v>
      </c>
      <c r="JNH372" s="21" t="s">
        <v>2955</v>
      </c>
      <c r="JNI372" s="21" t="s">
        <v>2955</v>
      </c>
      <c r="JNJ372" s="21" t="s">
        <v>2955</v>
      </c>
      <c r="JNK372" s="21" t="s">
        <v>2955</v>
      </c>
      <c r="JNL372" s="21" t="s">
        <v>2955</v>
      </c>
      <c r="JNM372" s="21" t="s">
        <v>2955</v>
      </c>
      <c r="JNN372" s="21" t="s">
        <v>2955</v>
      </c>
      <c r="JNO372" s="21" t="s">
        <v>2955</v>
      </c>
      <c r="JNP372" s="21" t="s">
        <v>2955</v>
      </c>
      <c r="JNQ372" s="21" t="s">
        <v>2955</v>
      </c>
      <c r="JNR372" s="21" t="s">
        <v>2955</v>
      </c>
      <c r="JNS372" s="21" t="s">
        <v>2955</v>
      </c>
      <c r="JNT372" s="21" t="s">
        <v>2955</v>
      </c>
      <c r="JNU372" s="21" t="s">
        <v>2955</v>
      </c>
      <c r="JNV372" s="21" t="s">
        <v>2955</v>
      </c>
      <c r="JNW372" s="21" t="s">
        <v>2955</v>
      </c>
      <c r="JNX372" s="21" t="s">
        <v>2955</v>
      </c>
      <c r="JNY372" s="21" t="s">
        <v>2955</v>
      </c>
      <c r="JNZ372" s="21" t="s">
        <v>2955</v>
      </c>
      <c r="JOA372" s="21" t="s">
        <v>2955</v>
      </c>
      <c r="JOB372" s="21" t="s">
        <v>2955</v>
      </c>
      <c r="JOC372" s="21" t="s">
        <v>2955</v>
      </c>
      <c r="JOD372" s="21" t="s">
        <v>2955</v>
      </c>
      <c r="JOE372" s="21" t="s">
        <v>2955</v>
      </c>
      <c r="JOF372" s="21" t="s">
        <v>2955</v>
      </c>
      <c r="JOG372" s="21" t="s">
        <v>2955</v>
      </c>
      <c r="JOH372" s="21" t="s">
        <v>2955</v>
      </c>
      <c r="JOI372" s="21" t="s">
        <v>2955</v>
      </c>
      <c r="JOJ372" s="21" t="s">
        <v>2955</v>
      </c>
      <c r="JOK372" s="21" t="s">
        <v>2955</v>
      </c>
      <c r="JOL372" s="21" t="s">
        <v>2955</v>
      </c>
      <c r="JOM372" s="21" t="s">
        <v>2955</v>
      </c>
      <c r="JON372" s="21" t="s">
        <v>2955</v>
      </c>
      <c r="JOO372" s="21" t="s">
        <v>2955</v>
      </c>
      <c r="JOP372" s="21" t="s">
        <v>2955</v>
      </c>
      <c r="JOQ372" s="21" t="s">
        <v>2955</v>
      </c>
      <c r="JOR372" s="21" t="s">
        <v>2955</v>
      </c>
      <c r="JOS372" s="21" t="s">
        <v>2955</v>
      </c>
      <c r="JOT372" s="21" t="s">
        <v>2955</v>
      </c>
      <c r="JOU372" s="21" t="s">
        <v>2955</v>
      </c>
      <c r="JOV372" s="21" t="s">
        <v>2955</v>
      </c>
      <c r="JOW372" s="21" t="s">
        <v>2955</v>
      </c>
      <c r="JOX372" s="21" t="s">
        <v>2955</v>
      </c>
      <c r="JOY372" s="21" t="s">
        <v>2955</v>
      </c>
      <c r="JOZ372" s="21" t="s">
        <v>2955</v>
      </c>
      <c r="JPA372" s="21" t="s">
        <v>2955</v>
      </c>
      <c r="JPB372" s="21" t="s">
        <v>2955</v>
      </c>
      <c r="JPC372" s="21" t="s">
        <v>2955</v>
      </c>
      <c r="JPD372" s="21" t="s">
        <v>2955</v>
      </c>
      <c r="JPE372" s="21" t="s">
        <v>2955</v>
      </c>
      <c r="JPF372" s="21" t="s">
        <v>2955</v>
      </c>
      <c r="JPG372" s="21" t="s">
        <v>2955</v>
      </c>
      <c r="JPH372" s="21" t="s">
        <v>2955</v>
      </c>
      <c r="JPI372" s="21" t="s">
        <v>2955</v>
      </c>
      <c r="JPJ372" s="21" t="s">
        <v>2955</v>
      </c>
      <c r="JPK372" s="21" t="s">
        <v>2955</v>
      </c>
      <c r="JPL372" s="21" t="s">
        <v>2955</v>
      </c>
      <c r="JPM372" s="21" t="s">
        <v>2955</v>
      </c>
      <c r="JPN372" s="21" t="s">
        <v>2955</v>
      </c>
      <c r="JPO372" s="21" t="s">
        <v>2955</v>
      </c>
      <c r="JPP372" s="21" t="s">
        <v>2955</v>
      </c>
      <c r="JPQ372" s="21" t="s">
        <v>2955</v>
      </c>
      <c r="JPR372" s="21" t="s">
        <v>2955</v>
      </c>
      <c r="JPS372" s="21" t="s">
        <v>2955</v>
      </c>
      <c r="JPT372" s="21" t="s">
        <v>2955</v>
      </c>
      <c r="JPU372" s="21" t="s">
        <v>2955</v>
      </c>
      <c r="JPV372" s="21" t="s">
        <v>2955</v>
      </c>
      <c r="JPW372" s="21" t="s">
        <v>2955</v>
      </c>
      <c r="JPX372" s="21" t="s">
        <v>2955</v>
      </c>
      <c r="JPY372" s="21" t="s">
        <v>2955</v>
      </c>
      <c r="JPZ372" s="21" t="s">
        <v>2955</v>
      </c>
      <c r="JQA372" s="21" t="s">
        <v>2955</v>
      </c>
      <c r="JQB372" s="21" t="s">
        <v>2955</v>
      </c>
      <c r="JQC372" s="21" t="s">
        <v>2955</v>
      </c>
      <c r="JQD372" s="21" t="s">
        <v>2955</v>
      </c>
      <c r="JQE372" s="21" t="s">
        <v>2955</v>
      </c>
      <c r="JQF372" s="21" t="s">
        <v>2955</v>
      </c>
      <c r="JQG372" s="21" t="s">
        <v>2955</v>
      </c>
      <c r="JQH372" s="21" t="s">
        <v>2955</v>
      </c>
      <c r="JQI372" s="21" t="s">
        <v>2955</v>
      </c>
      <c r="JQJ372" s="21" t="s">
        <v>2955</v>
      </c>
      <c r="JQK372" s="21" t="s">
        <v>2955</v>
      </c>
      <c r="JQL372" s="21" t="s">
        <v>2955</v>
      </c>
      <c r="JQM372" s="21" t="s">
        <v>2955</v>
      </c>
      <c r="JQN372" s="21" t="s">
        <v>2955</v>
      </c>
      <c r="JQO372" s="21" t="s">
        <v>2955</v>
      </c>
      <c r="JQP372" s="21" t="s">
        <v>2955</v>
      </c>
      <c r="JQQ372" s="21" t="s">
        <v>2955</v>
      </c>
      <c r="JQR372" s="21" t="s">
        <v>2955</v>
      </c>
      <c r="JQS372" s="21" t="s">
        <v>2955</v>
      </c>
      <c r="JQT372" s="21" t="s">
        <v>2955</v>
      </c>
      <c r="JQU372" s="21" t="s">
        <v>2955</v>
      </c>
      <c r="JQV372" s="21" t="s">
        <v>2955</v>
      </c>
      <c r="JQW372" s="21" t="s">
        <v>2955</v>
      </c>
      <c r="JQX372" s="21" t="s">
        <v>2955</v>
      </c>
      <c r="JQY372" s="21" t="s">
        <v>2955</v>
      </c>
      <c r="JQZ372" s="21" t="s">
        <v>2955</v>
      </c>
      <c r="JRA372" s="21" t="s">
        <v>2955</v>
      </c>
      <c r="JRB372" s="21" t="s">
        <v>2955</v>
      </c>
      <c r="JRC372" s="21" t="s">
        <v>2955</v>
      </c>
      <c r="JRD372" s="21" t="s">
        <v>2955</v>
      </c>
      <c r="JRE372" s="21" t="s">
        <v>2955</v>
      </c>
      <c r="JRF372" s="21" t="s">
        <v>2955</v>
      </c>
      <c r="JRG372" s="21" t="s">
        <v>2955</v>
      </c>
      <c r="JRH372" s="21" t="s">
        <v>2955</v>
      </c>
      <c r="JRI372" s="21" t="s">
        <v>2955</v>
      </c>
      <c r="JRJ372" s="21" t="s">
        <v>2955</v>
      </c>
      <c r="JRK372" s="21" t="s">
        <v>2955</v>
      </c>
      <c r="JRL372" s="21" t="s">
        <v>2955</v>
      </c>
      <c r="JRM372" s="21" t="s">
        <v>2955</v>
      </c>
      <c r="JRN372" s="21" t="s">
        <v>2955</v>
      </c>
      <c r="JRO372" s="21" t="s">
        <v>2955</v>
      </c>
      <c r="JRP372" s="21" t="s">
        <v>2955</v>
      </c>
      <c r="JRQ372" s="21" t="s">
        <v>2955</v>
      </c>
      <c r="JRR372" s="21" t="s">
        <v>2955</v>
      </c>
      <c r="JRS372" s="21" t="s">
        <v>2955</v>
      </c>
      <c r="JRT372" s="21" t="s">
        <v>2955</v>
      </c>
      <c r="JRU372" s="21" t="s">
        <v>2955</v>
      </c>
      <c r="JRV372" s="21" t="s">
        <v>2955</v>
      </c>
      <c r="JRW372" s="21" t="s">
        <v>2955</v>
      </c>
      <c r="JRX372" s="21" t="s">
        <v>2955</v>
      </c>
      <c r="JRY372" s="21" t="s">
        <v>2955</v>
      </c>
      <c r="JRZ372" s="21" t="s">
        <v>2955</v>
      </c>
      <c r="JSA372" s="21" t="s">
        <v>2955</v>
      </c>
      <c r="JSB372" s="21" t="s">
        <v>2955</v>
      </c>
      <c r="JSC372" s="21" t="s">
        <v>2955</v>
      </c>
      <c r="JSD372" s="21" t="s">
        <v>2955</v>
      </c>
      <c r="JSE372" s="21" t="s">
        <v>2955</v>
      </c>
      <c r="JSF372" s="21" t="s">
        <v>2955</v>
      </c>
      <c r="JSG372" s="21" t="s">
        <v>2955</v>
      </c>
      <c r="JSH372" s="21" t="s">
        <v>2955</v>
      </c>
      <c r="JSI372" s="21" t="s">
        <v>2955</v>
      </c>
      <c r="JSJ372" s="21" t="s">
        <v>2955</v>
      </c>
      <c r="JSK372" s="21" t="s">
        <v>2955</v>
      </c>
      <c r="JSL372" s="21" t="s">
        <v>2955</v>
      </c>
      <c r="JSM372" s="21" t="s">
        <v>2955</v>
      </c>
      <c r="JSN372" s="21" t="s">
        <v>2955</v>
      </c>
      <c r="JSO372" s="21" t="s">
        <v>2955</v>
      </c>
      <c r="JSP372" s="21" t="s">
        <v>2955</v>
      </c>
      <c r="JSQ372" s="21" t="s">
        <v>2955</v>
      </c>
      <c r="JSR372" s="21" t="s">
        <v>2955</v>
      </c>
      <c r="JSS372" s="21" t="s">
        <v>2955</v>
      </c>
      <c r="JST372" s="21" t="s">
        <v>2955</v>
      </c>
      <c r="JSU372" s="21" t="s">
        <v>2955</v>
      </c>
      <c r="JSV372" s="21" t="s">
        <v>2955</v>
      </c>
      <c r="JSW372" s="21" t="s">
        <v>2955</v>
      </c>
      <c r="JSX372" s="21" t="s">
        <v>2955</v>
      </c>
      <c r="JSY372" s="21" t="s">
        <v>2955</v>
      </c>
      <c r="JSZ372" s="21" t="s">
        <v>2955</v>
      </c>
      <c r="JTA372" s="21" t="s">
        <v>2955</v>
      </c>
      <c r="JTB372" s="21" t="s">
        <v>2955</v>
      </c>
      <c r="JTC372" s="21" t="s">
        <v>2955</v>
      </c>
      <c r="JTD372" s="21" t="s">
        <v>2955</v>
      </c>
      <c r="JTE372" s="21" t="s">
        <v>2955</v>
      </c>
      <c r="JTF372" s="21" t="s">
        <v>2955</v>
      </c>
      <c r="JTG372" s="21" t="s">
        <v>2955</v>
      </c>
      <c r="JTH372" s="21" t="s">
        <v>2955</v>
      </c>
      <c r="JTI372" s="21" t="s">
        <v>2955</v>
      </c>
      <c r="JTJ372" s="21" t="s">
        <v>2955</v>
      </c>
      <c r="JTK372" s="21" t="s">
        <v>2955</v>
      </c>
      <c r="JTL372" s="21" t="s">
        <v>2955</v>
      </c>
      <c r="JTM372" s="21" t="s">
        <v>2955</v>
      </c>
      <c r="JTN372" s="21" t="s">
        <v>2955</v>
      </c>
      <c r="JTO372" s="21" t="s">
        <v>2955</v>
      </c>
      <c r="JTP372" s="21" t="s">
        <v>2955</v>
      </c>
      <c r="JTQ372" s="21" t="s">
        <v>2955</v>
      </c>
      <c r="JTR372" s="21" t="s">
        <v>2955</v>
      </c>
      <c r="JTS372" s="21" t="s">
        <v>2955</v>
      </c>
      <c r="JTT372" s="21" t="s">
        <v>2955</v>
      </c>
      <c r="JTU372" s="21" t="s">
        <v>2955</v>
      </c>
      <c r="JTV372" s="21" t="s">
        <v>2955</v>
      </c>
      <c r="JTW372" s="21" t="s">
        <v>2955</v>
      </c>
      <c r="JTX372" s="21" t="s">
        <v>2955</v>
      </c>
      <c r="JTY372" s="21" t="s">
        <v>2955</v>
      </c>
      <c r="JTZ372" s="21" t="s">
        <v>2955</v>
      </c>
      <c r="JUA372" s="21" t="s">
        <v>2955</v>
      </c>
      <c r="JUB372" s="21" t="s">
        <v>2955</v>
      </c>
      <c r="JUC372" s="21" t="s">
        <v>2955</v>
      </c>
      <c r="JUD372" s="21" t="s">
        <v>2955</v>
      </c>
      <c r="JUE372" s="21" t="s">
        <v>2955</v>
      </c>
      <c r="JUF372" s="21" t="s">
        <v>2955</v>
      </c>
      <c r="JUG372" s="21" t="s">
        <v>2955</v>
      </c>
      <c r="JUH372" s="21" t="s">
        <v>2955</v>
      </c>
      <c r="JUI372" s="21" t="s">
        <v>2955</v>
      </c>
      <c r="JUJ372" s="21" t="s">
        <v>2955</v>
      </c>
      <c r="JUK372" s="21" t="s">
        <v>2955</v>
      </c>
      <c r="JUL372" s="21" t="s">
        <v>2955</v>
      </c>
      <c r="JUM372" s="21" t="s">
        <v>2955</v>
      </c>
      <c r="JUN372" s="21" t="s">
        <v>2955</v>
      </c>
      <c r="JUO372" s="21" t="s">
        <v>2955</v>
      </c>
      <c r="JUP372" s="21" t="s">
        <v>2955</v>
      </c>
      <c r="JUQ372" s="21" t="s">
        <v>2955</v>
      </c>
      <c r="JUR372" s="21" t="s">
        <v>2955</v>
      </c>
      <c r="JUS372" s="21" t="s">
        <v>2955</v>
      </c>
      <c r="JUT372" s="21" t="s">
        <v>2955</v>
      </c>
      <c r="JUU372" s="21" t="s">
        <v>2955</v>
      </c>
      <c r="JUV372" s="21" t="s">
        <v>2955</v>
      </c>
      <c r="JUW372" s="21" t="s">
        <v>2955</v>
      </c>
      <c r="JUX372" s="21" t="s">
        <v>2955</v>
      </c>
      <c r="JUY372" s="21" t="s">
        <v>2955</v>
      </c>
      <c r="JUZ372" s="21" t="s">
        <v>2955</v>
      </c>
      <c r="JVA372" s="21" t="s">
        <v>2955</v>
      </c>
      <c r="JVB372" s="21" t="s">
        <v>2955</v>
      </c>
      <c r="JVC372" s="21" t="s">
        <v>2955</v>
      </c>
      <c r="JVD372" s="21" t="s">
        <v>2955</v>
      </c>
      <c r="JVE372" s="21" t="s">
        <v>2955</v>
      </c>
      <c r="JVF372" s="21" t="s">
        <v>2955</v>
      </c>
      <c r="JVG372" s="21" t="s">
        <v>2955</v>
      </c>
      <c r="JVH372" s="21" t="s">
        <v>2955</v>
      </c>
      <c r="JVI372" s="21" t="s">
        <v>2955</v>
      </c>
      <c r="JVJ372" s="21" t="s">
        <v>2955</v>
      </c>
      <c r="JVK372" s="21" t="s">
        <v>2955</v>
      </c>
      <c r="JVL372" s="21" t="s">
        <v>2955</v>
      </c>
      <c r="JVM372" s="21" t="s">
        <v>2955</v>
      </c>
      <c r="JVN372" s="21" t="s">
        <v>2955</v>
      </c>
      <c r="JVO372" s="21" t="s">
        <v>2955</v>
      </c>
      <c r="JVP372" s="21" t="s">
        <v>2955</v>
      </c>
      <c r="JVQ372" s="21" t="s">
        <v>2955</v>
      </c>
      <c r="JVR372" s="21" t="s">
        <v>2955</v>
      </c>
      <c r="JVS372" s="21" t="s">
        <v>2955</v>
      </c>
      <c r="JVT372" s="21" t="s">
        <v>2955</v>
      </c>
      <c r="JVU372" s="21" t="s">
        <v>2955</v>
      </c>
      <c r="JVV372" s="21" t="s">
        <v>2955</v>
      </c>
      <c r="JVW372" s="21" t="s">
        <v>2955</v>
      </c>
      <c r="JVX372" s="21" t="s">
        <v>2955</v>
      </c>
      <c r="JVY372" s="21" t="s">
        <v>2955</v>
      </c>
      <c r="JVZ372" s="21" t="s">
        <v>2955</v>
      </c>
      <c r="JWA372" s="21" t="s">
        <v>2955</v>
      </c>
      <c r="JWB372" s="21" t="s">
        <v>2955</v>
      </c>
      <c r="JWC372" s="21" t="s">
        <v>2955</v>
      </c>
      <c r="JWD372" s="21" t="s">
        <v>2955</v>
      </c>
      <c r="JWE372" s="21" t="s">
        <v>2955</v>
      </c>
      <c r="JWF372" s="21" t="s">
        <v>2955</v>
      </c>
      <c r="JWG372" s="21" t="s">
        <v>2955</v>
      </c>
      <c r="JWH372" s="21" t="s">
        <v>2955</v>
      </c>
      <c r="JWI372" s="21" t="s">
        <v>2955</v>
      </c>
      <c r="JWJ372" s="21" t="s">
        <v>2955</v>
      </c>
      <c r="JWK372" s="21" t="s">
        <v>2955</v>
      </c>
      <c r="JWL372" s="21" t="s">
        <v>2955</v>
      </c>
      <c r="JWM372" s="21" t="s">
        <v>2955</v>
      </c>
      <c r="JWN372" s="21" t="s">
        <v>2955</v>
      </c>
      <c r="JWO372" s="21" t="s">
        <v>2955</v>
      </c>
      <c r="JWP372" s="21" t="s">
        <v>2955</v>
      </c>
      <c r="JWQ372" s="21" t="s">
        <v>2955</v>
      </c>
      <c r="JWR372" s="21" t="s">
        <v>2955</v>
      </c>
      <c r="JWS372" s="21" t="s">
        <v>2955</v>
      </c>
      <c r="JWT372" s="21" t="s">
        <v>2955</v>
      </c>
      <c r="JWU372" s="21" t="s">
        <v>2955</v>
      </c>
      <c r="JWV372" s="21" t="s">
        <v>2955</v>
      </c>
      <c r="JWW372" s="21" t="s">
        <v>2955</v>
      </c>
      <c r="JWX372" s="21" t="s">
        <v>2955</v>
      </c>
      <c r="JWY372" s="21" t="s">
        <v>2955</v>
      </c>
      <c r="JWZ372" s="21" t="s">
        <v>2955</v>
      </c>
      <c r="JXA372" s="21" t="s">
        <v>2955</v>
      </c>
      <c r="JXB372" s="21" t="s">
        <v>2955</v>
      </c>
      <c r="JXC372" s="21" t="s">
        <v>2955</v>
      </c>
      <c r="JXD372" s="21" t="s">
        <v>2955</v>
      </c>
      <c r="JXE372" s="21" t="s">
        <v>2955</v>
      </c>
      <c r="JXF372" s="21" t="s">
        <v>2955</v>
      </c>
      <c r="JXG372" s="21" t="s">
        <v>2955</v>
      </c>
      <c r="JXH372" s="21" t="s">
        <v>2955</v>
      </c>
      <c r="JXI372" s="21" t="s">
        <v>2955</v>
      </c>
      <c r="JXJ372" s="21" t="s">
        <v>2955</v>
      </c>
      <c r="JXK372" s="21" t="s">
        <v>2955</v>
      </c>
      <c r="JXL372" s="21" t="s">
        <v>2955</v>
      </c>
      <c r="JXM372" s="21" t="s">
        <v>2955</v>
      </c>
      <c r="JXN372" s="21" t="s">
        <v>2955</v>
      </c>
      <c r="JXO372" s="21" t="s">
        <v>2955</v>
      </c>
      <c r="JXP372" s="21" t="s">
        <v>2955</v>
      </c>
      <c r="JXQ372" s="21" t="s">
        <v>2955</v>
      </c>
      <c r="JXR372" s="21" t="s">
        <v>2955</v>
      </c>
      <c r="JXS372" s="21" t="s">
        <v>2955</v>
      </c>
      <c r="JXT372" s="21" t="s">
        <v>2955</v>
      </c>
      <c r="JXU372" s="21" t="s">
        <v>2955</v>
      </c>
      <c r="JXV372" s="21" t="s">
        <v>2955</v>
      </c>
      <c r="JXW372" s="21" t="s">
        <v>2955</v>
      </c>
      <c r="JXX372" s="21" t="s">
        <v>2955</v>
      </c>
      <c r="JXY372" s="21" t="s">
        <v>2955</v>
      </c>
      <c r="JXZ372" s="21" t="s">
        <v>2955</v>
      </c>
      <c r="JYA372" s="21" t="s">
        <v>2955</v>
      </c>
      <c r="JYB372" s="21" t="s">
        <v>2955</v>
      </c>
      <c r="JYC372" s="21" t="s">
        <v>2955</v>
      </c>
      <c r="JYD372" s="21" t="s">
        <v>2955</v>
      </c>
      <c r="JYE372" s="21" t="s">
        <v>2955</v>
      </c>
      <c r="JYF372" s="21" t="s">
        <v>2955</v>
      </c>
      <c r="JYG372" s="21" t="s">
        <v>2955</v>
      </c>
      <c r="JYH372" s="21" t="s">
        <v>2955</v>
      </c>
      <c r="JYI372" s="21" t="s">
        <v>2955</v>
      </c>
      <c r="JYJ372" s="21" t="s">
        <v>2955</v>
      </c>
      <c r="JYK372" s="21" t="s">
        <v>2955</v>
      </c>
      <c r="JYL372" s="21" t="s">
        <v>2955</v>
      </c>
      <c r="JYM372" s="21" t="s">
        <v>2955</v>
      </c>
      <c r="JYN372" s="21" t="s">
        <v>2955</v>
      </c>
      <c r="JYO372" s="21" t="s">
        <v>2955</v>
      </c>
      <c r="JYP372" s="21" t="s">
        <v>2955</v>
      </c>
      <c r="JYQ372" s="21" t="s">
        <v>2955</v>
      </c>
      <c r="JYR372" s="21" t="s">
        <v>2955</v>
      </c>
      <c r="JYS372" s="21" t="s">
        <v>2955</v>
      </c>
      <c r="JYT372" s="21" t="s">
        <v>2955</v>
      </c>
      <c r="JYU372" s="21" t="s">
        <v>2955</v>
      </c>
      <c r="JYV372" s="21" t="s">
        <v>2955</v>
      </c>
      <c r="JYW372" s="21" t="s">
        <v>2955</v>
      </c>
      <c r="JYX372" s="21" t="s">
        <v>2955</v>
      </c>
      <c r="JYY372" s="21" t="s">
        <v>2955</v>
      </c>
      <c r="JYZ372" s="21" t="s">
        <v>2955</v>
      </c>
      <c r="JZA372" s="21" t="s">
        <v>2955</v>
      </c>
      <c r="JZB372" s="21" t="s">
        <v>2955</v>
      </c>
      <c r="JZC372" s="21" t="s">
        <v>2955</v>
      </c>
      <c r="JZD372" s="21" t="s">
        <v>2955</v>
      </c>
      <c r="JZE372" s="21" t="s">
        <v>2955</v>
      </c>
      <c r="JZF372" s="21" t="s">
        <v>2955</v>
      </c>
      <c r="JZG372" s="21" t="s">
        <v>2955</v>
      </c>
      <c r="JZH372" s="21" t="s">
        <v>2955</v>
      </c>
      <c r="JZI372" s="21" t="s">
        <v>2955</v>
      </c>
      <c r="JZJ372" s="21" t="s">
        <v>2955</v>
      </c>
      <c r="JZK372" s="21" t="s">
        <v>2955</v>
      </c>
      <c r="JZL372" s="21" t="s">
        <v>2955</v>
      </c>
      <c r="JZM372" s="21" t="s">
        <v>2955</v>
      </c>
      <c r="JZN372" s="21" t="s">
        <v>2955</v>
      </c>
      <c r="JZO372" s="21" t="s">
        <v>2955</v>
      </c>
      <c r="JZP372" s="21" t="s">
        <v>2955</v>
      </c>
      <c r="JZQ372" s="21" t="s">
        <v>2955</v>
      </c>
      <c r="JZR372" s="21" t="s">
        <v>2955</v>
      </c>
      <c r="JZS372" s="21" t="s">
        <v>2955</v>
      </c>
      <c r="JZT372" s="21" t="s">
        <v>2955</v>
      </c>
      <c r="JZU372" s="21" t="s">
        <v>2955</v>
      </c>
      <c r="JZV372" s="21" t="s">
        <v>2955</v>
      </c>
      <c r="JZW372" s="21" t="s">
        <v>2955</v>
      </c>
      <c r="JZX372" s="21" t="s">
        <v>2955</v>
      </c>
      <c r="JZY372" s="21" t="s">
        <v>2955</v>
      </c>
      <c r="JZZ372" s="21" t="s">
        <v>2955</v>
      </c>
      <c r="KAA372" s="21" t="s">
        <v>2955</v>
      </c>
      <c r="KAB372" s="21" t="s">
        <v>2955</v>
      </c>
      <c r="KAC372" s="21" t="s">
        <v>2955</v>
      </c>
      <c r="KAD372" s="21" t="s">
        <v>2955</v>
      </c>
      <c r="KAE372" s="21" t="s">
        <v>2955</v>
      </c>
      <c r="KAF372" s="21" t="s">
        <v>2955</v>
      </c>
      <c r="KAG372" s="21" t="s">
        <v>2955</v>
      </c>
      <c r="KAH372" s="21" t="s">
        <v>2955</v>
      </c>
      <c r="KAI372" s="21" t="s">
        <v>2955</v>
      </c>
      <c r="KAJ372" s="21" t="s">
        <v>2955</v>
      </c>
      <c r="KAK372" s="21" t="s">
        <v>2955</v>
      </c>
      <c r="KAL372" s="21" t="s">
        <v>2955</v>
      </c>
      <c r="KAM372" s="21" t="s">
        <v>2955</v>
      </c>
      <c r="KAN372" s="21" t="s">
        <v>2955</v>
      </c>
      <c r="KAO372" s="21" t="s">
        <v>2955</v>
      </c>
      <c r="KAP372" s="21" t="s">
        <v>2955</v>
      </c>
      <c r="KAQ372" s="21" t="s">
        <v>2955</v>
      </c>
      <c r="KAR372" s="21" t="s">
        <v>2955</v>
      </c>
      <c r="KAS372" s="21" t="s">
        <v>2955</v>
      </c>
      <c r="KAT372" s="21" t="s">
        <v>2955</v>
      </c>
      <c r="KAU372" s="21" t="s">
        <v>2955</v>
      </c>
      <c r="KAV372" s="21" t="s">
        <v>2955</v>
      </c>
      <c r="KAW372" s="21" t="s">
        <v>2955</v>
      </c>
      <c r="KAX372" s="21" t="s">
        <v>2955</v>
      </c>
      <c r="KAY372" s="21" t="s">
        <v>2955</v>
      </c>
      <c r="KAZ372" s="21" t="s">
        <v>2955</v>
      </c>
      <c r="KBA372" s="21" t="s">
        <v>2955</v>
      </c>
      <c r="KBB372" s="21" t="s">
        <v>2955</v>
      </c>
      <c r="KBC372" s="21" t="s">
        <v>2955</v>
      </c>
      <c r="KBD372" s="21" t="s">
        <v>2955</v>
      </c>
      <c r="KBE372" s="21" t="s">
        <v>2955</v>
      </c>
      <c r="KBF372" s="21" t="s">
        <v>2955</v>
      </c>
      <c r="KBG372" s="21" t="s">
        <v>2955</v>
      </c>
      <c r="KBH372" s="21" t="s">
        <v>2955</v>
      </c>
      <c r="KBI372" s="21" t="s">
        <v>2955</v>
      </c>
      <c r="KBJ372" s="21" t="s">
        <v>2955</v>
      </c>
      <c r="KBK372" s="21" t="s">
        <v>2955</v>
      </c>
      <c r="KBL372" s="21" t="s">
        <v>2955</v>
      </c>
      <c r="KBM372" s="21" t="s">
        <v>2955</v>
      </c>
      <c r="KBN372" s="21" t="s">
        <v>2955</v>
      </c>
      <c r="KBO372" s="21" t="s">
        <v>2955</v>
      </c>
      <c r="KBP372" s="21" t="s">
        <v>2955</v>
      </c>
      <c r="KBQ372" s="21" t="s">
        <v>2955</v>
      </c>
      <c r="KBR372" s="21" t="s">
        <v>2955</v>
      </c>
      <c r="KBS372" s="21" t="s">
        <v>2955</v>
      </c>
      <c r="KBT372" s="21" t="s">
        <v>2955</v>
      </c>
      <c r="KBU372" s="21" t="s">
        <v>2955</v>
      </c>
      <c r="KBV372" s="21" t="s">
        <v>2955</v>
      </c>
      <c r="KBW372" s="21" t="s">
        <v>2955</v>
      </c>
      <c r="KBX372" s="21" t="s">
        <v>2955</v>
      </c>
      <c r="KBY372" s="21" t="s">
        <v>2955</v>
      </c>
      <c r="KBZ372" s="21" t="s">
        <v>2955</v>
      </c>
      <c r="KCA372" s="21" t="s">
        <v>2955</v>
      </c>
      <c r="KCB372" s="21" t="s">
        <v>2955</v>
      </c>
      <c r="KCC372" s="21" t="s">
        <v>2955</v>
      </c>
      <c r="KCD372" s="21" t="s">
        <v>2955</v>
      </c>
      <c r="KCE372" s="21" t="s">
        <v>2955</v>
      </c>
      <c r="KCF372" s="21" t="s">
        <v>2955</v>
      </c>
      <c r="KCG372" s="21" t="s">
        <v>2955</v>
      </c>
      <c r="KCH372" s="21" t="s">
        <v>2955</v>
      </c>
      <c r="KCI372" s="21" t="s">
        <v>2955</v>
      </c>
      <c r="KCJ372" s="21" t="s">
        <v>2955</v>
      </c>
      <c r="KCK372" s="21" t="s">
        <v>2955</v>
      </c>
      <c r="KCL372" s="21" t="s">
        <v>2955</v>
      </c>
      <c r="KCM372" s="21" t="s">
        <v>2955</v>
      </c>
      <c r="KCN372" s="21" t="s">
        <v>2955</v>
      </c>
      <c r="KCO372" s="21" t="s">
        <v>2955</v>
      </c>
      <c r="KCP372" s="21" t="s">
        <v>2955</v>
      </c>
      <c r="KCQ372" s="21" t="s">
        <v>2955</v>
      </c>
      <c r="KCR372" s="21" t="s">
        <v>2955</v>
      </c>
      <c r="KCS372" s="21" t="s">
        <v>2955</v>
      </c>
      <c r="KCT372" s="21" t="s">
        <v>2955</v>
      </c>
      <c r="KCU372" s="21" t="s">
        <v>2955</v>
      </c>
      <c r="KCV372" s="21" t="s">
        <v>2955</v>
      </c>
      <c r="KCW372" s="21" t="s">
        <v>2955</v>
      </c>
      <c r="KCX372" s="21" t="s">
        <v>2955</v>
      </c>
      <c r="KCY372" s="21" t="s">
        <v>2955</v>
      </c>
      <c r="KCZ372" s="21" t="s">
        <v>2955</v>
      </c>
      <c r="KDA372" s="21" t="s">
        <v>2955</v>
      </c>
      <c r="KDB372" s="21" t="s">
        <v>2955</v>
      </c>
      <c r="KDC372" s="21" t="s">
        <v>2955</v>
      </c>
      <c r="KDD372" s="21" t="s">
        <v>2955</v>
      </c>
      <c r="KDE372" s="21" t="s">
        <v>2955</v>
      </c>
      <c r="KDF372" s="21" t="s">
        <v>2955</v>
      </c>
      <c r="KDG372" s="21" t="s">
        <v>2955</v>
      </c>
      <c r="KDH372" s="21" t="s">
        <v>2955</v>
      </c>
      <c r="KDI372" s="21" t="s">
        <v>2955</v>
      </c>
      <c r="KDJ372" s="21" t="s">
        <v>2955</v>
      </c>
      <c r="KDK372" s="21" t="s">
        <v>2955</v>
      </c>
      <c r="KDL372" s="21" t="s">
        <v>2955</v>
      </c>
      <c r="KDM372" s="21" t="s">
        <v>2955</v>
      </c>
      <c r="KDN372" s="21" t="s">
        <v>2955</v>
      </c>
      <c r="KDO372" s="21" t="s">
        <v>2955</v>
      </c>
      <c r="KDP372" s="21" t="s">
        <v>2955</v>
      </c>
      <c r="KDQ372" s="21" t="s">
        <v>2955</v>
      </c>
      <c r="KDR372" s="21" t="s">
        <v>2955</v>
      </c>
      <c r="KDS372" s="21" t="s">
        <v>2955</v>
      </c>
      <c r="KDT372" s="21" t="s">
        <v>2955</v>
      </c>
      <c r="KDU372" s="21" t="s">
        <v>2955</v>
      </c>
      <c r="KDV372" s="21" t="s">
        <v>2955</v>
      </c>
      <c r="KDW372" s="21" t="s">
        <v>2955</v>
      </c>
      <c r="KDX372" s="21" t="s">
        <v>2955</v>
      </c>
      <c r="KDY372" s="21" t="s">
        <v>2955</v>
      </c>
      <c r="KDZ372" s="21" t="s">
        <v>2955</v>
      </c>
      <c r="KEA372" s="21" t="s">
        <v>2955</v>
      </c>
      <c r="KEB372" s="21" t="s">
        <v>2955</v>
      </c>
      <c r="KEC372" s="21" t="s">
        <v>2955</v>
      </c>
      <c r="KED372" s="21" t="s">
        <v>2955</v>
      </c>
      <c r="KEE372" s="21" t="s">
        <v>2955</v>
      </c>
      <c r="KEF372" s="21" t="s">
        <v>2955</v>
      </c>
      <c r="KEG372" s="21" t="s">
        <v>2955</v>
      </c>
      <c r="KEH372" s="21" t="s">
        <v>2955</v>
      </c>
      <c r="KEI372" s="21" t="s">
        <v>2955</v>
      </c>
      <c r="KEJ372" s="21" t="s">
        <v>2955</v>
      </c>
      <c r="KEK372" s="21" t="s">
        <v>2955</v>
      </c>
      <c r="KEL372" s="21" t="s">
        <v>2955</v>
      </c>
      <c r="KEM372" s="21" t="s">
        <v>2955</v>
      </c>
      <c r="KEN372" s="21" t="s">
        <v>2955</v>
      </c>
      <c r="KEO372" s="21" t="s">
        <v>2955</v>
      </c>
      <c r="KEP372" s="21" t="s">
        <v>2955</v>
      </c>
      <c r="KEQ372" s="21" t="s">
        <v>2955</v>
      </c>
      <c r="KER372" s="21" t="s">
        <v>2955</v>
      </c>
      <c r="KES372" s="21" t="s">
        <v>2955</v>
      </c>
      <c r="KET372" s="21" t="s">
        <v>2955</v>
      </c>
      <c r="KEU372" s="21" t="s">
        <v>2955</v>
      </c>
      <c r="KEV372" s="21" t="s">
        <v>2955</v>
      </c>
      <c r="KEW372" s="21" t="s">
        <v>2955</v>
      </c>
      <c r="KEX372" s="21" t="s">
        <v>2955</v>
      </c>
      <c r="KEY372" s="21" t="s">
        <v>2955</v>
      </c>
      <c r="KEZ372" s="21" t="s">
        <v>2955</v>
      </c>
      <c r="KFA372" s="21" t="s">
        <v>2955</v>
      </c>
      <c r="KFB372" s="21" t="s">
        <v>2955</v>
      </c>
      <c r="KFC372" s="21" t="s">
        <v>2955</v>
      </c>
      <c r="KFD372" s="21" t="s">
        <v>2955</v>
      </c>
      <c r="KFE372" s="21" t="s">
        <v>2955</v>
      </c>
      <c r="KFF372" s="21" t="s">
        <v>2955</v>
      </c>
      <c r="KFG372" s="21" t="s">
        <v>2955</v>
      </c>
      <c r="KFH372" s="21" t="s">
        <v>2955</v>
      </c>
      <c r="KFI372" s="21" t="s">
        <v>2955</v>
      </c>
      <c r="KFJ372" s="21" t="s">
        <v>2955</v>
      </c>
      <c r="KFK372" s="21" t="s">
        <v>2955</v>
      </c>
      <c r="KFL372" s="21" t="s">
        <v>2955</v>
      </c>
      <c r="KFM372" s="21" t="s">
        <v>2955</v>
      </c>
      <c r="KFN372" s="21" t="s">
        <v>2955</v>
      </c>
      <c r="KFO372" s="21" t="s">
        <v>2955</v>
      </c>
      <c r="KFP372" s="21" t="s">
        <v>2955</v>
      </c>
      <c r="KFQ372" s="21" t="s">
        <v>2955</v>
      </c>
      <c r="KFR372" s="21" t="s">
        <v>2955</v>
      </c>
      <c r="KFS372" s="21" t="s">
        <v>2955</v>
      </c>
      <c r="KFT372" s="21" t="s">
        <v>2955</v>
      </c>
      <c r="KFU372" s="21" t="s">
        <v>2955</v>
      </c>
      <c r="KFV372" s="21" t="s">
        <v>2955</v>
      </c>
      <c r="KFW372" s="21" t="s">
        <v>2955</v>
      </c>
      <c r="KFX372" s="21" t="s">
        <v>2955</v>
      </c>
      <c r="KFY372" s="21" t="s">
        <v>2955</v>
      </c>
      <c r="KFZ372" s="21" t="s">
        <v>2955</v>
      </c>
      <c r="KGA372" s="21" t="s">
        <v>2955</v>
      </c>
      <c r="KGB372" s="21" t="s">
        <v>2955</v>
      </c>
      <c r="KGC372" s="21" t="s">
        <v>2955</v>
      </c>
      <c r="KGD372" s="21" t="s">
        <v>2955</v>
      </c>
      <c r="KGE372" s="21" t="s">
        <v>2955</v>
      </c>
      <c r="KGF372" s="21" t="s">
        <v>2955</v>
      </c>
      <c r="KGG372" s="21" t="s">
        <v>2955</v>
      </c>
      <c r="KGH372" s="21" t="s">
        <v>2955</v>
      </c>
      <c r="KGI372" s="21" t="s">
        <v>2955</v>
      </c>
      <c r="KGJ372" s="21" t="s">
        <v>2955</v>
      </c>
      <c r="KGK372" s="21" t="s">
        <v>2955</v>
      </c>
      <c r="KGL372" s="21" t="s">
        <v>2955</v>
      </c>
      <c r="KGM372" s="21" t="s">
        <v>2955</v>
      </c>
      <c r="KGN372" s="21" t="s">
        <v>2955</v>
      </c>
      <c r="KGO372" s="21" t="s">
        <v>2955</v>
      </c>
      <c r="KGP372" s="21" t="s">
        <v>2955</v>
      </c>
      <c r="KGQ372" s="21" t="s">
        <v>2955</v>
      </c>
      <c r="KGR372" s="21" t="s">
        <v>2955</v>
      </c>
      <c r="KGS372" s="21" t="s">
        <v>2955</v>
      </c>
      <c r="KGT372" s="21" t="s">
        <v>2955</v>
      </c>
      <c r="KGU372" s="21" t="s">
        <v>2955</v>
      </c>
      <c r="KGV372" s="21" t="s">
        <v>2955</v>
      </c>
      <c r="KGW372" s="21" t="s">
        <v>2955</v>
      </c>
      <c r="KGX372" s="21" t="s">
        <v>2955</v>
      </c>
      <c r="KGY372" s="21" t="s">
        <v>2955</v>
      </c>
      <c r="KGZ372" s="21" t="s">
        <v>2955</v>
      </c>
      <c r="KHA372" s="21" t="s">
        <v>2955</v>
      </c>
      <c r="KHB372" s="21" t="s">
        <v>2955</v>
      </c>
      <c r="KHC372" s="21" t="s">
        <v>2955</v>
      </c>
      <c r="KHD372" s="21" t="s">
        <v>2955</v>
      </c>
      <c r="KHE372" s="21" t="s">
        <v>2955</v>
      </c>
      <c r="KHF372" s="21" t="s">
        <v>2955</v>
      </c>
      <c r="KHG372" s="21" t="s">
        <v>2955</v>
      </c>
      <c r="KHH372" s="21" t="s">
        <v>2955</v>
      </c>
      <c r="KHI372" s="21" t="s">
        <v>2955</v>
      </c>
      <c r="KHJ372" s="21" t="s">
        <v>2955</v>
      </c>
      <c r="KHK372" s="21" t="s">
        <v>2955</v>
      </c>
      <c r="KHL372" s="21" t="s">
        <v>2955</v>
      </c>
      <c r="KHM372" s="21" t="s">
        <v>2955</v>
      </c>
      <c r="KHN372" s="21" t="s">
        <v>2955</v>
      </c>
      <c r="KHO372" s="21" t="s">
        <v>2955</v>
      </c>
      <c r="KHP372" s="21" t="s">
        <v>2955</v>
      </c>
      <c r="KHQ372" s="21" t="s">
        <v>2955</v>
      </c>
      <c r="KHR372" s="21" t="s">
        <v>2955</v>
      </c>
      <c r="KHS372" s="21" t="s">
        <v>2955</v>
      </c>
      <c r="KHT372" s="21" t="s">
        <v>2955</v>
      </c>
      <c r="KHU372" s="21" t="s">
        <v>2955</v>
      </c>
      <c r="KHV372" s="21" t="s">
        <v>2955</v>
      </c>
      <c r="KHW372" s="21" t="s">
        <v>2955</v>
      </c>
      <c r="KHX372" s="21" t="s">
        <v>2955</v>
      </c>
      <c r="KHY372" s="21" t="s">
        <v>2955</v>
      </c>
      <c r="KHZ372" s="21" t="s">
        <v>2955</v>
      </c>
      <c r="KIA372" s="21" t="s">
        <v>2955</v>
      </c>
      <c r="KIB372" s="21" t="s">
        <v>2955</v>
      </c>
      <c r="KIC372" s="21" t="s">
        <v>2955</v>
      </c>
      <c r="KID372" s="21" t="s">
        <v>2955</v>
      </c>
      <c r="KIE372" s="21" t="s">
        <v>2955</v>
      </c>
      <c r="KIF372" s="21" t="s">
        <v>2955</v>
      </c>
      <c r="KIG372" s="21" t="s">
        <v>2955</v>
      </c>
      <c r="KIH372" s="21" t="s">
        <v>2955</v>
      </c>
      <c r="KII372" s="21" t="s">
        <v>2955</v>
      </c>
      <c r="KIJ372" s="21" t="s">
        <v>2955</v>
      </c>
      <c r="KIK372" s="21" t="s">
        <v>2955</v>
      </c>
      <c r="KIL372" s="21" t="s">
        <v>2955</v>
      </c>
      <c r="KIM372" s="21" t="s">
        <v>2955</v>
      </c>
      <c r="KIN372" s="21" t="s">
        <v>2955</v>
      </c>
      <c r="KIO372" s="21" t="s">
        <v>2955</v>
      </c>
      <c r="KIP372" s="21" t="s">
        <v>2955</v>
      </c>
      <c r="KIQ372" s="21" t="s">
        <v>2955</v>
      </c>
      <c r="KIR372" s="21" t="s">
        <v>2955</v>
      </c>
      <c r="KIS372" s="21" t="s">
        <v>2955</v>
      </c>
      <c r="KIT372" s="21" t="s">
        <v>2955</v>
      </c>
      <c r="KIU372" s="21" t="s">
        <v>2955</v>
      </c>
      <c r="KIV372" s="21" t="s">
        <v>2955</v>
      </c>
      <c r="KIW372" s="21" t="s">
        <v>2955</v>
      </c>
      <c r="KIX372" s="21" t="s">
        <v>2955</v>
      </c>
      <c r="KIY372" s="21" t="s">
        <v>2955</v>
      </c>
      <c r="KIZ372" s="21" t="s">
        <v>2955</v>
      </c>
      <c r="KJA372" s="21" t="s">
        <v>2955</v>
      </c>
      <c r="KJB372" s="21" t="s">
        <v>2955</v>
      </c>
      <c r="KJC372" s="21" t="s">
        <v>2955</v>
      </c>
      <c r="KJD372" s="21" t="s">
        <v>2955</v>
      </c>
      <c r="KJE372" s="21" t="s">
        <v>2955</v>
      </c>
      <c r="KJF372" s="21" t="s">
        <v>2955</v>
      </c>
      <c r="KJG372" s="21" t="s">
        <v>2955</v>
      </c>
      <c r="KJH372" s="21" t="s">
        <v>2955</v>
      </c>
      <c r="KJI372" s="21" t="s">
        <v>2955</v>
      </c>
      <c r="KJJ372" s="21" t="s">
        <v>2955</v>
      </c>
      <c r="KJK372" s="21" t="s">
        <v>2955</v>
      </c>
      <c r="KJL372" s="21" t="s">
        <v>2955</v>
      </c>
      <c r="KJM372" s="21" t="s">
        <v>2955</v>
      </c>
      <c r="KJN372" s="21" t="s">
        <v>2955</v>
      </c>
      <c r="KJO372" s="21" t="s">
        <v>2955</v>
      </c>
      <c r="KJP372" s="21" t="s">
        <v>2955</v>
      </c>
      <c r="KJQ372" s="21" t="s">
        <v>2955</v>
      </c>
      <c r="KJR372" s="21" t="s">
        <v>2955</v>
      </c>
      <c r="KJS372" s="21" t="s">
        <v>2955</v>
      </c>
      <c r="KJT372" s="21" t="s">
        <v>2955</v>
      </c>
      <c r="KJU372" s="21" t="s">
        <v>2955</v>
      </c>
      <c r="KJV372" s="21" t="s">
        <v>2955</v>
      </c>
      <c r="KJW372" s="21" t="s">
        <v>2955</v>
      </c>
      <c r="KJX372" s="21" t="s">
        <v>2955</v>
      </c>
      <c r="KJY372" s="21" t="s">
        <v>2955</v>
      </c>
      <c r="KJZ372" s="21" t="s">
        <v>2955</v>
      </c>
      <c r="KKA372" s="21" t="s">
        <v>2955</v>
      </c>
      <c r="KKB372" s="21" t="s">
        <v>2955</v>
      </c>
      <c r="KKC372" s="21" t="s">
        <v>2955</v>
      </c>
      <c r="KKD372" s="21" t="s">
        <v>2955</v>
      </c>
      <c r="KKE372" s="21" t="s">
        <v>2955</v>
      </c>
      <c r="KKF372" s="21" t="s">
        <v>2955</v>
      </c>
      <c r="KKG372" s="21" t="s">
        <v>2955</v>
      </c>
      <c r="KKH372" s="21" t="s">
        <v>2955</v>
      </c>
      <c r="KKI372" s="21" t="s">
        <v>2955</v>
      </c>
      <c r="KKJ372" s="21" t="s">
        <v>2955</v>
      </c>
      <c r="KKK372" s="21" t="s">
        <v>2955</v>
      </c>
      <c r="KKL372" s="21" t="s">
        <v>2955</v>
      </c>
      <c r="KKM372" s="21" t="s">
        <v>2955</v>
      </c>
      <c r="KKN372" s="21" t="s">
        <v>2955</v>
      </c>
      <c r="KKO372" s="21" t="s">
        <v>2955</v>
      </c>
      <c r="KKP372" s="21" t="s">
        <v>2955</v>
      </c>
      <c r="KKQ372" s="21" t="s">
        <v>2955</v>
      </c>
      <c r="KKR372" s="21" t="s">
        <v>2955</v>
      </c>
      <c r="KKS372" s="21" t="s">
        <v>2955</v>
      </c>
      <c r="KKT372" s="21" t="s">
        <v>2955</v>
      </c>
      <c r="KKU372" s="21" t="s">
        <v>2955</v>
      </c>
      <c r="KKV372" s="21" t="s">
        <v>2955</v>
      </c>
      <c r="KKW372" s="21" t="s">
        <v>2955</v>
      </c>
      <c r="KKX372" s="21" t="s">
        <v>2955</v>
      </c>
      <c r="KKY372" s="21" t="s">
        <v>2955</v>
      </c>
      <c r="KKZ372" s="21" t="s">
        <v>2955</v>
      </c>
      <c r="KLA372" s="21" t="s">
        <v>2955</v>
      </c>
      <c r="KLB372" s="21" t="s">
        <v>2955</v>
      </c>
      <c r="KLC372" s="21" t="s">
        <v>2955</v>
      </c>
      <c r="KLD372" s="21" t="s">
        <v>2955</v>
      </c>
      <c r="KLE372" s="21" t="s">
        <v>2955</v>
      </c>
      <c r="KLF372" s="21" t="s">
        <v>2955</v>
      </c>
      <c r="KLG372" s="21" t="s">
        <v>2955</v>
      </c>
      <c r="KLH372" s="21" t="s">
        <v>2955</v>
      </c>
      <c r="KLI372" s="21" t="s">
        <v>2955</v>
      </c>
      <c r="KLJ372" s="21" t="s">
        <v>2955</v>
      </c>
      <c r="KLK372" s="21" t="s">
        <v>2955</v>
      </c>
      <c r="KLL372" s="21" t="s">
        <v>2955</v>
      </c>
      <c r="KLM372" s="21" t="s">
        <v>2955</v>
      </c>
      <c r="KLN372" s="21" t="s">
        <v>2955</v>
      </c>
      <c r="KLO372" s="21" t="s">
        <v>2955</v>
      </c>
      <c r="KLP372" s="21" t="s">
        <v>2955</v>
      </c>
      <c r="KLQ372" s="21" t="s">
        <v>2955</v>
      </c>
      <c r="KLR372" s="21" t="s">
        <v>2955</v>
      </c>
      <c r="KLS372" s="21" t="s">
        <v>2955</v>
      </c>
      <c r="KLT372" s="21" t="s">
        <v>2955</v>
      </c>
      <c r="KLU372" s="21" t="s">
        <v>2955</v>
      </c>
      <c r="KLV372" s="21" t="s">
        <v>2955</v>
      </c>
      <c r="KLW372" s="21" t="s">
        <v>2955</v>
      </c>
      <c r="KLX372" s="21" t="s">
        <v>2955</v>
      </c>
      <c r="KLY372" s="21" t="s">
        <v>2955</v>
      </c>
      <c r="KLZ372" s="21" t="s">
        <v>2955</v>
      </c>
      <c r="KMA372" s="21" t="s">
        <v>2955</v>
      </c>
      <c r="KMB372" s="21" t="s">
        <v>2955</v>
      </c>
      <c r="KMC372" s="21" t="s">
        <v>2955</v>
      </c>
      <c r="KMD372" s="21" t="s">
        <v>2955</v>
      </c>
      <c r="KME372" s="21" t="s">
        <v>2955</v>
      </c>
      <c r="KMF372" s="21" t="s">
        <v>2955</v>
      </c>
      <c r="KMG372" s="21" t="s">
        <v>2955</v>
      </c>
      <c r="KMH372" s="21" t="s">
        <v>2955</v>
      </c>
      <c r="KMI372" s="21" t="s">
        <v>2955</v>
      </c>
      <c r="KMJ372" s="21" t="s">
        <v>2955</v>
      </c>
      <c r="KMK372" s="21" t="s">
        <v>2955</v>
      </c>
      <c r="KML372" s="21" t="s">
        <v>2955</v>
      </c>
      <c r="KMM372" s="21" t="s">
        <v>2955</v>
      </c>
      <c r="KMN372" s="21" t="s">
        <v>2955</v>
      </c>
      <c r="KMO372" s="21" t="s">
        <v>2955</v>
      </c>
      <c r="KMP372" s="21" t="s">
        <v>2955</v>
      </c>
      <c r="KMQ372" s="21" t="s">
        <v>2955</v>
      </c>
      <c r="KMR372" s="21" t="s">
        <v>2955</v>
      </c>
      <c r="KMS372" s="21" t="s">
        <v>2955</v>
      </c>
      <c r="KMT372" s="21" t="s">
        <v>2955</v>
      </c>
      <c r="KMU372" s="21" t="s">
        <v>2955</v>
      </c>
      <c r="KMV372" s="21" t="s">
        <v>2955</v>
      </c>
      <c r="KMW372" s="21" t="s">
        <v>2955</v>
      </c>
      <c r="KMX372" s="21" t="s">
        <v>2955</v>
      </c>
      <c r="KMY372" s="21" t="s">
        <v>2955</v>
      </c>
      <c r="KMZ372" s="21" t="s">
        <v>2955</v>
      </c>
      <c r="KNA372" s="21" t="s">
        <v>2955</v>
      </c>
      <c r="KNB372" s="21" t="s">
        <v>2955</v>
      </c>
      <c r="KNC372" s="21" t="s">
        <v>2955</v>
      </c>
      <c r="KND372" s="21" t="s">
        <v>2955</v>
      </c>
      <c r="KNE372" s="21" t="s">
        <v>2955</v>
      </c>
      <c r="KNF372" s="21" t="s">
        <v>2955</v>
      </c>
      <c r="KNG372" s="21" t="s">
        <v>2955</v>
      </c>
      <c r="KNH372" s="21" t="s">
        <v>2955</v>
      </c>
      <c r="KNI372" s="21" t="s">
        <v>2955</v>
      </c>
      <c r="KNJ372" s="21" t="s">
        <v>2955</v>
      </c>
      <c r="KNK372" s="21" t="s">
        <v>2955</v>
      </c>
      <c r="KNL372" s="21" t="s">
        <v>2955</v>
      </c>
      <c r="KNM372" s="21" t="s">
        <v>2955</v>
      </c>
      <c r="KNN372" s="21" t="s">
        <v>2955</v>
      </c>
      <c r="KNO372" s="21" t="s">
        <v>2955</v>
      </c>
      <c r="KNP372" s="21" t="s">
        <v>2955</v>
      </c>
      <c r="KNQ372" s="21" t="s">
        <v>2955</v>
      </c>
      <c r="KNR372" s="21" t="s">
        <v>2955</v>
      </c>
      <c r="KNS372" s="21" t="s">
        <v>2955</v>
      </c>
      <c r="KNT372" s="21" t="s">
        <v>2955</v>
      </c>
      <c r="KNU372" s="21" t="s">
        <v>2955</v>
      </c>
      <c r="KNV372" s="21" t="s">
        <v>2955</v>
      </c>
      <c r="KNW372" s="21" t="s">
        <v>2955</v>
      </c>
      <c r="KNX372" s="21" t="s">
        <v>2955</v>
      </c>
      <c r="KNY372" s="21" t="s">
        <v>2955</v>
      </c>
      <c r="KNZ372" s="21" t="s">
        <v>2955</v>
      </c>
      <c r="KOA372" s="21" t="s">
        <v>2955</v>
      </c>
      <c r="KOB372" s="21" t="s">
        <v>2955</v>
      </c>
      <c r="KOC372" s="21" t="s">
        <v>2955</v>
      </c>
      <c r="KOD372" s="21" t="s">
        <v>2955</v>
      </c>
      <c r="KOE372" s="21" t="s">
        <v>2955</v>
      </c>
      <c r="KOF372" s="21" t="s">
        <v>2955</v>
      </c>
      <c r="KOG372" s="21" t="s">
        <v>2955</v>
      </c>
      <c r="KOH372" s="21" t="s">
        <v>2955</v>
      </c>
      <c r="KOI372" s="21" t="s">
        <v>2955</v>
      </c>
      <c r="KOJ372" s="21" t="s">
        <v>2955</v>
      </c>
      <c r="KOK372" s="21" t="s">
        <v>2955</v>
      </c>
      <c r="KOL372" s="21" t="s">
        <v>2955</v>
      </c>
      <c r="KOM372" s="21" t="s">
        <v>2955</v>
      </c>
      <c r="KON372" s="21" t="s">
        <v>2955</v>
      </c>
      <c r="KOO372" s="21" t="s">
        <v>2955</v>
      </c>
      <c r="KOP372" s="21" t="s">
        <v>2955</v>
      </c>
      <c r="KOQ372" s="21" t="s">
        <v>2955</v>
      </c>
      <c r="KOR372" s="21" t="s">
        <v>2955</v>
      </c>
      <c r="KOS372" s="21" t="s">
        <v>2955</v>
      </c>
      <c r="KOT372" s="21" t="s">
        <v>2955</v>
      </c>
      <c r="KOU372" s="21" t="s">
        <v>2955</v>
      </c>
      <c r="KOV372" s="21" t="s">
        <v>2955</v>
      </c>
      <c r="KOW372" s="21" t="s">
        <v>2955</v>
      </c>
      <c r="KOX372" s="21" t="s">
        <v>2955</v>
      </c>
      <c r="KOY372" s="21" t="s">
        <v>2955</v>
      </c>
      <c r="KOZ372" s="21" t="s">
        <v>2955</v>
      </c>
      <c r="KPA372" s="21" t="s">
        <v>2955</v>
      </c>
      <c r="KPB372" s="21" t="s">
        <v>2955</v>
      </c>
      <c r="KPC372" s="21" t="s">
        <v>2955</v>
      </c>
      <c r="KPD372" s="21" t="s">
        <v>2955</v>
      </c>
      <c r="KPE372" s="21" t="s">
        <v>2955</v>
      </c>
      <c r="KPF372" s="21" t="s">
        <v>2955</v>
      </c>
      <c r="KPG372" s="21" t="s">
        <v>2955</v>
      </c>
      <c r="KPH372" s="21" t="s">
        <v>2955</v>
      </c>
      <c r="KPI372" s="21" t="s">
        <v>2955</v>
      </c>
      <c r="KPJ372" s="21" t="s">
        <v>2955</v>
      </c>
      <c r="KPK372" s="21" t="s">
        <v>2955</v>
      </c>
      <c r="KPL372" s="21" t="s">
        <v>2955</v>
      </c>
      <c r="KPM372" s="21" t="s">
        <v>2955</v>
      </c>
      <c r="KPN372" s="21" t="s">
        <v>2955</v>
      </c>
      <c r="KPO372" s="21" t="s">
        <v>2955</v>
      </c>
      <c r="KPP372" s="21" t="s">
        <v>2955</v>
      </c>
      <c r="KPQ372" s="21" t="s">
        <v>2955</v>
      </c>
      <c r="KPR372" s="21" t="s">
        <v>2955</v>
      </c>
      <c r="KPS372" s="21" t="s">
        <v>2955</v>
      </c>
      <c r="KPT372" s="21" t="s">
        <v>2955</v>
      </c>
      <c r="KPU372" s="21" t="s">
        <v>2955</v>
      </c>
      <c r="KPV372" s="21" t="s">
        <v>2955</v>
      </c>
      <c r="KPW372" s="21" t="s">
        <v>2955</v>
      </c>
      <c r="KPX372" s="21" t="s">
        <v>2955</v>
      </c>
      <c r="KPY372" s="21" t="s">
        <v>2955</v>
      </c>
      <c r="KPZ372" s="21" t="s">
        <v>2955</v>
      </c>
      <c r="KQA372" s="21" t="s">
        <v>2955</v>
      </c>
      <c r="KQB372" s="21" t="s">
        <v>2955</v>
      </c>
      <c r="KQC372" s="21" t="s">
        <v>2955</v>
      </c>
      <c r="KQD372" s="21" t="s">
        <v>2955</v>
      </c>
      <c r="KQE372" s="21" t="s">
        <v>2955</v>
      </c>
      <c r="KQF372" s="21" t="s">
        <v>2955</v>
      </c>
      <c r="KQG372" s="21" t="s">
        <v>2955</v>
      </c>
      <c r="KQH372" s="21" t="s">
        <v>2955</v>
      </c>
      <c r="KQI372" s="21" t="s">
        <v>2955</v>
      </c>
      <c r="KQJ372" s="21" t="s">
        <v>2955</v>
      </c>
      <c r="KQK372" s="21" t="s">
        <v>2955</v>
      </c>
      <c r="KQL372" s="21" t="s">
        <v>2955</v>
      </c>
      <c r="KQM372" s="21" t="s">
        <v>2955</v>
      </c>
      <c r="KQN372" s="21" t="s">
        <v>2955</v>
      </c>
      <c r="KQO372" s="21" t="s">
        <v>2955</v>
      </c>
      <c r="KQP372" s="21" t="s">
        <v>2955</v>
      </c>
      <c r="KQQ372" s="21" t="s">
        <v>2955</v>
      </c>
      <c r="KQR372" s="21" t="s">
        <v>2955</v>
      </c>
      <c r="KQS372" s="21" t="s">
        <v>2955</v>
      </c>
      <c r="KQT372" s="21" t="s">
        <v>2955</v>
      </c>
      <c r="KQU372" s="21" t="s">
        <v>2955</v>
      </c>
      <c r="KQV372" s="21" t="s">
        <v>2955</v>
      </c>
      <c r="KQW372" s="21" t="s">
        <v>2955</v>
      </c>
      <c r="KQX372" s="21" t="s">
        <v>2955</v>
      </c>
      <c r="KQY372" s="21" t="s">
        <v>2955</v>
      </c>
      <c r="KQZ372" s="21" t="s">
        <v>2955</v>
      </c>
      <c r="KRA372" s="21" t="s">
        <v>2955</v>
      </c>
      <c r="KRB372" s="21" t="s">
        <v>2955</v>
      </c>
      <c r="KRC372" s="21" t="s">
        <v>2955</v>
      </c>
      <c r="KRD372" s="21" t="s">
        <v>2955</v>
      </c>
      <c r="KRE372" s="21" t="s">
        <v>2955</v>
      </c>
      <c r="KRF372" s="21" t="s">
        <v>2955</v>
      </c>
      <c r="KRG372" s="21" t="s">
        <v>2955</v>
      </c>
      <c r="KRH372" s="21" t="s">
        <v>2955</v>
      </c>
      <c r="KRI372" s="21" t="s">
        <v>2955</v>
      </c>
      <c r="KRJ372" s="21" t="s">
        <v>2955</v>
      </c>
      <c r="KRK372" s="21" t="s">
        <v>2955</v>
      </c>
      <c r="KRL372" s="21" t="s">
        <v>2955</v>
      </c>
      <c r="KRM372" s="21" t="s">
        <v>2955</v>
      </c>
      <c r="KRN372" s="21" t="s">
        <v>2955</v>
      </c>
      <c r="KRO372" s="21" t="s">
        <v>2955</v>
      </c>
      <c r="KRP372" s="21" t="s">
        <v>2955</v>
      </c>
      <c r="KRQ372" s="21" t="s">
        <v>2955</v>
      </c>
      <c r="KRR372" s="21" t="s">
        <v>2955</v>
      </c>
      <c r="KRS372" s="21" t="s">
        <v>2955</v>
      </c>
      <c r="KRT372" s="21" t="s">
        <v>2955</v>
      </c>
      <c r="KRU372" s="21" t="s">
        <v>2955</v>
      </c>
      <c r="KRV372" s="21" t="s">
        <v>2955</v>
      </c>
      <c r="KRW372" s="21" t="s">
        <v>2955</v>
      </c>
      <c r="KRX372" s="21" t="s">
        <v>2955</v>
      </c>
      <c r="KRY372" s="21" t="s">
        <v>2955</v>
      </c>
      <c r="KRZ372" s="21" t="s">
        <v>2955</v>
      </c>
      <c r="KSA372" s="21" t="s">
        <v>2955</v>
      </c>
      <c r="KSB372" s="21" t="s">
        <v>2955</v>
      </c>
      <c r="KSC372" s="21" t="s">
        <v>2955</v>
      </c>
      <c r="KSD372" s="21" t="s">
        <v>2955</v>
      </c>
      <c r="KSE372" s="21" t="s">
        <v>2955</v>
      </c>
      <c r="KSF372" s="21" t="s">
        <v>2955</v>
      </c>
      <c r="KSG372" s="21" t="s">
        <v>2955</v>
      </c>
      <c r="KSH372" s="21" t="s">
        <v>2955</v>
      </c>
      <c r="KSI372" s="21" t="s">
        <v>2955</v>
      </c>
      <c r="KSJ372" s="21" t="s">
        <v>2955</v>
      </c>
      <c r="KSK372" s="21" t="s">
        <v>2955</v>
      </c>
      <c r="KSL372" s="21" t="s">
        <v>2955</v>
      </c>
      <c r="KSM372" s="21" t="s">
        <v>2955</v>
      </c>
      <c r="KSN372" s="21" t="s">
        <v>2955</v>
      </c>
      <c r="KSO372" s="21" t="s">
        <v>2955</v>
      </c>
      <c r="KSP372" s="21" t="s">
        <v>2955</v>
      </c>
      <c r="KSQ372" s="21" t="s">
        <v>2955</v>
      </c>
      <c r="KSR372" s="21" t="s">
        <v>2955</v>
      </c>
      <c r="KSS372" s="21" t="s">
        <v>2955</v>
      </c>
      <c r="KST372" s="21" t="s">
        <v>2955</v>
      </c>
      <c r="KSU372" s="21" t="s">
        <v>2955</v>
      </c>
      <c r="KSV372" s="21" t="s">
        <v>2955</v>
      </c>
      <c r="KSW372" s="21" t="s">
        <v>2955</v>
      </c>
      <c r="KSX372" s="21" t="s">
        <v>2955</v>
      </c>
      <c r="KSY372" s="21" t="s">
        <v>2955</v>
      </c>
      <c r="KSZ372" s="21" t="s">
        <v>2955</v>
      </c>
      <c r="KTA372" s="21" t="s">
        <v>2955</v>
      </c>
      <c r="KTB372" s="21" t="s">
        <v>2955</v>
      </c>
      <c r="KTC372" s="21" t="s">
        <v>2955</v>
      </c>
      <c r="KTD372" s="21" t="s">
        <v>2955</v>
      </c>
      <c r="KTE372" s="21" t="s">
        <v>2955</v>
      </c>
      <c r="KTF372" s="21" t="s">
        <v>2955</v>
      </c>
      <c r="KTG372" s="21" t="s">
        <v>2955</v>
      </c>
      <c r="KTH372" s="21" t="s">
        <v>2955</v>
      </c>
      <c r="KTI372" s="21" t="s">
        <v>2955</v>
      </c>
      <c r="KTJ372" s="21" t="s">
        <v>2955</v>
      </c>
      <c r="KTK372" s="21" t="s">
        <v>2955</v>
      </c>
      <c r="KTL372" s="21" t="s">
        <v>2955</v>
      </c>
      <c r="KTM372" s="21" t="s">
        <v>2955</v>
      </c>
      <c r="KTN372" s="21" t="s">
        <v>2955</v>
      </c>
      <c r="KTO372" s="21" t="s">
        <v>2955</v>
      </c>
      <c r="KTP372" s="21" t="s">
        <v>2955</v>
      </c>
      <c r="KTQ372" s="21" t="s">
        <v>2955</v>
      </c>
      <c r="KTR372" s="21" t="s">
        <v>2955</v>
      </c>
      <c r="KTS372" s="21" t="s">
        <v>2955</v>
      </c>
      <c r="KTT372" s="21" t="s">
        <v>2955</v>
      </c>
      <c r="KTU372" s="21" t="s">
        <v>2955</v>
      </c>
      <c r="KTV372" s="21" t="s">
        <v>2955</v>
      </c>
      <c r="KTW372" s="21" t="s">
        <v>2955</v>
      </c>
      <c r="KTX372" s="21" t="s">
        <v>2955</v>
      </c>
      <c r="KTY372" s="21" t="s">
        <v>2955</v>
      </c>
      <c r="KTZ372" s="21" t="s">
        <v>2955</v>
      </c>
      <c r="KUA372" s="21" t="s">
        <v>2955</v>
      </c>
      <c r="KUB372" s="21" t="s">
        <v>2955</v>
      </c>
      <c r="KUC372" s="21" t="s">
        <v>2955</v>
      </c>
      <c r="KUD372" s="21" t="s">
        <v>2955</v>
      </c>
      <c r="KUE372" s="21" t="s">
        <v>2955</v>
      </c>
      <c r="KUF372" s="21" t="s">
        <v>2955</v>
      </c>
      <c r="KUG372" s="21" t="s">
        <v>2955</v>
      </c>
      <c r="KUH372" s="21" t="s">
        <v>2955</v>
      </c>
      <c r="KUI372" s="21" t="s">
        <v>2955</v>
      </c>
      <c r="KUJ372" s="21" t="s">
        <v>2955</v>
      </c>
      <c r="KUK372" s="21" t="s">
        <v>2955</v>
      </c>
      <c r="KUL372" s="21" t="s">
        <v>2955</v>
      </c>
      <c r="KUM372" s="21" t="s">
        <v>2955</v>
      </c>
      <c r="KUN372" s="21" t="s">
        <v>2955</v>
      </c>
      <c r="KUO372" s="21" t="s">
        <v>2955</v>
      </c>
      <c r="KUP372" s="21" t="s">
        <v>2955</v>
      </c>
      <c r="KUQ372" s="21" t="s">
        <v>2955</v>
      </c>
      <c r="KUR372" s="21" t="s">
        <v>2955</v>
      </c>
      <c r="KUS372" s="21" t="s">
        <v>2955</v>
      </c>
      <c r="KUT372" s="21" t="s">
        <v>2955</v>
      </c>
      <c r="KUU372" s="21" t="s">
        <v>2955</v>
      </c>
      <c r="KUV372" s="21" t="s">
        <v>2955</v>
      </c>
      <c r="KUW372" s="21" t="s">
        <v>2955</v>
      </c>
      <c r="KUX372" s="21" t="s">
        <v>2955</v>
      </c>
      <c r="KUY372" s="21" t="s">
        <v>2955</v>
      </c>
      <c r="KUZ372" s="21" t="s">
        <v>2955</v>
      </c>
      <c r="KVA372" s="21" t="s">
        <v>2955</v>
      </c>
      <c r="KVB372" s="21" t="s">
        <v>2955</v>
      </c>
      <c r="KVC372" s="21" t="s">
        <v>2955</v>
      </c>
      <c r="KVD372" s="21" t="s">
        <v>2955</v>
      </c>
      <c r="KVE372" s="21" t="s">
        <v>2955</v>
      </c>
      <c r="KVF372" s="21" t="s">
        <v>2955</v>
      </c>
      <c r="KVG372" s="21" t="s">
        <v>2955</v>
      </c>
      <c r="KVH372" s="21" t="s">
        <v>2955</v>
      </c>
      <c r="KVI372" s="21" t="s">
        <v>2955</v>
      </c>
      <c r="KVJ372" s="21" t="s">
        <v>2955</v>
      </c>
      <c r="KVK372" s="21" t="s">
        <v>2955</v>
      </c>
      <c r="KVL372" s="21" t="s">
        <v>2955</v>
      </c>
      <c r="KVM372" s="21" t="s">
        <v>2955</v>
      </c>
      <c r="KVN372" s="21" t="s">
        <v>2955</v>
      </c>
      <c r="KVO372" s="21" t="s">
        <v>2955</v>
      </c>
      <c r="KVP372" s="21" t="s">
        <v>2955</v>
      </c>
      <c r="KVQ372" s="21" t="s">
        <v>2955</v>
      </c>
      <c r="KVR372" s="21" t="s">
        <v>2955</v>
      </c>
      <c r="KVS372" s="21" t="s">
        <v>2955</v>
      </c>
      <c r="KVT372" s="21" t="s">
        <v>2955</v>
      </c>
      <c r="KVU372" s="21" t="s">
        <v>2955</v>
      </c>
      <c r="KVV372" s="21" t="s">
        <v>2955</v>
      </c>
      <c r="KVW372" s="21" t="s">
        <v>2955</v>
      </c>
      <c r="KVX372" s="21" t="s">
        <v>2955</v>
      </c>
      <c r="KVY372" s="21" t="s">
        <v>2955</v>
      </c>
      <c r="KVZ372" s="21" t="s">
        <v>2955</v>
      </c>
      <c r="KWA372" s="21" t="s">
        <v>2955</v>
      </c>
      <c r="KWB372" s="21" t="s">
        <v>2955</v>
      </c>
      <c r="KWC372" s="21" t="s">
        <v>2955</v>
      </c>
      <c r="KWD372" s="21" t="s">
        <v>2955</v>
      </c>
      <c r="KWE372" s="21" t="s">
        <v>2955</v>
      </c>
      <c r="KWF372" s="21" t="s">
        <v>2955</v>
      </c>
      <c r="KWG372" s="21" t="s">
        <v>2955</v>
      </c>
      <c r="KWH372" s="21" t="s">
        <v>2955</v>
      </c>
      <c r="KWI372" s="21" t="s">
        <v>2955</v>
      </c>
      <c r="KWJ372" s="21" t="s">
        <v>2955</v>
      </c>
      <c r="KWK372" s="21" t="s">
        <v>2955</v>
      </c>
      <c r="KWL372" s="21" t="s">
        <v>2955</v>
      </c>
      <c r="KWM372" s="21" t="s">
        <v>2955</v>
      </c>
      <c r="KWN372" s="21" t="s">
        <v>2955</v>
      </c>
      <c r="KWO372" s="21" t="s">
        <v>2955</v>
      </c>
      <c r="KWP372" s="21" t="s">
        <v>2955</v>
      </c>
      <c r="KWQ372" s="21" t="s">
        <v>2955</v>
      </c>
      <c r="KWR372" s="21" t="s">
        <v>2955</v>
      </c>
      <c r="KWS372" s="21" t="s">
        <v>2955</v>
      </c>
      <c r="KWT372" s="21" t="s">
        <v>2955</v>
      </c>
      <c r="KWU372" s="21" t="s">
        <v>2955</v>
      </c>
      <c r="KWV372" s="21" t="s">
        <v>2955</v>
      </c>
      <c r="KWW372" s="21" t="s">
        <v>2955</v>
      </c>
      <c r="KWX372" s="21" t="s">
        <v>2955</v>
      </c>
      <c r="KWY372" s="21" t="s">
        <v>2955</v>
      </c>
      <c r="KWZ372" s="21" t="s">
        <v>2955</v>
      </c>
      <c r="KXA372" s="21" t="s">
        <v>2955</v>
      </c>
      <c r="KXB372" s="21" t="s">
        <v>2955</v>
      </c>
      <c r="KXC372" s="21" t="s">
        <v>2955</v>
      </c>
      <c r="KXD372" s="21" t="s">
        <v>2955</v>
      </c>
      <c r="KXE372" s="21" t="s">
        <v>2955</v>
      </c>
      <c r="KXF372" s="21" t="s">
        <v>2955</v>
      </c>
      <c r="KXG372" s="21" t="s">
        <v>2955</v>
      </c>
      <c r="KXH372" s="21" t="s">
        <v>2955</v>
      </c>
      <c r="KXI372" s="21" t="s">
        <v>2955</v>
      </c>
      <c r="KXJ372" s="21" t="s">
        <v>2955</v>
      </c>
      <c r="KXK372" s="21" t="s">
        <v>2955</v>
      </c>
      <c r="KXL372" s="21" t="s">
        <v>2955</v>
      </c>
      <c r="KXM372" s="21" t="s">
        <v>2955</v>
      </c>
      <c r="KXN372" s="21" t="s">
        <v>2955</v>
      </c>
      <c r="KXO372" s="21" t="s">
        <v>2955</v>
      </c>
      <c r="KXP372" s="21" t="s">
        <v>2955</v>
      </c>
      <c r="KXQ372" s="21" t="s">
        <v>2955</v>
      </c>
      <c r="KXR372" s="21" t="s">
        <v>2955</v>
      </c>
      <c r="KXS372" s="21" t="s">
        <v>2955</v>
      </c>
      <c r="KXT372" s="21" t="s">
        <v>2955</v>
      </c>
      <c r="KXU372" s="21" t="s">
        <v>2955</v>
      </c>
      <c r="KXV372" s="21" t="s">
        <v>2955</v>
      </c>
      <c r="KXW372" s="21" t="s">
        <v>2955</v>
      </c>
      <c r="KXX372" s="21" t="s">
        <v>2955</v>
      </c>
      <c r="KXY372" s="21" t="s">
        <v>2955</v>
      </c>
      <c r="KXZ372" s="21" t="s">
        <v>2955</v>
      </c>
      <c r="KYA372" s="21" t="s">
        <v>2955</v>
      </c>
      <c r="KYB372" s="21" t="s">
        <v>2955</v>
      </c>
      <c r="KYC372" s="21" t="s">
        <v>2955</v>
      </c>
      <c r="KYD372" s="21" t="s">
        <v>2955</v>
      </c>
      <c r="KYE372" s="21" t="s">
        <v>2955</v>
      </c>
      <c r="KYF372" s="21" t="s">
        <v>2955</v>
      </c>
      <c r="KYG372" s="21" t="s">
        <v>2955</v>
      </c>
      <c r="KYH372" s="21" t="s">
        <v>2955</v>
      </c>
      <c r="KYI372" s="21" t="s">
        <v>2955</v>
      </c>
      <c r="KYJ372" s="21" t="s">
        <v>2955</v>
      </c>
      <c r="KYK372" s="21" t="s">
        <v>2955</v>
      </c>
      <c r="KYL372" s="21" t="s">
        <v>2955</v>
      </c>
      <c r="KYM372" s="21" t="s">
        <v>2955</v>
      </c>
      <c r="KYN372" s="21" t="s">
        <v>2955</v>
      </c>
      <c r="KYO372" s="21" t="s">
        <v>2955</v>
      </c>
      <c r="KYP372" s="21" t="s">
        <v>2955</v>
      </c>
      <c r="KYQ372" s="21" t="s">
        <v>2955</v>
      </c>
      <c r="KYR372" s="21" t="s">
        <v>2955</v>
      </c>
      <c r="KYS372" s="21" t="s">
        <v>2955</v>
      </c>
      <c r="KYT372" s="21" t="s">
        <v>2955</v>
      </c>
      <c r="KYU372" s="21" t="s">
        <v>2955</v>
      </c>
      <c r="KYV372" s="21" t="s">
        <v>2955</v>
      </c>
      <c r="KYW372" s="21" t="s">
        <v>2955</v>
      </c>
      <c r="KYX372" s="21" t="s">
        <v>2955</v>
      </c>
      <c r="KYY372" s="21" t="s">
        <v>2955</v>
      </c>
      <c r="KYZ372" s="21" t="s">
        <v>2955</v>
      </c>
      <c r="KZA372" s="21" t="s">
        <v>2955</v>
      </c>
      <c r="KZB372" s="21" t="s">
        <v>2955</v>
      </c>
      <c r="KZC372" s="21" t="s">
        <v>2955</v>
      </c>
      <c r="KZD372" s="21" t="s">
        <v>2955</v>
      </c>
      <c r="KZE372" s="21" t="s">
        <v>2955</v>
      </c>
      <c r="KZF372" s="21" t="s">
        <v>2955</v>
      </c>
      <c r="KZG372" s="21" t="s">
        <v>2955</v>
      </c>
      <c r="KZH372" s="21" t="s">
        <v>2955</v>
      </c>
      <c r="KZI372" s="21" t="s">
        <v>2955</v>
      </c>
      <c r="KZJ372" s="21" t="s">
        <v>2955</v>
      </c>
      <c r="KZK372" s="21" t="s">
        <v>2955</v>
      </c>
      <c r="KZL372" s="21" t="s">
        <v>2955</v>
      </c>
      <c r="KZM372" s="21" t="s">
        <v>2955</v>
      </c>
      <c r="KZN372" s="21" t="s">
        <v>2955</v>
      </c>
      <c r="KZO372" s="21" t="s">
        <v>2955</v>
      </c>
      <c r="KZP372" s="21" t="s">
        <v>2955</v>
      </c>
      <c r="KZQ372" s="21" t="s">
        <v>2955</v>
      </c>
      <c r="KZR372" s="21" t="s">
        <v>2955</v>
      </c>
      <c r="KZS372" s="21" t="s">
        <v>2955</v>
      </c>
      <c r="KZT372" s="21" t="s">
        <v>2955</v>
      </c>
      <c r="KZU372" s="21" t="s">
        <v>2955</v>
      </c>
      <c r="KZV372" s="21" t="s">
        <v>2955</v>
      </c>
      <c r="KZW372" s="21" t="s">
        <v>2955</v>
      </c>
      <c r="KZX372" s="21" t="s">
        <v>2955</v>
      </c>
      <c r="KZY372" s="21" t="s">
        <v>2955</v>
      </c>
      <c r="KZZ372" s="21" t="s">
        <v>2955</v>
      </c>
      <c r="LAA372" s="21" t="s">
        <v>2955</v>
      </c>
      <c r="LAB372" s="21" t="s">
        <v>2955</v>
      </c>
      <c r="LAC372" s="21" t="s">
        <v>2955</v>
      </c>
      <c r="LAD372" s="21" t="s">
        <v>2955</v>
      </c>
      <c r="LAE372" s="21" t="s">
        <v>2955</v>
      </c>
      <c r="LAF372" s="21" t="s">
        <v>2955</v>
      </c>
      <c r="LAG372" s="21" t="s">
        <v>2955</v>
      </c>
      <c r="LAH372" s="21" t="s">
        <v>2955</v>
      </c>
      <c r="LAI372" s="21" t="s">
        <v>2955</v>
      </c>
      <c r="LAJ372" s="21" t="s">
        <v>2955</v>
      </c>
      <c r="LAK372" s="21" t="s">
        <v>2955</v>
      </c>
      <c r="LAL372" s="21" t="s">
        <v>2955</v>
      </c>
      <c r="LAM372" s="21" t="s">
        <v>2955</v>
      </c>
      <c r="LAN372" s="21" t="s">
        <v>2955</v>
      </c>
      <c r="LAO372" s="21" t="s">
        <v>2955</v>
      </c>
      <c r="LAP372" s="21" t="s">
        <v>2955</v>
      </c>
      <c r="LAQ372" s="21" t="s">
        <v>2955</v>
      </c>
      <c r="LAR372" s="21" t="s">
        <v>2955</v>
      </c>
      <c r="LAS372" s="21" t="s">
        <v>2955</v>
      </c>
      <c r="LAT372" s="21" t="s">
        <v>2955</v>
      </c>
      <c r="LAU372" s="21" t="s">
        <v>2955</v>
      </c>
      <c r="LAV372" s="21" t="s">
        <v>2955</v>
      </c>
      <c r="LAW372" s="21" t="s">
        <v>2955</v>
      </c>
      <c r="LAX372" s="21" t="s">
        <v>2955</v>
      </c>
      <c r="LAY372" s="21" t="s">
        <v>2955</v>
      </c>
      <c r="LAZ372" s="21" t="s">
        <v>2955</v>
      </c>
      <c r="LBA372" s="21" t="s">
        <v>2955</v>
      </c>
      <c r="LBB372" s="21" t="s">
        <v>2955</v>
      </c>
      <c r="LBC372" s="21" t="s">
        <v>2955</v>
      </c>
      <c r="LBD372" s="21" t="s">
        <v>2955</v>
      </c>
      <c r="LBE372" s="21" t="s">
        <v>2955</v>
      </c>
      <c r="LBF372" s="21" t="s">
        <v>2955</v>
      </c>
      <c r="LBG372" s="21" t="s">
        <v>2955</v>
      </c>
      <c r="LBH372" s="21" t="s">
        <v>2955</v>
      </c>
      <c r="LBI372" s="21" t="s">
        <v>2955</v>
      </c>
      <c r="LBJ372" s="21" t="s">
        <v>2955</v>
      </c>
      <c r="LBK372" s="21" t="s">
        <v>2955</v>
      </c>
      <c r="LBL372" s="21" t="s">
        <v>2955</v>
      </c>
      <c r="LBM372" s="21" t="s">
        <v>2955</v>
      </c>
      <c r="LBN372" s="21" t="s">
        <v>2955</v>
      </c>
      <c r="LBO372" s="21" t="s">
        <v>2955</v>
      </c>
      <c r="LBP372" s="21" t="s">
        <v>2955</v>
      </c>
      <c r="LBQ372" s="21" t="s">
        <v>2955</v>
      </c>
      <c r="LBR372" s="21" t="s">
        <v>2955</v>
      </c>
      <c r="LBS372" s="21" t="s">
        <v>2955</v>
      </c>
      <c r="LBT372" s="21" t="s">
        <v>2955</v>
      </c>
      <c r="LBU372" s="21" t="s">
        <v>2955</v>
      </c>
      <c r="LBV372" s="21" t="s">
        <v>2955</v>
      </c>
      <c r="LBW372" s="21" t="s">
        <v>2955</v>
      </c>
      <c r="LBX372" s="21" t="s">
        <v>2955</v>
      </c>
      <c r="LBY372" s="21" t="s">
        <v>2955</v>
      </c>
      <c r="LBZ372" s="21" t="s">
        <v>2955</v>
      </c>
      <c r="LCA372" s="21" t="s">
        <v>2955</v>
      </c>
      <c r="LCB372" s="21" t="s">
        <v>2955</v>
      </c>
      <c r="LCC372" s="21" t="s">
        <v>2955</v>
      </c>
      <c r="LCD372" s="21" t="s">
        <v>2955</v>
      </c>
      <c r="LCE372" s="21" t="s">
        <v>2955</v>
      </c>
      <c r="LCF372" s="21" t="s">
        <v>2955</v>
      </c>
      <c r="LCG372" s="21" t="s">
        <v>2955</v>
      </c>
      <c r="LCH372" s="21" t="s">
        <v>2955</v>
      </c>
      <c r="LCI372" s="21" t="s">
        <v>2955</v>
      </c>
      <c r="LCJ372" s="21" t="s">
        <v>2955</v>
      </c>
      <c r="LCK372" s="21" t="s">
        <v>2955</v>
      </c>
      <c r="LCL372" s="21" t="s">
        <v>2955</v>
      </c>
      <c r="LCM372" s="21" t="s">
        <v>2955</v>
      </c>
      <c r="LCN372" s="21" t="s">
        <v>2955</v>
      </c>
      <c r="LCO372" s="21" t="s">
        <v>2955</v>
      </c>
      <c r="LCP372" s="21" t="s">
        <v>2955</v>
      </c>
      <c r="LCQ372" s="21" t="s">
        <v>2955</v>
      </c>
      <c r="LCR372" s="21" t="s">
        <v>2955</v>
      </c>
      <c r="LCS372" s="21" t="s">
        <v>2955</v>
      </c>
      <c r="LCT372" s="21" t="s">
        <v>2955</v>
      </c>
      <c r="LCU372" s="21" t="s">
        <v>2955</v>
      </c>
      <c r="LCV372" s="21" t="s">
        <v>2955</v>
      </c>
      <c r="LCW372" s="21" t="s">
        <v>2955</v>
      </c>
      <c r="LCX372" s="21" t="s">
        <v>2955</v>
      </c>
      <c r="LCY372" s="21" t="s">
        <v>2955</v>
      </c>
      <c r="LCZ372" s="21" t="s">
        <v>2955</v>
      </c>
      <c r="LDA372" s="21" t="s">
        <v>2955</v>
      </c>
      <c r="LDB372" s="21" t="s">
        <v>2955</v>
      </c>
      <c r="LDC372" s="21" t="s">
        <v>2955</v>
      </c>
      <c r="LDD372" s="21" t="s">
        <v>2955</v>
      </c>
      <c r="LDE372" s="21" t="s">
        <v>2955</v>
      </c>
      <c r="LDF372" s="21" t="s">
        <v>2955</v>
      </c>
      <c r="LDG372" s="21" t="s">
        <v>2955</v>
      </c>
      <c r="LDH372" s="21" t="s">
        <v>2955</v>
      </c>
      <c r="LDI372" s="21" t="s">
        <v>2955</v>
      </c>
      <c r="LDJ372" s="21" t="s">
        <v>2955</v>
      </c>
      <c r="LDK372" s="21" t="s">
        <v>2955</v>
      </c>
      <c r="LDL372" s="21" t="s">
        <v>2955</v>
      </c>
      <c r="LDM372" s="21" t="s">
        <v>2955</v>
      </c>
      <c r="LDN372" s="21" t="s">
        <v>2955</v>
      </c>
      <c r="LDO372" s="21" t="s">
        <v>2955</v>
      </c>
      <c r="LDP372" s="21" t="s">
        <v>2955</v>
      </c>
      <c r="LDQ372" s="21" t="s">
        <v>2955</v>
      </c>
      <c r="LDR372" s="21" t="s">
        <v>2955</v>
      </c>
      <c r="LDS372" s="21" t="s">
        <v>2955</v>
      </c>
      <c r="LDT372" s="21" t="s">
        <v>2955</v>
      </c>
      <c r="LDU372" s="21" t="s">
        <v>2955</v>
      </c>
      <c r="LDV372" s="21" t="s">
        <v>2955</v>
      </c>
      <c r="LDW372" s="21" t="s">
        <v>2955</v>
      </c>
      <c r="LDX372" s="21" t="s">
        <v>2955</v>
      </c>
      <c r="LDY372" s="21" t="s">
        <v>2955</v>
      </c>
      <c r="LDZ372" s="21" t="s">
        <v>2955</v>
      </c>
      <c r="LEA372" s="21" t="s">
        <v>2955</v>
      </c>
      <c r="LEB372" s="21" t="s">
        <v>2955</v>
      </c>
      <c r="LEC372" s="21" t="s">
        <v>2955</v>
      </c>
      <c r="LED372" s="21" t="s">
        <v>2955</v>
      </c>
      <c r="LEE372" s="21" t="s">
        <v>2955</v>
      </c>
      <c r="LEF372" s="21" t="s">
        <v>2955</v>
      </c>
      <c r="LEG372" s="21" t="s">
        <v>2955</v>
      </c>
      <c r="LEH372" s="21" t="s">
        <v>2955</v>
      </c>
      <c r="LEI372" s="21" t="s">
        <v>2955</v>
      </c>
      <c r="LEJ372" s="21" t="s">
        <v>2955</v>
      </c>
      <c r="LEK372" s="21" t="s">
        <v>2955</v>
      </c>
      <c r="LEL372" s="21" t="s">
        <v>2955</v>
      </c>
      <c r="LEM372" s="21" t="s">
        <v>2955</v>
      </c>
      <c r="LEN372" s="21" t="s">
        <v>2955</v>
      </c>
      <c r="LEO372" s="21" t="s">
        <v>2955</v>
      </c>
      <c r="LEP372" s="21" t="s">
        <v>2955</v>
      </c>
      <c r="LEQ372" s="21" t="s">
        <v>2955</v>
      </c>
      <c r="LER372" s="21" t="s">
        <v>2955</v>
      </c>
      <c r="LES372" s="21" t="s">
        <v>2955</v>
      </c>
      <c r="LET372" s="21" t="s">
        <v>2955</v>
      </c>
      <c r="LEU372" s="21" t="s">
        <v>2955</v>
      </c>
      <c r="LEV372" s="21" t="s">
        <v>2955</v>
      </c>
      <c r="LEW372" s="21" t="s">
        <v>2955</v>
      </c>
      <c r="LEX372" s="21" t="s">
        <v>2955</v>
      </c>
      <c r="LEY372" s="21" t="s">
        <v>2955</v>
      </c>
      <c r="LEZ372" s="21" t="s">
        <v>2955</v>
      </c>
      <c r="LFA372" s="21" t="s">
        <v>2955</v>
      </c>
      <c r="LFB372" s="21" t="s">
        <v>2955</v>
      </c>
      <c r="LFC372" s="21" t="s">
        <v>2955</v>
      </c>
      <c r="LFD372" s="21" t="s">
        <v>2955</v>
      </c>
      <c r="LFE372" s="21" t="s">
        <v>2955</v>
      </c>
      <c r="LFF372" s="21" t="s">
        <v>2955</v>
      </c>
      <c r="LFG372" s="21" t="s">
        <v>2955</v>
      </c>
      <c r="LFH372" s="21" t="s">
        <v>2955</v>
      </c>
      <c r="LFI372" s="21" t="s">
        <v>2955</v>
      </c>
      <c r="LFJ372" s="21" t="s">
        <v>2955</v>
      </c>
      <c r="LFK372" s="21" t="s">
        <v>2955</v>
      </c>
      <c r="LFL372" s="21" t="s">
        <v>2955</v>
      </c>
      <c r="LFM372" s="21" t="s">
        <v>2955</v>
      </c>
      <c r="LFN372" s="21" t="s">
        <v>2955</v>
      </c>
      <c r="LFO372" s="21" t="s">
        <v>2955</v>
      </c>
      <c r="LFP372" s="21" t="s">
        <v>2955</v>
      </c>
      <c r="LFQ372" s="21" t="s">
        <v>2955</v>
      </c>
      <c r="LFR372" s="21" t="s">
        <v>2955</v>
      </c>
      <c r="LFS372" s="21" t="s">
        <v>2955</v>
      </c>
      <c r="LFT372" s="21" t="s">
        <v>2955</v>
      </c>
      <c r="LFU372" s="21" t="s">
        <v>2955</v>
      </c>
      <c r="LFV372" s="21" t="s">
        <v>2955</v>
      </c>
      <c r="LFW372" s="21" t="s">
        <v>2955</v>
      </c>
      <c r="LFX372" s="21" t="s">
        <v>2955</v>
      </c>
      <c r="LFY372" s="21" t="s">
        <v>2955</v>
      </c>
      <c r="LFZ372" s="21" t="s">
        <v>2955</v>
      </c>
      <c r="LGA372" s="21" t="s">
        <v>2955</v>
      </c>
      <c r="LGB372" s="21" t="s">
        <v>2955</v>
      </c>
      <c r="LGC372" s="21" t="s">
        <v>2955</v>
      </c>
      <c r="LGD372" s="21" t="s">
        <v>2955</v>
      </c>
      <c r="LGE372" s="21" t="s">
        <v>2955</v>
      </c>
      <c r="LGF372" s="21" t="s">
        <v>2955</v>
      </c>
      <c r="LGG372" s="21" t="s">
        <v>2955</v>
      </c>
      <c r="LGH372" s="21" t="s">
        <v>2955</v>
      </c>
      <c r="LGI372" s="21" t="s">
        <v>2955</v>
      </c>
      <c r="LGJ372" s="21" t="s">
        <v>2955</v>
      </c>
      <c r="LGK372" s="21" t="s">
        <v>2955</v>
      </c>
      <c r="LGL372" s="21" t="s">
        <v>2955</v>
      </c>
      <c r="LGM372" s="21" t="s">
        <v>2955</v>
      </c>
      <c r="LGN372" s="21" t="s">
        <v>2955</v>
      </c>
      <c r="LGO372" s="21" t="s">
        <v>2955</v>
      </c>
      <c r="LGP372" s="21" t="s">
        <v>2955</v>
      </c>
      <c r="LGQ372" s="21" t="s">
        <v>2955</v>
      </c>
      <c r="LGR372" s="21" t="s">
        <v>2955</v>
      </c>
      <c r="LGS372" s="21" t="s">
        <v>2955</v>
      </c>
      <c r="LGT372" s="21" t="s">
        <v>2955</v>
      </c>
      <c r="LGU372" s="21" t="s">
        <v>2955</v>
      </c>
      <c r="LGV372" s="21" t="s">
        <v>2955</v>
      </c>
      <c r="LGW372" s="21" t="s">
        <v>2955</v>
      </c>
      <c r="LGX372" s="21" t="s">
        <v>2955</v>
      </c>
      <c r="LGY372" s="21" t="s">
        <v>2955</v>
      </c>
      <c r="LGZ372" s="21" t="s">
        <v>2955</v>
      </c>
      <c r="LHA372" s="21" t="s">
        <v>2955</v>
      </c>
      <c r="LHB372" s="21" t="s">
        <v>2955</v>
      </c>
      <c r="LHC372" s="21" t="s">
        <v>2955</v>
      </c>
      <c r="LHD372" s="21" t="s">
        <v>2955</v>
      </c>
      <c r="LHE372" s="21" t="s">
        <v>2955</v>
      </c>
      <c r="LHF372" s="21" t="s">
        <v>2955</v>
      </c>
      <c r="LHG372" s="21" t="s">
        <v>2955</v>
      </c>
      <c r="LHH372" s="21" t="s">
        <v>2955</v>
      </c>
      <c r="LHI372" s="21" t="s">
        <v>2955</v>
      </c>
      <c r="LHJ372" s="21" t="s">
        <v>2955</v>
      </c>
      <c r="LHK372" s="21" t="s">
        <v>2955</v>
      </c>
      <c r="LHL372" s="21" t="s">
        <v>2955</v>
      </c>
      <c r="LHM372" s="21" t="s">
        <v>2955</v>
      </c>
      <c r="LHN372" s="21" t="s">
        <v>2955</v>
      </c>
      <c r="LHO372" s="21" t="s">
        <v>2955</v>
      </c>
      <c r="LHP372" s="21" t="s">
        <v>2955</v>
      </c>
      <c r="LHQ372" s="21" t="s">
        <v>2955</v>
      </c>
      <c r="LHR372" s="21" t="s">
        <v>2955</v>
      </c>
      <c r="LHS372" s="21" t="s">
        <v>2955</v>
      </c>
      <c r="LHT372" s="21" t="s">
        <v>2955</v>
      </c>
      <c r="LHU372" s="21" t="s">
        <v>2955</v>
      </c>
      <c r="LHV372" s="21" t="s">
        <v>2955</v>
      </c>
      <c r="LHW372" s="21" t="s">
        <v>2955</v>
      </c>
      <c r="LHX372" s="21" t="s">
        <v>2955</v>
      </c>
      <c r="LHY372" s="21" t="s">
        <v>2955</v>
      </c>
      <c r="LHZ372" s="21" t="s">
        <v>2955</v>
      </c>
      <c r="LIA372" s="21" t="s">
        <v>2955</v>
      </c>
      <c r="LIB372" s="21" t="s">
        <v>2955</v>
      </c>
      <c r="LIC372" s="21" t="s">
        <v>2955</v>
      </c>
      <c r="LID372" s="21" t="s">
        <v>2955</v>
      </c>
      <c r="LIE372" s="21" t="s">
        <v>2955</v>
      </c>
      <c r="LIF372" s="21" t="s">
        <v>2955</v>
      </c>
      <c r="LIG372" s="21" t="s">
        <v>2955</v>
      </c>
      <c r="LIH372" s="21" t="s">
        <v>2955</v>
      </c>
      <c r="LII372" s="21" t="s">
        <v>2955</v>
      </c>
      <c r="LIJ372" s="21" t="s">
        <v>2955</v>
      </c>
      <c r="LIK372" s="21" t="s">
        <v>2955</v>
      </c>
      <c r="LIL372" s="21" t="s">
        <v>2955</v>
      </c>
      <c r="LIM372" s="21" t="s">
        <v>2955</v>
      </c>
      <c r="LIN372" s="21" t="s">
        <v>2955</v>
      </c>
      <c r="LIO372" s="21" t="s">
        <v>2955</v>
      </c>
      <c r="LIP372" s="21" t="s">
        <v>2955</v>
      </c>
      <c r="LIQ372" s="21" t="s">
        <v>2955</v>
      </c>
      <c r="LIR372" s="21" t="s">
        <v>2955</v>
      </c>
      <c r="LIS372" s="21" t="s">
        <v>2955</v>
      </c>
      <c r="LIT372" s="21" t="s">
        <v>2955</v>
      </c>
      <c r="LIU372" s="21" t="s">
        <v>2955</v>
      </c>
      <c r="LIV372" s="21" t="s">
        <v>2955</v>
      </c>
      <c r="LIW372" s="21" t="s">
        <v>2955</v>
      </c>
      <c r="LIX372" s="21" t="s">
        <v>2955</v>
      </c>
      <c r="LIY372" s="21" t="s">
        <v>2955</v>
      </c>
      <c r="LIZ372" s="21" t="s">
        <v>2955</v>
      </c>
      <c r="LJA372" s="21" t="s">
        <v>2955</v>
      </c>
      <c r="LJB372" s="21" t="s">
        <v>2955</v>
      </c>
      <c r="LJC372" s="21" t="s">
        <v>2955</v>
      </c>
      <c r="LJD372" s="21" t="s">
        <v>2955</v>
      </c>
      <c r="LJE372" s="21" t="s">
        <v>2955</v>
      </c>
      <c r="LJF372" s="21" t="s">
        <v>2955</v>
      </c>
      <c r="LJG372" s="21" t="s">
        <v>2955</v>
      </c>
      <c r="LJH372" s="21" t="s">
        <v>2955</v>
      </c>
      <c r="LJI372" s="21" t="s">
        <v>2955</v>
      </c>
      <c r="LJJ372" s="21" t="s">
        <v>2955</v>
      </c>
      <c r="LJK372" s="21" t="s">
        <v>2955</v>
      </c>
      <c r="LJL372" s="21" t="s">
        <v>2955</v>
      </c>
      <c r="LJM372" s="21" t="s">
        <v>2955</v>
      </c>
      <c r="LJN372" s="21" t="s">
        <v>2955</v>
      </c>
      <c r="LJO372" s="21" t="s">
        <v>2955</v>
      </c>
      <c r="LJP372" s="21" t="s">
        <v>2955</v>
      </c>
      <c r="LJQ372" s="21" t="s">
        <v>2955</v>
      </c>
      <c r="LJR372" s="21" t="s">
        <v>2955</v>
      </c>
      <c r="LJS372" s="21" t="s">
        <v>2955</v>
      </c>
      <c r="LJT372" s="21" t="s">
        <v>2955</v>
      </c>
      <c r="LJU372" s="21" t="s">
        <v>2955</v>
      </c>
      <c r="LJV372" s="21" t="s">
        <v>2955</v>
      </c>
      <c r="LJW372" s="21" t="s">
        <v>2955</v>
      </c>
      <c r="LJX372" s="21" t="s">
        <v>2955</v>
      </c>
      <c r="LJY372" s="21" t="s">
        <v>2955</v>
      </c>
      <c r="LJZ372" s="21" t="s">
        <v>2955</v>
      </c>
      <c r="LKA372" s="21" t="s">
        <v>2955</v>
      </c>
      <c r="LKB372" s="21" t="s">
        <v>2955</v>
      </c>
      <c r="LKC372" s="21" t="s">
        <v>2955</v>
      </c>
      <c r="LKD372" s="21" t="s">
        <v>2955</v>
      </c>
      <c r="LKE372" s="21" t="s">
        <v>2955</v>
      </c>
      <c r="LKF372" s="21" t="s">
        <v>2955</v>
      </c>
      <c r="LKG372" s="21" t="s">
        <v>2955</v>
      </c>
      <c r="LKH372" s="21" t="s">
        <v>2955</v>
      </c>
      <c r="LKI372" s="21" t="s">
        <v>2955</v>
      </c>
      <c r="LKJ372" s="21" t="s">
        <v>2955</v>
      </c>
      <c r="LKK372" s="21" t="s">
        <v>2955</v>
      </c>
      <c r="LKL372" s="21" t="s">
        <v>2955</v>
      </c>
      <c r="LKM372" s="21" t="s">
        <v>2955</v>
      </c>
      <c r="LKN372" s="21" t="s">
        <v>2955</v>
      </c>
      <c r="LKO372" s="21" t="s">
        <v>2955</v>
      </c>
      <c r="LKP372" s="21" t="s">
        <v>2955</v>
      </c>
      <c r="LKQ372" s="21" t="s">
        <v>2955</v>
      </c>
      <c r="LKR372" s="21" t="s">
        <v>2955</v>
      </c>
      <c r="LKS372" s="21" t="s">
        <v>2955</v>
      </c>
      <c r="LKT372" s="21" t="s">
        <v>2955</v>
      </c>
      <c r="LKU372" s="21" t="s">
        <v>2955</v>
      </c>
      <c r="LKV372" s="21" t="s">
        <v>2955</v>
      </c>
      <c r="LKW372" s="21" t="s">
        <v>2955</v>
      </c>
      <c r="LKX372" s="21" t="s">
        <v>2955</v>
      </c>
      <c r="LKY372" s="21" t="s">
        <v>2955</v>
      </c>
      <c r="LKZ372" s="21" t="s">
        <v>2955</v>
      </c>
      <c r="LLA372" s="21" t="s">
        <v>2955</v>
      </c>
      <c r="LLB372" s="21" t="s">
        <v>2955</v>
      </c>
      <c r="LLC372" s="21" t="s">
        <v>2955</v>
      </c>
      <c r="LLD372" s="21" t="s">
        <v>2955</v>
      </c>
      <c r="LLE372" s="21" t="s">
        <v>2955</v>
      </c>
      <c r="LLF372" s="21" t="s">
        <v>2955</v>
      </c>
      <c r="LLG372" s="21" t="s">
        <v>2955</v>
      </c>
      <c r="LLH372" s="21" t="s">
        <v>2955</v>
      </c>
      <c r="LLI372" s="21" t="s">
        <v>2955</v>
      </c>
      <c r="LLJ372" s="21" t="s">
        <v>2955</v>
      </c>
      <c r="LLK372" s="21" t="s">
        <v>2955</v>
      </c>
      <c r="LLL372" s="21" t="s">
        <v>2955</v>
      </c>
      <c r="LLM372" s="21" t="s">
        <v>2955</v>
      </c>
      <c r="LLN372" s="21" t="s">
        <v>2955</v>
      </c>
      <c r="LLO372" s="21" t="s">
        <v>2955</v>
      </c>
      <c r="LLP372" s="21" t="s">
        <v>2955</v>
      </c>
      <c r="LLQ372" s="21" t="s">
        <v>2955</v>
      </c>
      <c r="LLR372" s="21" t="s">
        <v>2955</v>
      </c>
      <c r="LLS372" s="21" t="s">
        <v>2955</v>
      </c>
      <c r="LLT372" s="21" t="s">
        <v>2955</v>
      </c>
      <c r="LLU372" s="21" t="s">
        <v>2955</v>
      </c>
      <c r="LLV372" s="21" t="s">
        <v>2955</v>
      </c>
      <c r="LLW372" s="21" t="s">
        <v>2955</v>
      </c>
      <c r="LLX372" s="21" t="s">
        <v>2955</v>
      </c>
      <c r="LLY372" s="21" t="s">
        <v>2955</v>
      </c>
      <c r="LLZ372" s="21" t="s">
        <v>2955</v>
      </c>
      <c r="LMA372" s="21" t="s">
        <v>2955</v>
      </c>
      <c r="LMB372" s="21" t="s">
        <v>2955</v>
      </c>
      <c r="LMC372" s="21" t="s">
        <v>2955</v>
      </c>
      <c r="LMD372" s="21" t="s">
        <v>2955</v>
      </c>
      <c r="LME372" s="21" t="s">
        <v>2955</v>
      </c>
      <c r="LMF372" s="21" t="s">
        <v>2955</v>
      </c>
      <c r="LMG372" s="21" t="s">
        <v>2955</v>
      </c>
      <c r="LMH372" s="21" t="s">
        <v>2955</v>
      </c>
      <c r="LMI372" s="21" t="s">
        <v>2955</v>
      </c>
      <c r="LMJ372" s="21" t="s">
        <v>2955</v>
      </c>
      <c r="LMK372" s="21" t="s">
        <v>2955</v>
      </c>
      <c r="LML372" s="21" t="s">
        <v>2955</v>
      </c>
      <c r="LMM372" s="21" t="s">
        <v>2955</v>
      </c>
      <c r="LMN372" s="21" t="s">
        <v>2955</v>
      </c>
      <c r="LMO372" s="21" t="s">
        <v>2955</v>
      </c>
      <c r="LMP372" s="21" t="s">
        <v>2955</v>
      </c>
      <c r="LMQ372" s="21" t="s">
        <v>2955</v>
      </c>
      <c r="LMR372" s="21" t="s">
        <v>2955</v>
      </c>
      <c r="LMS372" s="21" t="s">
        <v>2955</v>
      </c>
      <c r="LMT372" s="21" t="s">
        <v>2955</v>
      </c>
      <c r="LMU372" s="21" t="s">
        <v>2955</v>
      </c>
      <c r="LMV372" s="21" t="s">
        <v>2955</v>
      </c>
      <c r="LMW372" s="21" t="s">
        <v>2955</v>
      </c>
      <c r="LMX372" s="21" t="s">
        <v>2955</v>
      </c>
      <c r="LMY372" s="21" t="s">
        <v>2955</v>
      </c>
      <c r="LMZ372" s="21" t="s">
        <v>2955</v>
      </c>
      <c r="LNA372" s="21" t="s">
        <v>2955</v>
      </c>
      <c r="LNB372" s="21" t="s">
        <v>2955</v>
      </c>
      <c r="LNC372" s="21" t="s">
        <v>2955</v>
      </c>
      <c r="LND372" s="21" t="s">
        <v>2955</v>
      </c>
      <c r="LNE372" s="21" t="s">
        <v>2955</v>
      </c>
      <c r="LNF372" s="21" t="s">
        <v>2955</v>
      </c>
      <c r="LNG372" s="21" t="s">
        <v>2955</v>
      </c>
      <c r="LNH372" s="21" t="s">
        <v>2955</v>
      </c>
      <c r="LNI372" s="21" t="s">
        <v>2955</v>
      </c>
      <c r="LNJ372" s="21" t="s">
        <v>2955</v>
      </c>
      <c r="LNK372" s="21" t="s">
        <v>2955</v>
      </c>
      <c r="LNL372" s="21" t="s">
        <v>2955</v>
      </c>
      <c r="LNM372" s="21" t="s">
        <v>2955</v>
      </c>
      <c r="LNN372" s="21" t="s">
        <v>2955</v>
      </c>
      <c r="LNO372" s="21" t="s">
        <v>2955</v>
      </c>
      <c r="LNP372" s="21" t="s">
        <v>2955</v>
      </c>
      <c r="LNQ372" s="21" t="s">
        <v>2955</v>
      </c>
      <c r="LNR372" s="21" t="s">
        <v>2955</v>
      </c>
      <c r="LNS372" s="21" t="s">
        <v>2955</v>
      </c>
      <c r="LNT372" s="21" t="s">
        <v>2955</v>
      </c>
      <c r="LNU372" s="21" t="s">
        <v>2955</v>
      </c>
      <c r="LNV372" s="21" t="s">
        <v>2955</v>
      </c>
      <c r="LNW372" s="21" t="s">
        <v>2955</v>
      </c>
      <c r="LNX372" s="21" t="s">
        <v>2955</v>
      </c>
      <c r="LNY372" s="21" t="s">
        <v>2955</v>
      </c>
      <c r="LNZ372" s="21" t="s">
        <v>2955</v>
      </c>
      <c r="LOA372" s="21" t="s">
        <v>2955</v>
      </c>
      <c r="LOB372" s="21" t="s">
        <v>2955</v>
      </c>
      <c r="LOC372" s="21" t="s">
        <v>2955</v>
      </c>
      <c r="LOD372" s="21" t="s">
        <v>2955</v>
      </c>
      <c r="LOE372" s="21" t="s">
        <v>2955</v>
      </c>
      <c r="LOF372" s="21" t="s">
        <v>2955</v>
      </c>
      <c r="LOG372" s="21" t="s">
        <v>2955</v>
      </c>
      <c r="LOH372" s="21" t="s">
        <v>2955</v>
      </c>
      <c r="LOI372" s="21" t="s">
        <v>2955</v>
      </c>
      <c r="LOJ372" s="21" t="s">
        <v>2955</v>
      </c>
      <c r="LOK372" s="21" t="s">
        <v>2955</v>
      </c>
      <c r="LOL372" s="21" t="s">
        <v>2955</v>
      </c>
      <c r="LOM372" s="21" t="s">
        <v>2955</v>
      </c>
      <c r="LON372" s="21" t="s">
        <v>2955</v>
      </c>
      <c r="LOO372" s="21" t="s">
        <v>2955</v>
      </c>
      <c r="LOP372" s="21" t="s">
        <v>2955</v>
      </c>
      <c r="LOQ372" s="21" t="s">
        <v>2955</v>
      </c>
      <c r="LOR372" s="21" t="s">
        <v>2955</v>
      </c>
      <c r="LOS372" s="21" t="s">
        <v>2955</v>
      </c>
      <c r="LOT372" s="21" t="s">
        <v>2955</v>
      </c>
      <c r="LOU372" s="21" t="s">
        <v>2955</v>
      </c>
      <c r="LOV372" s="21" t="s">
        <v>2955</v>
      </c>
      <c r="LOW372" s="21" t="s">
        <v>2955</v>
      </c>
      <c r="LOX372" s="21" t="s">
        <v>2955</v>
      </c>
      <c r="LOY372" s="21" t="s">
        <v>2955</v>
      </c>
      <c r="LOZ372" s="21" t="s">
        <v>2955</v>
      </c>
      <c r="LPA372" s="21" t="s">
        <v>2955</v>
      </c>
      <c r="LPB372" s="21" t="s">
        <v>2955</v>
      </c>
      <c r="LPC372" s="21" t="s">
        <v>2955</v>
      </c>
      <c r="LPD372" s="21" t="s">
        <v>2955</v>
      </c>
      <c r="LPE372" s="21" t="s">
        <v>2955</v>
      </c>
      <c r="LPF372" s="21" t="s">
        <v>2955</v>
      </c>
      <c r="LPG372" s="21" t="s">
        <v>2955</v>
      </c>
      <c r="LPH372" s="21" t="s">
        <v>2955</v>
      </c>
      <c r="LPI372" s="21" t="s">
        <v>2955</v>
      </c>
      <c r="LPJ372" s="21" t="s">
        <v>2955</v>
      </c>
      <c r="LPK372" s="21" t="s">
        <v>2955</v>
      </c>
      <c r="LPL372" s="21" t="s">
        <v>2955</v>
      </c>
      <c r="LPM372" s="21" t="s">
        <v>2955</v>
      </c>
      <c r="LPN372" s="21" t="s">
        <v>2955</v>
      </c>
      <c r="LPO372" s="21" t="s">
        <v>2955</v>
      </c>
      <c r="LPP372" s="21" t="s">
        <v>2955</v>
      </c>
      <c r="LPQ372" s="21" t="s">
        <v>2955</v>
      </c>
      <c r="LPR372" s="21" t="s">
        <v>2955</v>
      </c>
      <c r="LPS372" s="21" t="s">
        <v>2955</v>
      </c>
      <c r="LPT372" s="21" t="s">
        <v>2955</v>
      </c>
      <c r="LPU372" s="21" t="s">
        <v>2955</v>
      </c>
      <c r="LPV372" s="21" t="s">
        <v>2955</v>
      </c>
      <c r="LPW372" s="21" t="s">
        <v>2955</v>
      </c>
      <c r="LPX372" s="21" t="s">
        <v>2955</v>
      </c>
      <c r="LPY372" s="21" t="s">
        <v>2955</v>
      </c>
      <c r="LPZ372" s="21" t="s">
        <v>2955</v>
      </c>
      <c r="LQA372" s="21" t="s">
        <v>2955</v>
      </c>
      <c r="LQB372" s="21" t="s">
        <v>2955</v>
      </c>
      <c r="LQC372" s="21" t="s">
        <v>2955</v>
      </c>
      <c r="LQD372" s="21" t="s">
        <v>2955</v>
      </c>
      <c r="LQE372" s="21" t="s">
        <v>2955</v>
      </c>
      <c r="LQF372" s="21" t="s">
        <v>2955</v>
      </c>
      <c r="LQG372" s="21" t="s">
        <v>2955</v>
      </c>
      <c r="LQH372" s="21" t="s">
        <v>2955</v>
      </c>
      <c r="LQI372" s="21" t="s">
        <v>2955</v>
      </c>
      <c r="LQJ372" s="21" t="s">
        <v>2955</v>
      </c>
      <c r="LQK372" s="21" t="s">
        <v>2955</v>
      </c>
      <c r="LQL372" s="21" t="s">
        <v>2955</v>
      </c>
      <c r="LQM372" s="21" t="s">
        <v>2955</v>
      </c>
      <c r="LQN372" s="21" t="s">
        <v>2955</v>
      </c>
      <c r="LQO372" s="21" t="s">
        <v>2955</v>
      </c>
      <c r="LQP372" s="21" t="s">
        <v>2955</v>
      </c>
      <c r="LQQ372" s="21" t="s">
        <v>2955</v>
      </c>
      <c r="LQR372" s="21" t="s">
        <v>2955</v>
      </c>
      <c r="LQS372" s="21" t="s">
        <v>2955</v>
      </c>
      <c r="LQT372" s="21" t="s">
        <v>2955</v>
      </c>
      <c r="LQU372" s="21" t="s">
        <v>2955</v>
      </c>
      <c r="LQV372" s="21" t="s">
        <v>2955</v>
      </c>
      <c r="LQW372" s="21" t="s">
        <v>2955</v>
      </c>
      <c r="LQX372" s="21" t="s">
        <v>2955</v>
      </c>
      <c r="LQY372" s="21" t="s">
        <v>2955</v>
      </c>
      <c r="LQZ372" s="21" t="s">
        <v>2955</v>
      </c>
      <c r="LRA372" s="21" t="s">
        <v>2955</v>
      </c>
      <c r="LRB372" s="21" t="s">
        <v>2955</v>
      </c>
      <c r="LRC372" s="21" t="s">
        <v>2955</v>
      </c>
      <c r="LRD372" s="21" t="s">
        <v>2955</v>
      </c>
      <c r="LRE372" s="21" t="s">
        <v>2955</v>
      </c>
      <c r="LRF372" s="21" t="s">
        <v>2955</v>
      </c>
      <c r="LRG372" s="21" t="s">
        <v>2955</v>
      </c>
      <c r="LRH372" s="21" t="s">
        <v>2955</v>
      </c>
      <c r="LRI372" s="21" t="s">
        <v>2955</v>
      </c>
      <c r="LRJ372" s="21" t="s">
        <v>2955</v>
      </c>
      <c r="LRK372" s="21" t="s">
        <v>2955</v>
      </c>
      <c r="LRL372" s="21" t="s">
        <v>2955</v>
      </c>
      <c r="LRM372" s="21" t="s">
        <v>2955</v>
      </c>
      <c r="LRN372" s="21" t="s">
        <v>2955</v>
      </c>
      <c r="LRO372" s="21" t="s">
        <v>2955</v>
      </c>
      <c r="LRP372" s="21" t="s">
        <v>2955</v>
      </c>
      <c r="LRQ372" s="21" t="s">
        <v>2955</v>
      </c>
      <c r="LRR372" s="21" t="s">
        <v>2955</v>
      </c>
      <c r="LRS372" s="21" t="s">
        <v>2955</v>
      </c>
      <c r="LRT372" s="21" t="s">
        <v>2955</v>
      </c>
      <c r="LRU372" s="21" t="s">
        <v>2955</v>
      </c>
      <c r="LRV372" s="21" t="s">
        <v>2955</v>
      </c>
      <c r="LRW372" s="21" t="s">
        <v>2955</v>
      </c>
      <c r="LRX372" s="21" t="s">
        <v>2955</v>
      </c>
      <c r="LRY372" s="21" t="s">
        <v>2955</v>
      </c>
      <c r="LRZ372" s="21" t="s">
        <v>2955</v>
      </c>
      <c r="LSA372" s="21" t="s">
        <v>2955</v>
      </c>
      <c r="LSB372" s="21" t="s">
        <v>2955</v>
      </c>
      <c r="LSC372" s="21" t="s">
        <v>2955</v>
      </c>
      <c r="LSD372" s="21" t="s">
        <v>2955</v>
      </c>
      <c r="LSE372" s="21" t="s">
        <v>2955</v>
      </c>
      <c r="LSF372" s="21" t="s">
        <v>2955</v>
      </c>
      <c r="LSG372" s="21" t="s">
        <v>2955</v>
      </c>
      <c r="LSH372" s="21" t="s">
        <v>2955</v>
      </c>
      <c r="LSI372" s="21" t="s">
        <v>2955</v>
      </c>
      <c r="LSJ372" s="21" t="s">
        <v>2955</v>
      </c>
      <c r="LSK372" s="21" t="s">
        <v>2955</v>
      </c>
      <c r="LSL372" s="21" t="s">
        <v>2955</v>
      </c>
      <c r="LSM372" s="21" t="s">
        <v>2955</v>
      </c>
      <c r="LSN372" s="21" t="s">
        <v>2955</v>
      </c>
      <c r="LSO372" s="21" t="s">
        <v>2955</v>
      </c>
      <c r="LSP372" s="21" t="s">
        <v>2955</v>
      </c>
      <c r="LSQ372" s="21" t="s">
        <v>2955</v>
      </c>
      <c r="LSR372" s="21" t="s">
        <v>2955</v>
      </c>
      <c r="LSS372" s="21" t="s">
        <v>2955</v>
      </c>
      <c r="LST372" s="21" t="s">
        <v>2955</v>
      </c>
      <c r="LSU372" s="21" t="s">
        <v>2955</v>
      </c>
      <c r="LSV372" s="21" t="s">
        <v>2955</v>
      </c>
      <c r="LSW372" s="21" t="s">
        <v>2955</v>
      </c>
      <c r="LSX372" s="21" t="s">
        <v>2955</v>
      </c>
      <c r="LSY372" s="21" t="s">
        <v>2955</v>
      </c>
      <c r="LSZ372" s="21" t="s">
        <v>2955</v>
      </c>
      <c r="LTA372" s="21" t="s">
        <v>2955</v>
      </c>
      <c r="LTB372" s="21" t="s">
        <v>2955</v>
      </c>
      <c r="LTC372" s="21" t="s">
        <v>2955</v>
      </c>
      <c r="LTD372" s="21" t="s">
        <v>2955</v>
      </c>
      <c r="LTE372" s="21" t="s">
        <v>2955</v>
      </c>
      <c r="LTF372" s="21" t="s">
        <v>2955</v>
      </c>
      <c r="LTG372" s="21" t="s">
        <v>2955</v>
      </c>
      <c r="LTH372" s="21" t="s">
        <v>2955</v>
      </c>
      <c r="LTI372" s="21" t="s">
        <v>2955</v>
      </c>
      <c r="LTJ372" s="21" t="s">
        <v>2955</v>
      </c>
      <c r="LTK372" s="21" t="s">
        <v>2955</v>
      </c>
      <c r="LTL372" s="21" t="s">
        <v>2955</v>
      </c>
      <c r="LTM372" s="21" t="s">
        <v>2955</v>
      </c>
      <c r="LTN372" s="21" t="s">
        <v>2955</v>
      </c>
      <c r="LTO372" s="21" t="s">
        <v>2955</v>
      </c>
      <c r="LTP372" s="21" t="s">
        <v>2955</v>
      </c>
      <c r="LTQ372" s="21" t="s">
        <v>2955</v>
      </c>
      <c r="LTR372" s="21" t="s">
        <v>2955</v>
      </c>
      <c r="LTS372" s="21" t="s">
        <v>2955</v>
      </c>
      <c r="LTT372" s="21" t="s">
        <v>2955</v>
      </c>
      <c r="LTU372" s="21" t="s">
        <v>2955</v>
      </c>
      <c r="LTV372" s="21" t="s">
        <v>2955</v>
      </c>
      <c r="LTW372" s="21" t="s">
        <v>2955</v>
      </c>
      <c r="LTX372" s="21" t="s">
        <v>2955</v>
      </c>
      <c r="LTY372" s="21" t="s">
        <v>2955</v>
      </c>
      <c r="LTZ372" s="21" t="s">
        <v>2955</v>
      </c>
      <c r="LUA372" s="21" t="s">
        <v>2955</v>
      </c>
      <c r="LUB372" s="21" t="s">
        <v>2955</v>
      </c>
      <c r="LUC372" s="21" t="s">
        <v>2955</v>
      </c>
      <c r="LUD372" s="21" t="s">
        <v>2955</v>
      </c>
      <c r="LUE372" s="21" t="s">
        <v>2955</v>
      </c>
      <c r="LUF372" s="21" t="s">
        <v>2955</v>
      </c>
      <c r="LUG372" s="21" t="s">
        <v>2955</v>
      </c>
      <c r="LUH372" s="21" t="s">
        <v>2955</v>
      </c>
      <c r="LUI372" s="21" t="s">
        <v>2955</v>
      </c>
      <c r="LUJ372" s="21" t="s">
        <v>2955</v>
      </c>
      <c r="LUK372" s="21" t="s">
        <v>2955</v>
      </c>
      <c r="LUL372" s="21" t="s">
        <v>2955</v>
      </c>
      <c r="LUM372" s="21" t="s">
        <v>2955</v>
      </c>
      <c r="LUN372" s="21" t="s">
        <v>2955</v>
      </c>
      <c r="LUO372" s="21" t="s">
        <v>2955</v>
      </c>
      <c r="LUP372" s="21" t="s">
        <v>2955</v>
      </c>
      <c r="LUQ372" s="21" t="s">
        <v>2955</v>
      </c>
      <c r="LUR372" s="21" t="s">
        <v>2955</v>
      </c>
      <c r="LUS372" s="21" t="s">
        <v>2955</v>
      </c>
      <c r="LUT372" s="21" t="s">
        <v>2955</v>
      </c>
      <c r="LUU372" s="21" t="s">
        <v>2955</v>
      </c>
      <c r="LUV372" s="21" t="s">
        <v>2955</v>
      </c>
      <c r="LUW372" s="21" t="s">
        <v>2955</v>
      </c>
      <c r="LUX372" s="21" t="s">
        <v>2955</v>
      </c>
      <c r="LUY372" s="21" t="s">
        <v>2955</v>
      </c>
      <c r="LUZ372" s="21" t="s">
        <v>2955</v>
      </c>
      <c r="LVA372" s="21" t="s">
        <v>2955</v>
      </c>
      <c r="LVB372" s="21" t="s">
        <v>2955</v>
      </c>
      <c r="LVC372" s="21" t="s">
        <v>2955</v>
      </c>
      <c r="LVD372" s="21" t="s">
        <v>2955</v>
      </c>
      <c r="LVE372" s="21" t="s">
        <v>2955</v>
      </c>
      <c r="LVF372" s="21" t="s">
        <v>2955</v>
      </c>
      <c r="LVG372" s="21" t="s">
        <v>2955</v>
      </c>
      <c r="LVH372" s="21" t="s">
        <v>2955</v>
      </c>
      <c r="LVI372" s="21" t="s">
        <v>2955</v>
      </c>
      <c r="LVJ372" s="21" t="s">
        <v>2955</v>
      </c>
      <c r="LVK372" s="21" t="s">
        <v>2955</v>
      </c>
      <c r="LVL372" s="21" t="s">
        <v>2955</v>
      </c>
      <c r="LVM372" s="21" t="s">
        <v>2955</v>
      </c>
      <c r="LVN372" s="21" t="s">
        <v>2955</v>
      </c>
      <c r="LVO372" s="21" t="s">
        <v>2955</v>
      </c>
      <c r="LVP372" s="21" t="s">
        <v>2955</v>
      </c>
      <c r="LVQ372" s="21" t="s">
        <v>2955</v>
      </c>
      <c r="LVR372" s="21" t="s">
        <v>2955</v>
      </c>
      <c r="LVS372" s="21" t="s">
        <v>2955</v>
      </c>
      <c r="LVT372" s="21" t="s">
        <v>2955</v>
      </c>
      <c r="LVU372" s="21" t="s">
        <v>2955</v>
      </c>
      <c r="LVV372" s="21" t="s">
        <v>2955</v>
      </c>
      <c r="LVW372" s="21" t="s">
        <v>2955</v>
      </c>
      <c r="LVX372" s="21" t="s">
        <v>2955</v>
      </c>
      <c r="LVY372" s="21" t="s">
        <v>2955</v>
      </c>
      <c r="LVZ372" s="21" t="s">
        <v>2955</v>
      </c>
      <c r="LWA372" s="21" t="s">
        <v>2955</v>
      </c>
      <c r="LWB372" s="21" t="s">
        <v>2955</v>
      </c>
      <c r="LWC372" s="21" t="s">
        <v>2955</v>
      </c>
      <c r="LWD372" s="21" t="s">
        <v>2955</v>
      </c>
      <c r="LWE372" s="21" t="s">
        <v>2955</v>
      </c>
      <c r="LWF372" s="21" t="s">
        <v>2955</v>
      </c>
      <c r="LWG372" s="21" t="s">
        <v>2955</v>
      </c>
      <c r="LWH372" s="21" t="s">
        <v>2955</v>
      </c>
      <c r="LWI372" s="21" t="s">
        <v>2955</v>
      </c>
      <c r="LWJ372" s="21" t="s">
        <v>2955</v>
      </c>
      <c r="LWK372" s="21" t="s">
        <v>2955</v>
      </c>
      <c r="LWL372" s="21" t="s">
        <v>2955</v>
      </c>
      <c r="LWM372" s="21" t="s">
        <v>2955</v>
      </c>
      <c r="LWN372" s="21" t="s">
        <v>2955</v>
      </c>
      <c r="LWO372" s="21" t="s">
        <v>2955</v>
      </c>
      <c r="LWP372" s="21" t="s">
        <v>2955</v>
      </c>
      <c r="LWQ372" s="21" t="s">
        <v>2955</v>
      </c>
      <c r="LWR372" s="21" t="s">
        <v>2955</v>
      </c>
      <c r="LWS372" s="21" t="s">
        <v>2955</v>
      </c>
      <c r="LWT372" s="21" t="s">
        <v>2955</v>
      </c>
      <c r="LWU372" s="21" t="s">
        <v>2955</v>
      </c>
      <c r="LWV372" s="21" t="s">
        <v>2955</v>
      </c>
      <c r="LWW372" s="21" t="s">
        <v>2955</v>
      </c>
      <c r="LWX372" s="21" t="s">
        <v>2955</v>
      </c>
      <c r="LWY372" s="21" t="s">
        <v>2955</v>
      </c>
      <c r="LWZ372" s="21" t="s">
        <v>2955</v>
      </c>
      <c r="LXA372" s="21" t="s">
        <v>2955</v>
      </c>
      <c r="LXB372" s="21" t="s">
        <v>2955</v>
      </c>
      <c r="LXC372" s="21" t="s">
        <v>2955</v>
      </c>
      <c r="LXD372" s="21" t="s">
        <v>2955</v>
      </c>
      <c r="LXE372" s="21" t="s">
        <v>2955</v>
      </c>
      <c r="LXF372" s="21" t="s">
        <v>2955</v>
      </c>
      <c r="LXG372" s="21" t="s">
        <v>2955</v>
      </c>
      <c r="LXH372" s="21" t="s">
        <v>2955</v>
      </c>
      <c r="LXI372" s="21" t="s">
        <v>2955</v>
      </c>
      <c r="LXJ372" s="21" t="s">
        <v>2955</v>
      </c>
      <c r="LXK372" s="21" t="s">
        <v>2955</v>
      </c>
      <c r="LXL372" s="21" t="s">
        <v>2955</v>
      </c>
      <c r="LXM372" s="21" t="s">
        <v>2955</v>
      </c>
      <c r="LXN372" s="21" t="s">
        <v>2955</v>
      </c>
      <c r="LXO372" s="21" t="s">
        <v>2955</v>
      </c>
      <c r="LXP372" s="21" t="s">
        <v>2955</v>
      </c>
      <c r="LXQ372" s="21" t="s">
        <v>2955</v>
      </c>
      <c r="LXR372" s="21" t="s">
        <v>2955</v>
      </c>
      <c r="LXS372" s="21" t="s">
        <v>2955</v>
      </c>
      <c r="LXT372" s="21" t="s">
        <v>2955</v>
      </c>
      <c r="LXU372" s="21" t="s">
        <v>2955</v>
      </c>
      <c r="LXV372" s="21" t="s">
        <v>2955</v>
      </c>
      <c r="LXW372" s="21" t="s">
        <v>2955</v>
      </c>
      <c r="LXX372" s="21" t="s">
        <v>2955</v>
      </c>
      <c r="LXY372" s="21" t="s">
        <v>2955</v>
      </c>
      <c r="LXZ372" s="21" t="s">
        <v>2955</v>
      </c>
      <c r="LYA372" s="21" t="s">
        <v>2955</v>
      </c>
      <c r="LYB372" s="21" t="s">
        <v>2955</v>
      </c>
      <c r="LYC372" s="21" t="s">
        <v>2955</v>
      </c>
      <c r="LYD372" s="21" t="s">
        <v>2955</v>
      </c>
      <c r="LYE372" s="21" t="s">
        <v>2955</v>
      </c>
      <c r="LYF372" s="21" t="s">
        <v>2955</v>
      </c>
      <c r="LYG372" s="21" t="s">
        <v>2955</v>
      </c>
      <c r="LYH372" s="21" t="s">
        <v>2955</v>
      </c>
      <c r="LYI372" s="21" t="s">
        <v>2955</v>
      </c>
      <c r="LYJ372" s="21" t="s">
        <v>2955</v>
      </c>
      <c r="LYK372" s="21" t="s">
        <v>2955</v>
      </c>
      <c r="LYL372" s="21" t="s">
        <v>2955</v>
      </c>
      <c r="LYM372" s="21" t="s">
        <v>2955</v>
      </c>
      <c r="LYN372" s="21" t="s">
        <v>2955</v>
      </c>
      <c r="LYO372" s="21" t="s">
        <v>2955</v>
      </c>
      <c r="LYP372" s="21" t="s">
        <v>2955</v>
      </c>
      <c r="LYQ372" s="21" t="s">
        <v>2955</v>
      </c>
      <c r="LYR372" s="21" t="s">
        <v>2955</v>
      </c>
      <c r="LYS372" s="21" t="s">
        <v>2955</v>
      </c>
      <c r="LYT372" s="21" t="s">
        <v>2955</v>
      </c>
      <c r="LYU372" s="21" t="s">
        <v>2955</v>
      </c>
      <c r="LYV372" s="21" t="s">
        <v>2955</v>
      </c>
      <c r="LYW372" s="21" t="s">
        <v>2955</v>
      </c>
      <c r="LYX372" s="21" t="s">
        <v>2955</v>
      </c>
      <c r="LYY372" s="21" t="s">
        <v>2955</v>
      </c>
      <c r="LYZ372" s="21" t="s">
        <v>2955</v>
      </c>
      <c r="LZA372" s="21" t="s">
        <v>2955</v>
      </c>
      <c r="LZB372" s="21" t="s">
        <v>2955</v>
      </c>
      <c r="LZC372" s="21" t="s">
        <v>2955</v>
      </c>
      <c r="LZD372" s="21" t="s">
        <v>2955</v>
      </c>
      <c r="LZE372" s="21" t="s">
        <v>2955</v>
      </c>
      <c r="LZF372" s="21" t="s">
        <v>2955</v>
      </c>
      <c r="LZG372" s="21" t="s">
        <v>2955</v>
      </c>
      <c r="LZH372" s="21" t="s">
        <v>2955</v>
      </c>
      <c r="LZI372" s="21" t="s">
        <v>2955</v>
      </c>
      <c r="LZJ372" s="21" t="s">
        <v>2955</v>
      </c>
      <c r="LZK372" s="21" t="s">
        <v>2955</v>
      </c>
      <c r="LZL372" s="21" t="s">
        <v>2955</v>
      </c>
      <c r="LZM372" s="21" t="s">
        <v>2955</v>
      </c>
      <c r="LZN372" s="21" t="s">
        <v>2955</v>
      </c>
      <c r="LZO372" s="21" t="s">
        <v>2955</v>
      </c>
      <c r="LZP372" s="21" t="s">
        <v>2955</v>
      </c>
      <c r="LZQ372" s="21" t="s">
        <v>2955</v>
      </c>
      <c r="LZR372" s="21" t="s">
        <v>2955</v>
      </c>
      <c r="LZS372" s="21" t="s">
        <v>2955</v>
      </c>
      <c r="LZT372" s="21" t="s">
        <v>2955</v>
      </c>
      <c r="LZU372" s="21" t="s">
        <v>2955</v>
      </c>
      <c r="LZV372" s="21" t="s">
        <v>2955</v>
      </c>
      <c r="LZW372" s="21" t="s">
        <v>2955</v>
      </c>
      <c r="LZX372" s="21" t="s">
        <v>2955</v>
      </c>
      <c r="LZY372" s="21" t="s">
        <v>2955</v>
      </c>
      <c r="LZZ372" s="21" t="s">
        <v>2955</v>
      </c>
      <c r="MAA372" s="21" t="s">
        <v>2955</v>
      </c>
      <c r="MAB372" s="21" t="s">
        <v>2955</v>
      </c>
      <c r="MAC372" s="21" t="s">
        <v>2955</v>
      </c>
      <c r="MAD372" s="21" t="s">
        <v>2955</v>
      </c>
      <c r="MAE372" s="21" t="s">
        <v>2955</v>
      </c>
      <c r="MAF372" s="21" t="s">
        <v>2955</v>
      </c>
      <c r="MAG372" s="21" t="s">
        <v>2955</v>
      </c>
      <c r="MAH372" s="21" t="s">
        <v>2955</v>
      </c>
      <c r="MAI372" s="21" t="s">
        <v>2955</v>
      </c>
      <c r="MAJ372" s="21" t="s">
        <v>2955</v>
      </c>
      <c r="MAK372" s="21" t="s">
        <v>2955</v>
      </c>
      <c r="MAL372" s="21" t="s">
        <v>2955</v>
      </c>
      <c r="MAM372" s="21" t="s">
        <v>2955</v>
      </c>
      <c r="MAN372" s="21" t="s">
        <v>2955</v>
      </c>
      <c r="MAO372" s="21" t="s">
        <v>2955</v>
      </c>
      <c r="MAP372" s="21" t="s">
        <v>2955</v>
      </c>
      <c r="MAQ372" s="21" t="s">
        <v>2955</v>
      </c>
      <c r="MAR372" s="21" t="s">
        <v>2955</v>
      </c>
      <c r="MAS372" s="21" t="s">
        <v>2955</v>
      </c>
      <c r="MAT372" s="21" t="s">
        <v>2955</v>
      </c>
      <c r="MAU372" s="21" t="s">
        <v>2955</v>
      </c>
      <c r="MAV372" s="21" t="s">
        <v>2955</v>
      </c>
      <c r="MAW372" s="21" t="s">
        <v>2955</v>
      </c>
      <c r="MAX372" s="21" t="s">
        <v>2955</v>
      </c>
      <c r="MAY372" s="21" t="s">
        <v>2955</v>
      </c>
      <c r="MAZ372" s="21" t="s">
        <v>2955</v>
      </c>
      <c r="MBA372" s="21" t="s">
        <v>2955</v>
      </c>
      <c r="MBB372" s="21" t="s">
        <v>2955</v>
      </c>
      <c r="MBC372" s="21" t="s">
        <v>2955</v>
      </c>
      <c r="MBD372" s="21" t="s">
        <v>2955</v>
      </c>
      <c r="MBE372" s="21" t="s">
        <v>2955</v>
      </c>
      <c r="MBF372" s="21" t="s">
        <v>2955</v>
      </c>
      <c r="MBG372" s="21" t="s">
        <v>2955</v>
      </c>
      <c r="MBH372" s="21" t="s">
        <v>2955</v>
      </c>
      <c r="MBI372" s="21" t="s">
        <v>2955</v>
      </c>
      <c r="MBJ372" s="21" t="s">
        <v>2955</v>
      </c>
      <c r="MBK372" s="21" t="s">
        <v>2955</v>
      </c>
      <c r="MBL372" s="21" t="s">
        <v>2955</v>
      </c>
      <c r="MBM372" s="21" t="s">
        <v>2955</v>
      </c>
      <c r="MBN372" s="21" t="s">
        <v>2955</v>
      </c>
      <c r="MBO372" s="21" t="s">
        <v>2955</v>
      </c>
      <c r="MBP372" s="21" t="s">
        <v>2955</v>
      </c>
      <c r="MBQ372" s="21" t="s">
        <v>2955</v>
      </c>
      <c r="MBR372" s="21" t="s">
        <v>2955</v>
      </c>
      <c r="MBS372" s="21" t="s">
        <v>2955</v>
      </c>
      <c r="MBT372" s="21" t="s">
        <v>2955</v>
      </c>
      <c r="MBU372" s="21" t="s">
        <v>2955</v>
      </c>
      <c r="MBV372" s="21" t="s">
        <v>2955</v>
      </c>
      <c r="MBW372" s="21" t="s">
        <v>2955</v>
      </c>
      <c r="MBX372" s="21" t="s">
        <v>2955</v>
      </c>
      <c r="MBY372" s="21" t="s">
        <v>2955</v>
      </c>
      <c r="MBZ372" s="21" t="s">
        <v>2955</v>
      </c>
      <c r="MCA372" s="21" t="s">
        <v>2955</v>
      </c>
      <c r="MCB372" s="21" t="s">
        <v>2955</v>
      </c>
      <c r="MCC372" s="21" t="s">
        <v>2955</v>
      </c>
      <c r="MCD372" s="21" t="s">
        <v>2955</v>
      </c>
      <c r="MCE372" s="21" t="s">
        <v>2955</v>
      </c>
      <c r="MCF372" s="21" t="s">
        <v>2955</v>
      </c>
      <c r="MCG372" s="21" t="s">
        <v>2955</v>
      </c>
      <c r="MCH372" s="21" t="s">
        <v>2955</v>
      </c>
      <c r="MCI372" s="21" t="s">
        <v>2955</v>
      </c>
      <c r="MCJ372" s="21" t="s">
        <v>2955</v>
      </c>
      <c r="MCK372" s="21" t="s">
        <v>2955</v>
      </c>
      <c r="MCL372" s="21" t="s">
        <v>2955</v>
      </c>
      <c r="MCM372" s="21" t="s">
        <v>2955</v>
      </c>
      <c r="MCN372" s="21" t="s">
        <v>2955</v>
      </c>
      <c r="MCO372" s="21" t="s">
        <v>2955</v>
      </c>
      <c r="MCP372" s="21" t="s">
        <v>2955</v>
      </c>
      <c r="MCQ372" s="21" t="s">
        <v>2955</v>
      </c>
      <c r="MCR372" s="21" t="s">
        <v>2955</v>
      </c>
      <c r="MCS372" s="21" t="s">
        <v>2955</v>
      </c>
      <c r="MCT372" s="21" t="s">
        <v>2955</v>
      </c>
      <c r="MCU372" s="21" t="s">
        <v>2955</v>
      </c>
      <c r="MCV372" s="21" t="s">
        <v>2955</v>
      </c>
      <c r="MCW372" s="21" t="s">
        <v>2955</v>
      </c>
      <c r="MCX372" s="21" t="s">
        <v>2955</v>
      </c>
      <c r="MCY372" s="21" t="s">
        <v>2955</v>
      </c>
      <c r="MCZ372" s="21" t="s">
        <v>2955</v>
      </c>
      <c r="MDA372" s="21" t="s">
        <v>2955</v>
      </c>
      <c r="MDB372" s="21" t="s">
        <v>2955</v>
      </c>
      <c r="MDC372" s="21" t="s">
        <v>2955</v>
      </c>
      <c r="MDD372" s="21" t="s">
        <v>2955</v>
      </c>
      <c r="MDE372" s="21" t="s">
        <v>2955</v>
      </c>
      <c r="MDF372" s="21" t="s">
        <v>2955</v>
      </c>
      <c r="MDG372" s="21" t="s">
        <v>2955</v>
      </c>
      <c r="MDH372" s="21" t="s">
        <v>2955</v>
      </c>
      <c r="MDI372" s="21" t="s">
        <v>2955</v>
      </c>
      <c r="MDJ372" s="21" t="s">
        <v>2955</v>
      </c>
      <c r="MDK372" s="21" t="s">
        <v>2955</v>
      </c>
      <c r="MDL372" s="21" t="s">
        <v>2955</v>
      </c>
      <c r="MDM372" s="21" t="s">
        <v>2955</v>
      </c>
      <c r="MDN372" s="21" t="s">
        <v>2955</v>
      </c>
      <c r="MDO372" s="21" t="s">
        <v>2955</v>
      </c>
      <c r="MDP372" s="21" t="s">
        <v>2955</v>
      </c>
      <c r="MDQ372" s="21" t="s">
        <v>2955</v>
      </c>
      <c r="MDR372" s="21" t="s">
        <v>2955</v>
      </c>
      <c r="MDS372" s="21" t="s">
        <v>2955</v>
      </c>
      <c r="MDT372" s="21" t="s">
        <v>2955</v>
      </c>
      <c r="MDU372" s="21" t="s">
        <v>2955</v>
      </c>
      <c r="MDV372" s="21" t="s">
        <v>2955</v>
      </c>
      <c r="MDW372" s="21" t="s">
        <v>2955</v>
      </c>
      <c r="MDX372" s="21" t="s">
        <v>2955</v>
      </c>
      <c r="MDY372" s="21" t="s">
        <v>2955</v>
      </c>
      <c r="MDZ372" s="21" t="s">
        <v>2955</v>
      </c>
      <c r="MEA372" s="21" t="s">
        <v>2955</v>
      </c>
      <c r="MEB372" s="21" t="s">
        <v>2955</v>
      </c>
      <c r="MEC372" s="21" t="s">
        <v>2955</v>
      </c>
      <c r="MED372" s="21" t="s">
        <v>2955</v>
      </c>
      <c r="MEE372" s="21" t="s">
        <v>2955</v>
      </c>
      <c r="MEF372" s="21" t="s">
        <v>2955</v>
      </c>
      <c r="MEG372" s="21" t="s">
        <v>2955</v>
      </c>
      <c r="MEH372" s="21" t="s">
        <v>2955</v>
      </c>
      <c r="MEI372" s="21" t="s">
        <v>2955</v>
      </c>
      <c r="MEJ372" s="21" t="s">
        <v>2955</v>
      </c>
      <c r="MEK372" s="21" t="s">
        <v>2955</v>
      </c>
      <c r="MEL372" s="21" t="s">
        <v>2955</v>
      </c>
      <c r="MEM372" s="21" t="s">
        <v>2955</v>
      </c>
      <c r="MEN372" s="21" t="s">
        <v>2955</v>
      </c>
      <c r="MEO372" s="21" t="s">
        <v>2955</v>
      </c>
      <c r="MEP372" s="21" t="s">
        <v>2955</v>
      </c>
      <c r="MEQ372" s="21" t="s">
        <v>2955</v>
      </c>
      <c r="MER372" s="21" t="s">
        <v>2955</v>
      </c>
      <c r="MES372" s="21" t="s">
        <v>2955</v>
      </c>
      <c r="MET372" s="21" t="s">
        <v>2955</v>
      </c>
      <c r="MEU372" s="21" t="s">
        <v>2955</v>
      </c>
      <c r="MEV372" s="21" t="s">
        <v>2955</v>
      </c>
      <c r="MEW372" s="21" t="s">
        <v>2955</v>
      </c>
      <c r="MEX372" s="21" t="s">
        <v>2955</v>
      </c>
      <c r="MEY372" s="21" t="s">
        <v>2955</v>
      </c>
      <c r="MEZ372" s="21" t="s">
        <v>2955</v>
      </c>
      <c r="MFA372" s="21" t="s">
        <v>2955</v>
      </c>
      <c r="MFB372" s="21" t="s">
        <v>2955</v>
      </c>
      <c r="MFC372" s="21" t="s">
        <v>2955</v>
      </c>
      <c r="MFD372" s="21" t="s">
        <v>2955</v>
      </c>
      <c r="MFE372" s="21" t="s">
        <v>2955</v>
      </c>
      <c r="MFF372" s="21" t="s">
        <v>2955</v>
      </c>
      <c r="MFG372" s="21" t="s">
        <v>2955</v>
      </c>
      <c r="MFH372" s="21" t="s">
        <v>2955</v>
      </c>
      <c r="MFI372" s="21" t="s">
        <v>2955</v>
      </c>
      <c r="MFJ372" s="21" t="s">
        <v>2955</v>
      </c>
      <c r="MFK372" s="21" t="s">
        <v>2955</v>
      </c>
      <c r="MFL372" s="21" t="s">
        <v>2955</v>
      </c>
      <c r="MFM372" s="21" t="s">
        <v>2955</v>
      </c>
      <c r="MFN372" s="21" t="s">
        <v>2955</v>
      </c>
      <c r="MFO372" s="21" t="s">
        <v>2955</v>
      </c>
      <c r="MFP372" s="21" t="s">
        <v>2955</v>
      </c>
      <c r="MFQ372" s="21" t="s">
        <v>2955</v>
      </c>
      <c r="MFR372" s="21" t="s">
        <v>2955</v>
      </c>
      <c r="MFS372" s="21" t="s">
        <v>2955</v>
      </c>
      <c r="MFT372" s="21" t="s">
        <v>2955</v>
      </c>
      <c r="MFU372" s="21" t="s">
        <v>2955</v>
      </c>
      <c r="MFV372" s="21" t="s">
        <v>2955</v>
      </c>
      <c r="MFW372" s="21" t="s">
        <v>2955</v>
      </c>
      <c r="MFX372" s="21" t="s">
        <v>2955</v>
      </c>
      <c r="MFY372" s="21" t="s">
        <v>2955</v>
      </c>
      <c r="MFZ372" s="21" t="s">
        <v>2955</v>
      </c>
      <c r="MGA372" s="21" t="s">
        <v>2955</v>
      </c>
      <c r="MGB372" s="21" t="s">
        <v>2955</v>
      </c>
      <c r="MGC372" s="21" t="s">
        <v>2955</v>
      </c>
      <c r="MGD372" s="21" t="s">
        <v>2955</v>
      </c>
      <c r="MGE372" s="21" t="s">
        <v>2955</v>
      </c>
      <c r="MGF372" s="21" t="s">
        <v>2955</v>
      </c>
      <c r="MGG372" s="21" t="s">
        <v>2955</v>
      </c>
      <c r="MGH372" s="21" t="s">
        <v>2955</v>
      </c>
      <c r="MGI372" s="21" t="s">
        <v>2955</v>
      </c>
      <c r="MGJ372" s="21" t="s">
        <v>2955</v>
      </c>
      <c r="MGK372" s="21" t="s">
        <v>2955</v>
      </c>
      <c r="MGL372" s="21" t="s">
        <v>2955</v>
      </c>
      <c r="MGM372" s="21" t="s">
        <v>2955</v>
      </c>
      <c r="MGN372" s="21" t="s">
        <v>2955</v>
      </c>
      <c r="MGO372" s="21" t="s">
        <v>2955</v>
      </c>
      <c r="MGP372" s="21" t="s">
        <v>2955</v>
      </c>
      <c r="MGQ372" s="21" t="s">
        <v>2955</v>
      </c>
      <c r="MGR372" s="21" t="s">
        <v>2955</v>
      </c>
      <c r="MGS372" s="21" t="s">
        <v>2955</v>
      </c>
      <c r="MGT372" s="21" t="s">
        <v>2955</v>
      </c>
      <c r="MGU372" s="21" t="s">
        <v>2955</v>
      </c>
      <c r="MGV372" s="21" t="s">
        <v>2955</v>
      </c>
      <c r="MGW372" s="21" t="s">
        <v>2955</v>
      </c>
      <c r="MGX372" s="21" t="s">
        <v>2955</v>
      </c>
      <c r="MGY372" s="21" t="s">
        <v>2955</v>
      </c>
      <c r="MGZ372" s="21" t="s">
        <v>2955</v>
      </c>
      <c r="MHA372" s="21" t="s">
        <v>2955</v>
      </c>
      <c r="MHB372" s="21" t="s">
        <v>2955</v>
      </c>
      <c r="MHC372" s="21" t="s">
        <v>2955</v>
      </c>
      <c r="MHD372" s="21" t="s">
        <v>2955</v>
      </c>
      <c r="MHE372" s="21" t="s">
        <v>2955</v>
      </c>
      <c r="MHF372" s="21" t="s">
        <v>2955</v>
      </c>
      <c r="MHG372" s="21" t="s">
        <v>2955</v>
      </c>
      <c r="MHH372" s="21" t="s">
        <v>2955</v>
      </c>
      <c r="MHI372" s="21" t="s">
        <v>2955</v>
      </c>
      <c r="MHJ372" s="21" t="s">
        <v>2955</v>
      </c>
      <c r="MHK372" s="21" t="s">
        <v>2955</v>
      </c>
      <c r="MHL372" s="21" t="s">
        <v>2955</v>
      </c>
      <c r="MHM372" s="21" t="s">
        <v>2955</v>
      </c>
      <c r="MHN372" s="21" t="s">
        <v>2955</v>
      </c>
      <c r="MHO372" s="21" t="s">
        <v>2955</v>
      </c>
      <c r="MHP372" s="21" t="s">
        <v>2955</v>
      </c>
      <c r="MHQ372" s="21" t="s">
        <v>2955</v>
      </c>
      <c r="MHR372" s="21" t="s">
        <v>2955</v>
      </c>
      <c r="MHS372" s="21" t="s">
        <v>2955</v>
      </c>
      <c r="MHT372" s="21" t="s">
        <v>2955</v>
      </c>
      <c r="MHU372" s="21" t="s">
        <v>2955</v>
      </c>
      <c r="MHV372" s="21" t="s">
        <v>2955</v>
      </c>
      <c r="MHW372" s="21" t="s">
        <v>2955</v>
      </c>
      <c r="MHX372" s="21" t="s">
        <v>2955</v>
      </c>
      <c r="MHY372" s="21" t="s">
        <v>2955</v>
      </c>
      <c r="MHZ372" s="21" t="s">
        <v>2955</v>
      </c>
      <c r="MIA372" s="21" t="s">
        <v>2955</v>
      </c>
      <c r="MIB372" s="21" t="s">
        <v>2955</v>
      </c>
      <c r="MIC372" s="21" t="s">
        <v>2955</v>
      </c>
      <c r="MID372" s="21" t="s">
        <v>2955</v>
      </c>
      <c r="MIE372" s="21" t="s">
        <v>2955</v>
      </c>
      <c r="MIF372" s="21" t="s">
        <v>2955</v>
      </c>
      <c r="MIG372" s="21" t="s">
        <v>2955</v>
      </c>
      <c r="MIH372" s="21" t="s">
        <v>2955</v>
      </c>
      <c r="MII372" s="21" t="s">
        <v>2955</v>
      </c>
      <c r="MIJ372" s="21" t="s">
        <v>2955</v>
      </c>
      <c r="MIK372" s="21" t="s">
        <v>2955</v>
      </c>
      <c r="MIL372" s="21" t="s">
        <v>2955</v>
      </c>
      <c r="MIM372" s="21" t="s">
        <v>2955</v>
      </c>
      <c r="MIN372" s="21" t="s">
        <v>2955</v>
      </c>
      <c r="MIO372" s="21" t="s">
        <v>2955</v>
      </c>
      <c r="MIP372" s="21" t="s">
        <v>2955</v>
      </c>
      <c r="MIQ372" s="21" t="s">
        <v>2955</v>
      </c>
      <c r="MIR372" s="21" t="s">
        <v>2955</v>
      </c>
      <c r="MIS372" s="21" t="s">
        <v>2955</v>
      </c>
      <c r="MIT372" s="21" t="s">
        <v>2955</v>
      </c>
      <c r="MIU372" s="21" t="s">
        <v>2955</v>
      </c>
      <c r="MIV372" s="21" t="s">
        <v>2955</v>
      </c>
      <c r="MIW372" s="21" t="s">
        <v>2955</v>
      </c>
      <c r="MIX372" s="21" t="s">
        <v>2955</v>
      </c>
      <c r="MIY372" s="21" t="s">
        <v>2955</v>
      </c>
      <c r="MIZ372" s="21" t="s">
        <v>2955</v>
      </c>
      <c r="MJA372" s="21" t="s">
        <v>2955</v>
      </c>
      <c r="MJB372" s="21" t="s">
        <v>2955</v>
      </c>
      <c r="MJC372" s="21" t="s">
        <v>2955</v>
      </c>
      <c r="MJD372" s="21" t="s">
        <v>2955</v>
      </c>
      <c r="MJE372" s="21" t="s">
        <v>2955</v>
      </c>
      <c r="MJF372" s="21" t="s">
        <v>2955</v>
      </c>
      <c r="MJG372" s="21" t="s">
        <v>2955</v>
      </c>
      <c r="MJH372" s="21" t="s">
        <v>2955</v>
      </c>
      <c r="MJI372" s="21" t="s">
        <v>2955</v>
      </c>
      <c r="MJJ372" s="21" t="s">
        <v>2955</v>
      </c>
      <c r="MJK372" s="21" t="s">
        <v>2955</v>
      </c>
      <c r="MJL372" s="21" t="s">
        <v>2955</v>
      </c>
      <c r="MJM372" s="21" t="s">
        <v>2955</v>
      </c>
      <c r="MJN372" s="21" t="s">
        <v>2955</v>
      </c>
      <c r="MJO372" s="21" t="s">
        <v>2955</v>
      </c>
      <c r="MJP372" s="21" t="s">
        <v>2955</v>
      </c>
      <c r="MJQ372" s="21" t="s">
        <v>2955</v>
      </c>
      <c r="MJR372" s="21" t="s">
        <v>2955</v>
      </c>
      <c r="MJS372" s="21" t="s">
        <v>2955</v>
      </c>
      <c r="MJT372" s="21" t="s">
        <v>2955</v>
      </c>
      <c r="MJU372" s="21" t="s">
        <v>2955</v>
      </c>
      <c r="MJV372" s="21" t="s">
        <v>2955</v>
      </c>
      <c r="MJW372" s="21" t="s">
        <v>2955</v>
      </c>
      <c r="MJX372" s="21" t="s">
        <v>2955</v>
      </c>
      <c r="MJY372" s="21" t="s">
        <v>2955</v>
      </c>
      <c r="MJZ372" s="21" t="s">
        <v>2955</v>
      </c>
      <c r="MKA372" s="21" t="s">
        <v>2955</v>
      </c>
      <c r="MKB372" s="21" t="s">
        <v>2955</v>
      </c>
      <c r="MKC372" s="21" t="s">
        <v>2955</v>
      </c>
      <c r="MKD372" s="21" t="s">
        <v>2955</v>
      </c>
      <c r="MKE372" s="21" t="s">
        <v>2955</v>
      </c>
      <c r="MKF372" s="21" t="s">
        <v>2955</v>
      </c>
      <c r="MKG372" s="21" t="s">
        <v>2955</v>
      </c>
      <c r="MKH372" s="21" t="s">
        <v>2955</v>
      </c>
      <c r="MKI372" s="21" t="s">
        <v>2955</v>
      </c>
      <c r="MKJ372" s="21" t="s">
        <v>2955</v>
      </c>
      <c r="MKK372" s="21" t="s">
        <v>2955</v>
      </c>
      <c r="MKL372" s="21" t="s">
        <v>2955</v>
      </c>
      <c r="MKM372" s="21" t="s">
        <v>2955</v>
      </c>
      <c r="MKN372" s="21" t="s">
        <v>2955</v>
      </c>
      <c r="MKO372" s="21" t="s">
        <v>2955</v>
      </c>
      <c r="MKP372" s="21" t="s">
        <v>2955</v>
      </c>
      <c r="MKQ372" s="21" t="s">
        <v>2955</v>
      </c>
      <c r="MKR372" s="21" t="s">
        <v>2955</v>
      </c>
      <c r="MKS372" s="21" t="s">
        <v>2955</v>
      </c>
      <c r="MKT372" s="21" t="s">
        <v>2955</v>
      </c>
      <c r="MKU372" s="21" t="s">
        <v>2955</v>
      </c>
      <c r="MKV372" s="21" t="s">
        <v>2955</v>
      </c>
      <c r="MKW372" s="21" t="s">
        <v>2955</v>
      </c>
      <c r="MKX372" s="21" t="s">
        <v>2955</v>
      </c>
      <c r="MKY372" s="21" t="s">
        <v>2955</v>
      </c>
      <c r="MKZ372" s="21" t="s">
        <v>2955</v>
      </c>
      <c r="MLA372" s="21" t="s">
        <v>2955</v>
      </c>
      <c r="MLB372" s="21" t="s">
        <v>2955</v>
      </c>
      <c r="MLC372" s="21" t="s">
        <v>2955</v>
      </c>
      <c r="MLD372" s="21" t="s">
        <v>2955</v>
      </c>
      <c r="MLE372" s="21" t="s">
        <v>2955</v>
      </c>
      <c r="MLF372" s="21" t="s">
        <v>2955</v>
      </c>
      <c r="MLG372" s="21" t="s">
        <v>2955</v>
      </c>
      <c r="MLH372" s="21" t="s">
        <v>2955</v>
      </c>
      <c r="MLI372" s="21" t="s">
        <v>2955</v>
      </c>
      <c r="MLJ372" s="21" t="s">
        <v>2955</v>
      </c>
      <c r="MLK372" s="21" t="s">
        <v>2955</v>
      </c>
      <c r="MLL372" s="21" t="s">
        <v>2955</v>
      </c>
      <c r="MLM372" s="21" t="s">
        <v>2955</v>
      </c>
      <c r="MLN372" s="21" t="s">
        <v>2955</v>
      </c>
      <c r="MLO372" s="21" t="s">
        <v>2955</v>
      </c>
      <c r="MLP372" s="21" t="s">
        <v>2955</v>
      </c>
      <c r="MLQ372" s="21" t="s">
        <v>2955</v>
      </c>
      <c r="MLR372" s="21" t="s">
        <v>2955</v>
      </c>
      <c r="MLS372" s="21" t="s">
        <v>2955</v>
      </c>
      <c r="MLT372" s="21" t="s">
        <v>2955</v>
      </c>
      <c r="MLU372" s="21" t="s">
        <v>2955</v>
      </c>
      <c r="MLV372" s="21" t="s">
        <v>2955</v>
      </c>
      <c r="MLW372" s="21" t="s">
        <v>2955</v>
      </c>
      <c r="MLX372" s="21" t="s">
        <v>2955</v>
      </c>
      <c r="MLY372" s="21" t="s">
        <v>2955</v>
      </c>
      <c r="MLZ372" s="21" t="s">
        <v>2955</v>
      </c>
      <c r="MMA372" s="21" t="s">
        <v>2955</v>
      </c>
      <c r="MMB372" s="21" t="s">
        <v>2955</v>
      </c>
      <c r="MMC372" s="21" t="s">
        <v>2955</v>
      </c>
      <c r="MMD372" s="21" t="s">
        <v>2955</v>
      </c>
      <c r="MME372" s="21" t="s">
        <v>2955</v>
      </c>
      <c r="MMF372" s="21" t="s">
        <v>2955</v>
      </c>
      <c r="MMG372" s="21" t="s">
        <v>2955</v>
      </c>
      <c r="MMH372" s="21" t="s">
        <v>2955</v>
      </c>
      <c r="MMI372" s="21" t="s">
        <v>2955</v>
      </c>
      <c r="MMJ372" s="21" t="s">
        <v>2955</v>
      </c>
      <c r="MMK372" s="21" t="s">
        <v>2955</v>
      </c>
      <c r="MML372" s="21" t="s">
        <v>2955</v>
      </c>
      <c r="MMM372" s="21" t="s">
        <v>2955</v>
      </c>
      <c r="MMN372" s="21" t="s">
        <v>2955</v>
      </c>
      <c r="MMO372" s="21" t="s">
        <v>2955</v>
      </c>
      <c r="MMP372" s="21" t="s">
        <v>2955</v>
      </c>
      <c r="MMQ372" s="21" t="s">
        <v>2955</v>
      </c>
      <c r="MMR372" s="21" t="s">
        <v>2955</v>
      </c>
      <c r="MMS372" s="21" t="s">
        <v>2955</v>
      </c>
      <c r="MMT372" s="21" t="s">
        <v>2955</v>
      </c>
      <c r="MMU372" s="21" t="s">
        <v>2955</v>
      </c>
      <c r="MMV372" s="21" t="s">
        <v>2955</v>
      </c>
      <c r="MMW372" s="21" t="s">
        <v>2955</v>
      </c>
      <c r="MMX372" s="21" t="s">
        <v>2955</v>
      </c>
      <c r="MMY372" s="21" t="s">
        <v>2955</v>
      </c>
      <c r="MMZ372" s="21" t="s">
        <v>2955</v>
      </c>
      <c r="MNA372" s="21" t="s">
        <v>2955</v>
      </c>
      <c r="MNB372" s="21" t="s">
        <v>2955</v>
      </c>
      <c r="MNC372" s="21" t="s">
        <v>2955</v>
      </c>
      <c r="MND372" s="21" t="s">
        <v>2955</v>
      </c>
      <c r="MNE372" s="21" t="s">
        <v>2955</v>
      </c>
      <c r="MNF372" s="21" t="s">
        <v>2955</v>
      </c>
      <c r="MNG372" s="21" t="s">
        <v>2955</v>
      </c>
      <c r="MNH372" s="21" t="s">
        <v>2955</v>
      </c>
      <c r="MNI372" s="21" t="s">
        <v>2955</v>
      </c>
      <c r="MNJ372" s="21" t="s">
        <v>2955</v>
      </c>
      <c r="MNK372" s="21" t="s">
        <v>2955</v>
      </c>
      <c r="MNL372" s="21" t="s">
        <v>2955</v>
      </c>
      <c r="MNM372" s="21" t="s">
        <v>2955</v>
      </c>
      <c r="MNN372" s="21" t="s">
        <v>2955</v>
      </c>
      <c r="MNO372" s="21" t="s">
        <v>2955</v>
      </c>
      <c r="MNP372" s="21" t="s">
        <v>2955</v>
      </c>
      <c r="MNQ372" s="21" t="s">
        <v>2955</v>
      </c>
      <c r="MNR372" s="21" t="s">
        <v>2955</v>
      </c>
      <c r="MNS372" s="21" t="s">
        <v>2955</v>
      </c>
      <c r="MNT372" s="21" t="s">
        <v>2955</v>
      </c>
      <c r="MNU372" s="21" t="s">
        <v>2955</v>
      </c>
      <c r="MNV372" s="21" t="s">
        <v>2955</v>
      </c>
      <c r="MNW372" s="21" t="s">
        <v>2955</v>
      </c>
      <c r="MNX372" s="21" t="s">
        <v>2955</v>
      </c>
      <c r="MNY372" s="21" t="s">
        <v>2955</v>
      </c>
      <c r="MNZ372" s="21" t="s">
        <v>2955</v>
      </c>
      <c r="MOA372" s="21" t="s">
        <v>2955</v>
      </c>
      <c r="MOB372" s="21" t="s">
        <v>2955</v>
      </c>
      <c r="MOC372" s="21" t="s">
        <v>2955</v>
      </c>
      <c r="MOD372" s="21" t="s">
        <v>2955</v>
      </c>
      <c r="MOE372" s="21" t="s">
        <v>2955</v>
      </c>
      <c r="MOF372" s="21" t="s">
        <v>2955</v>
      </c>
      <c r="MOG372" s="21" t="s">
        <v>2955</v>
      </c>
      <c r="MOH372" s="21" t="s">
        <v>2955</v>
      </c>
      <c r="MOI372" s="21" t="s">
        <v>2955</v>
      </c>
      <c r="MOJ372" s="21" t="s">
        <v>2955</v>
      </c>
      <c r="MOK372" s="21" t="s">
        <v>2955</v>
      </c>
      <c r="MOL372" s="21" t="s">
        <v>2955</v>
      </c>
      <c r="MOM372" s="21" t="s">
        <v>2955</v>
      </c>
      <c r="MON372" s="21" t="s">
        <v>2955</v>
      </c>
      <c r="MOO372" s="21" t="s">
        <v>2955</v>
      </c>
      <c r="MOP372" s="21" t="s">
        <v>2955</v>
      </c>
      <c r="MOQ372" s="21" t="s">
        <v>2955</v>
      </c>
      <c r="MOR372" s="21" t="s">
        <v>2955</v>
      </c>
      <c r="MOS372" s="21" t="s">
        <v>2955</v>
      </c>
      <c r="MOT372" s="21" t="s">
        <v>2955</v>
      </c>
      <c r="MOU372" s="21" t="s">
        <v>2955</v>
      </c>
      <c r="MOV372" s="21" t="s">
        <v>2955</v>
      </c>
      <c r="MOW372" s="21" t="s">
        <v>2955</v>
      </c>
      <c r="MOX372" s="21" t="s">
        <v>2955</v>
      </c>
      <c r="MOY372" s="21" t="s">
        <v>2955</v>
      </c>
      <c r="MOZ372" s="21" t="s">
        <v>2955</v>
      </c>
      <c r="MPA372" s="21" t="s">
        <v>2955</v>
      </c>
      <c r="MPB372" s="21" t="s">
        <v>2955</v>
      </c>
      <c r="MPC372" s="21" t="s">
        <v>2955</v>
      </c>
      <c r="MPD372" s="21" t="s">
        <v>2955</v>
      </c>
      <c r="MPE372" s="21" t="s">
        <v>2955</v>
      </c>
      <c r="MPF372" s="21" t="s">
        <v>2955</v>
      </c>
      <c r="MPG372" s="21" t="s">
        <v>2955</v>
      </c>
      <c r="MPH372" s="21" t="s">
        <v>2955</v>
      </c>
      <c r="MPI372" s="21" t="s">
        <v>2955</v>
      </c>
      <c r="MPJ372" s="21" t="s">
        <v>2955</v>
      </c>
      <c r="MPK372" s="21" t="s">
        <v>2955</v>
      </c>
      <c r="MPL372" s="21" t="s">
        <v>2955</v>
      </c>
      <c r="MPM372" s="21" t="s">
        <v>2955</v>
      </c>
      <c r="MPN372" s="21" t="s">
        <v>2955</v>
      </c>
      <c r="MPO372" s="21" t="s">
        <v>2955</v>
      </c>
      <c r="MPP372" s="21" t="s">
        <v>2955</v>
      </c>
      <c r="MPQ372" s="21" t="s">
        <v>2955</v>
      </c>
      <c r="MPR372" s="21" t="s">
        <v>2955</v>
      </c>
      <c r="MPS372" s="21" t="s">
        <v>2955</v>
      </c>
      <c r="MPT372" s="21" t="s">
        <v>2955</v>
      </c>
      <c r="MPU372" s="21" t="s">
        <v>2955</v>
      </c>
      <c r="MPV372" s="21" t="s">
        <v>2955</v>
      </c>
      <c r="MPW372" s="21" t="s">
        <v>2955</v>
      </c>
      <c r="MPX372" s="21" t="s">
        <v>2955</v>
      </c>
      <c r="MPY372" s="21" t="s">
        <v>2955</v>
      </c>
      <c r="MPZ372" s="21" t="s">
        <v>2955</v>
      </c>
      <c r="MQA372" s="21" t="s">
        <v>2955</v>
      </c>
      <c r="MQB372" s="21" t="s">
        <v>2955</v>
      </c>
      <c r="MQC372" s="21" t="s">
        <v>2955</v>
      </c>
      <c r="MQD372" s="21" t="s">
        <v>2955</v>
      </c>
      <c r="MQE372" s="21" t="s">
        <v>2955</v>
      </c>
      <c r="MQF372" s="21" t="s">
        <v>2955</v>
      </c>
      <c r="MQG372" s="21" t="s">
        <v>2955</v>
      </c>
      <c r="MQH372" s="21" t="s">
        <v>2955</v>
      </c>
      <c r="MQI372" s="21" t="s">
        <v>2955</v>
      </c>
      <c r="MQJ372" s="21" t="s">
        <v>2955</v>
      </c>
      <c r="MQK372" s="21" t="s">
        <v>2955</v>
      </c>
      <c r="MQL372" s="21" t="s">
        <v>2955</v>
      </c>
      <c r="MQM372" s="21" t="s">
        <v>2955</v>
      </c>
      <c r="MQN372" s="21" t="s">
        <v>2955</v>
      </c>
      <c r="MQO372" s="21" t="s">
        <v>2955</v>
      </c>
      <c r="MQP372" s="21" t="s">
        <v>2955</v>
      </c>
      <c r="MQQ372" s="21" t="s">
        <v>2955</v>
      </c>
      <c r="MQR372" s="21" t="s">
        <v>2955</v>
      </c>
      <c r="MQS372" s="21" t="s">
        <v>2955</v>
      </c>
      <c r="MQT372" s="21" t="s">
        <v>2955</v>
      </c>
      <c r="MQU372" s="21" t="s">
        <v>2955</v>
      </c>
      <c r="MQV372" s="21" t="s">
        <v>2955</v>
      </c>
      <c r="MQW372" s="21" t="s">
        <v>2955</v>
      </c>
      <c r="MQX372" s="21" t="s">
        <v>2955</v>
      </c>
      <c r="MQY372" s="21" t="s">
        <v>2955</v>
      </c>
      <c r="MQZ372" s="21" t="s">
        <v>2955</v>
      </c>
      <c r="MRA372" s="21" t="s">
        <v>2955</v>
      </c>
      <c r="MRB372" s="21" t="s">
        <v>2955</v>
      </c>
      <c r="MRC372" s="21" t="s">
        <v>2955</v>
      </c>
      <c r="MRD372" s="21" t="s">
        <v>2955</v>
      </c>
      <c r="MRE372" s="21" t="s">
        <v>2955</v>
      </c>
      <c r="MRF372" s="21" t="s">
        <v>2955</v>
      </c>
      <c r="MRG372" s="21" t="s">
        <v>2955</v>
      </c>
      <c r="MRH372" s="21" t="s">
        <v>2955</v>
      </c>
      <c r="MRI372" s="21" t="s">
        <v>2955</v>
      </c>
      <c r="MRJ372" s="21" t="s">
        <v>2955</v>
      </c>
      <c r="MRK372" s="21" t="s">
        <v>2955</v>
      </c>
      <c r="MRL372" s="21" t="s">
        <v>2955</v>
      </c>
      <c r="MRM372" s="21" t="s">
        <v>2955</v>
      </c>
      <c r="MRN372" s="21" t="s">
        <v>2955</v>
      </c>
      <c r="MRO372" s="21" t="s">
        <v>2955</v>
      </c>
      <c r="MRP372" s="21" t="s">
        <v>2955</v>
      </c>
      <c r="MRQ372" s="21" t="s">
        <v>2955</v>
      </c>
      <c r="MRR372" s="21" t="s">
        <v>2955</v>
      </c>
      <c r="MRS372" s="21" t="s">
        <v>2955</v>
      </c>
      <c r="MRT372" s="21" t="s">
        <v>2955</v>
      </c>
      <c r="MRU372" s="21" t="s">
        <v>2955</v>
      </c>
      <c r="MRV372" s="21" t="s">
        <v>2955</v>
      </c>
      <c r="MRW372" s="21" t="s">
        <v>2955</v>
      </c>
      <c r="MRX372" s="21" t="s">
        <v>2955</v>
      </c>
      <c r="MRY372" s="21" t="s">
        <v>2955</v>
      </c>
      <c r="MRZ372" s="21" t="s">
        <v>2955</v>
      </c>
      <c r="MSA372" s="21" t="s">
        <v>2955</v>
      </c>
      <c r="MSB372" s="21" t="s">
        <v>2955</v>
      </c>
      <c r="MSC372" s="21" t="s">
        <v>2955</v>
      </c>
      <c r="MSD372" s="21" t="s">
        <v>2955</v>
      </c>
      <c r="MSE372" s="21" t="s">
        <v>2955</v>
      </c>
      <c r="MSF372" s="21" t="s">
        <v>2955</v>
      </c>
      <c r="MSG372" s="21" t="s">
        <v>2955</v>
      </c>
      <c r="MSH372" s="21" t="s">
        <v>2955</v>
      </c>
      <c r="MSI372" s="21" t="s">
        <v>2955</v>
      </c>
      <c r="MSJ372" s="21" t="s">
        <v>2955</v>
      </c>
      <c r="MSK372" s="21" t="s">
        <v>2955</v>
      </c>
      <c r="MSL372" s="21" t="s">
        <v>2955</v>
      </c>
      <c r="MSM372" s="21" t="s">
        <v>2955</v>
      </c>
      <c r="MSN372" s="21" t="s">
        <v>2955</v>
      </c>
      <c r="MSO372" s="21" t="s">
        <v>2955</v>
      </c>
      <c r="MSP372" s="21" t="s">
        <v>2955</v>
      </c>
      <c r="MSQ372" s="21" t="s">
        <v>2955</v>
      </c>
      <c r="MSR372" s="21" t="s">
        <v>2955</v>
      </c>
      <c r="MSS372" s="21" t="s">
        <v>2955</v>
      </c>
      <c r="MST372" s="21" t="s">
        <v>2955</v>
      </c>
      <c r="MSU372" s="21" t="s">
        <v>2955</v>
      </c>
      <c r="MSV372" s="21" t="s">
        <v>2955</v>
      </c>
      <c r="MSW372" s="21" t="s">
        <v>2955</v>
      </c>
      <c r="MSX372" s="21" t="s">
        <v>2955</v>
      </c>
      <c r="MSY372" s="21" t="s">
        <v>2955</v>
      </c>
      <c r="MSZ372" s="21" t="s">
        <v>2955</v>
      </c>
      <c r="MTA372" s="21" t="s">
        <v>2955</v>
      </c>
      <c r="MTB372" s="21" t="s">
        <v>2955</v>
      </c>
      <c r="MTC372" s="21" t="s">
        <v>2955</v>
      </c>
      <c r="MTD372" s="21" t="s">
        <v>2955</v>
      </c>
      <c r="MTE372" s="21" t="s">
        <v>2955</v>
      </c>
      <c r="MTF372" s="21" t="s">
        <v>2955</v>
      </c>
      <c r="MTG372" s="21" t="s">
        <v>2955</v>
      </c>
      <c r="MTH372" s="21" t="s">
        <v>2955</v>
      </c>
      <c r="MTI372" s="21" t="s">
        <v>2955</v>
      </c>
      <c r="MTJ372" s="21" t="s">
        <v>2955</v>
      </c>
      <c r="MTK372" s="21" t="s">
        <v>2955</v>
      </c>
      <c r="MTL372" s="21" t="s">
        <v>2955</v>
      </c>
      <c r="MTM372" s="21" t="s">
        <v>2955</v>
      </c>
      <c r="MTN372" s="21" t="s">
        <v>2955</v>
      </c>
      <c r="MTO372" s="21" t="s">
        <v>2955</v>
      </c>
      <c r="MTP372" s="21" t="s">
        <v>2955</v>
      </c>
      <c r="MTQ372" s="21" t="s">
        <v>2955</v>
      </c>
      <c r="MTR372" s="21" t="s">
        <v>2955</v>
      </c>
      <c r="MTS372" s="21" t="s">
        <v>2955</v>
      </c>
      <c r="MTT372" s="21" t="s">
        <v>2955</v>
      </c>
      <c r="MTU372" s="21" t="s">
        <v>2955</v>
      </c>
      <c r="MTV372" s="21" t="s">
        <v>2955</v>
      </c>
      <c r="MTW372" s="21" t="s">
        <v>2955</v>
      </c>
      <c r="MTX372" s="21" t="s">
        <v>2955</v>
      </c>
      <c r="MTY372" s="21" t="s">
        <v>2955</v>
      </c>
      <c r="MTZ372" s="21" t="s">
        <v>2955</v>
      </c>
      <c r="MUA372" s="21" t="s">
        <v>2955</v>
      </c>
      <c r="MUB372" s="21" t="s">
        <v>2955</v>
      </c>
      <c r="MUC372" s="21" t="s">
        <v>2955</v>
      </c>
      <c r="MUD372" s="21" t="s">
        <v>2955</v>
      </c>
      <c r="MUE372" s="21" t="s">
        <v>2955</v>
      </c>
      <c r="MUF372" s="21" t="s">
        <v>2955</v>
      </c>
      <c r="MUG372" s="21" t="s">
        <v>2955</v>
      </c>
      <c r="MUH372" s="21" t="s">
        <v>2955</v>
      </c>
      <c r="MUI372" s="21" t="s">
        <v>2955</v>
      </c>
      <c r="MUJ372" s="21" t="s">
        <v>2955</v>
      </c>
      <c r="MUK372" s="21" t="s">
        <v>2955</v>
      </c>
      <c r="MUL372" s="21" t="s">
        <v>2955</v>
      </c>
      <c r="MUM372" s="21" t="s">
        <v>2955</v>
      </c>
      <c r="MUN372" s="21" t="s">
        <v>2955</v>
      </c>
      <c r="MUO372" s="21" t="s">
        <v>2955</v>
      </c>
      <c r="MUP372" s="21" t="s">
        <v>2955</v>
      </c>
      <c r="MUQ372" s="21" t="s">
        <v>2955</v>
      </c>
      <c r="MUR372" s="21" t="s">
        <v>2955</v>
      </c>
      <c r="MUS372" s="21" t="s">
        <v>2955</v>
      </c>
      <c r="MUT372" s="21" t="s">
        <v>2955</v>
      </c>
      <c r="MUU372" s="21" t="s">
        <v>2955</v>
      </c>
      <c r="MUV372" s="21" t="s">
        <v>2955</v>
      </c>
      <c r="MUW372" s="21" t="s">
        <v>2955</v>
      </c>
      <c r="MUX372" s="21" t="s">
        <v>2955</v>
      </c>
      <c r="MUY372" s="21" t="s">
        <v>2955</v>
      </c>
      <c r="MUZ372" s="21" t="s">
        <v>2955</v>
      </c>
      <c r="MVA372" s="21" t="s">
        <v>2955</v>
      </c>
      <c r="MVB372" s="21" t="s">
        <v>2955</v>
      </c>
      <c r="MVC372" s="21" t="s">
        <v>2955</v>
      </c>
      <c r="MVD372" s="21" t="s">
        <v>2955</v>
      </c>
      <c r="MVE372" s="21" t="s">
        <v>2955</v>
      </c>
      <c r="MVF372" s="21" t="s">
        <v>2955</v>
      </c>
      <c r="MVG372" s="21" t="s">
        <v>2955</v>
      </c>
      <c r="MVH372" s="21" t="s">
        <v>2955</v>
      </c>
      <c r="MVI372" s="21" t="s">
        <v>2955</v>
      </c>
      <c r="MVJ372" s="21" t="s">
        <v>2955</v>
      </c>
      <c r="MVK372" s="21" t="s">
        <v>2955</v>
      </c>
      <c r="MVL372" s="21" t="s">
        <v>2955</v>
      </c>
      <c r="MVM372" s="21" t="s">
        <v>2955</v>
      </c>
      <c r="MVN372" s="21" t="s">
        <v>2955</v>
      </c>
      <c r="MVO372" s="21" t="s">
        <v>2955</v>
      </c>
      <c r="MVP372" s="21" t="s">
        <v>2955</v>
      </c>
      <c r="MVQ372" s="21" t="s">
        <v>2955</v>
      </c>
      <c r="MVR372" s="21" t="s">
        <v>2955</v>
      </c>
      <c r="MVS372" s="21" t="s">
        <v>2955</v>
      </c>
      <c r="MVT372" s="21" t="s">
        <v>2955</v>
      </c>
      <c r="MVU372" s="21" t="s">
        <v>2955</v>
      </c>
      <c r="MVV372" s="21" t="s">
        <v>2955</v>
      </c>
      <c r="MVW372" s="21" t="s">
        <v>2955</v>
      </c>
      <c r="MVX372" s="21" t="s">
        <v>2955</v>
      </c>
      <c r="MVY372" s="21" t="s">
        <v>2955</v>
      </c>
      <c r="MVZ372" s="21" t="s">
        <v>2955</v>
      </c>
      <c r="MWA372" s="21" t="s">
        <v>2955</v>
      </c>
      <c r="MWB372" s="21" t="s">
        <v>2955</v>
      </c>
      <c r="MWC372" s="21" t="s">
        <v>2955</v>
      </c>
      <c r="MWD372" s="21" t="s">
        <v>2955</v>
      </c>
      <c r="MWE372" s="21" t="s">
        <v>2955</v>
      </c>
      <c r="MWF372" s="21" t="s">
        <v>2955</v>
      </c>
      <c r="MWG372" s="21" t="s">
        <v>2955</v>
      </c>
      <c r="MWH372" s="21" t="s">
        <v>2955</v>
      </c>
      <c r="MWI372" s="21" t="s">
        <v>2955</v>
      </c>
      <c r="MWJ372" s="21" t="s">
        <v>2955</v>
      </c>
      <c r="MWK372" s="21" t="s">
        <v>2955</v>
      </c>
      <c r="MWL372" s="21" t="s">
        <v>2955</v>
      </c>
      <c r="MWM372" s="21" t="s">
        <v>2955</v>
      </c>
      <c r="MWN372" s="21" t="s">
        <v>2955</v>
      </c>
      <c r="MWO372" s="21" t="s">
        <v>2955</v>
      </c>
      <c r="MWP372" s="21" t="s">
        <v>2955</v>
      </c>
      <c r="MWQ372" s="21" t="s">
        <v>2955</v>
      </c>
      <c r="MWR372" s="21" t="s">
        <v>2955</v>
      </c>
      <c r="MWS372" s="21" t="s">
        <v>2955</v>
      </c>
      <c r="MWT372" s="21" t="s">
        <v>2955</v>
      </c>
      <c r="MWU372" s="21" t="s">
        <v>2955</v>
      </c>
      <c r="MWV372" s="21" t="s">
        <v>2955</v>
      </c>
      <c r="MWW372" s="21" t="s">
        <v>2955</v>
      </c>
      <c r="MWX372" s="21" t="s">
        <v>2955</v>
      </c>
      <c r="MWY372" s="21" t="s">
        <v>2955</v>
      </c>
      <c r="MWZ372" s="21" t="s">
        <v>2955</v>
      </c>
      <c r="MXA372" s="21" t="s">
        <v>2955</v>
      </c>
      <c r="MXB372" s="21" t="s">
        <v>2955</v>
      </c>
      <c r="MXC372" s="21" t="s">
        <v>2955</v>
      </c>
      <c r="MXD372" s="21" t="s">
        <v>2955</v>
      </c>
      <c r="MXE372" s="21" t="s">
        <v>2955</v>
      </c>
      <c r="MXF372" s="21" t="s">
        <v>2955</v>
      </c>
      <c r="MXG372" s="21" t="s">
        <v>2955</v>
      </c>
      <c r="MXH372" s="21" t="s">
        <v>2955</v>
      </c>
      <c r="MXI372" s="21" t="s">
        <v>2955</v>
      </c>
      <c r="MXJ372" s="21" t="s">
        <v>2955</v>
      </c>
      <c r="MXK372" s="21" t="s">
        <v>2955</v>
      </c>
      <c r="MXL372" s="21" t="s">
        <v>2955</v>
      </c>
      <c r="MXM372" s="21" t="s">
        <v>2955</v>
      </c>
      <c r="MXN372" s="21" t="s">
        <v>2955</v>
      </c>
      <c r="MXO372" s="21" t="s">
        <v>2955</v>
      </c>
      <c r="MXP372" s="21" t="s">
        <v>2955</v>
      </c>
      <c r="MXQ372" s="21" t="s">
        <v>2955</v>
      </c>
      <c r="MXR372" s="21" t="s">
        <v>2955</v>
      </c>
      <c r="MXS372" s="21" t="s">
        <v>2955</v>
      </c>
      <c r="MXT372" s="21" t="s">
        <v>2955</v>
      </c>
      <c r="MXU372" s="21" t="s">
        <v>2955</v>
      </c>
      <c r="MXV372" s="21" t="s">
        <v>2955</v>
      </c>
      <c r="MXW372" s="21" t="s">
        <v>2955</v>
      </c>
      <c r="MXX372" s="21" t="s">
        <v>2955</v>
      </c>
      <c r="MXY372" s="21" t="s">
        <v>2955</v>
      </c>
      <c r="MXZ372" s="21" t="s">
        <v>2955</v>
      </c>
      <c r="MYA372" s="21" t="s">
        <v>2955</v>
      </c>
      <c r="MYB372" s="21" t="s">
        <v>2955</v>
      </c>
      <c r="MYC372" s="21" t="s">
        <v>2955</v>
      </c>
      <c r="MYD372" s="21" t="s">
        <v>2955</v>
      </c>
      <c r="MYE372" s="21" t="s">
        <v>2955</v>
      </c>
      <c r="MYF372" s="21" t="s">
        <v>2955</v>
      </c>
      <c r="MYG372" s="21" t="s">
        <v>2955</v>
      </c>
      <c r="MYH372" s="21" t="s">
        <v>2955</v>
      </c>
      <c r="MYI372" s="21" t="s">
        <v>2955</v>
      </c>
      <c r="MYJ372" s="21" t="s">
        <v>2955</v>
      </c>
      <c r="MYK372" s="21" t="s">
        <v>2955</v>
      </c>
      <c r="MYL372" s="21" t="s">
        <v>2955</v>
      </c>
      <c r="MYM372" s="21" t="s">
        <v>2955</v>
      </c>
      <c r="MYN372" s="21" t="s">
        <v>2955</v>
      </c>
      <c r="MYO372" s="21" t="s">
        <v>2955</v>
      </c>
      <c r="MYP372" s="21" t="s">
        <v>2955</v>
      </c>
      <c r="MYQ372" s="21" t="s">
        <v>2955</v>
      </c>
      <c r="MYR372" s="21" t="s">
        <v>2955</v>
      </c>
      <c r="MYS372" s="21" t="s">
        <v>2955</v>
      </c>
      <c r="MYT372" s="21" t="s">
        <v>2955</v>
      </c>
      <c r="MYU372" s="21" t="s">
        <v>2955</v>
      </c>
      <c r="MYV372" s="21" t="s">
        <v>2955</v>
      </c>
      <c r="MYW372" s="21" t="s">
        <v>2955</v>
      </c>
      <c r="MYX372" s="21" t="s">
        <v>2955</v>
      </c>
      <c r="MYY372" s="21" t="s">
        <v>2955</v>
      </c>
      <c r="MYZ372" s="21" t="s">
        <v>2955</v>
      </c>
      <c r="MZA372" s="21" t="s">
        <v>2955</v>
      </c>
      <c r="MZB372" s="21" t="s">
        <v>2955</v>
      </c>
      <c r="MZC372" s="21" t="s">
        <v>2955</v>
      </c>
      <c r="MZD372" s="21" t="s">
        <v>2955</v>
      </c>
      <c r="MZE372" s="21" t="s">
        <v>2955</v>
      </c>
      <c r="MZF372" s="21" t="s">
        <v>2955</v>
      </c>
      <c r="MZG372" s="21" t="s">
        <v>2955</v>
      </c>
      <c r="MZH372" s="21" t="s">
        <v>2955</v>
      </c>
      <c r="MZI372" s="21" t="s">
        <v>2955</v>
      </c>
      <c r="MZJ372" s="21" t="s">
        <v>2955</v>
      </c>
      <c r="MZK372" s="21" t="s">
        <v>2955</v>
      </c>
      <c r="MZL372" s="21" t="s">
        <v>2955</v>
      </c>
      <c r="MZM372" s="21" t="s">
        <v>2955</v>
      </c>
      <c r="MZN372" s="21" t="s">
        <v>2955</v>
      </c>
      <c r="MZO372" s="21" t="s">
        <v>2955</v>
      </c>
      <c r="MZP372" s="21" t="s">
        <v>2955</v>
      </c>
      <c r="MZQ372" s="21" t="s">
        <v>2955</v>
      </c>
      <c r="MZR372" s="21" t="s">
        <v>2955</v>
      </c>
      <c r="MZS372" s="21" t="s">
        <v>2955</v>
      </c>
      <c r="MZT372" s="21" t="s">
        <v>2955</v>
      </c>
      <c r="MZU372" s="21" t="s">
        <v>2955</v>
      </c>
      <c r="MZV372" s="21" t="s">
        <v>2955</v>
      </c>
      <c r="MZW372" s="21" t="s">
        <v>2955</v>
      </c>
      <c r="MZX372" s="21" t="s">
        <v>2955</v>
      </c>
      <c r="MZY372" s="21" t="s">
        <v>2955</v>
      </c>
      <c r="MZZ372" s="21" t="s">
        <v>2955</v>
      </c>
      <c r="NAA372" s="21" t="s">
        <v>2955</v>
      </c>
      <c r="NAB372" s="21" t="s">
        <v>2955</v>
      </c>
      <c r="NAC372" s="21" t="s">
        <v>2955</v>
      </c>
      <c r="NAD372" s="21" t="s">
        <v>2955</v>
      </c>
      <c r="NAE372" s="21" t="s">
        <v>2955</v>
      </c>
      <c r="NAF372" s="21" t="s">
        <v>2955</v>
      </c>
      <c r="NAG372" s="21" t="s">
        <v>2955</v>
      </c>
      <c r="NAH372" s="21" t="s">
        <v>2955</v>
      </c>
      <c r="NAI372" s="21" t="s">
        <v>2955</v>
      </c>
      <c r="NAJ372" s="21" t="s">
        <v>2955</v>
      </c>
      <c r="NAK372" s="21" t="s">
        <v>2955</v>
      </c>
      <c r="NAL372" s="21" t="s">
        <v>2955</v>
      </c>
      <c r="NAM372" s="21" t="s">
        <v>2955</v>
      </c>
      <c r="NAN372" s="21" t="s">
        <v>2955</v>
      </c>
      <c r="NAO372" s="21" t="s">
        <v>2955</v>
      </c>
      <c r="NAP372" s="21" t="s">
        <v>2955</v>
      </c>
      <c r="NAQ372" s="21" t="s">
        <v>2955</v>
      </c>
      <c r="NAR372" s="21" t="s">
        <v>2955</v>
      </c>
      <c r="NAS372" s="21" t="s">
        <v>2955</v>
      </c>
      <c r="NAT372" s="21" t="s">
        <v>2955</v>
      </c>
      <c r="NAU372" s="21" t="s">
        <v>2955</v>
      </c>
      <c r="NAV372" s="21" t="s">
        <v>2955</v>
      </c>
      <c r="NAW372" s="21" t="s">
        <v>2955</v>
      </c>
      <c r="NAX372" s="21" t="s">
        <v>2955</v>
      </c>
      <c r="NAY372" s="21" t="s">
        <v>2955</v>
      </c>
      <c r="NAZ372" s="21" t="s">
        <v>2955</v>
      </c>
      <c r="NBA372" s="21" t="s">
        <v>2955</v>
      </c>
      <c r="NBB372" s="21" t="s">
        <v>2955</v>
      </c>
      <c r="NBC372" s="21" t="s">
        <v>2955</v>
      </c>
      <c r="NBD372" s="21" t="s">
        <v>2955</v>
      </c>
      <c r="NBE372" s="21" t="s">
        <v>2955</v>
      </c>
      <c r="NBF372" s="21" t="s">
        <v>2955</v>
      </c>
      <c r="NBG372" s="21" t="s">
        <v>2955</v>
      </c>
      <c r="NBH372" s="21" t="s">
        <v>2955</v>
      </c>
      <c r="NBI372" s="21" t="s">
        <v>2955</v>
      </c>
      <c r="NBJ372" s="21" t="s">
        <v>2955</v>
      </c>
      <c r="NBK372" s="21" t="s">
        <v>2955</v>
      </c>
      <c r="NBL372" s="21" t="s">
        <v>2955</v>
      </c>
      <c r="NBM372" s="21" t="s">
        <v>2955</v>
      </c>
      <c r="NBN372" s="21" t="s">
        <v>2955</v>
      </c>
      <c r="NBO372" s="21" t="s">
        <v>2955</v>
      </c>
      <c r="NBP372" s="21" t="s">
        <v>2955</v>
      </c>
      <c r="NBQ372" s="21" t="s">
        <v>2955</v>
      </c>
      <c r="NBR372" s="21" t="s">
        <v>2955</v>
      </c>
      <c r="NBS372" s="21" t="s">
        <v>2955</v>
      </c>
      <c r="NBT372" s="21" t="s">
        <v>2955</v>
      </c>
      <c r="NBU372" s="21" t="s">
        <v>2955</v>
      </c>
      <c r="NBV372" s="21" t="s">
        <v>2955</v>
      </c>
      <c r="NBW372" s="21" t="s">
        <v>2955</v>
      </c>
      <c r="NBX372" s="21" t="s">
        <v>2955</v>
      </c>
      <c r="NBY372" s="21" t="s">
        <v>2955</v>
      </c>
      <c r="NBZ372" s="21" t="s">
        <v>2955</v>
      </c>
      <c r="NCA372" s="21" t="s">
        <v>2955</v>
      </c>
      <c r="NCB372" s="21" t="s">
        <v>2955</v>
      </c>
      <c r="NCC372" s="21" t="s">
        <v>2955</v>
      </c>
      <c r="NCD372" s="21" t="s">
        <v>2955</v>
      </c>
      <c r="NCE372" s="21" t="s">
        <v>2955</v>
      </c>
      <c r="NCF372" s="21" t="s">
        <v>2955</v>
      </c>
      <c r="NCG372" s="21" t="s">
        <v>2955</v>
      </c>
      <c r="NCH372" s="21" t="s">
        <v>2955</v>
      </c>
      <c r="NCI372" s="21" t="s">
        <v>2955</v>
      </c>
      <c r="NCJ372" s="21" t="s">
        <v>2955</v>
      </c>
      <c r="NCK372" s="21" t="s">
        <v>2955</v>
      </c>
      <c r="NCL372" s="21" t="s">
        <v>2955</v>
      </c>
      <c r="NCM372" s="21" t="s">
        <v>2955</v>
      </c>
      <c r="NCN372" s="21" t="s">
        <v>2955</v>
      </c>
      <c r="NCO372" s="21" t="s">
        <v>2955</v>
      </c>
      <c r="NCP372" s="21" t="s">
        <v>2955</v>
      </c>
      <c r="NCQ372" s="21" t="s">
        <v>2955</v>
      </c>
      <c r="NCR372" s="21" t="s">
        <v>2955</v>
      </c>
      <c r="NCS372" s="21" t="s">
        <v>2955</v>
      </c>
      <c r="NCT372" s="21" t="s">
        <v>2955</v>
      </c>
      <c r="NCU372" s="21" t="s">
        <v>2955</v>
      </c>
      <c r="NCV372" s="21" t="s">
        <v>2955</v>
      </c>
      <c r="NCW372" s="21" t="s">
        <v>2955</v>
      </c>
      <c r="NCX372" s="21" t="s">
        <v>2955</v>
      </c>
      <c r="NCY372" s="21" t="s">
        <v>2955</v>
      </c>
      <c r="NCZ372" s="21" t="s">
        <v>2955</v>
      </c>
      <c r="NDA372" s="21" t="s">
        <v>2955</v>
      </c>
      <c r="NDB372" s="21" t="s">
        <v>2955</v>
      </c>
      <c r="NDC372" s="21" t="s">
        <v>2955</v>
      </c>
      <c r="NDD372" s="21" t="s">
        <v>2955</v>
      </c>
      <c r="NDE372" s="21" t="s">
        <v>2955</v>
      </c>
      <c r="NDF372" s="21" t="s">
        <v>2955</v>
      </c>
      <c r="NDG372" s="21" t="s">
        <v>2955</v>
      </c>
      <c r="NDH372" s="21" t="s">
        <v>2955</v>
      </c>
      <c r="NDI372" s="21" t="s">
        <v>2955</v>
      </c>
      <c r="NDJ372" s="21" t="s">
        <v>2955</v>
      </c>
      <c r="NDK372" s="21" t="s">
        <v>2955</v>
      </c>
      <c r="NDL372" s="21" t="s">
        <v>2955</v>
      </c>
      <c r="NDM372" s="21" t="s">
        <v>2955</v>
      </c>
      <c r="NDN372" s="21" t="s">
        <v>2955</v>
      </c>
      <c r="NDO372" s="21" t="s">
        <v>2955</v>
      </c>
      <c r="NDP372" s="21" t="s">
        <v>2955</v>
      </c>
      <c r="NDQ372" s="21" t="s">
        <v>2955</v>
      </c>
      <c r="NDR372" s="21" t="s">
        <v>2955</v>
      </c>
      <c r="NDS372" s="21" t="s">
        <v>2955</v>
      </c>
      <c r="NDT372" s="21" t="s">
        <v>2955</v>
      </c>
      <c r="NDU372" s="21" t="s">
        <v>2955</v>
      </c>
      <c r="NDV372" s="21" t="s">
        <v>2955</v>
      </c>
      <c r="NDW372" s="21" t="s">
        <v>2955</v>
      </c>
      <c r="NDX372" s="21" t="s">
        <v>2955</v>
      </c>
      <c r="NDY372" s="21" t="s">
        <v>2955</v>
      </c>
      <c r="NDZ372" s="21" t="s">
        <v>2955</v>
      </c>
      <c r="NEA372" s="21" t="s">
        <v>2955</v>
      </c>
      <c r="NEB372" s="21" t="s">
        <v>2955</v>
      </c>
      <c r="NEC372" s="21" t="s">
        <v>2955</v>
      </c>
      <c r="NED372" s="21" t="s">
        <v>2955</v>
      </c>
      <c r="NEE372" s="21" t="s">
        <v>2955</v>
      </c>
      <c r="NEF372" s="21" t="s">
        <v>2955</v>
      </c>
      <c r="NEG372" s="21" t="s">
        <v>2955</v>
      </c>
      <c r="NEH372" s="21" t="s">
        <v>2955</v>
      </c>
      <c r="NEI372" s="21" t="s">
        <v>2955</v>
      </c>
      <c r="NEJ372" s="21" t="s">
        <v>2955</v>
      </c>
      <c r="NEK372" s="21" t="s">
        <v>2955</v>
      </c>
      <c r="NEL372" s="21" t="s">
        <v>2955</v>
      </c>
      <c r="NEM372" s="21" t="s">
        <v>2955</v>
      </c>
      <c r="NEN372" s="21" t="s">
        <v>2955</v>
      </c>
      <c r="NEO372" s="21" t="s">
        <v>2955</v>
      </c>
      <c r="NEP372" s="21" t="s">
        <v>2955</v>
      </c>
      <c r="NEQ372" s="21" t="s">
        <v>2955</v>
      </c>
      <c r="NER372" s="21" t="s">
        <v>2955</v>
      </c>
      <c r="NES372" s="21" t="s">
        <v>2955</v>
      </c>
      <c r="NET372" s="21" t="s">
        <v>2955</v>
      </c>
      <c r="NEU372" s="21" t="s">
        <v>2955</v>
      </c>
      <c r="NEV372" s="21" t="s">
        <v>2955</v>
      </c>
      <c r="NEW372" s="21" t="s">
        <v>2955</v>
      </c>
      <c r="NEX372" s="21" t="s">
        <v>2955</v>
      </c>
      <c r="NEY372" s="21" t="s">
        <v>2955</v>
      </c>
      <c r="NEZ372" s="21" t="s">
        <v>2955</v>
      </c>
      <c r="NFA372" s="21" t="s">
        <v>2955</v>
      </c>
      <c r="NFB372" s="21" t="s">
        <v>2955</v>
      </c>
      <c r="NFC372" s="21" t="s">
        <v>2955</v>
      </c>
      <c r="NFD372" s="21" t="s">
        <v>2955</v>
      </c>
      <c r="NFE372" s="21" t="s">
        <v>2955</v>
      </c>
      <c r="NFF372" s="21" t="s">
        <v>2955</v>
      </c>
      <c r="NFG372" s="21" t="s">
        <v>2955</v>
      </c>
      <c r="NFH372" s="21" t="s">
        <v>2955</v>
      </c>
      <c r="NFI372" s="21" t="s">
        <v>2955</v>
      </c>
      <c r="NFJ372" s="21" t="s">
        <v>2955</v>
      </c>
      <c r="NFK372" s="21" t="s">
        <v>2955</v>
      </c>
      <c r="NFL372" s="21" t="s">
        <v>2955</v>
      </c>
      <c r="NFM372" s="21" t="s">
        <v>2955</v>
      </c>
      <c r="NFN372" s="21" t="s">
        <v>2955</v>
      </c>
      <c r="NFO372" s="21" t="s">
        <v>2955</v>
      </c>
      <c r="NFP372" s="21" t="s">
        <v>2955</v>
      </c>
      <c r="NFQ372" s="21" t="s">
        <v>2955</v>
      </c>
      <c r="NFR372" s="21" t="s">
        <v>2955</v>
      </c>
      <c r="NFS372" s="21" t="s">
        <v>2955</v>
      </c>
      <c r="NFT372" s="21" t="s">
        <v>2955</v>
      </c>
      <c r="NFU372" s="21" t="s">
        <v>2955</v>
      </c>
      <c r="NFV372" s="21" t="s">
        <v>2955</v>
      </c>
      <c r="NFW372" s="21" t="s">
        <v>2955</v>
      </c>
      <c r="NFX372" s="21" t="s">
        <v>2955</v>
      </c>
      <c r="NFY372" s="21" t="s">
        <v>2955</v>
      </c>
      <c r="NFZ372" s="21" t="s">
        <v>2955</v>
      </c>
      <c r="NGA372" s="21" t="s">
        <v>2955</v>
      </c>
      <c r="NGB372" s="21" t="s">
        <v>2955</v>
      </c>
      <c r="NGC372" s="21" t="s">
        <v>2955</v>
      </c>
      <c r="NGD372" s="21" t="s">
        <v>2955</v>
      </c>
      <c r="NGE372" s="21" t="s">
        <v>2955</v>
      </c>
      <c r="NGF372" s="21" t="s">
        <v>2955</v>
      </c>
      <c r="NGG372" s="21" t="s">
        <v>2955</v>
      </c>
      <c r="NGH372" s="21" t="s">
        <v>2955</v>
      </c>
      <c r="NGI372" s="21" t="s">
        <v>2955</v>
      </c>
      <c r="NGJ372" s="21" t="s">
        <v>2955</v>
      </c>
      <c r="NGK372" s="21" t="s">
        <v>2955</v>
      </c>
      <c r="NGL372" s="21" t="s">
        <v>2955</v>
      </c>
      <c r="NGM372" s="21" t="s">
        <v>2955</v>
      </c>
      <c r="NGN372" s="21" t="s">
        <v>2955</v>
      </c>
      <c r="NGO372" s="21" t="s">
        <v>2955</v>
      </c>
      <c r="NGP372" s="21" t="s">
        <v>2955</v>
      </c>
      <c r="NGQ372" s="21" t="s">
        <v>2955</v>
      </c>
      <c r="NGR372" s="21" t="s">
        <v>2955</v>
      </c>
      <c r="NGS372" s="21" t="s">
        <v>2955</v>
      </c>
      <c r="NGT372" s="21" t="s">
        <v>2955</v>
      </c>
      <c r="NGU372" s="21" t="s">
        <v>2955</v>
      </c>
      <c r="NGV372" s="21" t="s">
        <v>2955</v>
      </c>
      <c r="NGW372" s="21" t="s">
        <v>2955</v>
      </c>
      <c r="NGX372" s="21" t="s">
        <v>2955</v>
      </c>
      <c r="NGY372" s="21" t="s">
        <v>2955</v>
      </c>
      <c r="NGZ372" s="21" t="s">
        <v>2955</v>
      </c>
      <c r="NHA372" s="21" t="s">
        <v>2955</v>
      </c>
      <c r="NHB372" s="21" t="s">
        <v>2955</v>
      </c>
      <c r="NHC372" s="21" t="s">
        <v>2955</v>
      </c>
      <c r="NHD372" s="21" t="s">
        <v>2955</v>
      </c>
      <c r="NHE372" s="21" t="s">
        <v>2955</v>
      </c>
      <c r="NHF372" s="21" t="s">
        <v>2955</v>
      </c>
      <c r="NHG372" s="21" t="s">
        <v>2955</v>
      </c>
      <c r="NHH372" s="21" t="s">
        <v>2955</v>
      </c>
      <c r="NHI372" s="21" t="s">
        <v>2955</v>
      </c>
      <c r="NHJ372" s="21" t="s">
        <v>2955</v>
      </c>
      <c r="NHK372" s="21" t="s">
        <v>2955</v>
      </c>
      <c r="NHL372" s="21" t="s">
        <v>2955</v>
      </c>
      <c r="NHM372" s="21" t="s">
        <v>2955</v>
      </c>
      <c r="NHN372" s="21" t="s">
        <v>2955</v>
      </c>
      <c r="NHO372" s="21" t="s">
        <v>2955</v>
      </c>
      <c r="NHP372" s="21" t="s">
        <v>2955</v>
      </c>
      <c r="NHQ372" s="21" t="s">
        <v>2955</v>
      </c>
      <c r="NHR372" s="21" t="s">
        <v>2955</v>
      </c>
      <c r="NHS372" s="21" t="s">
        <v>2955</v>
      </c>
      <c r="NHT372" s="21" t="s">
        <v>2955</v>
      </c>
      <c r="NHU372" s="21" t="s">
        <v>2955</v>
      </c>
      <c r="NHV372" s="21" t="s">
        <v>2955</v>
      </c>
      <c r="NHW372" s="21" t="s">
        <v>2955</v>
      </c>
      <c r="NHX372" s="21" t="s">
        <v>2955</v>
      </c>
      <c r="NHY372" s="21" t="s">
        <v>2955</v>
      </c>
      <c r="NHZ372" s="21" t="s">
        <v>2955</v>
      </c>
      <c r="NIA372" s="21" t="s">
        <v>2955</v>
      </c>
      <c r="NIB372" s="21" t="s">
        <v>2955</v>
      </c>
      <c r="NIC372" s="21" t="s">
        <v>2955</v>
      </c>
      <c r="NID372" s="21" t="s">
        <v>2955</v>
      </c>
      <c r="NIE372" s="21" t="s">
        <v>2955</v>
      </c>
      <c r="NIF372" s="21" t="s">
        <v>2955</v>
      </c>
      <c r="NIG372" s="21" t="s">
        <v>2955</v>
      </c>
      <c r="NIH372" s="21" t="s">
        <v>2955</v>
      </c>
      <c r="NII372" s="21" t="s">
        <v>2955</v>
      </c>
      <c r="NIJ372" s="21" t="s">
        <v>2955</v>
      </c>
      <c r="NIK372" s="21" t="s">
        <v>2955</v>
      </c>
      <c r="NIL372" s="21" t="s">
        <v>2955</v>
      </c>
      <c r="NIM372" s="21" t="s">
        <v>2955</v>
      </c>
      <c r="NIN372" s="21" t="s">
        <v>2955</v>
      </c>
      <c r="NIO372" s="21" t="s">
        <v>2955</v>
      </c>
      <c r="NIP372" s="21" t="s">
        <v>2955</v>
      </c>
      <c r="NIQ372" s="21" t="s">
        <v>2955</v>
      </c>
      <c r="NIR372" s="21" t="s">
        <v>2955</v>
      </c>
      <c r="NIS372" s="21" t="s">
        <v>2955</v>
      </c>
      <c r="NIT372" s="21" t="s">
        <v>2955</v>
      </c>
      <c r="NIU372" s="21" t="s">
        <v>2955</v>
      </c>
      <c r="NIV372" s="21" t="s">
        <v>2955</v>
      </c>
      <c r="NIW372" s="21" t="s">
        <v>2955</v>
      </c>
      <c r="NIX372" s="21" t="s">
        <v>2955</v>
      </c>
      <c r="NIY372" s="21" t="s">
        <v>2955</v>
      </c>
      <c r="NIZ372" s="21" t="s">
        <v>2955</v>
      </c>
      <c r="NJA372" s="21" t="s">
        <v>2955</v>
      </c>
      <c r="NJB372" s="21" t="s">
        <v>2955</v>
      </c>
      <c r="NJC372" s="21" t="s">
        <v>2955</v>
      </c>
      <c r="NJD372" s="21" t="s">
        <v>2955</v>
      </c>
      <c r="NJE372" s="21" t="s">
        <v>2955</v>
      </c>
      <c r="NJF372" s="21" t="s">
        <v>2955</v>
      </c>
      <c r="NJG372" s="21" t="s">
        <v>2955</v>
      </c>
      <c r="NJH372" s="21" t="s">
        <v>2955</v>
      </c>
      <c r="NJI372" s="21" t="s">
        <v>2955</v>
      </c>
      <c r="NJJ372" s="21" t="s">
        <v>2955</v>
      </c>
      <c r="NJK372" s="21" t="s">
        <v>2955</v>
      </c>
      <c r="NJL372" s="21" t="s">
        <v>2955</v>
      </c>
      <c r="NJM372" s="21" t="s">
        <v>2955</v>
      </c>
      <c r="NJN372" s="21" t="s">
        <v>2955</v>
      </c>
      <c r="NJO372" s="21" t="s">
        <v>2955</v>
      </c>
      <c r="NJP372" s="21" t="s">
        <v>2955</v>
      </c>
      <c r="NJQ372" s="21" t="s">
        <v>2955</v>
      </c>
      <c r="NJR372" s="21" t="s">
        <v>2955</v>
      </c>
      <c r="NJS372" s="21" t="s">
        <v>2955</v>
      </c>
      <c r="NJT372" s="21" t="s">
        <v>2955</v>
      </c>
      <c r="NJU372" s="21" t="s">
        <v>2955</v>
      </c>
      <c r="NJV372" s="21" t="s">
        <v>2955</v>
      </c>
      <c r="NJW372" s="21" t="s">
        <v>2955</v>
      </c>
      <c r="NJX372" s="21" t="s">
        <v>2955</v>
      </c>
      <c r="NJY372" s="21" t="s">
        <v>2955</v>
      </c>
      <c r="NJZ372" s="21" t="s">
        <v>2955</v>
      </c>
      <c r="NKA372" s="21" t="s">
        <v>2955</v>
      </c>
      <c r="NKB372" s="21" t="s">
        <v>2955</v>
      </c>
      <c r="NKC372" s="21" t="s">
        <v>2955</v>
      </c>
      <c r="NKD372" s="21" t="s">
        <v>2955</v>
      </c>
      <c r="NKE372" s="21" t="s">
        <v>2955</v>
      </c>
      <c r="NKF372" s="21" t="s">
        <v>2955</v>
      </c>
      <c r="NKG372" s="21" t="s">
        <v>2955</v>
      </c>
      <c r="NKH372" s="21" t="s">
        <v>2955</v>
      </c>
      <c r="NKI372" s="21" t="s">
        <v>2955</v>
      </c>
      <c r="NKJ372" s="21" t="s">
        <v>2955</v>
      </c>
      <c r="NKK372" s="21" t="s">
        <v>2955</v>
      </c>
      <c r="NKL372" s="21" t="s">
        <v>2955</v>
      </c>
      <c r="NKM372" s="21" t="s">
        <v>2955</v>
      </c>
      <c r="NKN372" s="21" t="s">
        <v>2955</v>
      </c>
      <c r="NKO372" s="21" t="s">
        <v>2955</v>
      </c>
      <c r="NKP372" s="21" t="s">
        <v>2955</v>
      </c>
      <c r="NKQ372" s="21" t="s">
        <v>2955</v>
      </c>
      <c r="NKR372" s="21" t="s">
        <v>2955</v>
      </c>
      <c r="NKS372" s="21" t="s">
        <v>2955</v>
      </c>
      <c r="NKT372" s="21" t="s">
        <v>2955</v>
      </c>
      <c r="NKU372" s="21" t="s">
        <v>2955</v>
      </c>
      <c r="NKV372" s="21" t="s">
        <v>2955</v>
      </c>
      <c r="NKW372" s="21" t="s">
        <v>2955</v>
      </c>
      <c r="NKX372" s="21" t="s">
        <v>2955</v>
      </c>
      <c r="NKY372" s="21" t="s">
        <v>2955</v>
      </c>
      <c r="NKZ372" s="21" t="s">
        <v>2955</v>
      </c>
      <c r="NLA372" s="21" t="s">
        <v>2955</v>
      </c>
      <c r="NLB372" s="21" t="s">
        <v>2955</v>
      </c>
      <c r="NLC372" s="21" t="s">
        <v>2955</v>
      </c>
      <c r="NLD372" s="21" t="s">
        <v>2955</v>
      </c>
      <c r="NLE372" s="21" t="s">
        <v>2955</v>
      </c>
      <c r="NLF372" s="21" t="s">
        <v>2955</v>
      </c>
      <c r="NLG372" s="21" t="s">
        <v>2955</v>
      </c>
      <c r="NLH372" s="21" t="s">
        <v>2955</v>
      </c>
      <c r="NLI372" s="21" t="s">
        <v>2955</v>
      </c>
      <c r="NLJ372" s="21" t="s">
        <v>2955</v>
      </c>
      <c r="NLK372" s="21" t="s">
        <v>2955</v>
      </c>
      <c r="NLL372" s="21" t="s">
        <v>2955</v>
      </c>
      <c r="NLM372" s="21" t="s">
        <v>2955</v>
      </c>
      <c r="NLN372" s="21" t="s">
        <v>2955</v>
      </c>
      <c r="NLO372" s="21" t="s">
        <v>2955</v>
      </c>
      <c r="NLP372" s="21" t="s">
        <v>2955</v>
      </c>
      <c r="NLQ372" s="21" t="s">
        <v>2955</v>
      </c>
      <c r="NLR372" s="21" t="s">
        <v>2955</v>
      </c>
      <c r="NLS372" s="21" t="s">
        <v>2955</v>
      </c>
      <c r="NLT372" s="21" t="s">
        <v>2955</v>
      </c>
      <c r="NLU372" s="21" t="s">
        <v>2955</v>
      </c>
      <c r="NLV372" s="21" t="s">
        <v>2955</v>
      </c>
      <c r="NLW372" s="21" t="s">
        <v>2955</v>
      </c>
      <c r="NLX372" s="21" t="s">
        <v>2955</v>
      </c>
      <c r="NLY372" s="21" t="s">
        <v>2955</v>
      </c>
      <c r="NLZ372" s="21" t="s">
        <v>2955</v>
      </c>
      <c r="NMA372" s="21" t="s">
        <v>2955</v>
      </c>
      <c r="NMB372" s="21" t="s">
        <v>2955</v>
      </c>
      <c r="NMC372" s="21" t="s">
        <v>2955</v>
      </c>
      <c r="NMD372" s="21" t="s">
        <v>2955</v>
      </c>
      <c r="NME372" s="21" t="s">
        <v>2955</v>
      </c>
      <c r="NMF372" s="21" t="s">
        <v>2955</v>
      </c>
      <c r="NMG372" s="21" t="s">
        <v>2955</v>
      </c>
      <c r="NMH372" s="21" t="s">
        <v>2955</v>
      </c>
      <c r="NMI372" s="21" t="s">
        <v>2955</v>
      </c>
      <c r="NMJ372" s="21" t="s">
        <v>2955</v>
      </c>
      <c r="NMK372" s="21" t="s">
        <v>2955</v>
      </c>
      <c r="NML372" s="21" t="s">
        <v>2955</v>
      </c>
      <c r="NMM372" s="21" t="s">
        <v>2955</v>
      </c>
      <c r="NMN372" s="21" t="s">
        <v>2955</v>
      </c>
      <c r="NMO372" s="21" t="s">
        <v>2955</v>
      </c>
      <c r="NMP372" s="21" t="s">
        <v>2955</v>
      </c>
      <c r="NMQ372" s="21" t="s">
        <v>2955</v>
      </c>
      <c r="NMR372" s="21" t="s">
        <v>2955</v>
      </c>
      <c r="NMS372" s="21" t="s">
        <v>2955</v>
      </c>
      <c r="NMT372" s="21" t="s">
        <v>2955</v>
      </c>
      <c r="NMU372" s="21" t="s">
        <v>2955</v>
      </c>
      <c r="NMV372" s="21" t="s">
        <v>2955</v>
      </c>
      <c r="NMW372" s="21" t="s">
        <v>2955</v>
      </c>
      <c r="NMX372" s="21" t="s">
        <v>2955</v>
      </c>
      <c r="NMY372" s="21" t="s">
        <v>2955</v>
      </c>
      <c r="NMZ372" s="21" t="s">
        <v>2955</v>
      </c>
      <c r="NNA372" s="21" t="s">
        <v>2955</v>
      </c>
      <c r="NNB372" s="21" t="s">
        <v>2955</v>
      </c>
      <c r="NNC372" s="21" t="s">
        <v>2955</v>
      </c>
      <c r="NND372" s="21" t="s">
        <v>2955</v>
      </c>
      <c r="NNE372" s="21" t="s">
        <v>2955</v>
      </c>
      <c r="NNF372" s="21" t="s">
        <v>2955</v>
      </c>
      <c r="NNG372" s="21" t="s">
        <v>2955</v>
      </c>
      <c r="NNH372" s="21" t="s">
        <v>2955</v>
      </c>
      <c r="NNI372" s="21" t="s">
        <v>2955</v>
      </c>
      <c r="NNJ372" s="21" t="s">
        <v>2955</v>
      </c>
      <c r="NNK372" s="21" t="s">
        <v>2955</v>
      </c>
      <c r="NNL372" s="21" t="s">
        <v>2955</v>
      </c>
      <c r="NNM372" s="21" t="s">
        <v>2955</v>
      </c>
      <c r="NNN372" s="21" t="s">
        <v>2955</v>
      </c>
      <c r="NNO372" s="21" t="s">
        <v>2955</v>
      </c>
      <c r="NNP372" s="21" t="s">
        <v>2955</v>
      </c>
      <c r="NNQ372" s="21" t="s">
        <v>2955</v>
      </c>
      <c r="NNR372" s="21" t="s">
        <v>2955</v>
      </c>
      <c r="NNS372" s="21" t="s">
        <v>2955</v>
      </c>
      <c r="NNT372" s="21" t="s">
        <v>2955</v>
      </c>
      <c r="NNU372" s="21" t="s">
        <v>2955</v>
      </c>
      <c r="NNV372" s="21" t="s">
        <v>2955</v>
      </c>
      <c r="NNW372" s="21" t="s">
        <v>2955</v>
      </c>
      <c r="NNX372" s="21" t="s">
        <v>2955</v>
      </c>
      <c r="NNY372" s="21" t="s">
        <v>2955</v>
      </c>
      <c r="NNZ372" s="21" t="s">
        <v>2955</v>
      </c>
      <c r="NOA372" s="21" t="s">
        <v>2955</v>
      </c>
      <c r="NOB372" s="21" t="s">
        <v>2955</v>
      </c>
      <c r="NOC372" s="21" t="s">
        <v>2955</v>
      </c>
      <c r="NOD372" s="21" t="s">
        <v>2955</v>
      </c>
      <c r="NOE372" s="21" t="s">
        <v>2955</v>
      </c>
      <c r="NOF372" s="21" t="s">
        <v>2955</v>
      </c>
      <c r="NOG372" s="21" t="s">
        <v>2955</v>
      </c>
      <c r="NOH372" s="21" t="s">
        <v>2955</v>
      </c>
      <c r="NOI372" s="21" t="s">
        <v>2955</v>
      </c>
      <c r="NOJ372" s="21" t="s">
        <v>2955</v>
      </c>
      <c r="NOK372" s="21" t="s">
        <v>2955</v>
      </c>
      <c r="NOL372" s="21" t="s">
        <v>2955</v>
      </c>
      <c r="NOM372" s="21" t="s">
        <v>2955</v>
      </c>
      <c r="NON372" s="21" t="s">
        <v>2955</v>
      </c>
      <c r="NOO372" s="21" t="s">
        <v>2955</v>
      </c>
      <c r="NOP372" s="21" t="s">
        <v>2955</v>
      </c>
      <c r="NOQ372" s="21" t="s">
        <v>2955</v>
      </c>
      <c r="NOR372" s="21" t="s">
        <v>2955</v>
      </c>
      <c r="NOS372" s="21" t="s">
        <v>2955</v>
      </c>
      <c r="NOT372" s="21" t="s">
        <v>2955</v>
      </c>
      <c r="NOU372" s="21" t="s">
        <v>2955</v>
      </c>
      <c r="NOV372" s="21" t="s">
        <v>2955</v>
      </c>
      <c r="NOW372" s="21" t="s">
        <v>2955</v>
      </c>
      <c r="NOX372" s="21" t="s">
        <v>2955</v>
      </c>
      <c r="NOY372" s="21" t="s">
        <v>2955</v>
      </c>
      <c r="NOZ372" s="21" t="s">
        <v>2955</v>
      </c>
      <c r="NPA372" s="21" t="s">
        <v>2955</v>
      </c>
      <c r="NPB372" s="21" t="s">
        <v>2955</v>
      </c>
      <c r="NPC372" s="21" t="s">
        <v>2955</v>
      </c>
      <c r="NPD372" s="21" t="s">
        <v>2955</v>
      </c>
      <c r="NPE372" s="21" t="s">
        <v>2955</v>
      </c>
      <c r="NPF372" s="21" t="s">
        <v>2955</v>
      </c>
      <c r="NPG372" s="21" t="s">
        <v>2955</v>
      </c>
      <c r="NPH372" s="21" t="s">
        <v>2955</v>
      </c>
      <c r="NPI372" s="21" t="s">
        <v>2955</v>
      </c>
      <c r="NPJ372" s="21" t="s">
        <v>2955</v>
      </c>
      <c r="NPK372" s="21" t="s">
        <v>2955</v>
      </c>
      <c r="NPL372" s="21" t="s">
        <v>2955</v>
      </c>
      <c r="NPM372" s="21" t="s">
        <v>2955</v>
      </c>
      <c r="NPN372" s="21" t="s">
        <v>2955</v>
      </c>
      <c r="NPO372" s="21" t="s">
        <v>2955</v>
      </c>
      <c r="NPP372" s="21" t="s">
        <v>2955</v>
      </c>
      <c r="NPQ372" s="21" t="s">
        <v>2955</v>
      </c>
      <c r="NPR372" s="21" t="s">
        <v>2955</v>
      </c>
      <c r="NPS372" s="21" t="s">
        <v>2955</v>
      </c>
      <c r="NPT372" s="21" t="s">
        <v>2955</v>
      </c>
      <c r="NPU372" s="21" t="s">
        <v>2955</v>
      </c>
      <c r="NPV372" s="21" t="s">
        <v>2955</v>
      </c>
      <c r="NPW372" s="21" t="s">
        <v>2955</v>
      </c>
      <c r="NPX372" s="21" t="s">
        <v>2955</v>
      </c>
      <c r="NPY372" s="21" t="s">
        <v>2955</v>
      </c>
      <c r="NPZ372" s="21" t="s">
        <v>2955</v>
      </c>
      <c r="NQA372" s="21" t="s">
        <v>2955</v>
      </c>
      <c r="NQB372" s="21" t="s">
        <v>2955</v>
      </c>
      <c r="NQC372" s="21" t="s">
        <v>2955</v>
      </c>
      <c r="NQD372" s="21" t="s">
        <v>2955</v>
      </c>
      <c r="NQE372" s="21" t="s">
        <v>2955</v>
      </c>
      <c r="NQF372" s="21" t="s">
        <v>2955</v>
      </c>
      <c r="NQG372" s="21" t="s">
        <v>2955</v>
      </c>
      <c r="NQH372" s="21" t="s">
        <v>2955</v>
      </c>
      <c r="NQI372" s="21" t="s">
        <v>2955</v>
      </c>
      <c r="NQJ372" s="21" t="s">
        <v>2955</v>
      </c>
      <c r="NQK372" s="21" t="s">
        <v>2955</v>
      </c>
      <c r="NQL372" s="21" t="s">
        <v>2955</v>
      </c>
      <c r="NQM372" s="21" t="s">
        <v>2955</v>
      </c>
      <c r="NQN372" s="21" t="s">
        <v>2955</v>
      </c>
      <c r="NQO372" s="21" t="s">
        <v>2955</v>
      </c>
      <c r="NQP372" s="21" t="s">
        <v>2955</v>
      </c>
      <c r="NQQ372" s="21" t="s">
        <v>2955</v>
      </c>
      <c r="NQR372" s="21" t="s">
        <v>2955</v>
      </c>
      <c r="NQS372" s="21" t="s">
        <v>2955</v>
      </c>
      <c r="NQT372" s="21" t="s">
        <v>2955</v>
      </c>
      <c r="NQU372" s="21" t="s">
        <v>2955</v>
      </c>
      <c r="NQV372" s="21" t="s">
        <v>2955</v>
      </c>
      <c r="NQW372" s="21" t="s">
        <v>2955</v>
      </c>
      <c r="NQX372" s="21" t="s">
        <v>2955</v>
      </c>
      <c r="NQY372" s="21" t="s">
        <v>2955</v>
      </c>
      <c r="NQZ372" s="21" t="s">
        <v>2955</v>
      </c>
      <c r="NRA372" s="21" t="s">
        <v>2955</v>
      </c>
      <c r="NRB372" s="21" t="s">
        <v>2955</v>
      </c>
      <c r="NRC372" s="21" t="s">
        <v>2955</v>
      </c>
      <c r="NRD372" s="21" t="s">
        <v>2955</v>
      </c>
      <c r="NRE372" s="21" t="s">
        <v>2955</v>
      </c>
      <c r="NRF372" s="21" t="s">
        <v>2955</v>
      </c>
      <c r="NRG372" s="21" t="s">
        <v>2955</v>
      </c>
      <c r="NRH372" s="21" t="s">
        <v>2955</v>
      </c>
      <c r="NRI372" s="21" t="s">
        <v>2955</v>
      </c>
      <c r="NRJ372" s="21" t="s">
        <v>2955</v>
      </c>
      <c r="NRK372" s="21" t="s">
        <v>2955</v>
      </c>
      <c r="NRL372" s="21" t="s">
        <v>2955</v>
      </c>
      <c r="NRM372" s="21" t="s">
        <v>2955</v>
      </c>
      <c r="NRN372" s="21" t="s">
        <v>2955</v>
      </c>
      <c r="NRO372" s="21" t="s">
        <v>2955</v>
      </c>
      <c r="NRP372" s="21" t="s">
        <v>2955</v>
      </c>
      <c r="NRQ372" s="21" t="s">
        <v>2955</v>
      </c>
      <c r="NRR372" s="21" t="s">
        <v>2955</v>
      </c>
      <c r="NRS372" s="21" t="s">
        <v>2955</v>
      </c>
      <c r="NRT372" s="21" t="s">
        <v>2955</v>
      </c>
      <c r="NRU372" s="21" t="s">
        <v>2955</v>
      </c>
      <c r="NRV372" s="21" t="s">
        <v>2955</v>
      </c>
      <c r="NRW372" s="21" t="s">
        <v>2955</v>
      </c>
      <c r="NRX372" s="21" t="s">
        <v>2955</v>
      </c>
      <c r="NRY372" s="21" t="s">
        <v>2955</v>
      </c>
      <c r="NRZ372" s="21" t="s">
        <v>2955</v>
      </c>
      <c r="NSA372" s="21" t="s">
        <v>2955</v>
      </c>
      <c r="NSB372" s="21" t="s">
        <v>2955</v>
      </c>
      <c r="NSC372" s="21" t="s">
        <v>2955</v>
      </c>
      <c r="NSD372" s="21" t="s">
        <v>2955</v>
      </c>
      <c r="NSE372" s="21" t="s">
        <v>2955</v>
      </c>
      <c r="NSF372" s="21" t="s">
        <v>2955</v>
      </c>
      <c r="NSG372" s="21" t="s">
        <v>2955</v>
      </c>
      <c r="NSH372" s="21" t="s">
        <v>2955</v>
      </c>
      <c r="NSI372" s="21" t="s">
        <v>2955</v>
      </c>
      <c r="NSJ372" s="21" t="s">
        <v>2955</v>
      </c>
      <c r="NSK372" s="21" t="s">
        <v>2955</v>
      </c>
      <c r="NSL372" s="21" t="s">
        <v>2955</v>
      </c>
      <c r="NSM372" s="21" t="s">
        <v>2955</v>
      </c>
      <c r="NSN372" s="21" t="s">
        <v>2955</v>
      </c>
      <c r="NSO372" s="21" t="s">
        <v>2955</v>
      </c>
      <c r="NSP372" s="21" t="s">
        <v>2955</v>
      </c>
      <c r="NSQ372" s="21" t="s">
        <v>2955</v>
      </c>
      <c r="NSR372" s="21" t="s">
        <v>2955</v>
      </c>
      <c r="NSS372" s="21" t="s">
        <v>2955</v>
      </c>
      <c r="NST372" s="21" t="s">
        <v>2955</v>
      </c>
      <c r="NSU372" s="21" t="s">
        <v>2955</v>
      </c>
      <c r="NSV372" s="21" t="s">
        <v>2955</v>
      </c>
      <c r="NSW372" s="21" t="s">
        <v>2955</v>
      </c>
      <c r="NSX372" s="21" t="s">
        <v>2955</v>
      </c>
      <c r="NSY372" s="21" t="s">
        <v>2955</v>
      </c>
      <c r="NSZ372" s="21" t="s">
        <v>2955</v>
      </c>
      <c r="NTA372" s="21" t="s">
        <v>2955</v>
      </c>
      <c r="NTB372" s="21" t="s">
        <v>2955</v>
      </c>
      <c r="NTC372" s="21" t="s">
        <v>2955</v>
      </c>
      <c r="NTD372" s="21" t="s">
        <v>2955</v>
      </c>
      <c r="NTE372" s="21" t="s">
        <v>2955</v>
      </c>
      <c r="NTF372" s="21" t="s">
        <v>2955</v>
      </c>
      <c r="NTG372" s="21" t="s">
        <v>2955</v>
      </c>
      <c r="NTH372" s="21" t="s">
        <v>2955</v>
      </c>
      <c r="NTI372" s="21" t="s">
        <v>2955</v>
      </c>
      <c r="NTJ372" s="21" t="s">
        <v>2955</v>
      </c>
      <c r="NTK372" s="21" t="s">
        <v>2955</v>
      </c>
      <c r="NTL372" s="21" t="s">
        <v>2955</v>
      </c>
      <c r="NTM372" s="21" t="s">
        <v>2955</v>
      </c>
      <c r="NTN372" s="21" t="s">
        <v>2955</v>
      </c>
      <c r="NTO372" s="21" t="s">
        <v>2955</v>
      </c>
      <c r="NTP372" s="21" t="s">
        <v>2955</v>
      </c>
      <c r="NTQ372" s="21" t="s">
        <v>2955</v>
      </c>
      <c r="NTR372" s="21" t="s">
        <v>2955</v>
      </c>
      <c r="NTS372" s="21" t="s">
        <v>2955</v>
      </c>
      <c r="NTT372" s="21" t="s">
        <v>2955</v>
      </c>
      <c r="NTU372" s="21" t="s">
        <v>2955</v>
      </c>
      <c r="NTV372" s="21" t="s">
        <v>2955</v>
      </c>
      <c r="NTW372" s="21" t="s">
        <v>2955</v>
      </c>
      <c r="NTX372" s="21" t="s">
        <v>2955</v>
      </c>
      <c r="NTY372" s="21" t="s">
        <v>2955</v>
      </c>
      <c r="NTZ372" s="21" t="s">
        <v>2955</v>
      </c>
      <c r="NUA372" s="21" t="s">
        <v>2955</v>
      </c>
      <c r="NUB372" s="21" t="s">
        <v>2955</v>
      </c>
      <c r="NUC372" s="21" t="s">
        <v>2955</v>
      </c>
      <c r="NUD372" s="21" t="s">
        <v>2955</v>
      </c>
      <c r="NUE372" s="21" t="s">
        <v>2955</v>
      </c>
      <c r="NUF372" s="21" t="s">
        <v>2955</v>
      </c>
      <c r="NUG372" s="21" t="s">
        <v>2955</v>
      </c>
      <c r="NUH372" s="21" t="s">
        <v>2955</v>
      </c>
      <c r="NUI372" s="21" t="s">
        <v>2955</v>
      </c>
      <c r="NUJ372" s="21" t="s">
        <v>2955</v>
      </c>
      <c r="NUK372" s="21" t="s">
        <v>2955</v>
      </c>
      <c r="NUL372" s="21" t="s">
        <v>2955</v>
      </c>
      <c r="NUM372" s="21" t="s">
        <v>2955</v>
      </c>
      <c r="NUN372" s="21" t="s">
        <v>2955</v>
      </c>
      <c r="NUO372" s="21" t="s">
        <v>2955</v>
      </c>
      <c r="NUP372" s="21" t="s">
        <v>2955</v>
      </c>
      <c r="NUQ372" s="21" t="s">
        <v>2955</v>
      </c>
      <c r="NUR372" s="21" t="s">
        <v>2955</v>
      </c>
      <c r="NUS372" s="21" t="s">
        <v>2955</v>
      </c>
      <c r="NUT372" s="21" t="s">
        <v>2955</v>
      </c>
      <c r="NUU372" s="21" t="s">
        <v>2955</v>
      </c>
      <c r="NUV372" s="21" t="s">
        <v>2955</v>
      </c>
      <c r="NUW372" s="21" t="s">
        <v>2955</v>
      </c>
      <c r="NUX372" s="21" t="s">
        <v>2955</v>
      </c>
      <c r="NUY372" s="21" t="s">
        <v>2955</v>
      </c>
      <c r="NUZ372" s="21" t="s">
        <v>2955</v>
      </c>
      <c r="NVA372" s="21" t="s">
        <v>2955</v>
      </c>
      <c r="NVB372" s="21" t="s">
        <v>2955</v>
      </c>
      <c r="NVC372" s="21" t="s">
        <v>2955</v>
      </c>
      <c r="NVD372" s="21" t="s">
        <v>2955</v>
      </c>
      <c r="NVE372" s="21" t="s">
        <v>2955</v>
      </c>
      <c r="NVF372" s="21" t="s">
        <v>2955</v>
      </c>
      <c r="NVG372" s="21" t="s">
        <v>2955</v>
      </c>
      <c r="NVH372" s="21" t="s">
        <v>2955</v>
      </c>
      <c r="NVI372" s="21" t="s">
        <v>2955</v>
      </c>
      <c r="NVJ372" s="21" t="s">
        <v>2955</v>
      </c>
      <c r="NVK372" s="21" t="s">
        <v>2955</v>
      </c>
      <c r="NVL372" s="21" t="s">
        <v>2955</v>
      </c>
      <c r="NVM372" s="21" t="s">
        <v>2955</v>
      </c>
      <c r="NVN372" s="21" t="s">
        <v>2955</v>
      </c>
      <c r="NVO372" s="21" t="s">
        <v>2955</v>
      </c>
      <c r="NVP372" s="21" t="s">
        <v>2955</v>
      </c>
      <c r="NVQ372" s="21" t="s">
        <v>2955</v>
      </c>
      <c r="NVR372" s="21" t="s">
        <v>2955</v>
      </c>
      <c r="NVS372" s="21" t="s">
        <v>2955</v>
      </c>
      <c r="NVT372" s="21" t="s">
        <v>2955</v>
      </c>
      <c r="NVU372" s="21" t="s">
        <v>2955</v>
      </c>
      <c r="NVV372" s="21" t="s">
        <v>2955</v>
      </c>
      <c r="NVW372" s="21" t="s">
        <v>2955</v>
      </c>
      <c r="NVX372" s="21" t="s">
        <v>2955</v>
      </c>
      <c r="NVY372" s="21" t="s">
        <v>2955</v>
      </c>
      <c r="NVZ372" s="21" t="s">
        <v>2955</v>
      </c>
      <c r="NWA372" s="21" t="s">
        <v>2955</v>
      </c>
      <c r="NWB372" s="21" t="s">
        <v>2955</v>
      </c>
      <c r="NWC372" s="21" t="s">
        <v>2955</v>
      </c>
      <c r="NWD372" s="21" t="s">
        <v>2955</v>
      </c>
      <c r="NWE372" s="21" t="s">
        <v>2955</v>
      </c>
      <c r="NWF372" s="21" t="s">
        <v>2955</v>
      </c>
      <c r="NWG372" s="21" t="s">
        <v>2955</v>
      </c>
      <c r="NWH372" s="21" t="s">
        <v>2955</v>
      </c>
      <c r="NWI372" s="21" t="s">
        <v>2955</v>
      </c>
      <c r="NWJ372" s="21" t="s">
        <v>2955</v>
      </c>
      <c r="NWK372" s="21" t="s">
        <v>2955</v>
      </c>
      <c r="NWL372" s="21" t="s">
        <v>2955</v>
      </c>
      <c r="NWM372" s="21" t="s">
        <v>2955</v>
      </c>
      <c r="NWN372" s="21" t="s">
        <v>2955</v>
      </c>
      <c r="NWO372" s="21" t="s">
        <v>2955</v>
      </c>
      <c r="NWP372" s="21" t="s">
        <v>2955</v>
      </c>
      <c r="NWQ372" s="21" t="s">
        <v>2955</v>
      </c>
      <c r="NWR372" s="21" t="s">
        <v>2955</v>
      </c>
      <c r="NWS372" s="21" t="s">
        <v>2955</v>
      </c>
      <c r="NWT372" s="21" t="s">
        <v>2955</v>
      </c>
      <c r="NWU372" s="21" t="s">
        <v>2955</v>
      </c>
      <c r="NWV372" s="21" t="s">
        <v>2955</v>
      </c>
      <c r="NWW372" s="21" t="s">
        <v>2955</v>
      </c>
      <c r="NWX372" s="21" t="s">
        <v>2955</v>
      </c>
      <c r="NWY372" s="21" t="s">
        <v>2955</v>
      </c>
      <c r="NWZ372" s="21" t="s">
        <v>2955</v>
      </c>
      <c r="NXA372" s="21" t="s">
        <v>2955</v>
      </c>
      <c r="NXB372" s="21" t="s">
        <v>2955</v>
      </c>
      <c r="NXC372" s="21" t="s">
        <v>2955</v>
      </c>
      <c r="NXD372" s="21" t="s">
        <v>2955</v>
      </c>
      <c r="NXE372" s="21" t="s">
        <v>2955</v>
      </c>
      <c r="NXF372" s="21" t="s">
        <v>2955</v>
      </c>
      <c r="NXG372" s="21" t="s">
        <v>2955</v>
      </c>
      <c r="NXH372" s="21" t="s">
        <v>2955</v>
      </c>
      <c r="NXI372" s="21" t="s">
        <v>2955</v>
      </c>
      <c r="NXJ372" s="21" t="s">
        <v>2955</v>
      </c>
      <c r="NXK372" s="21" t="s">
        <v>2955</v>
      </c>
      <c r="NXL372" s="21" t="s">
        <v>2955</v>
      </c>
      <c r="NXM372" s="21" t="s">
        <v>2955</v>
      </c>
      <c r="NXN372" s="21" t="s">
        <v>2955</v>
      </c>
      <c r="NXO372" s="21" t="s">
        <v>2955</v>
      </c>
      <c r="NXP372" s="21" t="s">
        <v>2955</v>
      </c>
      <c r="NXQ372" s="21" t="s">
        <v>2955</v>
      </c>
      <c r="NXR372" s="21" t="s">
        <v>2955</v>
      </c>
      <c r="NXS372" s="21" t="s">
        <v>2955</v>
      </c>
      <c r="NXT372" s="21" t="s">
        <v>2955</v>
      </c>
      <c r="NXU372" s="21" t="s">
        <v>2955</v>
      </c>
      <c r="NXV372" s="21" t="s">
        <v>2955</v>
      </c>
      <c r="NXW372" s="21" t="s">
        <v>2955</v>
      </c>
      <c r="NXX372" s="21" t="s">
        <v>2955</v>
      </c>
      <c r="NXY372" s="21" t="s">
        <v>2955</v>
      </c>
      <c r="NXZ372" s="21" t="s">
        <v>2955</v>
      </c>
      <c r="NYA372" s="21" t="s">
        <v>2955</v>
      </c>
      <c r="NYB372" s="21" t="s">
        <v>2955</v>
      </c>
      <c r="NYC372" s="21" t="s">
        <v>2955</v>
      </c>
      <c r="NYD372" s="21" t="s">
        <v>2955</v>
      </c>
      <c r="NYE372" s="21" t="s">
        <v>2955</v>
      </c>
      <c r="NYF372" s="21" t="s">
        <v>2955</v>
      </c>
      <c r="NYG372" s="21" t="s">
        <v>2955</v>
      </c>
      <c r="NYH372" s="21" t="s">
        <v>2955</v>
      </c>
      <c r="NYI372" s="21" t="s">
        <v>2955</v>
      </c>
      <c r="NYJ372" s="21" t="s">
        <v>2955</v>
      </c>
      <c r="NYK372" s="21" t="s">
        <v>2955</v>
      </c>
      <c r="NYL372" s="21" t="s">
        <v>2955</v>
      </c>
      <c r="NYM372" s="21" t="s">
        <v>2955</v>
      </c>
      <c r="NYN372" s="21" t="s">
        <v>2955</v>
      </c>
      <c r="NYO372" s="21" t="s">
        <v>2955</v>
      </c>
      <c r="NYP372" s="21" t="s">
        <v>2955</v>
      </c>
      <c r="NYQ372" s="21" t="s">
        <v>2955</v>
      </c>
      <c r="NYR372" s="21" t="s">
        <v>2955</v>
      </c>
      <c r="NYS372" s="21" t="s">
        <v>2955</v>
      </c>
      <c r="NYT372" s="21" t="s">
        <v>2955</v>
      </c>
      <c r="NYU372" s="21" t="s">
        <v>2955</v>
      </c>
      <c r="NYV372" s="21" t="s">
        <v>2955</v>
      </c>
      <c r="NYW372" s="21" t="s">
        <v>2955</v>
      </c>
      <c r="NYX372" s="21" t="s">
        <v>2955</v>
      </c>
      <c r="NYY372" s="21" t="s">
        <v>2955</v>
      </c>
      <c r="NYZ372" s="21" t="s">
        <v>2955</v>
      </c>
      <c r="NZA372" s="21" t="s">
        <v>2955</v>
      </c>
      <c r="NZB372" s="21" t="s">
        <v>2955</v>
      </c>
      <c r="NZC372" s="21" t="s">
        <v>2955</v>
      </c>
      <c r="NZD372" s="21" t="s">
        <v>2955</v>
      </c>
      <c r="NZE372" s="21" t="s">
        <v>2955</v>
      </c>
      <c r="NZF372" s="21" t="s">
        <v>2955</v>
      </c>
      <c r="NZG372" s="21" t="s">
        <v>2955</v>
      </c>
      <c r="NZH372" s="21" t="s">
        <v>2955</v>
      </c>
      <c r="NZI372" s="21" t="s">
        <v>2955</v>
      </c>
      <c r="NZJ372" s="21" t="s">
        <v>2955</v>
      </c>
      <c r="NZK372" s="21" t="s">
        <v>2955</v>
      </c>
      <c r="NZL372" s="21" t="s">
        <v>2955</v>
      </c>
      <c r="NZM372" s="21" t="s">
        <v>2955</v>
      </c>
      <c r="NZN372" s="21" t="s">
        <v>2955</v>
      </c>
      <c r="NZO372" s="21" t="s">
        <v>2955</v>
      </c>
      <c r="NZP372" s="21" t="s">
        <v>2955</v>
      </c>
      <c r="NZQ372" s="21" t="s">
        <v>2955</v>
      </c>
      <c r="NZR372" s="21" t="s">
        <v>2955</v>
      </c>
      <c r="NZS372" s="21" t="s">
        <v>2955</v>
      </c>
      <c r="NZT372" s="21" t="s">
        <v>2955</v>
      </c>
      <c r="NZU372" s="21" t="s">
        <v>2955</v>
      </c>
      <c r="NZV372" s="21" t="s">
        <v>2955</v>
      </c>
      <c r="NZW372" s="21" t="s">
        <v>2955</v>
      </c>
      <c r="NZX372" s="21" t="s">
        <v>2955</v>
      </c>
      <c r="NZY372" s="21" t="s">
        <v>2955</v>
      </c>
      <c r="NZZ372" s="21" t="s">
        <v>2955</v>
      </c>
      <c r="OAA372" s="21" t="s">
        <v>2955</v>
      </c>
      <c r="OAB372" s="21" t="s">
        <v>2955</v>
      </c>
      <c r="OAC372" s="21" t="s">
        <v>2955</v>
      </c>
      <c r="OAD372" s="21" t="s">
        <v>2955</v>
      </c>
      <c r="OAE372" s="21" t="s">
        <v>2955</v>
      </c>
      <c r="OAF372" s="21" t="s">
        <v>2955</v>
      </c>
      <c r="OAG372" s="21" t="s">
        <v>2955</v>
      </c>
      <c r="OAH372" s="21" t="s">
        <v>2955</v>
      </c>
      <c r="OAI372" s="21" t="s">
        <v>2955</v>
      </c>
      <c r="OAJ372" s="21" t="s">
        <v>2955</v>
      </c>
      <c r="OAK372" s="21" t="s">
        <v>2955</v>
      </c>
      <c r="OAL372" s="21" t="s">
        <v>2955</v>
      </c>
      <c r="OAM372" s="21" t="s">
        <v>2955</v>
      </c>
      <c r="OAN372" s="21" t="s">
        <v>2955</v>
      </c>
      <c r="OAO372" s="21" t="s">
        <v>2955</v>
      </c>
      <c r="OAP372" s="21" t="s">
        <v>2955</v>
      </c>
      <c r="OAQ372" s="21" t="s">
        <v>2955</v>
      </c>
      <c r="OAR372" s="21" t="s">
        <v>2955</v>
      </c>
      <c r="OAS372" s="21" t="s">
        <v>2955</v>
      </c>
      <c r="OAT372" s="21" t="s">
        <v>2955</v>
      </c>
      <c r="OAU372" s="21" t="s">
        <v>2955</v>
      </c>
      <c r="OAV372" s="21" t="s">
        <v>2955</v>
      </c>
      <c r="OAW372" s="21" t="s">
        <v>2955</v>
      </c>
      <c r="OAX372" s="21" t="s">
        <v>2955</v>
      </c>
      <c r="OAY372" s="21" t="s">
        <v>2955</v>
      </c>
      <c r="OAZ372" s="21" t="s">
        <v>2955</v>
      </c>
      <c r="OBA372" s="21" t="s">
        <v>2955</v>
      </c>
      <c r="OBB372" s="21" t="s">
        <v>2955</v>
      </c>
      <c r="OBC372" s="21" t="s">
        <v>2955</v>
      </c>
      <c r="OBD372" s="21" t="s">
        <v>2955</v>
      </c>
      <c r="OBE372" s="21" t="s">
        <v>2955</v>
      </c>
      <c r="OBF372" s="21" t="s">
        <v>2955</v>
      </c>
      <c r="OBG372" s="21" t="s">
        <v>2955</v>
      </c>
      <c r="OBH372" s="21" t="s">
        <v>2955</v>
      </c>
      <c r="OBI372" s="21" t="s">
        <v>2955</v>
      </c>
      <c r="OBJ372" s="21" t="s">
        <v>2955</v>
      </c>
      <c r="OBK372" s="21" t="s">
        <v>2955</v>
      </c>
      <c r="OBL372" s="21" t="s">
        <v>2955</v>
      </c>
      <c r="OBM372" s="21" t="s">
        <v>2955</v>
      </c>
      <c r="OBN372" s="21" t="s">
        <v>2955</v>
      </c>
      <c r="OBO372" s="21" t="s">
        <v>2955</v>
      </c>
      <c r="OBP372" s="21" t="s">
        <v>2955</v>
      </c>
      <c r="OBQ372" s="21" t="s">
        <v>2955</v>
      </c>
      <c r="OBR372" s="21" t="s">
        <v>2955</v>
      </c>
      <c r="OBS372" s="21" t="s">
        <v>2955</v>
      </c>
      <c r="OBT372" s="21" t="s">
        <v>2955</v>
      </c>
      <c r="OBU372" s="21" t="s">
        <v>2955</v>
      </c>
      <c r="OBV372" s="21" t="s">
        <v>2955</v>
      </c>
      <c r="OBW372" s="21" t="s">
        <v>2955</v>
      </c>
      <c r="OBX372" s="21" t="s">
        <v>2955</v>
      </c>
      <c r="OBY372" s="21" t="s">
        <v>2955</v>
      </c>
      <c r="OBZ372" s="21" t="s">
        <v>2955</v>
      </c>
      <c r="OCA372" s="21" t="s">
        <v>2955</v>
      </c>
      <c r="OCB372" s="21" t="s">
        <v>2955</v>
      </c>
      <c r="OCC372" s="21" t="s">
        <v>2955</v>
      </c>
      <c r="OCD372" s="21" t="s">
        <v>2955</v>
      </c>
      <c r="OCE372" s="21" t="s">
        <v>2955</v>
      </c>
      <c r="OCF372" s="21" t="s">
        <v>2955</v>
      </c>
      <c r="OCG372" s="21" t="s">
        <v>2955</v>
      </c>
      <c r="OCH372" s="21" t="s">
        <v>2955</v>
      </c>
      <c r="OCI372" s="21" t="s">
        <v>2955</v>
      </c>
      <c r="OCJ372" s="21" t="s">
        <v>2955</v>
      </c>
      <c r="OCK372" s="21" t="s">
        <v>2955</v>
      </c>
      <c r="OCL372" s="21" t="s">
        <v>2955</v>
      </c>
      <c r="OCM372" s="21" t="s">
        <v>2955</v>
      </c>
      <c r="OCN372" s="21" t="s">
        <v>2955</v>
      </c>
      <c r="OCO372" s="21" t="s">
        <v>2955</v>
      </c>
      <c r="OCP372" s="21" t="s">
        <v>2955</v>
      </c>
      <c r="OCQ372" s="21" t="s">
        <v>2955</v>
      </c>
      <c r="OCR372" s="21" t="s">
        <v>2955</v>
      </c>
      <c r="OCS372" s="21" t="s">
        <v>2955</v>
      </c>
      <c r="OCT372" s="21" t="s">
        <v>2955</v>
      </c>
      <c r="OCU372" s="21" t="s">
        <v>2955</v>
      </c>
      <c r="OCV372" s="21" t="s">
        <v>2955</v>
      </c>
      <c r="OCW372" s="21" t="s">
        <v>2955</v>
      </c>
      <c r="OCX372" s="21" t="s">
        <v>2955</v>
      </c>
      <c r="OCY372" s="21" t="s">
        <v>2955</v>
      </c>
      <c r="OCZ372" s="21" t="s">
        <v>2955</v>
      </c>
      <c r="ODA372" s="21" t="s">
        <v>2955</v>
      </c>
      <c r="ODB372" s="21" t="s">
        <v>2955</v>
      </c>
      <c r="ODC372" s="21" t="s">
        <v>2955</v>
      </c>
      <c r="ODD372" s="21" t="s">
        <v>2955</v>
      </c>
      <c r="ODE372" s="21" t="s">
        <v>2955</v>
      </c>
      <c r="ODF372" s="21" t="s">
        <v>2955</v>
      </c>
      <c r="ODG372" s="21" t="s">
        <v>2955</v>
      </c>
      <c r="ODH372" s="21" t="s">
        <v>2955</v>
      </c>
      <c r="ODI372" s="21" t="s">
        <v>2955</v>
      </c>
      <c r="ODJ372" s="21" t="s">
        <v>2955</v>
      </c>
      <c r="ODK372" s="21" t="s">
        <v>2955</v>
      </c>
      <c r="ODL372" s="21" t="s">
        <v>2955</v>
      </c>
      <c r="ODM372" s="21" t="s">
        <v>2955</v>
      </c>
      <c r="ODN372" s="21" t="s">
        <v>2955</v>
      </c>
      <c r="ODO372" s="21" t="s">
        <v>2955</v>
      </c>
      <c r="ODP372" s="21" t="s">
        <v>2955</v>
      </c>
      <c r="ODQ372" s="21" t="s">
        <v>2955</v>
      </c>
      <c r="ODR372" s="21" t="s">
        <v>2955</v>
      </c>
      <c r="ODS372" s="21" t="s">
        <v>2955</v>
      </c>
      <c r="ODT372" s="21" t="s">
        <v>2955</v>
      </c>
      <c r="ODU372" s="21" t="s">
        <v>2955</v>
      </c>
      <c r="ODV372" s="21" t="s">
        <v>2955</v>
      </c>
      <c r="ODW372" s="21" t="s">
        <v>2955</v>
      </c>
      <c r="ODX372" s="21" t="s">
        <v>2955</v>
      </c>
      <c r="ODY372" s="21" t="s">
        <v>2955</v>
      </c>
      <c r="ODZ372" s="21" t="s">
        <v>2955</v>
      </c>
      <c r="OEA372" s="21" t="s">
        <v>2955</v>
      </c>
      <c r="OEB372" s="21" t="s">
        <v>2955</v>
      </c>
      <c r="OEC372" s="21" t="s">
        <v>2955</v>
      </c>
      <c r="OED372" s="21" t="s">
        <v>2955</v>
      </c>
      <c r="OEE372" s="21" t="s">
        <v>2955</v>
      </c>
      <c r="OEF372" s="21" t="s">
        <v>2955</v>
      </c>
      <c r="OEG372" s="21" t="s">
        <v>2955</v>
      </c>
      <c r="OEH372" s="21" t="s">
        <v>2955</v>
      </c>
      <c r="OEI372" s="21" t="s">
        <v>2955</v>
      </c>
      <c r="OEJ372" s="21" t="s">
        <v>2955</v>
      </c>
      <c r="OEK372" s="21" t="s">
        <v>2955</v>
      </c>
      <c r="OEL372" s="21" t="s">
        <v>2955</v>
      </c>
      <c r="OEM372" s="21" t="s">
        <v>2955</v>
      </c>
      <c r="OEN372" s="21" t="s">
        <v>2955</v>
      </c>
      <c r="OEO372" s="21" t="s">
        <v>2955</v>
      </c>
      <c r="OEP372" s="21" t="s">
        <v>2955</v>
      </c>
      <c r="OEQ372" s="21" t="s">
        <v>2955</v>
      </c>
      <c r="OER372" s="21" t="s">
        <v>2955</v>
      </c>
      <c r="OES372" s="21" t="s">
        <v>2955</v>
      </c>
      <c r="OET372" s="21" t="s">
        <v>2955</v>
      </c>
      <c r="OEU372" s="21" t="s">
        <v>2955</v>
      </c>
      <c r="OEV372" s="21" t="s">
        <v>2955</v>
      </c>
      <c r="OEW372" s="21" t="s">
        <v>2955</v>
      </c>
      <c r="OEX372" s="21" t="s">
        <v>2955</v>
      </c>
      <c r="OEY372" s="21" t="s">
        <v>2955</v>
      </c>
      <c r="OEZ372" s="21" t="s">
        <v>2955</v>
      </c>
      <c r="OFA372" s="21" t="s">
        <v>2955</v>
      </c>
      <c r="OFB372" s="21" t="s">
        <v>2955</v>
      </c>
      <c r="OFC372" s="21" t="s">
        <v>2955</v>
      </c>
      <c r="OFD372" s="21" t="s">
        <v>2955</v>
      </c>
      <c r="OFE372" s="21" t="s">
        <v>2955</v>
      </c>
      <c r="OFF372" s="21" t="s">
        <v>2955</v>
      </c>
      <c r="OFG372" s="21" t="s">
        <v>2955</v>
      </c>
      <c r="OFH372" s="21" t="s">
        <v>2955</v>
      </c>
      <c r="OFI372" s="21" t="s">
        <v>2955</v>
      </c>
      <c r="OFJ372" s="21" t="s">
        <v>2955</v>
      </c>
      <c r="OFK372" s="21" t="s">
        <v>2955</v>
      </c>
      <c r="OFL372" s="21" t="s">
        <v>2955</v>
      </c>
      <c r="OFM372" s="21" t="s">
        <v>2955</v>
      </c>
      <c r="OFN372" s="21" t="s">
        <v>2955</v>
      </c>
      <c r="OFO372" s="21" t="s">
        <v>2955</v>
      </c>
      <c r="OFP372" s="21" t="s">
        <v>2955</v>
      </c>
      <c r="OFQ372" s="21" t="s">
        <v>2955</v>
      </c>
      <c r="OFR372" s="21" t="s">
        <v>2955</v>
      </c>
      <c r="OFS372" s="21" t="s">
        <v>2955</v>
      </c>
      <c r="OFT372" s="21" t="s">
        <v>2955</v>
      </c>
      <c r="OFU372" s="21" t="s">
        <v>2955</v>
      </c>
      <c r="OFV372" s="21" t="s">
        <v>2955</v>
      </c>
      <c r="OFW372" s="21" t="s">
        <v>2955</v>
      </c>
      <c r="OFX372" s="21" t="s">
        <v>2955</v>
      </c>
      <c r="OFY372" s="21" t="s">
        <v>2955</v>
      </c>
      <c r="OFZ372" s="21" t="s">
        <v>2955</v>
      </c>
      <c r="OGA372" s="21" t="s">
        <v>2955</v>
      </c>
      <c r="OGB372" s="21" t="s">
        <v>2955</v>
      </c>
      <c r="OGC372" s="21" t="s">
        <v>2955</v>
      </c>
      <c r="OGD372" s="21" t="s">
        <v>2955</v>
      </c>
      <c r="OGE372" s="21" t="s">
        <v>2955</v>
      </c>
      <c r="OGF372" s="21" t="s">
        <v>2955</v>
      </c>
      <c r="OGG372" s="21" t="s">
        <v>2955</v>
      </c>
      <c r="OGH372" s="21" t="s">
        <v>2955</v>
      </c>
      <c r="OGI372" s="21" t="s">
        <v>2955</v>
      </c>
      <c r="OGJ372" s="21" t="s">
        <v>2955</v>
      </c>
      <c r="OGK372" s="21" t="s">
        <v>2955</v>
      </c>
      <c r="OGL372" s="21" t="s">
        <v>2955</v>
      </c>
      <c r="OGM372" s="21" t="s">
        <v>2955</v>
      </c>
      <c r="OGN372" s="21" t="s">
        <v>2955</v>
      </c>
      <c r="OGO372" s="21" t="s">
        <v>2955</v>
      </c>
      <c r="OGP372" s="21" t="s">
        <v>2955</v>
      </c>
      <c r="OGQ372" s="21" t="s">
        <v>2955</v>
      </c>
      <c r="OGR372" s="21" t="s">
        <v>2955</v>
      </c>
      <c r="OGS372" s="21" t="s">
        <v>2955</v>
      </c>
      <c r="OGT372" s="21" t="s">
        <v>2955</v>
      </c>
      <c r="OGU372" s="21" t="s">
        <v>2955</v>
      </c>
      <c r="OGV372" s="21" t="s">
        <v>2955</v>
      </c>
      <c r="OGW372" s="21" t="s">
        <v>2955</v>
      </c>
      <c r="OGX372" s="21" t="s">
        <v>2955</v>
      </c>
      <c r="OGY372" s="21" t="s">
        <v>2955</v>
      </c>
      <c r="OGZ372" s="21" t="s">
        <v>2955</v>
      </c>
      <c r="OHA372" s="21" t="s">
        <v>2955</v>
      </c>
      <c r="OHB372" s="21" t="s">
        <v>2955</v>
      </c>
      <c r="OHC372" s="21" t="s">
        <v>2955</v>
      </c>
      <c r="OHD372" s="21" t="s">
        <v>2955</v>
      </c>
      <c r="OHE372" s="21" t="s">
        <v>2955</v>
      </c>
      <c r="OHF372" s="21" t="s">
        <v>2955</v>
      </c>
      <c r="OHG372" s="21" t="s">
        <v>2955</v>
      </c>
      <c r="OHH372" s="21" t="s">
        <v>2955</v>
      </c>
      <c r="OHI372" s="21" t="s">
        <v>2955</v>
      </c>
      <c r="OHJ372" s="21" t="s">
        <v>2955</v>
      </c>
      <c r="OHK372" s="21" t="s">
        <v>2955</v>
      </c>
      <c r="OHL372" s="21" t="s">
        <v>2955</v>
      </c>
      <c r="OHM372" s="21" t="s">
        <v>2955</v>
      </c>
      <c r="OHN372" s="21" t="s">
        <v>2955</v>
      </c>
      <c r="OHO372" s="21" t="s">
        <v>2955</v>
      </c>
      <c r="OHP372" s="21" t="s">
        <v>2955</v>
      </c>
      <c r="OHQ372" s="21" t="s">
        <v>2955</v>
      </c>
      <c r="OHR372" s="21" t="s">
        <v>2955</v>
      </c>
      <c r="OHS372" s="21" t="s">
        <v>2955</v>
      </c>
      <c r="OHT372" s="21" t="s">
        <v>2955</v>
      </c>
      <c r="OHU372" s="21" t="s">
        <v>2955</v>
      </c>
      <c r="OHV372" s="21" t="s">
        <v>2955</v>
      </c>
      <c r="OHW372" s="21" t="s">
        <v>2955</v>
      </c>
      <c r="OHX372" s="21" t="s">
        <v>2955</v>
      </c>
      <c r="OHY372" s="21" t="s">
        <v>2955</v>
      </c>
      <c r="OHZ372" s="21" t="s">
        <v>2955</v>
      </c>
      <c r="OIA372" s="21" t="s">
        <v>2955</v>
      </c>
      <c r="OIB372" s="21" t="s">
        <v>2955</v>
      </c>
      <c r="OIC372" s="21" t="s">
        <v>2955</v>
      </c>
      <c r="OID372" s="21" t="s">
        <v>2955</v>
      </c>
      <c r="OIE372" s="21" t="s">
        <v>2955</v>
      </c>
      <c r="OIF372" s="21" t="s">
        <v>2955</v>
      </c>
      <c r="OIG372" s="21" t="s">
        <v>2955</v>
      </c>
      <c r="OIH372" s="21" t="s">
        <v>2955</v>
      </c>
      <c r="OII372" s="21" t="s">
        <v>2955</v>
      </c>
      <c r="OIJ372" s="21" t="s">
        <v>2955</v>
      </c>
      <c r="OIK372" s="21" t="s">
        <v>2955</v>
      </c>
      <c r="OIL372" s="21" t="s">
        <v>2955</v>
      </c>
      <c r="OIM372" s="21" t="s">
        <v>2955</v>
      </c>
      <c r="OIN372" s="21" t="s">
        <v>2955</v>
      </c>
      <c r="OIO372" s="21" t="s">
        <v>2955</v>
      </c>
      <c r="OIP372" s="21" t="s">
        <v>2955</v>
      </c>
      <c r="OIQ372" s="21" t="s">
        <v>2955</v>
      </c>
      <c r="OIR372" s="21" t="s">
        <v>2955</v>
      </c>
      <c r="OIS372" s="21" t="s">
        <v>2955</v>
      </c>
      <c r="OIT372" s="21" t="s">
        <v>2955</v>
      </c>
      <c r="OIU372" s="21" t="s">
        <v>2955</v>
      </c>
      <c r="OIV372" s="21" t="s">
        <v>2955</v>
      </c>
      <c r="OIW372" s="21" t="s">
        <v>2955</v>
      </c>
      <c r="OIX372" s="21" t="s">
        <v>2955</v>
      </c>
      <c r="OIY372" s="21" t="s">
        <v>2955</v>
      </c>
      <c r="OIZ372" s="21" t="s">
        <v>2955</v>
      </c>
      <c r="OJA372" s="21" t="s">
        <v>2955</v>
      </c>
      <c r="OJB372" s="21" t="s">
        <v>2955</v>
      </c>
      <c r="OJC372" s="21" t="s">
        <v>2955</v>
      </c>
      <c r="OJD372" s="21" t="s">
        <v>2955</v>
      </c>
      <c r="OJE372" s="21" t="s">
        <v>2955</v>
      </c>
      <c r="OJF372" s="21" t="s">
        <v>2955</v>
      </c>
      <c r="OJG372" s="21" t="s">
        <v>2955</v>
      </c>
      <c r="OJH372" s="21" t="s">
        <v>2955</v>
      </c>
      <c r="OJI372" s="21" t="s">
        <v>2955</v>
      </c>
      <c r="OJJ372" s="21" t="s">
        <v>2955</v>
      </c>
      <c r="OJK372" s="21" t="s">
        <v>2955</v>
      </c>
      <c r="OJL372" s="21" t="s">
        <v>2955</v>
      </c>
      <c r="OJM372" s="21" t="s">
        <v>2955</v>
      </c>
      <c r="OJN372" s="21" t="s">
        <v>2955</v>
      </c>
      <c r="OJO372" s="21" t="s">
        <v>2955</v>
      </c>
      <c r="OJP372" s="21" t="s">
        <v>2955</v>
      </c>
      <c r="OJQ372" s="21" t="s">
        <v>2955</v>
      </c>
      <c r="OJR372" s="21" t="s">
        <v>2955</v>
      </c>
      <c r="OJS372" s="21" t="s">
        <v>2955</v>
      </c>
      <c r="OJT372" s="21" t="s">
        <v>2955</v>
      </c>
      <c r="OJU372" s="21" t="s">
        <v>2955</v>
      </c>
      <c r="OJV372" s="21" t="s">
        <v>2955</v>
      </c>
      <c r="OJW372" s="21" t="s">
        <v>2955</v>
      </c>
      <c r="OJX372" s="21" t="s">
        <v>2955</v>
      </c>
      <c r="OJY372" s="21" t="s">
        <v>2955</v>
      </c>
      <c r="OJZ372" s="21" t="s">
        <v>2955</v>
      </c>
      <c r="OKA372" s="21" t="s">
        <v>2955</v>
      </c>
      <c r="OKB372" s="21" t="s">
        <v>2955</v>
      </c>
      <c r="OKC372" s="21" t="s">
        <v>2955</v>
      </c>
      <c r="OKD372" s="21" t="s">
        <v>2955</v>
      </c>
      <c r="OKE372" s="21" t="s">
        <v>2955</v>
      </c>
      <c r="OKF372" s="21" t="s">
        <v>2955</v>
      </c>
      <c r="OKG372" s="21" t="s">
        <v>2955</v>
      </c>
      <c r="OKH372" s="21" t="s">
        <v>2955</v>
      </c>
      <c r="OKI372" s="21" t="s">
        <v>2955</v>
      </c>
      <c r="OKJ372" s="21" t="s">
        <v>2955</v>
      </c>
      <c r="OKK372" s="21" t="s">
        <v>2955</v>
      </c>
      <c r="OKL372" s="21" t="s">
        <v>2955</v>
      </c>
      <c r="OKM372" s="21" t="s">
        <v>2955</v>
      </c>
      <c r="OKN372" s="21" t="s">
        <v>2955</v>
      </c>
      <c r="OKO372" s="21" t="s">
        <v>2955</v>
      </c>
      <c r="OKP372" s="21" t="s">
        <v>2955</v>
      </c>
      <c r="OKQ372" s="21" t="s">
        <v>2955</v>
      </c>
      <c r="OKR372" s="21" t="s">
        <v>2955</v>
      </c>
      <c r="OKS372" s="21" t="s">
        <v>2955</v>
      </c>
      <c r="OKT372" s="21" t="s">
        <v>2955</v>
      </c>
      <c r="OKU372" s="21" t="s">
        <v>2955</v>
      </c>
      <c r="OKV372" s="21" t="s">
        <v>2955</v>
      </c>
      <c r="OKW372" s="21" t="s">
        <v>2955</v>
      </c>
      <c r="OKX372" s="21" t="s">
        <v>2955</v>
      </c>
      <c r="OKY372" s="21" t="s">
        <v>2955</v>
      </c>
      <c r="OKZ372" s="21" t="s">
        <v>2955</v>
      </c>
      <c r="OLA372" s="21" t="s">
        <v>2955</v>
      </c>
      <c r="OLB372" s="21" t="s">
        <v>2955</v>
      </c>
      <c r="OLC372" s="21" t="s">
        <v>2955</v>
      </c>
      <c r="OLD372" s="21" t="s">
        <v>2955</v>
      </c>
      <c r="OLE372" s="21" t="s">
        <v>2955</v>
      </c>
      <c r="OLF372" s="21" t="s">
        <v>2955</v>
      </c>
      <c r="OLG372" s="21" t="s">
        <v>2955</v>
      </c>
      <c r="OLH372" s="21" t="s">
        <v>2955</v>
      </c>
      <c r="OLI372" s="21" t="s">
        <v>2955</v>
      </c>
      <c r="OLJ372" s="21" t="s">
        <v>2955</v>
      </c>
      <c r="OLK372" s="21" t="s">
        <v>2955</v>
      </c>
      <c r="OLL372" s="21" t="s">
        <v>2955</v>
      </c>
      <c r="OLM372" s="21" t="s">
        <v>2955</v>
      </c>
      <c r="OLN372" s="21" t="s">
        <v>2955</v>
      </c>
      <c r="OLO372" s="21" t="s">
        <v>2955</v>
      </c>
      <c r="OLP372" s="21" t="s">
        <v>2955</v>
      </c>
      <c r="OLQ372" s="21" t="s">
        <v>2955</v>
      </c>
      <c r="OLR372" s="21" t="s">
        <v>2955</v>
      </c>
      <c r="OLS372" s="21" t="s">
        <v>2955</v>
      </c>
      <c r="OLT372" s="21" t="s">
        <v>2955</v>
      </c>
      <c r="OLU372" s="21" t="s">
        <v>2955</v>
      </c>
      <c r="OLV372" s="21" t="s">
        <v>2955</v>
      </c>
      <c r="OLW372" s="21" t="s">
        <v>2955</v>
      </c>
      <c r="OLX372" s="21" t="s">
        <v>2955</v>
      </c>
      <c r="OLY372" s="21" t="s">
        <v>2955</v>
      </c>
      <c r="OLZ372" s="21" t="s">
        <v>2955</v>
      </c>
      <c r="OMA372" s="21" t="s">
        <v>2955</v>
      </c>
      <c r="OMB372" s="21" t="s">
        <v>2955</v>
      </c>
      <c r="OMC372" s="21" t="s">
        <v>2955</v>
      </c>
      <c r="OMD372" s="21" t="s">
        <v>2955</v>
      </c>
      <c r="OME372" s="21" t="s">
        <v>2955</v>
      </c>
      <c r="OMF372" s="21" t="s">
        <v>2955</v>
      </c>
      <c r="OMG372" s="21" t="s">
        <v>2955</v>
      </c>
      <c r="OMH372" s="21" t="s">
        <v>2955</v>
      </c>
      <c r="OMI372" s="21" t="s">
        <v>2955</v>
      </c>
      <c r="OMJ372" s="21" t="s">
        <v>2955</v>
      </c>
      <c r="OMK372" s="21" t="s">
        <v>2955</v>
      </c>
      <c r="OML372" s="21" t="s">
        <v>2955</v>
      </c>
      <c r="OMM372" s="21" t="s">
        <v>2955</v>
      </c>
      <c r="OMN372" s="21" t="s">
        <v>2955</v>
      </c>
      <c r="OMO372" s="21" t="s">
        <v>2955</v>
      </c>
      <c r="OMP372" s="21" t="s">
        <v>2955</v>
      </c>
      <c r="OMQ372" s="21" t="s">
        <v>2955</v>
      </c>
      <c r="OMR372" s="21" t="s">
        <v>2955</v>
      </c>
      <c r="OMS372" s="21" t="s">
        <v>2955</v>
      </c>
      <c r="OMT372" s="21" t="s">
        <v>2955</v>
      </c>
      <c r="OMU372" s="21" t="s">
        <v>2955</v>
      </c>
      <c r="OMV372" s="21" t="s">
        <v>2955</v>
      </c>
      <c r="OMW372" s="21" t="s">
        <v>2955</v>
      </c>
      <c r="OMX372" s="21" t="s">
        <v>2955</v>
      </c>
      <c r="OMY372" s="21" t="s">
        <v>2955</v>
      </c>
      <c r="OMZ372" s="21" t="s">
        <v>2955</v>
      </c>
      <c r="ONA372" s="21" t="s">
        <v>2955</v>
      </c>
      <c r="ONB372" s="21" t="s">
        <v>2955</v>
      </c>
      <c r="ONC372" s="21" t="s">
        <v>2955</v>
      </c>
      <c r="OND372" s="21" t="s">
        <v>2955</v>
      </c>
      <c r="ONE372" s="21" t="s">
        <v>2955</v>
      </c>
      <c r="ONF372" s="21" t="s">
        <v>2955</v>
      </c>
      <c r="ONG372" s="21" t="s">
        <v>2955</v>
      </c>
      <c r="ONH372" s="21" t="s">
        <v>2955</v>
      </c>
      <c r="ONI372" s="21" t="s">
        <v>2955</v>
      </c>
      <c r="ONJ372" s="21" t="s">
        <v>2955</v>
      </c>
      <c r="ONK372" s="21" t="s">
        <v>2955</v>
      </c>
      <c r="ONL372" s="21" t="s">
        <v>2955</v>
      </c>
      <c r="ONM372" s="21" t="s">
        <v>2955</v>
      </c>
      <c r="ONN372" s="21" t="s">
        <v>2955</v>
      </c>
      <c r="ONO372" s="21" t="s">
        <v>2955</v>
      </c>
      <c r="ONP372" s="21" t="s">
        <v>2955</v>
      </c>
      <c r="ONQ372" s="21" t="s">
        <v>2955</v>
      </c>
      <c r="ONR372" s="21" t="s">
        <v>2955</v>
      </c>
      <c r="ONS372" s="21" t="s">
        <v>2955</v>
      </c>
      <c r="ONT372" s="21" t="s">
        <v>2955</v>
      </c>
      <c r="ONU372" s="21" t="s">
        <v>2955</v>
      </c>
      <c r="ONV372" s="21" t="s">
        <v>2955</v>
      </c>
      <c r="ONW372" s="21" t="s">
        <v>2955</v>
      </c>
      <c r="ONX372" s="21" t="s">
        <v>2955</v>
      </c>
      <c r="ONY372" s="21" t="s">
        <v>2955</v>
      </c>
      <c r="ONZ372" s="21" t="s">
        <v>2955</v>
      </c>
      <c r="OOA372" s="21" t="s">
        <v>2955</v>
      </c>
      <c r="OOB372" s="21" t="s">
        <v>2955</v>
      </c>
      <c r="OOC372" s="21" t="s">
        <v>2955</v>
      </c>
      <c r="OOD372" s="21" t="s">
        <v>2955</v>
      </c>
      <c r="OOE372" s="21" t="s">
        <v>2955</v>
      </c>
      <c r="OOF372" s="21" t="s">
        <v>2955</v>
      </c>
      <c r="OOG372" s="21" t="s">
        <v>2955</v>
      </c>
      <c r="OOH372" s="21" t="s">
        <v>2955</v>
      </c>
      <c r="OOI372" s="21" t="s">
        <v>2955</v>
      </c>
      <c r="OOJ372" s="21" t="s">
        <v>2955</v>
      </c>
      <c r="OOK372" s="21" t="s">
        <v>2955</v>
      </c>
      <c r="OOL372" s="21" t="s">
        <v>2955</v>
      </c>
      <c r="OOM372" s="21" t="s">
        <v>2955</v>
      </c>
      <c r="OON372" s="21" t="s">
        <v>2955</v>
      </c>
      <c r="OOO372" s="21" t="s">
        <v>2955</v>
      </c>
      <c r="OOP372" s="21" t="s">
        <v>2955</v>
      </c>
      <c r="OOQ372" s="21" t="s">
        <v>2955</v>
      </c>
      <c r="OOR372" s="21" t="s">
        <v>2955</v>
      </c>
      <c r="OOS372" s="21" t="s">
        <v>2955</v>
      </c>
      <c r="OOT372" s="21" t="s">
        <v>2955</v>
      </c>
      <c r="OOU372" s="21" t="s">
        <v>2955</v>
      </c>
      <c r="OOV372" s="21" t="s">
        <v>2955</v>
      </c>
      <c r="OOW372" s="21" t="s">
        <v>2955</v>
      </c>
      <c r="OOX372" s="21" t="s">
        <v>2955</v>
      </c>
      <c r="OOY372" s="21" t="s">
        <v>2955</v>
      </c>
      <c r="OOZ372" s="21" t="s">
        <v>2955</v>
      </c>
      <c r="OPA372" s="21" t="s">
        <v>2955</v>
      </c>
      <c r="OPB372" s="21" t="s">
        <v>2955</v>
      </c>
      <c r="OPC372" s="21" t="s">
        <v>2955</v>
      </c>
      <c r="OPD372" s="21" t="s">
        <v>2955</v>
      </c>
      <c r="OPE372" s="21" t="s">
        <v>2955</v>
      </c>
      <c r="OPF372" s="21" t="s">
        <v>2955</v>
      </c>
      <c r="OPG372" s="21" t="s">
        <v>2955</v>
      </c>
      <c r="OPH372" s="21" t="s">
        <v>2955</v>
      </c>
      <c r="OPI372" s="21" t="s">
        <v>2955</v>
      </c>
      <c r="OPJ372" s="21" t="s">
        <v>2955</v>
      </c>
      <c r="OPK372" s="21" t="s">
        <v>2955</v>
      </c>
      <c r="OPL372" s="21" t="s">
        <v>2955</v>
      </c>
      <c r="OPM372" s="21" t="s">
        <v>2955</v>
      </c>
      <c r="OPN372" s="21" t="s">
        <v>2955</v>
      </c>
      <c r="OPO372" s="21" t="s">
        <v>2955</v>
      </c>
      <c r="OPP372" s="21" t="s">
        <v>2955</v>
      </c>
      <c r="OPQ372" s="21" t="s">
        <v>2955</v>
      </c>
      <c r="OPR372" s="21" t="s">
        <v>2955</v>
      </c>
      <c r="OPS372" s="21" t="s">
        <v>2955</v>
      </c>
      <c r="OPT372" s="21" t="s">
        <v>2955</v>
      </c>
      <c r="OPU372" s="21" t="s">
        <v>2955</v>
      </c>
      <c r="OPV372" s="21" t="s">
        <v>2955</v>
      </c>
      <c r="OPW372" s="21" t="s">
        <v>2955</v>
      </c>
      <c r="OPX372" s="21" t="s">
        <v>2955</v>
      </c>
      <c r="OPY372" s="21" t="s">
        <v>2955</v>
      </c>
      <c r="OPZ372" s="21" t="s">
        <v>2955</v>
      </c>
      <c r="OQA372" s="21" t="s">
        <v>2955</v>
      </c>
      <c r="OQB372" s="21" t="s">
        <v>2955</v>
      </c>
      <c r="OQC372" s="21" t="s">
        <v>2955</v>
      </c>
      <c r="OQD372" s="21" t="s">
        <v>2955</v>
      </c>
      <c r="OQE372" s="21" t="s">
        <v>2955</v>
      </c>
      <c r="OQF372" s="21" t="s">
        <v>2955</v>
      </c>
      <c r="OQG372" s="21" t="s">
        <v>2955</v>
      </c>
      <c r="OQH372" s="21" t="s">
        <v>2955</v>
      </c>
      <c r="OQI372" s="21" t="s">
        <v>2955</v>
      </c>
      <c r="OQJ372" s="21" t="s">
        <v>2955</v>
      </c>
      <c r="OQK372" s="21" t="s">
        <v>2955</v>
      </c>
      <c r="OQL372" s="21" t="s">
        <v>2955</v>
      </c>
      <c r="OQM372" s="21" t="s">
        <v>2955</v>
      </c>
      <c r="OQN372" s="21" t="s">
        <v>2955</v>
      </c>
      <c r="OQO372" s="21" t="s">
        <v>2955</v>
      </c>
      <c r="OQP372" s="21" t="s">
        <v>2955</v>
      </c>
      <c r="OQQ372" s="21" t="s">
        <v>2955</v>
      </c>
      <c r="OQR372" s="21" t="s">
        <v>2955</v>
      </c>
      <c r="OQS372" s="21" t="s">
        <v>2955</v>
      </c>
      <c r="OQT372" s="21" t="s">
        <v>2955</v>
      </c>
      <c r="OQU372" s="21" t="s">
        <v>2955</v>
      </c>
      <c r="OQV372" s="21" t="s">
        <v>2955</v>
      </c>
      <c r="OQW372" s="21" t="s">
        <v>2955</v>
      </c>
      <c r="OQX372" s="21" t="s">
        <v>2955</v>
      </c>
      <c r="OQY372" s="21" t="s">
        <v>2955</v>
      </c>
      <c r="OQZ372" s="21" t="s">
        <v>2955</v>
      </c>
      <c r="ORA372" s="21" t="s">
        <v>2955</v>
      </c>
      <c r="ORB372" s="21" t="s">
        <v>2955</v>
      </c>
      <c r="ORC372" s="21" t="s">
        <v>2955</v>
      </c>
      <c r="ORD372" s="21" t="s">
        <v>2955</v>
      </c>
      <c r="ORE372" s="21" t="s">
        <v>2955</v>
      </c>
      <c r="ORF372" s="21" t="s">
        <v>2955</v>
      </c>
      <c r="ORG372" s="21" t="s">
        <v>2955</v>
      </c>
      <c r="ORH372" s="21" t="s">
        <v>2955</v>
      </c>
      <c r="ORI372" s="21" t="s">
        <v>2955</v>
      </c>
      <c r="ORJ372" s="21" t="s">
        <v>2955</v>
      </c>
      <c r="ORK372" s="21" t="s">
        <v>2955</v>
      </c>
      <c r="ORL372" s="21" t="s">
        <v>2955</v>
      </c>
      <c r="ORM372" s="21" t="s">
        <v>2955</v>
      </c>
      <c r="ORN372" s="21" t="s">
        <v>2955</v>
      </c>
      <c r="ORO372" s="21" t="s">
        <v>2955</v>
      </c>
      <c r="ORP372" s="21" t="s">
        <v>2955</v>
      </c>
      <c r="ORQ372" s="21" t="s">
        <v>2955</v>
      </c>
      <c r="ORR372" s="21" t="s">
        <v>2955</v>
      </c>
      <c r="ORS372" s="21" t="s">
        <v>2955</v>
      </c>
      <c r="ORT372" s="21" t="s">
        <v>2955</v>
      </c>
      <c r="ORU372" s="21" t="s">
        <v>2955</v>
      </c>
      <c r="ORV372" s="21" t="s">
        <v>2955</v>
      </c>
      <c r="ORW372" s="21" t="s">
        <v>2955</v>
      </c>
      <c r="ORX372" s="21" t="s">
        <v>2955</v>
      </c>
      <c r="ORY372" s="21" t="s">
        <v>2955</v>
      </c>
      <c r="ORZ372" s="21" t="s">
        <v>2955</v>
      </c>
      <c r="OSA372" s="21" t="s">
        <v>2955</v>
      </c>
      <c r="OSB372" s="21" t="s">
        <v>2955</v>
      </c>
      <c r="OSC372" s="21" t="s">
        <v>2955</v>
      </c>
      <c r="OSD372" s="21" t="s">
        <v>2955</v>
      </c>
      <c r="OSE372" s="21" t="s">
        <v>2955</v>
      </c>
      <c r="OSF372" s="21" t="s">
        <v>2955</v>
      </c>
      <c r="OSG372" s="21" t="s">
        <v>2955</v>
      </c>
      <c r="OSH372" s="21" t="s">
        <v>2955</v>
      </c>
      <c r="OSI372" s="21" t="s">
        <v>2955</v>
      </c>
      <c r="OSJ372" s="21" t="s">
        <v>2955</v>
      </c>
      <c r="OSK372" s="21" t="s">
        <v>2955</v>
      </c>
      <c r="OSL372" s="21" t="s">
        <v>2955</v>
      </c>
      <c r="OSM372" s="21" t="s">
        <v>2955</v>
      </c>
      <c r="OSN372" s="21" t="s">
        <v>2955</v>
      </c>
      <c r="OSO372" s="21" t="s">
        <v>2955</v>
      </c>
      <c r="OSP372" s="21" t="s">
        <v>2955</v>
      </c>
      <c r="OSQ372" s="21" t="s">
        <v>2955</v>
      </c>
      <c r="OSR372" s="21" t="s">
        <v>2955</v>
      </c>
      <c r="OSS372" s="21" t="s">
        <v>2955</v>
      </c>
      <c r="OST372" s="21" t="s">
        <v>2955</v>
      </c>
      <c r="OSU372" s="21" t="s">
        <v>2955</v>
      </c>
      <c r="OSV372" s="21" t="s">
        <v>2955</v>
      </c>
      <c r="OSW372" s="21" t="s">
        <v>2955</v>
      </c>
      <c r="OSX372" s="21" t="s">
        <v>2955</v>
      </c>
      <c r="OSY372" s="21" t="s">
        <v>2955</v>
      </c>
      <c r="OSZ372" s="21" t="s">
        <v>2955</v>
      </c>
      <c r="OTA372" s="21" t="s">
        <v>2955</v>
      </c>
      <c r="OTB372" s="21" t="s">
        <v>2955</v>
      </c>
      <c r="OTC372" s="21" t="s">
        <v>2955</v>
      </c>
      <c r="OTD372" s="21" t="s">
        <v>2955</v>
      </c>
      <c r="OTE372" s="21" t="s">
        <v>2955</v>
      </c>
      <c r="OTF372" s="21" t="s">
        <v>2955</v>
      </c>
      <c r="OTG372" s="21" t="s">
        <v>2955</v>
      </c>
      <c r="OTH372" s="21" t="s">
        <v>2955</v>
      </c>
      <c r="OTI372" s="21" t="s">
        <v>2955</v>
      </c>
      <c r="OTJ372" s="21" t="s">
        <v>2955</v>
      </c>
      <c r="OTK372" s="21" t="s">
        <v>2955</v>
      </c>
      <c r="OTL372" s="21" t="s">
        <v>2955</v>
      </c>
      <c r="OTM372" s="21" t="s">
        <v>2955</v>
      </c>
      <c r="OTN372" s="21" t="s">
        <v>2955</v>
      </c>
      <c r="OTO372" s="21" t="s">
        <v>2955</v>
      </c>
      <c r="OTP372" s="21" t="s">
        <v>2955</v>
      </c>
      <c r="OTQ372" s="21" t="s">
        <v>2955</v>
      </c>
      <c r="OTR372" s="21" t="s">
        <v>2955</v>
      </c>
      <c r="OTS372" s="21" t="s">
        <v>2955</v>
      </c>
      <c r="OTT372" s="21" t="s">
        <v>2955</v>
      </c>
      <c r="OTU372" s="21" t="s">
        <v>2955</v>
      </c>
      <c r="OTV372" s="21" t="s">
        <v>2955</v>
      </c>
      <c r="OTW372" s="21" t="s">
        <v>2955</v>
      </c>
      <c r="OTX372" s="21" t="s">
        <v>2955</v>
      </c>
      <c r="OTY372" s="21" t="s">
        <v>2955</v>
      </c>
      <c r="OTZ372" s="21" t="s">
        <v>2955</v>
      </c>
      <c r="OUA372" s="21" t="s">
        <v>2955</v>
      </c>
      <c r="OUB372" s="21" t="s">
        <v>2955</v>
      </c>
      <c r="OUC372" s="21" t="s">
        <v>2955</v>
      </c>
      <c r="OUD372" s="21" t="s">
        <v>2955</v>
      </c>
      <c r="OUE372" s="21" t="s">
        <v>2955</v>
      </c>
      <c r="OUF372" s="21" t="s">
        <v>2955</v>
      </c>
      <c r="OUG372" s="21" t="s">
        <v>2955</v>
      </c>
      <c r="OUH372" s="21" t="s">
        <v>2955</v>
      </c>
      <c r="OUI372" s="21" t="s">
        <v>2955</v>
      </c>
      <c r="OUJ372" s="21" t="s">
        <v>2955</v>
      </c>
      <c r="OUK372" s="21" t="s">
        <v>2955</v>
      </c>
      <c r="OUL372" s="21" t="s">
        <v>2955</v>
      </c>
      <c r="OUM372" s="21" t="s">
        <v>2955</v>
      </c>
      <c r="OUN372" s="21" t="s">
        <v>2955</v>
      </c>
      <c r="OUO372" s="21" t="s">
        <v>2955</v>
      </c>
      <c r="OUP372" s="21" t="s">
        <v>2955</v>
      </c>
      <c r="OUQ372" s="21" t="s">
        <v>2955</v>
      </c>
      <c r="OUR372" s="21" t="s">
        <v>2955</v>
      </c>
      <c r="OUS372" s="21" t="s">
        <v>2955</v>
      </c>
      <c r="OUT372" s="21" t="s">
        <v>2955</v>
      </c>
      <c r="OUU372" s="21" t="s">
        <v>2955</v>
      </c>
      <c r="OUV372" s="21" t="s">
        <v>2955</v>
      </c>
      <c r="OUW372" s="21" t="s">
        <v>2955</v>
      </c>
      <c r="OUX372" s="21" t="s">
        <v>2955</v>
      </c>
      <c r="OUY372" s="21" t="s">
        <v>2955</v>
      </c>
      <c r="OUZ372" s="21" t="s">
        <v>2955</v>
      </c>
      <c r="OVA372" s="21" t="s">
        <v>2955</v>
      </c>
      <c r="OVB372" s="21" t="s">
        <v>2955</v>
      </c>
      <c r="OVC372" s="21" t="s">
        <v>2955</v>
      </c>
      <c r="OVD372" s="21" t="s">
        <v>2955</v>
      </c>
      <c r="OVE372" s="21" t="s">
        <v>2955</v>
      </c>
      <c r="OVF372" s="21" t="s">
        <v>2955</v>
      </c>
      <c r="OVG372" s="21" t="s">
        <v>2955</v>
      </c>
      <c r="OVH372" s="21" t="s">
        <v>2955</v>
      </c>
      <c r="OVI372" s="21" t="s">
        <v>2955</v>
      </c>
      <c r="OVJ372" s="21" t="s">
        <v>2955</v>
      </c>
      <c r="OVK372" s="21" t="s">
        <v>2955</v>
      </c>
      <c r="OVL372" s="21" t="s">
        <v>2955</v>
      </c>
      <c r="OVM372" s="21" t="s">
        <v>2955</v>
      </c>
      <c r="OVN372" s="21" t="s">
        <v>2955</v>
      </c>
      <c r="OVO372" s="21" t="s">
        <v>2955</v>
      </c>
      <c r="OVP372" s="21" t="s">
        <v>2955</v>
      </c>
      <c r="OVQ372" s="21" t="s">
        <v>2955</v>
      </c>
      <c r="OVR372" s="21" t="s">
        <v>2955</v>
      </c>
      <c r="OVS372" s="21" t="s">
        <v>2955</v>
      </c>
      <c r="OVT372" s="21" t="s">
        <v>2955</v>
      </c>
      <c r="OVU372" s="21" t="s">
        <v>2955</v>
      </c>
      <c r="OVV372" s="21" t="s">
        <v>2955</v>
      </c>
      <c r="OVW372" s="21" t="s">
        <v>2955</v>
      </c>
      <c r="OVX372" s="21" t="s">
        <v>2955</v>
      </c>
      <c r="OVY372" s="21" t="s">
        <v>2955</v>
      </c>
      <c r="OVZ372" s="21" t="s">
        <v>2955</v>
      </c>
      <c r="OWA372" s="21" t="s">
        <v>2955</v>
      </c>
      <c r="OWB372" s="21" t="s">
        <v>2955</v>
      </c>
      <c r="OWC372" s="21" t="s">
        <v>2955</v>
      </c>
      <c r="OWD372" s="21" t="s">
        <v>2955</v>
      </c>
      <c r="OWE372" s="21" t="s">
        <v>2955</v>
      </c>
      <c r="OWF372" s="21" t="s">
        <v>2955</v>
      </c>
      <c r="OWG372" s="21" t="s">
        <v>2955</v>
      </c>
      <c r="OWH372" s="21" t="s">
        <v>2955</v>
      </c>
      <c r="OWI372" s="21" t="s">
        <v>2955</v>
      </c>
      <c r="OWJ372" s="21" t="s">
        <v>2955</v>
      </c>
      <c r="OWK372" s="21" t="s">
        <v>2955</v>
      </c>
      <c r="OWL372" s="21" t="s">
        <v>2955</v>
      </c>
      <c r="OWM372" s="21" t="s">
        <v>2955</v>
      </c>
      <c r="OWN372" s="21" t="s">
        <v>2955</v>
      </c>
      <c r="OWO372" s="21" t="s">
        <v>2955</v>
      </c>
      <c r="OWP372" s="21" t="s">
        <v>2955</v>
      </c>
      <c r="OWQ372" s="21" t="s">
        <v>2955</v>
      </c>
      <c r="OWR372" s="21" t="s">
        <v>2955</v>
      </c>
      <c r="OWS372" s="21" t="s">
        <v>2955</v>
      </c>
      <c r="OWT372" s="21" t="s">
        <v>2955</v>
      </c>
      <c r="OWU372" s="21" t="s">
        <v>2955</v>
      </c>
      <c r="OWV372" s="21" t="s">
        <v>2955</v>
      </c>
      <c r="OWW372" s="21" t="s">
        <v>2955</v>
      </c>
      <c r="OWX372" s="21" t="s">
        <v>2955</v>
      </c>
      <c r="OWY372" s="21" t="s">
        <v>2955</v>
      </c>
      <c r="OWZ372" s="21" t="s">
        <v>2955</v>
      </c>
      <c r="OXA372" s="21" t="s">
        <v>2955</v>
      </c>
      <c r="OXB372" s="21" t="s">
        <v>2955</v>
      </c>
      <c r="OXC372" s="21" t="s">
        <v>2955</v>
      </c>
      <c r="OXD372" s="21" t="s">
        <v>2955</v>
      </c>
      <c r="OXE372" s="21" t="s">
        <v>2955</v>
      </c>
      <c r="OXF372" s="21" t="s">
        <v>2955</v>
      </c>
      <c r="OXG372" s="21" t="s">
        <v>2955</v>
      </c>
      <c r="OXH372" s="21" t="s">
        <v>2955</v>
      </c>
      <c r="OXI372" s="21" t="s">
        <v>2955</v>
      </c>
      <c r="OXJ372" s="21" t="s">
        <v>2955</v>
      </c>
      <c r="OXK372" s="21" t="s">
        <v>2955</v>
      </c>
      <c r="OXL372" s="21" t="s">
        <v>2955</v>
      </c>
      <c r="OXM372" s="21" t="s">
        <v>2955</v>
      </c>
      <c r="OXN372" s="21" t="s">
        <v>2955</v>
      </c>
      <c r="OXO372" s="21" t="s">
        <v>2955</v>
      </c>
      <c r="OXP372" s="21" t="s">
        <v>2955</v>
      </c>
      <c r="OXQ372" s="21" t="s">
        <v>2955</v>
      </c>
      <c r="OXR372" s="21" t="s">
        <v>2955</v>
      </c>
      <c r="OXS372" s="21" t="s">
        <v>2955</v>
      </c>
      <c r="OXT372" s="21" t="s">
        <v>2955</v>
      </c>
      <c r="OXU372" s="21" t="s">
        <v>2955</v>
      </c>
      <c r="OXV372" s="21" t="s">
        <v>2955</v>
      </c>
      <c r="OXW372" s="21" t="s">
        <v>2955</v>
      </c>
      <c r="OXX372" s="21" t="s">
        <v>2955</v>
      </c>
      <c r="OXY372" s="21" t="s">
        <v>2955</v>
      </c>
      <c r="OXZ372" s="21" t="s">
        <v>2955</v>
      </c>
      <c r="OYA372" s="21" t="s">
        <v>2955</v>
      </c>
      <c r="OYB372" s="21" t="s">
        <v>2955</v>
      </c>
      <c r="OYC372" s="21" t="s">
        <v>2955</v>
      </c>
      <c r="OYD372" s="21" t="s">
        <v>2955</v>
      </c>
      <c r="OYE372" s="21" t="s">
        <v>2955</v>
      </c>
      <c r="OYF372" s="21" t="s">
        <v>2955</v>
      </c>
      <c r="OYG372" s="21" t="s">
        <v>2955</v>
      </c>
      <c r="OYH372" s="21" t="s">
        <v>2955</v>
      </c>
      <c r="OYI372" s="21" t="s">
        <v>2955</v>
      </c>
      <c r="OYJ372" s="21" t="s">
        <v>2955</v>
      </c>
      <c r="OYK372" s="21" t="s">
        <v>2955</v>
      </c>
      <c r="OYL372" s="21" t="s">
        <v>2955</v>
      </c>
      <c r="OYM372" s="21" t="s">
        <v>2955</v>
      </c>
      <c r="OYN372" s="21" t="s">
        <v>2955</v>
      </c>
      <c r="OYO372" s="21" t="s">
        <v>2955</v>
      </c>
      <c r="OYP372" s="21" t="s">
        <v>2955</v>
      </c>
      <c r="OYQ372" s="21" t="s">
        <v>2955</v>
      </c>
      <c r="OYR372" s="21" t="s">
        <v>2955</v>
      </c>
      <c r="OYS372" s="21" t="s">
        <v>2955</v>
      </c>
      <c r="OYT372" s="21" t="s">
        <v>2955</v>
      </c>
      <c r="OYU372" s="21" t="s">
        <v>2955</v>
      </c>
      <c r="OYV372" s="21" t="s">
        <v>2955</v>
      </c>
      <c r="OYW372" s="21" t="s">
        <v>2955</v>
      </c>
      <c r="OYX372" s="21" t="s">
        <v>2955</v>
      </c>
      <c r="OYY372" s="21" t="s">
        <v>2955</v>
      </c>
      <c r="OYZ372" s="21" t="s">
        <v>2955</v>
      </c>
      <c r="OZA372" s="21" t="s">
        <v>2955</v>
      </c>
      <c r="OZB372" s="21" t="s">
        <v>2955</v>
      </c>
      <c r="OZC372" s="21" t="s">
        <v>2955</v>
      </c>
      <c r="OZD372" s="21" t="s">
        <v>2955</v>
      </c>
      <c r="OZE372" s="21" t="s">
        <v>2955</v>
      </c>
      <c r="OZF372" s="21" t="s">
        <v>2955</v>
      </c>
      <c r="OZG372" s="21" t="s">
        <v>2955</v>
      </c>
      <c r="OZH372" s="21" t="s">
        <v>2955</v>
      </c>
      <c r="OZI372" s="21" t="s">
        <v>2955</v>
      </c>
      <c r="OZJ372" s="21" t="s">
        <v>2955</v>
      </c>
      <c r="OZK372" s="21" t="s">
        <v>2955</v>
      </c>
      <c r="OZL372" s="21" t="s">
        <v>2955</v>
      </c>
      <c r="OZM372" s="21" t="s">
        <v>2955</v>
      </c>
      <c r="OZN372" s="21" t="s">
        <v>2955</v>
      </c>
      <c r="OZO372" s="21" t="s">
        <v>2955</v>
      </c>
      <c r="OZP372" s="21" t="s">
        <v>2955</v>
      </c>
      <c r="OZQ372" s="21" t="s">
        <v>2955</v>
      </c>
      <c r="OZR372" s="21" t="s">
        <v>2955</v>
      </c>
      <c r="OZS372" s="21" t="s">
        <v>2955</v>
      </c>
      <c r="OZT372" s="21" t="s">
        <v>2955</v>
      </c>
      <c r="OZU372" s="21" t="s">
        <v>2955</v>
      </c>
      <c r="OZV372" s="21" t="s">
        <v>2955</v>
      </c>
      <c r="OZW372" s="21" t="s">
        <v>2955</v>
      </c>
      <c r="OZX372" s="21" t="s">
        <v>2955</v>
      </c>
      <c r="OZY372" s="21" t="s">
        <v>2955</v>
      </c>
      <c r="OZZ372" s="21" t="s">
        <v>2955</v>
      </c>
      <c r="PAA372" s="21" t="s">
        <v>2955</v>
      </c>
      <c r="PAB372" s="21" t="s">
        <v>2955</v>
      </c>
      <c r="PAC372" s="21" t="s">
        <v>2955</v>
      </c>
      <c r="PAD372" s="21" t="s">
        <v>2955</v>
      </c>
      <c r="PAE372" s="21" t="s">
        <v>2955</v>
      </c>
      <c r="PAF372" s="21" t="s">
        <v>2955</v>
      </c>
      <c r="PAG372" s="21" t="s">
        <v>2955</v>
      </c>
      <c r="PAH372" s="21" t="s">
        <v>2955</v>
      </c>
      <c r="PAI372" s="21" t="s">
        <v>2955</v>
      </c>
      <c r="PAJ372" s="21" t="s">
        <v>2955</v>
      </c>
      <c r="PAK372" s="21" t="s">
        <v>2955</v>
      </c>
      <c r="PAL372" s="21" t="s">
        <v>2955</v>
      </c>
      <c r="PAM372" s="21" t="s">
        <v>2955</v>
      </c>
      <c r="PAN372" s="21" t="s">
        <v>2955</v>
      </c>
      <c r="PAO372" s="21" t="s">
        <v>2955</v>
      </c>
      <c r="PAP372" s="21" t="s">
        <v>2955</v>
      </c>
      <c r="PAQ372" s="21" t="s">
        <v>2955</v>
      </c>
      <c r="PAR372" s="21" t="s">
        <v>2955</v>
      </c>
      <c r="PAS372" s="21" t="s">
        <v>2955</v>
      </c>
      <c r="PAT372" s="21" t="s">
        <v>2955</v>
      </c>
      <c r="PAU372" s="21" t="s">
        <v>2955</v>
      </c>
      <c r="PAV372" s="21" t="s">
        <v>2955</v>
      </c>
      <c r="PAW372" s="21" t="s">
        <v>2955</v>
      </c>
      <c r="PAX372" s="21" t="s">
        <v>2955</v>
      </c>
      <c r="PAY372" s="21" t="s">
        <v>2955</v>
      </c>
      <c r="PAZ372" s="21" t="s">
        <v>2955</v>
      </c>
      <c r="PBA372" s="21" t="s">
        <v>2955</v>
      </c>
      <c r="PBB372" s="21" t="s">
        <v>2955</v>
      </c>
      <c r="PBC372" s="21" t="s">
        <v>2955</v>
      </c>
      <c r="PBD372" s="21" t="s">
        <v>2955</v>
      </c>
      <c r="PBE372" s="21" t="s">
        <v>2955</v>
      </c>
      <c r="PBF372" s="21" t="s">
        <v>2955</v>
      </c>
      <c r="PBG372" s="21" t="s">
        <v>2955</v>
      </c>
      <c r="PBH372" s="21" t="s">
        <v>2955</v>
      </c>
      <c r="PBI372" s="21" t="s">
        <v>2955</v>
      </c>
      <c r="PBJ372" s="21" t="s">
        <v>2955</v>
      </c>
      <c r="PBK372" s="21" t="s">
        <v>2955</v>
      </c>
      <c r="PBL372" s="21" t="s">
        <v>2955</v>
      </c>
      <c r="PBM372" s="21" t="s">
        <v>2955</v>
      </c>
      <c r="PBN372" s="21" t="s">
        <v>2955</v>
      </c>
      <c r="PBO372" s="21" t="s">
        <v>2955</v>
      </c>
      <c r="PBP372" s="21" t="s">
        <v>2955</v>
      </c>
      <c r="PBQ372" s="21" t="s">
        <v>2955</v>
      </c>
      <c r="PBR372" s="21" t="s">
        <v>2955</v>
      </c>
      <c r="PBS372" s="21" t="s">
        <v>2955</v>
      </c>
      <c r="PBT372" s="21" t="s">
        <v>2955</v>
      </c>
      <c r="PBU372" s="21" t="s">
        <v>2955</v>
      </c>
      <c r="PBV372" s="21" t="s">
        <v>2955</v>
      </c>
      <c r="PBW372" s="21" t="s">
        <v>2955</v>
      </c>
      <c r="PBX372" s="21" t="s">
        <v>2955</v>
      </c>
      <c r="PBY372" s="21" t="s">
        <v>2955</v>
      </c>
      <c r="PBZ372" s="21" t="s">
        <v>2955</v>
      </c>
      <c r="PCA372" s="21" t="s">
        <v>2955</v>
      </c>
      <c r="PCB372" s="21" t="s">
        <v>2955</v>
      </c>
      <c r="PCC372" s="21" t="s">
        <v>2955</v>
      </c>
      <c r="PCD372" s="21" t="s">
        <v>2955</v>
      </c>
      <c r="PCE372" s="21" t="s">
        <v>2955</v>
      </c>
      <c r="PCF372" s="21" t="s">
        <v>2955</v>
      </c>
      <c r="PCG372" s="21" t="s">
        <v>2955</v>
      </c>
      <c r="PCH372" s="21" t="s">
        <v>2955</v>
      </c>
      <c r="PCI372" s="21" t="s">
        <v>2955</v>
      </c>
      <c r="PCJ372" s="21" t="s">
        <v>2955</v>
      </c>
      <c r="PCK372" s="21" t="s">
        <v>2955</v>
      </c>
      <c r="PCL372" s="21" t="s">
        <v>2955</v>
      </c>
      <c r="PCM372" s="21" t="s">
        <v>2955</v>
      </c>
      <c r="PCN372" s="21" t="s">
        <v>2955</v>
      </c>
      <c r="PCO372" s="21" t="s">
        <v>2955</v>
      </c>
      <c r="PCP372" s="21" t="s">
        <v>2955</v>
      </c>
      <c r="PCQ372" s="21" t="s">
        <v>2955</v>
      </c>
      <c r="PCR372" s="21" t="s">
        <v>2955</v>
      </c>
      <c r="PCS372" s="21" t="s">
        <v>2955</v>
      </c>
      <c r="PCT372" s="21" t="s">
        <v>2955</v>
      </c>
      <c r="PCU372" s="21" t="s">
        <v>2955</v>
      </c>
      <c r="PCV372" s="21" t="s">
        <v>2955</v>
      </c>
      <c r="PCW372" s="21" t="s">
        <v>2955</v>
      </c>
      <c r="PCX372" s="21" t="s">
        <v>2955</v>
      </c>
      <c r="PCY372" s="21" t="s">
        <v>2955</v>
      </c>
      <c r="PCZ372" s="21" t="s">
        <v>2955</v>
      </c>
      <c r="PDA372" s="21" t="s">
        <v>2955</v>
      </c>
      <c r="PDB372" s="21" t="s">
        <v>2955</v>
      </c>
      <c r="PDC372" s="21" t="s">
        <v>2955</v>
      </c>
      <c r="PDD372" s="21" t="s">
        <v>2955</v>
      </c>
      <c r="PDE372" s="21" t="s">
        <v>2955</v>
      </c>
      <c r="PDF372" s="21" t="s">
        <v>2955</v>
      </c>
      <c r="PDG372" s="21" t="s">
        <v>2955</v>
      </c>
      <c r="PDH372" s="21" t="s">
        <v>2955</v>
      </c>
      <c r="PDI372" s="21" t="s">
        <v>2955</v>
      </c>
      <c r="PDJ372" s="21" t="s">
        <v>2955</v>
      </c>
      <c r="PDK372" s="21" t="s">
        <v>2955</v>
      </c>
      <c r="PDL372" s="21" t="s">
        <v>2955</v>
      </c>
      <c r="PDM372" s="21" t="s">
        <v>2955</v>
      </c>
      <c r="PDN372" s="21" t="s">
        <v>2955</v>
      </c>
      <c r="PDO372" s="21" t="s">
        <v>2955</v>
      </c>
      <c r="PDP372" s="21" t="s">
        <v>2955</v>
      </c>
      <c r="PDQ372" s="21" t="s">
        <v>2955</v>
      </c>
      <c r="PDR372" s="21" t="s">
        <v>2955</v>
      </c>
      <c r="PDS372" s="21" t="s">
        <v>2955</v>
      </c>
      <c r="PDT372" s="21" t="s">
        <v>2955</v>
      </c>
      <c r="PDU372" s="21" t="s">
        <v>2955</v>
      </c>
      <c r="PDV372" s="21" t="s">
        <v>2955</v>
      </c>
      <c r="PDW372" s="21" t="s">
        <v>2955</v>
      </c>
      <c r="PDX372" s="21" t="s">
        <v>2955</v>
      </c>
      <c r="PDY372" s="21" t="s">
        <v>2955</v>
      </c>
      <c r="PDZ372" s="21" t="s">
        <v>2955</v>
      </c>
      <c r="PEA372" s="21" t="s">
        <v>2955</v>
      </c>
      <c r="PEB372" s="21" t="s">
        <v>2955</v>
      </c>
      <c r="PEC372" s="21" t="s">
        <v>2955</v>
      </c>
      <c r="PED372" s="21" t="s">
        <v>2955</v>
      </c>
      <c r="PEE372" s="21" t="s">
        <v>2955</v>
      </c>
      <c r="PEF372" s="21" t="s">
        <v>2955</v>
      </c>
      <c r="PEG372" s="21" t="s">
        <v>2955</v>
      </c>
      <c r="PEH372" s="21" t="s">
        <v>2955</v>
      </c>
      <c r="PEI372" s="21" t="s">
        <v>2955</v>
      </c>
      <c r="PEJ372" s="21" t="s">
        <v>2955</v>
      </c>
      <c r="PEK372" s="21" t="s">
        <v>2955</v>
      </c>
      <c r="PEL372" s="21" t="s">
        <v>2955</v>
      </c>
      <c r="PEM372" s="21" t="s">
        <v>2955</v>
      </c>
      <c r="PEN372" s="21" t="s">
        <v>2955</v>
      </c>
      <c r="PEO372" s="21" t="s">
        <v>2955</v>
      </c>
      <c r="PEP372" s="21" t="s">
        <v>2955</v>
      </c>
      <c r="PEQ372" s="21" t="s">
        <v>2955</v>
      </c>
      <c r="PER372" s="21" t="s">
        <v>2955</v>
      </c>
      <c r="PES372" s="21" t="s">
        <v>2955</v>
      </c>
      <c r="PET372" s="21" t="s">
        <v>2955</v>
      </c>
      <c r="PEU372" s="21" t="s">
        <v>2955</v>
      </c>
      <c r="PEV372" s="21" t="s">
        <v>2955</v>
      </c>
      <c r="PEW372" s="21" t="s">
        <v>2955</v>
      </c>
      <c r="PEX372" s="21" t="s">
        <v>2955</v>
      </c>
      <c r="PEY372" s="21" t="s">
        <v>2955</v>
      </c>
      <c r="PEZ372" s="21" t="s">
        <v>2955</v>
      </c>
      <c r="PFA372" s="21" t="s">
        <v>2955</v>
      </c>
      <c r="PFB372" s="21" t="s">
        <v>2955</v>
      </c>
      <c r="PFC372" s="21" t="s">
        <v>2955</v>
      </c>
      <c r="PFD372" s="21" t="s">
        <v>2955</v>
      </c>
      <c r="PFE372" s="21" t="s">
        <v>2955</v>
      </c>
      <c r="PFF372" s="21" t="s">
        <v>2955</v>
      </c>
      <c r="PFG372" s="21" t="s">
        <v>2955</v>
      </c>
      <c r="PFH372" s="21" t="s">
        <v>2955</v>
      </c>
      <c r="PFI372" s="21" t="s">
        <v>2955</v>
      </c>
      <c r="PFJ372" s="21" t="s">
        <v>2955</v>
      </c>
      <c r="PFK372" s="21" t="s">
        <v>2955</v>
      </c>
      <c r="PFL372" s="21" t="s">
        <v>2955</v>
      </c>
      <c r="PFM372" s="21" t="s">
        <v>2955</v>
      </c>
      <c r="PFN372" s="21" t="s">
        <v>2955</v>
      </c>
      <c r="PFO372" s="21" t="s">
        <v>2955</v>
      </c>
      <c r="PFP372" s="21" t="s">
        <v>2955</v>
      </c>
      <c r="PFQ372" s="21" t="s">
        <v>2955</v>
      </c>
      <c r="PFR372" s="21" t="s">
        <v>2955</v>
      </c>
      <c r="PFS372" s="21" t="s">
        <v>2955</v>
      </c>
      <c r="PFT372" s="21" t="s">
        <v>2955</v>
      </c>
      <c r="PFU372" s="21" t="s">
        <v>2955</v>
      </c>
      <c r="PFV372" s="21" t="s">
        <v>2955</v>
      </c>
      <c r="PFW372" s="21" t="s">
        <v>2955</v>
      </c>
      <c r="PFX372" s="21" t="s">
        <v>2955</v>
      </c>
      <c r="PFY372" s="21" t="s">
        <v>2955</v>
      </c>
      <c r="PFZ372" s="21" t="s">
        <v>2955</v>
      </c>
      <c r="PGA372" s="21" t="s">
        <v>2955</v>
      </c>
      <c r="PGB372" s="21" t="s">
        <v>2955</v>
      </c>
      <c r="PGC372" s="21" t="s">
        <v>2955</v>
      </c>
      <c r="PGD372" s="21" t="s">
        <v>2955</v>
      </c>
      <c r="PGE372" s="21" t="s">
        <v>2955</v>
      </c>
      <c r="PGF372" s="21" t="s">
        <v>2955</v>
      </c>
      <c r="PGG372" s="21" t="s">
        <v>2955</v>
      </c>
      <c r="PGH372" s="21" t="s">
        <v>2955</v>
      </c>
      <c r="PGI372" s="21" t="s">
        <v>2955</v>
      </c>
      <c r="PGJ372" s="21" t="s">
        <v>2955</v>
      </c>
      <c r="PGK372" s="21" t="s">
        <v>2955</v>
      </c>
      <c r="PGL372" s="21" t="s">
        <v>2955</v>
      </c>
      <c r="PGM372" s="21" t="s">
        <v>2955</v>
      </c>
      <c r="PGN372" s="21" t="s">
        <v>2955</v>
      </c>
      <c r="PGO372" s="21" t="s">
        <v>2955</v>
      </c>
      <c r="PGP372" s="21" t="s">
        <v>2955</v>
      </c>
      <c r="PGQ372" s="21" t="s">
        <v>2955</v>
      </c>
      <c r="PGR372" s="21" t="s">
        <v>2955</v>
      </c>
      <c r="PGS372" s="21" t="s">
        <v>2955</v>
      </c>
      <c r="PGT372" s="21" t="s">
        <v>2955</v>
      </c>
      <c r="PGU372" s="21" t="s">
        <v>2955</v>
      </c>
      <c r="PGV372" s="21" t="s">
        <v>2955</v>
      </c>
      <c r="PGW372" s="21" t="s">
        <v>2955</v>
      </c>
      <c r="PGX372" s="21" t="s">
        <v>2955</v>
      </c>
      <c r="PGY372" s="21" t="s">
        <v>2955</v>
      </c>
      <c r="PGZ372" s="21" t="s">
        <v>2955</v>
      </c>
      <c r="PHA372" s="21" t="s">
        <v>2955</v>
      </c>
      <c r="PHB372" s="21" t="s">
        <v>2955</v>
      </c>
      <c r="PHC372" s="21" t="s">
        <v>2955</v>
      </c>
      <c r="PHD372" s="21" t="s">
        <v>2955</v>
      </c>
      <c r="PHE372" s="21" t="s">
        <v>2955</v>
      </c>
      <c r="PHF372" s="21" t="s">
        <v>2955</v>
      </c>
      <c r="PHG372" s="21" t="s">
        <v>2955</v>
      </c>
      <c r="PHH372" s="21" t="s">
        <v>2955</v>
      </c>
      <c r="PHI372" s="21" t="s">
        <v>2955</v>
      </c>
      <c r="PHJ372" s="21" t="s">
        <v>2955</v>
      </c>
      <c r="PHK372" s="21" t="s">
        <v>2955</v>
      </c>
      <c r="PHL372" s="21" t="s">
        <v>2955</v>
      </c>
      <c r="PHM372" s="21" t="s">
        <v>2955</v>
      </c>
      <c r="PHN372" s="21" t="s">
        <v>2955</v>
      </c>
      <c r="PHO372" s="21" t="s">
        <v>2955</v>
      </c>
      <c r="PHP372" s="21" t="s">
        <v>2955</v>
      </c>
      <c r="PHQ372" s="21" t="s">
        <v>2955</v>
      </c>
      <c r="PHR372" s="21" t="s">
        <v>2955</v>
      </c>
      <c r="PHS372" s="21" t="s">
        <v>2955</v>
      </c>
      <c r="PHT372" s="21" t="s">
        <v>2955</v>
      </c>
      <c r="PHU372" s="21" t="s">
        <v>2955</v>
      </c>
      <c r="PHV372" s="21" t="s">
        <v>2955</v>
      </c>
      <c r="PHW372" s="21" t="s">
        <v>2955</v>
      </c>
      <c r="PHX372" s="21" t="s">
        <v>2955</v>
      </c>
      <c r="PHY372" s="21" t="s">
        <v>2955</v>
      </c>
      <c r="PHZ372" s="21" t="s">
        <v>2955</v>
      </c>
      <c r="PIA372" s="21" t="s">
        <v>2955</v>
      </c>
      <c r="PIB372" s="21" t="s">
        <v>2955</v>
      </c>
      <c r="PIC372" s="21" t="s">
        <v>2955</v>
      </c>
      <c r="PID372" s="21" t="s">
        <v>2955</v>
      </c>
      <c r="PIE372" s="21" t="s">
        <v>2955</v>
      </c>
      <c r="PIF372" s="21" t="s">
        <v>2955</v>
      </c>
      <c r="PIG372" s="21" t="s">
        <v>2955</v>
      </c>
      <c r="PIH372" s="21" t="s">
        <v>2955</v>
      </c>
      <c r="PII372" s="21" t="s">
        <v>2955</v>
      </c>
      <c r="PIJ372" s="21" t="s">
        <v>2955</v>
      </c>
      <c r="PIK372" s="21" t="s">
        <v>2955</v>
      </c>
      <c r="PIL372" s="21" t="s">
        <v>2955</v>
      </c>
      <c r="PIM372" s="21" t="s">
        <v>2955</v>
      </c>
      <c r="PIN372" s="21" t="s">
        <v>2955</v>
      </c>
      <c r="PIO372" s="21" t="s">
        <v>2955</v>
      </c>
      <c r="PIP372" s="21" t="s">
        <v>2955</v>
      </c>
      <c r="PIQ372" s="21" t="s">
        <v>2955</v>
      </c>
      <c r="PIR372" s="21" t="s">
        <v>2955</v>
      </c>
      <c r="PIS372" s="21" t="s">
        <v>2955</v>
      </c>
      <c r="PIT372" s="21" t="s">
        <v>2955</v>
      </c>
      <c r="PIU372" s="21" t="s">
        <v>2955</v>
      </c>
      <c r="PIV372" s="21" t="s">
        <v>2955</v>
      </c>
      <c r="PIW372" s="21" t="s">
        <v>2955</v>
      </c>
      <c r="PIX372" s="21" t="s">
        <v>2955</v>
      </c>
      <c r="PIY372" s="21" t="s">
        <v>2955</v>
      </c>
      <c r="PIZ372" s="21" t="s">
        <v>2955</v>
      </c>
      <c r="PJA372" s="21" t="s">
        <v>2955</v>
      </c>
      <c r="PJB372" s="21" t="s">
        <v>2955</v>
      </c>
      <c r="PJC372" s="21" t="s">
        <v>2955</v>
      </c>
      <c r="PJD372" s="21" t="s">
        <v>2955</v>
      </c>
      <c r="PJE372" s="21" t="s">
        <v>2955</v>
      </c>
      <c r="PJF372" s="21" t="s">
        <v>2955</v>
      </c>
      <c r="PJG372" s="21" t="s">
        <v>2955</v>
      </c>
      <c r="PJH372" s="21" t="s">
        <v>2955</v>
      </c>
      <c r="PJI372" s="21" t="s">
        <v>2955</v>
      </c>
      <c r="PJJ372" s="21" t="s">
        <v>2955</v>
      </c>
      <c r="PJK372" s="21" t="s">
        <v>2955</v>
      </c>
      <c r="PJL372" s="21" t="s">
        <v>2955</v>
      </c>
      <c r="PJM372" s="21" t="s">
        <v>2955</v>
      </c>
      <c r="PJN372" s="21" t="s">
        <v>2955</v>
      </c>
      <c r="PJO372" s="21" t="s">
        <v>2955</v>
      </c>
      <c r="PJP372" s="21" t="s">
        <v>2955</v>
      </c>
      <c r="PJQ372" s="21" t="s">
        <v>2955</v>
      </c>
      <c r="PJR372" s="21" t="s">
        <v>2955</v>
      </c>
      <c r="PJS372" s="21" t="s">
        <v>2955</v>
      </c>
      <c r="PJT372" s="21" t="s">
        <v>2955</v>
      </c>
      <c r="PJU372" s="21" t="s">
        <v>2955</v>
      </c>
      <c r="PJV372" s="21" t="s">
        <v>2955</v>
      </c>
      <c r="PJW372" s="21" t="s">
        <v>2955</v>
      </c>
      <c r="PJX372" s="21" t="s">
        <v>2955</v>
      </c>
      <c r="PJY372" s="21" t="s">
        <v>2955</v>
      </c>
      <c r="PJZ372" s="21" t="s">
        <v>2955</v>
      </c>
      <c r="PKA372" s="21" t="s">
        <v>2955</v>
      </c>
      <c r="PKB372" s="21" t="s">
        <v>2955</v>
      </c>
      <c r="PKC372" s="21" t="s">
        <v>2955</v>
      </c>
      <c r="PKD372" s="21" t="s">
        <v>2955</v>
      </c>
      <c r="PKE372" s="21" t="s">
        <v>2955</v>
      </c>
      <c r="PKF372" s="21" t="s">
        <v>2955</v>
      </c>
      <c r="PKG372" s="21" t="s">
        <v>2955</v>
      </c>
      <c r="PKH372" s="21" t="s">
        <v>2955</v>
      </c>
      <c r="PKI372" s="21" t="s">
        <v>2955</v>
      </c>
      <c r="PKJ372" s="21" t="s">
        <v>2955</v>
      </c>
      <c r="PKK372" s="21" t="s">
        <v>2955</v>
      </c>
      <c r="PKL372" s="21" t="s">
        <v>2955</v>
      </c>
      <c r="PKM372" s="21" t="s">
        <v>2955</v>
      </c>
      <c r="PKN372" s="21" t="s">
        <v>2955</v>
      </c>
      <c r="PKO372" s="21" t="s">
        <v>2955</v>
      </c>
      <c r="PKP372" s="21" t="s">
        <v>2955</v>
      </c>
      <c r="PKQ372" s="21" t="s">
        <v>2955</v>
      </c>
      <c r="PKR372" s="21" t="s">
        <v>2955</v>
      </c>
      <c r="PKS372" s="21" t="s">
        <v>2955</v>
      </c>
      <c r="PKT372" s="21" t="s">
        <v>2955</v>
      </c>
      <c r="PKU372" s="21" t="s">
        <v>2955</v>
      </c>
      <c r="PKV372" s="21" t="s">
        <v>2955</v>
      </c>
      <c r="PKW372" s="21" t="s">
        <v>2955</v>
      </c>
      <c r="PKX372" s="21" t="s">
        <v>2955</v>
      </c>
      <c r="PKY372" s="21" t="s">
        <v>2955</v>
      </c>
      <c r="PKZ372" s="21" t="s">
        <v>2955</v>
      </c>
      <c r="PLA372" s="21" t="s">
        <v>2955</v>
      </c>
      <c r="PLB372" s="21" t="s">
        <v>2955</v>
      </c>
      <c r="PLC372" s="21" t="s">
        <v>2955</v>
      </c>
      <c r="PLD372" s="21" t="s">
        <v>2955</v>
      </c>
      <c r="PLE372" s="21" t="s">
        <v>2955</v>
      </c>
      <c r="PLF372" s="21" t="s">
        <v>2955</v>
      </c>
      <c r="PLG372" s="21" t="s">
        <v>2955</v>
      </c>
      <c r="PLH372" s="21" t="s">
        <v>2955</v>
      </c>
      <c r="PLI372" s="21" t="s">
        <v>2955</v>
      </c>
      <c r="PLJ372" s="21" t="s">
        <v>2955</v>
      </c>
      <c r="PLK372" s="21" t="s">
        <v>2955</v>
      </c>
      <c r="PLL372" s="21" t="s">
        <v>2955</v>
      </c>
      <c r="PLM372" s="21" t="s">
        <v>2955</v>
      </c>
      <c r="PLN372" s="21" t="s">
        <v>2955</v>
      </c>
      <c r="PLO372" s="21" t="s">
        <v>2955</v>
      </c>
      <c r="PLP372" s="21" t="s">
        <v>2955</v>
      </c>
      <c r="PLQ372" s="21" t="s">
        <v>2955</v>
      </c>
      <c r="PLR372" s="21" t="s">
        <v>2955</v>
      </c>
      <c r="PLS372" s="21" t="s">
        <v>2955</v>
      </c>
      <c r="PLT372" s="21" t="s">
        <v>2955</v>
      </c>
      <c r="PLU372" s="21" t="s">
        <v>2955</v>
      </c>
      <c r="PLV372" s="21" t="s">
        <v>2955</v>
      </c>
      <c r="PLW372" s="21" t="s">
        <v>2955</v>
      </c>
      <c r="PLX372" s="21" t="s">
        <v>2955</v>
      </c>
      <c r="PLY372" s="21" t="s">
        <v>2955</v>
      </c>
      <c r="PLZ372" s="21" t="s">
        <v>2955</v>
      </c>
      <c r="PMA372" s="21" t="s">
        <v>2955</v>
      </c>
      <c r="PMB372" s="21" t="s">
        <v>2955</v>
      </c>
      <c r="PMC372" s="21" t="s">
        <v>2955</v>
      </c>
      <c r="PMD372" s="21" t="s">
        <v>2955</v>
      </c>
      <c r="PME372" s="21" t="s">
        <v>2955</v>
      </c>
      <c r="PMF372" s="21" t="s">
        <v>2955</v>
      </c>
      <c r="PMG372" s="21" t="s">
        <v>2955</v>
      </c>
      <c r="PMH372" s="21" t="s">
        <v>2955</v>
      </c>
      <c r="PMI372" s="21" t="s">
        <v>2955</v>
      </c>
      <c r="PMJ372" s="21" t="s">
        <v>2955</v>
      </c>
      <c r="PMK372" s="21" t="s">
        <v>2955</v>
      </c>
      <c r="PML372" s="21" t="s">
        <v>2955</v>
      </c>
      <c r="PMM372" s="21" t="s">
        <v>2955</v>
      </c>
      <c r="PMN372" s="21" t="s">
        <v>2955</v>
      </c>
      <c r="PMO372" s="21" t="s">
        <v>2955</v>
      </c>
      <c r="PMP372" s="21" t="s">
        <v>2955</v>
      </c>
      <c r="PMQ372" s="21" t="s">
        <v>2955</v>
      </c>
      <c r="PMR372" s="21" t="s">
        <v>2955</v>
      </c>
      <c r="PMS372" s="21" t="s">
        <v>2955</v>
      </c>
      <c r="PMT372" s="21" t="s">
        <v>2955</v>
      </c>
      <c r="PMU372" s="21" t="s">
        <v>2955</v>
      </c>
      <c r="PMV372" s="21" t="s">
        <v>2955</v>
      </c>
      <c r="PMW372" s="21" t="s">
        <v>2955</v>
      </c>
      <c r="PMX372" s="21" t="s">
        <v>2955</v>
      </c>
      <c r="PMY372" s="21" t="s">
        <v>2955</v>
      </c>
      <c r="PMZ372" s="21" t="s">
        <v>2955</v>
      </c>
      <c r="PNA372" s="21" t="s">
        <v>2955</v>
      </c>
      <c r="PNB372" s="21" t="s">
        <v>2955</v>
      </c>
      <c r="PNC372" s="21" t="s">
        <v>2955</v>
      </c>
      <c r="PND372" s="21" t="s">
        <v>2955</v>
      </c>
      <c r="PNE372" s="21" t="s">
        <v>2955</v>
      </c>
      <c r="PNF372" s="21" t="s">
        <v>2955</v>
      </c>
      <c r="PNG372" s="21" t="s">
        <v>2955</v>
      </c>
      <c r="PNH372" s="21" t="s">
        <v>2955</v>
      </c>
      <c r="PNI372" s="21" t="s">
        <v>2955</v>
      </c>
      <c r="PNJ372" s="21" t="s">
        <v>2955</v>
      </c>
      <c r="PNK372" s="21" t="s">
        <v>2955</v>
      </c>
      <c r="PNL372" s="21" t="s">
        <v>2955</v>
      </c>
      <c r="PNM372" s="21" t="s">
        <v>2955</v>
      </c>
      <c r="PNN372" s="21" t="s">
        <v>2955</v>
      </c>
      <c r="PNO372" s="21" t="s">
        <v>2955</v>
      </c>
      <c r="PNP372" s="21" t="s">
        <v>2955</v>
      </c>
      <c r="PNQ372" s="21" t="s">
        <v>2955</v>
      </c>
      <c r="PNR372" s="21" t="s">
        <v>2955</v>
      </c>
      <c r="PNS372" s="21" t="s">
        <v>2955</v>
      </c>
      <c r="PNT372" s="21" t="s">
        <v>2955</v>
      </c>
      <c r="PNU372" s="21" t="s">
        <v>2955</v>
      </c>
      <c r="PNV372" s="21" t="s">
        <v>2955</v>
      </c>
      <c r="PNW372" s="21" t="s">
        <v>2955</v>
      </c>
      <c r="PNX372" s="21" t="s">
        <v>2955</v>
      </c>
      <c r="PNY372" s="21" t="s">
        <v>2955</v>
      </c>
      <c r="PNZ372" s="21" t="s">
        <v>2955</v>
      </c>
      <c r="POA372" s="21" t="s">
        <v>2955</v>
      </c>
      <c r="POB372" s="21" t="s">
        <v>2955</v>
      </c>
      <c r="POC372" s="21" t="s">
        <v>2955</v>
      </c>
      <c r="POD372" s="21" t="s">
        <v>2955</v>
      </c>
      <c r="POE372" s="21" t="s">
        <v>2955</v>
      </c>
      <c r="POF372" s="21" t="s">
        <v>2955</v>
      </c>
      <c r="POG372" s="21" t="s">
        <v>2955</v>
      </c>
      <c r="POH372" s="21" t="s">
        <v>2955</v>
      </c>
      <c r="POI372" s="21" t="s">
        <v>2955</v>
      </c>
      <c r="POJ372" s="21" t="s">
        <v>2955</v>
      </c>
      <c r="POK372" s="21" t="s">
        <v>2955</v>
      </c>
      <c r="POL372" s="21" t="s">
        <v>2955</v>
      </c>
      <c r="POM372" s="21" t="s">
        <v>2955</v>
      </c>
      <c r="PON372" s="21" t="s">
        <v>2955</v>
      </c>
      <c r="POO372" s="21" t="s">
        <v>2955</v>
      </c>
      <c r="POP372" s="21" t="s">
        <v>2955</v>
      </c>
      <c r="POQ372" s="21" t="s">
        <v>2955</v>
      </c>
      <c r="POR372" s="21" t="s">
        <v>2955</v>
      </c>
      <c r="POS372" s="21" t="s">
        <v>2955</v>
      </c>
      <c r="POT372" s="21" t="s">
        <v>2955</v>
      </c>
      <c r="POU372" s="21" t="s">
        <v>2955</v>
      </c>
      <c r="POV372" s="21" t="s">
        <v>2955</v>
      </c>
      <c r="POW372" s="21" t="s">
        <v>2955</v>
      </c>
      <c r="POX372" s="21" t="s">
        <v>2955</v>
      </c>
      <c r="POY372" s="21" t="s">
        <v>2955</v>
      </c>
      <c r="POZ372" s="21" t="s">
        <v>2955</v>
      </c>
      <c r="PPA372" s="21" t="s">
        <v>2955</v>
      </c>
      <c r="PPB372" s="21" t="s">
        <v>2955</v>
      </c>
      <c r="PPC372" s="21" t="s">
        <v>2955</v>
      </c>
      <c r="PPD372" s="21" t="s">
        <v>2955</v>
      </c>
      <c r="PPE372" s="21" t="s">
        <v>2955</v>
      </c>
      <c r="PPF372" s="21" t="s">
        <v>2955</v>
      </c>
      <c r="PPG372" s="21" t="s">
        <v>2955</v>
      </c>
      <c r="PPH372" s="21" t="s">
        <v>2955</v>
      </c>
      <c r="PPI372" s="21" t="s">
        <v>2955</v>
      </c>
      <c r="PPJ372" s="21" t="s">
        <v>2955</v>
      </c>
      <c r="PPK372" s="21" t="s">
        <v>2955</v>
      </c>
      <c r="PPL372" s="21" t="s">
        <v>2955</v>
      </c>
      <c r="PPM372" s="21" t="s">
        <v>2955</v>
      </c>
      <c r="PPN372" s="21" t="s">
        <v>2955</v>
      </c>
      <c r="PPO372" s="21" t="s">
        <v>2955</v>
      </c>
      <c r="PPP372" s="21" t="s">
        <v>2955</v>
      </c>
      <c r="PPQ372" s="21" t="s">
        <v>2955</v>
      </c>
      <c r="PPR372" s="21" t="s">
        <v>2955</v>
      </c>
      <c r="PPS372" s="21" t="s">
        <v>2955</v>
      </c>
      <c r="PPT372" s="21" t="s">
        <v>2955</v>
      </c>
      <c r="PPU372" s="21" t="s">
        <v>2955</v>
      </c>
      <c r="PPV372" s="21" t="s">
        <v>2955</v>
      </c>
      <c r="PPW372" s="21" t="s">
        <v>2955</v>
      </c>
      <c r="PPX372" s="21" t="s">
        <v>2955</v>
      </c>
      <c r="PPY372" s="21" t="s">
        <v>2955</v>
      </c>
      <c r="PPZ372" s="21" t="s">
        <v>2955</v>
      </c>
      <c r="PQA372" s="21" t="s">
        <v>2955</v>
      </c>
      <c r="PQB372" s="21" t="s">
        <v>2955</v>
      </c>
      <c r="PQC372" s="21" t="s">
        <v>2955</v>
      </c>
      <c r="PQD372" s="21" t="s">
        <v>2955</v>
      </c>
      <c r="PQE372" s="21" t="s">
        <v>2955</v>
      </c>
      <c r="PQF372" s="21" t="s">
        <v>2955</v>
      </c>
      <c r="PQG372" s="21" t="s">
        <v>2955</v>
      </c>
      <c r="PQH372" s="21" t="s">
        <v>2955</v>
      </c>
      <c r="PQI372" s="21" t="s">
        <v>2955</v>
      </c>
      <c r="PQJ372" s="21" t="s">
        <v>2955</v>
      </c>
      <c r="PQK372" s="21" t="s">
        <v>2955</v>
      </c>
      <c r="PQL372" s="21" t="s">
        <v>2955</v>
      </c>
      <c r="PQM372" s="21" t="s">
        <v>2955</v>
      </c>
      <c r="PQN372" s="21" t="s">
        <v>2955</v>
      </c>
      <c r="PQO372" s="21" t="s">
        <v>2955</v>
      </c>
      <c r="PQP372" s="21" t="s">
        <v>2955</v>
      </c>
      <c r="PQQ372" s="21" t="s">
        <v>2955</v>
      </c>
      <c r="PQR372" s="21" t="s">
        <v>2955</v>
      </c>
      <c r="PQS372" s="21" t="s">
        <v>2955</v>
      </c>
      <c r="PQT372" s="21" t="s">
        <v>2955</v>
      </c>
      <c r="PQU372" s="21" t="s">
        <v>2955</v>
      </c>
      <c r="PQV372" s="21" t="s">
        <v>2955</v>
      </c>
      <c r="PQW372" s="21" t="s">
        <v>2955</v>
      </c>
      <c r="PQX372" s="21" t="s">
        <v>2955</v>
      </c>
      <c r="PQY372" s="21" t="s">
        <v>2955</v>
      </c>
      <c r="PQZ372" s="21" t="s">
        <v>2955</v>
      </c>
      <c r="PRA372" s="21" t="s">
        <v>2955</v>
      </c>
      <c r="PRB372" s="21" t="s">
        <v>2955</v>
      </c>
      <c r="PRC372" s="21" t="s">
        <v>2955</v>
      </c>
      <c r="PRD372" s="21" t="s">
        <v>2955</v>
      </c>
      <c r="PRE372" s="21" t="s">
        <v>2955</v>
      </c>
      <c r="PRF372" s="21" t="s">
        <v>2955</v>
      </c>
      <c r="PRG372" s="21" t="s">
        <v>2955</v>
      </c>
      <c r="PRH372" s="21" t="s">
        <v>2955</v>
      </c>
      <c r="PRI372" s="21" t="s">
        <v>2955</v>
      </c>
      <c r="PRJ372" s="21" t="s">
        <v>2955</v>
      </c>
      <c r="PRK372" s="21" t="s">
        <v>2955</v>
      </c>
      <c r="PRL372" s="21" t="s">
        <v>2955</v>
      </c>
      <c r="PRM372" s="21" t="s">
        <v>2955</v>
      </c>
      <c r="PRN372" s="21" t="s">
        <v>2955</v>
      </c>
      <c r="PRO372" s="21" t="s">
        <v>2955</v>
      </c>
      <c r="PRP372" s="21" t="s">
        <v>2955</v>
      </c>
      <c r="PRQ372" s="21" t="s">
        <v>2955</v>
      </c>
      <c r="PRR372" s="21" t="s">
        <v>2955</v>
      </c>
      <c r="PRS372" s="21" t="s">
        <v>2955</v>
      </c>
      <c r="PRT372" s="21" t="s">
        <v>2955</v>
      </c>
      <c r="PRU372" s="21" t="s">
        <v>2955</v>
      </c>
      <c r="PRV372" s="21" t="s">
        <v>2955</v>
      </c>
      <c r="PRW372" s="21" t="s">
        <v>2955</v>
      </c>
      <c r="PRX372" s="21" t="s">
        <v>2955</v>
      </c>
      <c r="PRY372" s="21" t="s">
        <v>2955</v>
      </c>
      <c r="PRZ372" s="21" t="s">
        <v>2955</v>
      </c>
      <c r="PSA372" s="21" t="s">
        <v>2955</v>
      </c>
      <c r="PSB372" s="21" t="s">
        <v>2955</v>
      </c>
      <c r="PSC372" s="21" t="s">
        <v>2955</v>
      </c>
      <c r="PSD372" s="21" t="s">
        <v>2955</v>
      </c>
      <c r="PSE372" s="21" t="s">
        <v>2955</v>
      </c>
      <c r="PSF372" s="21" t="s">
        <v>2955</v>
      </c>
      <c r="PSG372" s="21" t="s">
        <v>2955</v>
      </c>
      <c r="PSH372" s="21" t="s">
        <v>2955</v>
      </c>
      <c r="PSI372" s="21" t="s">
        <v>2955</v>
      </c>
      <c r="PSJ372" s="21" t="s">
        <v>2955</v>
      </c>
      <c r="PSK372" s="21" t="s">
        <v>2955</v>
      </c>
      <c r="PSL372" s="21" t="s">
        <v>2955</v>
      </c>
      <c r="PSM372" s="21" t="s">
        <v>2955</v>
      </c>
      <c r="PSN372" s="21" t="s">
        <v>2955</v>
      </c>
      <c r="PSO372" s="21" t="s">
        <v>2955</v>
      </c>
      <c r="PSP372" s="21" t="s">
        <v>2955</v>
      </c>
      <c r="PSQ372" s="21" t="s">
        <v>2955</v>
      </c>
      <c r="PSR372" s="21" t="s">
        <v>2955</v>
      </c>
      <c r="PSS372" s="21" t="s">
        <v>2955</v>
      </c>
      <c r="PST372" s="21" t="s">
        <v>2955</v>
      </c>
      <c r="PSU372" s="21" t="s">
        <v>2955</v>
      </c>
      <c r="PSV372" s="21" t="s">
        <v>2955</v>
      </c>
      <c r="PSW372" s="21" t="s">
        <v>2955</v>
      </c>
      <c r="PSX372" s="21" t="s">
        <v>2955</v>
      </c>
      <c r="PSY372" s="21" t="s">
        <v>2955</v>
      </c>
      <c r="PSZ372" s="21" t="s">
        <v>2955</v>
      </c>
      <c r="PTA372" s="21" t="s">
        <v>2955</v>
      </c>
      <c r="PTB372" s="21" t="s">
        <v>2955</v>
      </c>
      <c r="PTC372" s="21" t="s">
        <v>2955</v>
      </c>
      <c r="PTD372" s="21" t="s">
        <v>2955</v>
      </c>
      <c r="PTE372" s="21" t="s">
        <v>2955</v>
      </c>
      <c r="PTF372" s="21" t="s">
        <v>2955</v>
      </c>
      <c r="PTG372" s="21" t="s">
        <v>2955</v>
      </c>
      <c r="PTH372" s="21" t="s">
        <v>2955</v>
      </c>
      <c r="PTI372" s="21" t="s">
        <v>2955</v>
      </c>
      <c r="PTJ372" s="21" t="s">
        <v>2955</v>
      </c>
      <c r="PTK372" s="21" t="s">
        <v>2955</v>
      </c>
      <c r="PTL372" s="21" t="s">
        <v>2955</v>
      </c>
      <c r="PTM372" s="21" t="s">
        <v>2955</v>
      </c>
      <c r="PTN372" s="21" t="s">
        <v>2955</v>
      </c>
      <c r="PTO372" s="21" t="s">
        <v>2955</v>
      </c>
      <c r="PTP372" s="21" t="s">
        <v>2955</v>
      </c>
      <c r="PTQ372" s="21" t="s">
        <v>2955</v>
      </c>
      <c r="PTR372" s="21" t="s">
        <v>2955</v>
      </c>
      <c r="PTS372" s="21" t="s">
        <v>2955</v>
      </c>
      <c r="PTT372" s="21" t="s">
        <v>2955</v>
      </c>
      <c r="PTU372" s="21" t="s">
        <v>2955</v>
      </c>
      <c r="PTV372" s="21" t="s">
        <v>2955</v>
      </c>
      <c r="PTW372" s="21" t="s">
        <v>2955</v>
      </c>
      <c r="PTX372" s="21" t="s">
        <v>2955</v>
      </c>
      <c r="PTY372" s="21" t="s">
        <v>2955</v>
      </c>
      <c r="PTZ372" s="21" t="s">
        <v>2955</v>
      </c>
      <c r="PUA372" s="21" t="s">
        <v>2955</v>
      </c>
      <c r="PUB372" s="21" t="s">
        <v>2955</v>
      </c>
      <c r="PUC372" s="21" t="s">
        <v>2955</v>
      </c>
      <c r="PUD372" s="21" t="s">
        <v>2955</v>
      </c>
      <c r="PUE372" s="21" t="s">
        <v>2955</v>
      </c>
      <c r="PUF372" s="21" t="s">
        <v>2955</v>
      </c>
      <c r="PUG372" s="21" t="s">
        <v>2955</v>
      </c>
      <c r="PUH372" s="21" t="s">
        <v>2955</v>
      </c>
      <c r="PUI372" s="21" t="s">
        <v>2955</v>
      </c>
      <c r="PUJ372" s="21" t="s">
        <v>2955</v>
      </c>
      <c r="PUK372" s="21" t="s">
        <v>2955</v>
      </c>
      <c r="PUL372" s="21" t="s">
        <v>2955</v>
      </c>
      <c r="PUM372" s="21" t="s">
        <v>2955</v>
      </c>
      <c r="PUN372" s="21" t="s">
        <v>2955</v>
      </c>
      <c r="PUO372" s="21" t="s">
        <v>2955</v>
      </c>
      <c r="PUP372" s="21" t="s">
        <v>2955</v>
      </c>
      <c r="PUQ372" s="21" t="s">
        <v>2955</v>
      </c>
      <c r="PUR372" s="21" t="s">
        <v>2955</v>
      </c>
      <c r="PUS372" s="21" t="s">
        <v>2955</v>
      </c>
      <c r="PUT372" s="21" t="s">
        <v>2955</v>
      </c>
      <c r="PUU372" s="21" t="s">
        <v>2955</v>
      </c>
      <c r="PUV372" s="21" t="s">
        <v>2955</v>
      </c>
      <c r="PUW372" s="21" t="s">
        <v>2955</v>
      </c>
      <c r="PUX372" s="21" t="s">
        <v>2955</v>
      </c>
      <c r="PUY372" s="21" t="s">
        <v>2955</v>
      </c>
      <c r="PUZ372" s="21" t="s">
        <v>2955</v>
      </c>
      <c r="PVA372" s="21" t="s">
        <v>2955</v>
      </c>
      <c r="PVB372" s="21" t="s">
        <v>2955</v>
      </c>
      <c r="PVC372" s="21" t="s">
        <v>2955</v>
      </c>
      <c r="PVD372" s="21" t="s">
        <v>2955</v>
      </c>
      <c r="PVE372" s="21" t="s">
        <v>2955</v>
      </c>
      <c r="PVF372" s="21" t="s">
        <v>2955</v>
      </c>
      <c r="PVG372" s="21" t="s">
        <v>2955</v>
      </c>
      <c r="PVH372" s="21" t="s">
        <v>2955</v>
      </c>
      <c r="PVI372" s="21" t="s">
        <v>2955</v>
      </c>
      <c r="PVJ372" s="21" t="s">
        <v>2955</v>
      </c>
      <c r="PVK372" s="21" t="s">
        <v>2955</v>
      </c>
      <c r="PVL372" s="21" t="s">
        <v>2955</v>
      </c>
      <c r="PVM372" s="21" t="s">
        <v>2955</v>
      </c>
      <c r="PVN372" s="21" t="s">
        <v>2955</v>
      </c>
      <c r="PVO372" s="21" t="s">
        <v>2955</v>
      </c>
      <c r="PVP372" s="21" t="s">
        <v>2955</v>
      </c>
      <c r="PVQ372" s="21" t="s">
        <v>2955</v>
      </c>
      <c r="PVR372" s="21" t="s">
        <v>2955</v>
      </c>
      <c r="PVS372" s="21" t="s">
        <v>2955</v>
      </c>
      <c r="PVT372" s="21" t="s">
        <v>2955</v>
      </c>
      <c r="PVU372" s="21" t="s">
        <v>2955</v>
      </c>
      <c r="PVV372" s="21" t="s">
        <v>2955</v>
      </c>
      <c r="PVW372" s="21" t="s">
        <v>2955</v>
      </c>
      <c r="PVX372" s="21" t="s">
        <v>2955</v>
      </c>
      <c r="PVY372" s="21" t="s">
        <v>2955</v>
      </c>
      <c r="PVZ372" s="21" t="s">
        <v>2955</v>
      </c>
      <c r="PWA372" s="21" t="s">
        <v>2955</v>
      </c>
      <c r="PWB372" s="21" t="s">
        <v>2955</v>
      </c>
      <c r="PWC372" s="21" t="s">
        <v>2955</v>
      </c>
      <c r="PWD372" s="21" t="s">
        <v>2955</v>
      </c>
      <c r="PWE372" s="21" t="s">
        <v>2955</v>
      </c>
      <c r="PWF372" s="21" t="s">
        <v>2955</v>
      </c>
      <c r="PWG372" s="21" t="s">
        <v>2955</v>
      </c>
      <c r="PWH372" s="21" t="s">
        <v>2955</v>
      </c>
      <c r="PWI372" s="21" t="s">
        <v>2955</v>
      </c>
      <c r="PWJ372" s="21" t="s">
        <v>2955</v>
      </c>
      <c r="PWK372" s="21" t="s">
        <v>2955</v>
      </c>
      <c r="PWL372" s="21" t="s">
        <v>2955</v>
      </c>
      <c r="PWM372" s="21" t="s">
        <v>2955</v>
      </c>
      <c r="PWN372" s="21" t="s">
        <v>2955</v>
      </c>
      <c r="PWO372" s="21" t="s">
        <v>2955</v>
      </c>
      <c r="PWP372" s="21" t="s">
        <v>2955</v>
      </c>
      <c r="PWQ372" s="21" t="s">
        <v>2955</v>
      </c>
      <c r="PWR372" s="21" t="s">
        <v>2955</v>
      </c>
      <c r="PWS372" s="21" t="s">
        <v>2955</v>
      </c>
      <c r="PWT372" s="21" t="s">
        <v>2955</v>
      </c>
      <c r="PWU372" s="21" t="s">
        <v>2955</v>
      </c>
      <c r="PWV372" s="21" t="s">
        <v>2955</v>
      </c>
      <c r="PWW372" s="21" t="s">
        <v>2955</v>
      </c>
      <c r="PWX372" s="21" t="s">
        <v>2955</v>
      </c>
      <c r="PWY372" s="21" t="s">
        <v>2955</v>
      </c>
      <c r="PWZ372" s="21" t="s">
        <v>2955</v>
      </c>
      <c r="PXA372" s="21" t="s">
        <v>2955</v>
      </c>
      <c r="PXB372" s="21" t="s">
        <v>2955</v>
      </c>
      <c r="PXC372" s="21" t="s">
        <v>2955</v>
      </c>
      <c r="PXD372" s="21" t="s">
        <v>2955</v>
      </c>
      <c r="PXE372" s="21" t="s">
        <v>2955</v>
      </c>
      <c r="PXF372" s="21" t="s">
        <v>2955</v>
      </c>
      <c r="PXG372" s="21" t="s">
        <v>2955</v>
      </c>
      <c r="PXH372" s="21" t="s">
        <v>2955</v>
      </c>
      <c r="PXI372" s="21" t="s">
        <v>2955</v>
      </c>
      <c r="PXJ372" s="21" t="s">
        <v>2955</v>
      </c>
      <c r="PXK372" s="21" t="s">
        <v>2955</v>
      </c>
      <c r="PXL372" s="21" t="s">
        <v>2955</v>
      </c>
      <c r="PXM372" s="21" t="s">
        <v>2955</v>
      </c>
      <c r="PXN372" s="21" t="s">
        <v>2955</v>
      </c>
      <c r="PXO372" s="21" t="s">
        <v>2955</v>
      </c>
      <c r="PXP372" s="21" t="s">
        <v>2955</v>
      </c>
      <c r="PXQ372" s="21" t="s">
        <v>2955</v>
      </c>
      <c r="PXR372" s="21" t="s">
        <v>2955</v>
      </c>
      <c r="PXS372" s="21" t="s">
        <v>2955</v>
      </c>
      <c r="PXT372" s="21" t="s">
        <v>2955</v>
      </c>
      <c r="PXU372" s="21" t="s">
        <v>2955</v>
      </c>
      <c r="PXV372" s="21" t="s">
        <v>2955</v>
      </c>
      <c r="PXW372" s="21" t="s">
        <v>2955</v>
      </c>
      <c r="PXX372" s="21" t="s">
        <v>2955</v>
      </c>
      <c r="PXY372" s="21" t="s">
        <v>2955</v>
      </c>
      <c r="PXZ372" s="21" t="s">
        <v>2955</v>
      </c>
      <c r="PYA372" s="21" t="s">
        <v>2955</v>
      </c>
      <c r="PYB372" s="21" t="s">
        <v>2955</v>
      </c>
      <c r="PYC372" s="21" t="s">
        <v>2955</v>
      </c>
      <c r="PYD372" s="21" t="s">
        <v>2955</v>
      </c>
      <c r="PYE372" s="21" t="s">
        <v>2955</v>
      </c>
      <c r="PYF372" s="21" t="s">
        <v>2955</v>
      </c>
      <c r="PYG372" s="21" t="s">
        <v>2955</v>
      </c>
      <c r="PYH372" s="21" t="s">
        <v>2955</v>
      </c>
      <c r="PYI372" s="21" t="s">
        <v>2955</v>
      </c>
      <c r="PYJ372" s="21" t="s">
        <v>2955</v>
      </c>
      <c r="PYK372" s="21" t="s">
        <v>2955</v>
      </c>
      <c r="PYL372" s="21" t="s">
        <v>2955</v>
      </c>
      <c r="PYM372" s="21" t="s">
        <v>2955</v>
      </c>
      <c r="PYN372" s="21" t="s">
        <v>2955</v>
      </c>
      <c r="PYO372" s="21" t="s">
        <v>2955</v>
      </c>
      <c r="PYP372" s="21" t="s">
        <v>2955</v>
      </c>
      <c r="PYQ372" s="21" t="s">
        <v>2955</v>
      </c>
      <c r="PYR372" s="21" t="s">
        <v>2955</v>
      </c>
      <c r="PYS372" s="21" t="s">
        <v>2955</v>
      </c>
      <c r="PYT372" s="21" t="s">
        <v>2955</v>
      </c>
      <c r="PYU372" s="21" t="s">
        <v>2955</v>
      </c>
      <c r="PYV372" s="21" t="s">
        <v>2955</v>
      </c>
      <c r="PYW372" s="21" t="s">
        <v>2955</v>
      </c>
      <c r="PYX372" s="21" t="s">
        <v>2955</v>
      </c>
      <c r="PYY372" s="21" t="s">
        <v>2955</v>
      </c>
      <c r="PYZ372" s="21" t="s">
        <v>2955</v>
      </c>
      <c r="PZA372" s="21" t="s">
        <v>2955</v>
      </c>
      <c r="PZB372" s="21" t="s">
        <v>2955</v>
      </c>
      <c r="PZC372" s="21" t="s">
        <v>2955</v>
      </c>
      <c r="PZD372" s="21" t="s">
        <v>2955</v>
      </c>
      <c r="PZE372" s="21" t="s">
        <v>2955</v>
      </c>
      <c r="PZF372" s="21" t="s">
        <v>2955</v>
      </c>
      <c r="PZG372" s="21" t="s">
        <v>2955</v>
      </c>
      <c r="PZH372" s="21" t="s">
        <v>2955</v>
      </c>
      <c r="PZI372" s="21" t="s">
        <v>2955</v>
      </c>
      <c r="PZJ372" s="21" t="s">
        <v>2955</v>
      </c>
      <c r="PZK372" s="21" t="s">
        <v>2955</v>
      </c>
      <c r="PZL372" s="21" t="s">
        <v>2955</v>
      </c>
      <c r="PZM372" s="21" t="s">
        <v>2955</v>
      </c>
      <c r="PZN372" s="21" t="s">
        <v>2955</v>
      </c>
      <c r="PZO372" s="21" t="s">
        <v>2955</v>
      </c>
      <c r="PZP372" s="21" t="s">
        <v>2955</v>
      </c>
      <c r="PZQ372" s="21" t="s">
        <v>2955</v>
      </c>
      <c r="PZR372" s="21" t="s">
        <v>2955</v>
      </c>
      <c r="PZS372" s="21" t="s">
        <v>2955</v>
      </c>
      <c r="PZT372" s="21" t="s">
        <v>2955</v>
      </c>
      <c r="PZU372" s="21" t="s">
        <v>2955</v>
      </c>
      <c r="PZV372" s="21" t="s">
        <v>2955</v>
      </c>
      <c r="PZW372" s="21" t="s">
        <v>2955</v>
      </c>
      <c r="PZX372" s="21" t="s">
        <v>2955</v>
      </c>
      <c r="PZY372" s="21" t="s">
        <v>2955</v>
      </c>
      <c r="PZZ372" s="21" t="s">
        <v>2955</v>
      </c>
      <c r="QAA372" s="21" t="s">
        <v>2955</v>
      </c>
      <c r="QAB372" s="21" t="s">
        <v>2955</v>
      </c>
      <c r="QAC372" s="21" t="s">
        <v>2955</v>
      </c>
      <c r="QAD372" s="21" t="s">
        <v>2955</v>
      </c>
      <c r="QAE372" s="21" t="s">
        <v>2955</v>
      </c>
      <c r="QAF372" s="21" t="s">
        <v>2955</v>
      </c>
      <c r="QAG372" s="21" t="s">
        <v>2955</v>
      </c>
      <c r="QAH372" s="21" t="s">
        <v>2955</v>
      </c>
      <c r="QAI372" s="21" t="s">
        <v>2955</v>
      </c>
      <c r="QAJ372" s="21" t="s">
        <v>2955</v>
      </c>
      <c r="QAK372" s="21" t="s">
        <v>2955</v>
      </c>
      <c r="QAL372" s="21" t="s">
        <v>2955</v>
      </c>
      <c r="QAM372" s="21" t="s">
        <v>2955</v>
      </c>
      <c r="QAN372" s="21" t="s">
        <v>2955</v>
      </c>
      <c r="QAO372" s="21" t="s">
        <v>2955</v>
      </c>
      <c r="QAP372" s="21" t="s">
        <v>2955</v>
      </c>
      <c r="QAQ372" s="21" t="s">
        <v>2955</v>
      </c>
      <c r="QAR372" s="21" t="s">
        <v>2955</v>
      </c>
      <c r="QAS372" s="21" t="s">
        <v>2955</v>
      </c>
      <c r="QAT372" s="21" t="s">
        <v>2955</v>
      </c>
      <c r="QAU372" s="21" t="s">
        <v>2955</v>
      </c>
      <c r="QAV372" s="21" t="s">
        <v>2955</v>
      </c>
      <c r="QAW372" s="21" t="s">
        <v>2955</v>
      </c>
      <c r="QAX372" s="21" t="s">
        <v>2955</v>
      </c>
      <c r="QAY372" s="21" t="s">
        <v>2955</v>
      </c>
      <c r="QAZ372" s="21" t="s">
        <v>2955</v>
      </c>
      <c r="QBA372" s="21" t="s">
        <v>2955</v>
      </c>
      <c r="QBB372" s="21" t="s">
        <v>2955</v>
      </c>
      <c r="QBC372" s="21" t="s">
        <v>2955</v>
      </c>
      <c r="QBD372" s="21" t="s">
        <v>2955</v>
      </c>
      <c r="QBE372" s="21" t="s">
        <v>2955</v>
      </c>
      <c r="QBF372" s="21" t="s">
        <v>2955</v>
      </c>
      <c r="QBG372" s="21" t="s">
        <v>2955</v>
      </c>
      <c r="QBH372" s="21" t="s">
        <v>2955</v>
      </c>
      <c r="QBI372" s="21" t="s">
        <v>2955</v>
      </c>
      <c r="QBJ372" s="21" t="s">
        <v>2955</v>
      </c>
      <c r="QBK372" s="21" t="s">
        <v>2955</v>
      </c>
      <c r="QBL372" s="21" t="s">
        <v>2955</v>
      </c>
      <c r="QBM372" s="21" t="s">
        <v>2955</v>
      </c>
      <c r="QBN372" s="21" t="s">
        <v>2955</v>
      </c>
      <c r="QBO372" s="21" t="s">
        <v>2955</v>
      </c>
      <c r="QBP372" s="21" t="s">
        <v>2955</v>
      </c>
      <c r="QBQ372" s="21" t="s">
        <v>2955</v>
      </c>
      <c r="QBR372" s="21" t="s">
        <v>2955</v>
      </c>
      <c r="QBS372" s="21" t="s">
        <v>2955</v>
      </c>
      <c r="QBT372" s="21" t="s">
        <v>2955</v>
      </c>
      <c r="QBU372" s="21" t="s">
        <v>2955</v>
      </c>
      <c r="QBV372" s="21" t="s">
        <v>2955</v>
      </c>
      <c r="QBW372" s="21" t="s">
        <v>2955</v>
      </c>
      <c r="QBX372" s="21" t="s">
        <v>2955</v>
      </c>
      <c r="QBY372" s="21" t="s">
        <v>2955</v>
      </c>
      <c r="QBZ372" s="21" t="s">
        <v>2955</v>
      </c>
      <c r="QCA372" s="21" t="s">
        <v>2955</v>
      </c>
      <c r="QCB372" s="21" t="s">
        <v>2955</v>
      </c>
      <c r="QCC372" s="21" t="s">
        <v>2955</v>
      </c>
      <c r="QCD372" s="21" t="s">
        <v>2955</v>
      </c>
      <c r="QCE372" s="21" t="s">
        <v>2955</v>
      </c>
      <c r="QCF372" s="21" t="s">
        <v>2955</v>
      </c>
      <c r="QCG372" s="21" t="s">
        <v>2955</v>
      </c>
      <c r="QCH372" s="21" t="s">
        <v>2955</v>
      </c>
      <c r="QCI372" s="21" t="s">
        <v>2955</v>
      </c>
      <c r="QCJ372" s="21" t="s">
        <v>2955</v>
      </c>
      <c r="QCK372" s="21" t="s">
        <v>2955</v>
      </c>
      <c r="QCL372" s="21" t="s">
        <v>2955</v>
      </c>
      <c r="QCM372" s="21" t="s">
        <v>2955</v>
      </c>
      <c r="QCN372" s="21" t="s">
        <v>2955</v>
      </c>
      <c r="QCO372" s="21" t="s">
        <v>2955</v>
      </c>
      <c r="QCP372" s="21" t="s">
        <v>2955</v>
      </c>
      <c r="QCQ372" s="21" t="s">
        <v>2955</v>
      </c>
      <c r="QCR372" s="21" t="s">
        <v>2955</v>
      </c>
      <c r="QCS372" s="21" t="s">
        <v>2955</v>
      </c>
      <c r="QCT372" s="21" t="s">
        <v>2955</v>
      </c>
      <c r="QCU372" s="21" t="s">
        <v>2955</v>
      </c>
      <c r="QCV372" s="21" t="s">
        <v>2955</v>
      </c>
      <c r="QCW372" s="21" t="s">
        <v>2955</v>
      </c>
      <c r="QCX372" s="21" t="s">
        <v>2955</v>
      </c>
      <c r="QCY372" s="21" t="s">
        <v>2955</v>
      </c>
      <c r="QCZ372" s="21" t="s">
        <v>2955</v>
      </c>
      <c r="QDA372" s="21" t="s">
        <v>2955</v>
      </c>
      <c r="QDB372" s="21" t="s">
        <v>2955</v>
      </c>
      <c r="QDC372" s="21" t="s">
        <v>2955</v>
      </c>
      <c r="QDD372" s="21" t="s">
        <v>2955</v>
      </c>
      <c r="QDE372" s="21" t="s">
        <v>2955</v>
      </c>
      <c r="QDF372" s="21" t="s">
        <v>2955</v>
      </c>
      <c r="QDG372" s="21" t="s">
        <v>2955</v>
      </c>
      <c r="QDH372" s="21" t="s">
        <v>2955</v>
      </c>
      <c r="QDI372" s="21" t="s">
        <v>2955</v>
      </c>
      <c r="QDJ372" s="21" t="s">
        <v>2955</v>
      </c>
      <c r="QDK372" s="21" t="s">
        <v>2955</v>
      </c>
      <c r="QDL372" s="21" t="s">
        <v>2955</v>
      </c>
      <c r="QDM372" s="21" t="s">
        <v>2955</v>
      </c>
      <c r="QDN372" s="21" t="s">
        <v>2955</v>
      </c>
      <c r="QDO372" s="21" t="s">
        <v>2955</v>
      </c>
      <c r="QDP372" s="21" t="s">
        <v>2955</v>
      </c>
      <c r="QDQ372" s="21" t="s">
        <v>2955</v>
      </c>
      <c r="QDR372" s="21" t="s">
        <v>2955</v>
      </c>
      <c r="QDS372" s="21" t="s">
        <v>2955</v>
      </c>
      <c r="QDT372" s="21" t="s">
        <v>2955</v>
      </c>
      <c r="QDU372" s="21" t="s">
        <v>2955</v>
      </c>
      <c r="QDV372" s="21" t="s">
        <v>2955</v>
      </c>
      <c r="QDW372" s="21" t="s">
        <v>2955</v>
      </c>
      <c r="QDX372" s="21" t="s">
        <v>2955</v>
      </c>
      <c r="QDY372" s="21" t="s">
        <v>2955</v>
      </c>
      <c r="QDZ372" s="21" t="s">
        <v>2955</v>
      </c>
      <c r="QEA372" s="21" t="s">
        <v>2955</v>
      </c>
      <c r="QEB372" s="21" t="s">
        <v>2955</v>
      </c>
      <c r="QEC372" s="21" t="s">
        <v>2955</v>
      </c>
      <c r="QED372" s="21" t="s">
        <v>2955</v>
      </c>
      <c r="QEE372" s="21" t="s">
        <v>2955</v>
      </c>
      <c r="QEF372" s="21" t="s">
        <v>2955</v>
      </c>
      <c r="QEG372" s="21" t="s">
        <v>2955</v>
      </c>
      <c r="QEH372" s="21" t="s">
        <v>2955</v>
      </c>
      <c r="QEI372" s="21" t="s">
        <v>2955</v>
      </c>
      <c r="QEJ372" s="21" t="s">
        <v>2955</v>
      </c>
      <c r="QEK372" s="21" t="s">
        <v>2955</v>
      </c>
      <c r="QEL372" s="21" t="s">
        <v>2955</v>
      </c>
      <c r="QEM372" s="21" t="s">
        <v>2955</v>
      </c>
      <c r="QEN372" s="21" t="s">
        <v>2955</v>
      </c>
      <c r="QEO372" s="21" t="s">
        <v>2955</v>
      </c>
      <c r="QEP372" s="21" t="s">
        <v>2955</v>
      </c>
      <c r="QEQ372" s="21" t="s">
        <v>2955</v>
      </c>
      <c r="QER372" s="21" t="s">
        <v>2955</v>
      </c>
      <c r="QES372" s="21" t="s">
        <v>2955</v>
      </c>
      <c r="QET372" s="21" t="s">
        <v>2955</v>
      </c>
      <c r="QEU372" s="21" t="s">
        <v>2955</v>
      </c>
      <c r="QEV372" s="21" t="s">
        <v>2955</v>
      </c>
      <c r="QEW372" s="21" t="s">
        <v>2955</v>
      </c>
      <c r="QEX372" s="21" t="s">
        <v>2955</v>
      </c>
      <c r="QEY372" s="21" t="s">
        <v>2955</v>
      </c>
      <c r="QEZ372" s="21" t="s">
        <v>2955</v>
      </c>
      <c r="QFA372" s="21" t="s">
        <v>2955</v>
      </c>
      <c r="QFB372" s="21" t="s">
        <v>2955</v>
      </c>
      <c r="QFC372" s="21" t="s">
        <v>2955</v>
      </c>
      <c r="QFD372" s="21" t="s">
        <v>2955</v>
      </c>
      <c r="QFE372" s="21" t="s">
        <v>2955</v>
      </c>
      <c r="QFF372" s="21" t="s">
        <v>2955</v>
      </c>
      <c r="QFG372" s="21" t="s">
        <v>2955</v>
      </c>
      <c r="QFH372" s="21" t="s">
        <v>2955</v>
      </c>
      <c r="QFI372" s="21" t="s">
        <v>2955</v>
      </c>
      <c r="QFJ372" s="21" t="s">
        <v>2955</v>
      </c>
      <c r="QFK372" s="21" t="s">
        <v>2955</v>
      </c>
      <c r="QFL372" s="21" t="s">
        <v>2955</v>
      </c>
      <c r="QFM372" s="21" t="s">
        <v>2955</v>
      </c>
      <c r="QFN372" s="21" t="s">
        <v>2955</v>
      </c>
      <c r="QFO372" s="21" t="s">
        <v>2955</v>
      </c>
      <c r="QFP372" s="21" t="s">
        <v>2955</v>
      </c>
      <c r="QFQ372" s="21" t="s">
        <v>2955</v>
      </c>
      <c r="QFR372" s="21" t="s">
        <v>2955</v>
      </c>
      <c r="QFS372" s="21" t="s">
        <v>2955</v>
      </c>
      <c r="QFT372" s="21" t="s">
        <v>2955</v>
      </c>
      <c r="QFU372" s="21" t="s">
        <v>2955</v>
      </c>
      <c r="QFV372" s="21" t="s">
        <v>2955</v>
      </c>
      <c r="QFW372" s="21" t="s">
        <v>2955</v>
      </c>
      <c r="QFX372" s="21" t="s">
        <v>2955</v>
      </c>
      <c r="QFY372" s="21" t="s">
        <v>2955</v>
      </c>
      <c r="QFZ372" s="21" t="s">
        <v>2955</v>
      </c>
      <c r="QGA372" s="21" t="s">
        <v>2955</v>
      </c>
      <c r="QGB372" s="21" t="s">
        <v>2955</v>
      </c>
      <c r="QGC372" s="21" t="s">
        <v>2955</v>
      </c>
      <c r="QGD372" s="21" t="s">
        <v>2955</v>
      </c>
      <c r="QGE372" s="21" t="s">
        <v>2955</v>
      </c>
      <c r="QGF372" s="21" t="s">
        <v>2955</v>
      </c>
      <c r="QGG372" s="21" t="s">
        <v>2955</v>
      </c>
      <c r="QGH372" s="21" t="s">
        <v>2955</v>
      </c>
      <c r="QGI372" s="21" t="s">
        <v>2955</v>
      </c>
      <c r="QGJ372" s="21" t="s">
        <v>2955</v>
      </c>
      <c r="QGK372" s="21" t="s">
        <v>2955</v>
      </c>
      <c r="QGL372" s="21" t="s">
        <v>2955</v>
      </c>
      <c r="QGM372" s="21" t="s">
        <v>2955</v>
      </c>
      <c r="QGN372" s="21" t="s">
        <v>2955</v>
      </c>
      <c r="QGO372" s="21" t="s">
        <v>2955</v>
      </c>
      <c r="QGP372" s="21" t="s">
        <v>2955</v>
      </c>
      <c r="QGQ372" s="21" t="s">
        <v>2955</v>
      </c>
      <c r="QGR372" s="21" t="s">
        <v>2955</v>
      </c>
      <c r="QGS372" s="21" t="s">
        <v>2955</v>
      </c>
      <c r="QGT372" s="21" t="s">
        <v>2955</v>
      </c>
      <c r="QGU372" s="21" t="s">
        <v>2955</v>
      </c>
      <c r="QGV372" s="21" t="s">
        <v>2955</v>
      </c>
      <c r="QGW372" s="21" t="s">
        <v>2955</v>
      </c>
      <c r="QGX372" s="21" t="s">
        <v>2955</v>
      </c>
      <c r="QGY372" s="21" t="s">
        <v>2955</v>
      </c>
      <c r="QGZ372" s="21" t="s">
        <v>2955</v>
      </c>
      <c r="QHA372" s="21" t="s">
        <v>2955</v>
      </c>
      <c r="QHB372" s="21" t="s">
        <v>2955</v>
      </c>
      <c r="QHC372" s="21" t="s">
        <v>2955</v>
      </c>
      <c r="QHD372" s="21" t="s">
        <v>2955</v>
      </c>
      <c r="QHE372" s="21" t="s">
        <v>2955</v>
      </c>
      <c r="QHF372" s="21" t="s">
        <v>2955</v>
      </c>
      <c r="QHG372" s="21" t="s">
        <v>2955</v>
      </c>
      <c r="QHH372" s="21" t="s">
        <v>2955</v>
      </c>
      <c r="QHI372" s="21" t="s">
        <v>2955</v>
      </c>
      <c r="QHJ372" s="21" t="s">
        <v>2955</v>
      </c>
      <c r="QHK372" s="21" t="s">
        <v>2955</v>
      </c>
      <c r="QHL372" s="21" t="s">
        <v>2955</v>
      </c>
      <c r="QHM372" s="21" t="s">
        <v>2955</v>
      </c>
      <c r="QHN372" s="21" t="s">
        <v>2955</v>
      </c>
      <c r="QHO372" s="21" t="s">
        <v>2955</v>
      </c>
      <c r="QHP372" s="21" t="s">
        <v>2955</v>
      </c>
      <c r="QHQ372" s="21" t="s">
        <v>2955</v>
      </c>
      <c r="QHR372" s="21" t="s">
        <v>2955</v>
      </c>
      <c r="QHS372" s="21" t="s">
        <v>2955</v>
      </c>
      <c r="QHT372" s="21" t="s">
        <v>2955</v>
      </c>
      <c r="QHU372" s="21" t="s">
        <v>2955</v>
      </c>
      <c r="QHV372" s="21" t="s">
        <v>2955</v>
      </c>
      <c r="QHW372" s="21" t="s">
        <v>2955</v>
      </c>
      <c r="QHX372" s="21" t="s">
        <v>2955</v>
      </c>
      <c r="QHY372" s="21" t="s">
        <v>2955</v>
      </c>
      <c r="QHZ372" s="21" t="s">
        <v>2955</v>
      </c>
      <c r="QIA372" s="21" t="s">
        <v>2955</v>
      </c>
      <c r="QIB372" s="21" t="s">
        <v>2955</v>
      </c>
      <c r="QIC372" s="21" t="s">
        <v>2955</v>
      </c>
      <c r="QID372" s="21" t="s">
        <v>2955</v>
      </c>
      <c r="QIE372" s="21" t="s">
        <v>2955</v>
      </c>
      <c r="QIF372" s="21" t="s">
        <v>2955</v>
      </c>
      <c r="QIG372" s="21" t="s">
        <v>2955</v>
      </c>
      <c r="QIH372" s="21" t="s">
        <v>2955</v>
      </c>
      <c r="QII372" s="21" t="s">
        <v>2955</v>
      </c>
      <c r="QIJ372" s="21" t="s">
        <v>2955</v>
      </c>
      <c r="QIK372" s="21" t="s">
        <v>2955</v>
      </c>
      <c r="QIL372" s="21" t="s">
        <v>2955</v>
      </c>
      <c r="QIM372" s="21" t="s">
        <v>2955</v>
      </c>
      <c r="QIN372" s="21" t="s">
        <v>2955</v>
      </c>
      <c r="QIO372" s="21" t="s">
        <v>2955</v>
      </c>
      <c r="QIP372" s="21" t="s">
        <v>2955</v>
      </c>
      <c r="QIQ372" s="21" t="s">
        <v>2955</v>
      </c>
      <c r="QIR372" s="21" t="s">
        <v>2955</v>
      </c>
      <c r="QIS372" s="21" t="s">
        <v>2955</v>
      </c>
      <c r="QIT372" s="21" t="s">
        <v>2955</v>
      </c>
      <c r="QIU372" s="21" t="s">
        <v>2955</v>
      </c>
      <c r="QIV372" s="21" t="s">
        <v>2955</v>
      </c>
      <c r="QIW372" s="21" t="s">
        <v>2955</v>
      </c>
      <c r="QIX372" s="21" t="s">
        <v>2955</v>
      </c>
      <c r="QIY372" s="21" t="s">
        <v>2955</v>
      </c>
      <c r="QIZ372" s="21" t="s">
        <v>2955</v>
      </c>
      <c r="QJA372" s="21" t="s">
        <v>2955</v>
      </c>
      <c r="QJB372" s="21" t="s">
        <v>2955</v>
      </c>
      <c r="QJC372" s="21" t="s">
        <v>2955</v>
      </c>
      <c r="QJD372" s="21" t="s">
        <v>2955</v>
      </c>
      <c r="QJE372" s="21" t="s">
        <v>2955</v>
      </c>
      <c r="QJF372" s="21" t="s">
        <v>2955</v>
      </c>
      <c r="QJG372" s="21" t="s">
        <v>2955</v>
      </c>
      <c r="QJH372" s="21" t="s">
        <v>2955</v>
      </c>
      <c r="QJI372" s="21" t="s">
        <v>2955</v>
      </c>
      <c r="QJJ372" s="21" t="s">
        <v>2955</v>
      </c>
      <c r="QJK372" s="21" t="s">
        <v>2955</v>
      </c>
      <c r="QJL372" s="21" t="s">
        <v>2955</v>
      </c>
      <c r="QJM372" s="21" t="s">
        <v>2955</v>
      </c>
      <c r="QJN372" s="21" t="s">
        <v>2955</v>
      </c>
      <c r="QJO372" s="21" t="s">
        <v>2955</v>
      </c>
      <c r="QJP372" s="21" t="s">
        <v>2955</v>
      </c>
      <c r="QJQ372" s="21" t="s">
        <v>2955</v>
      </c>
      <c r="QJR372" s="21" t="s">
        <v>2955</v>
      </c>
      <c r="QJS372" s="21" t="s">
        <v>2955</v>
      </c>
      <c r="QJT372" s="21" t="s">
        <v>2955</v>
      </c>
      <c r="QJU372" s="21" t="s">
        <v>2955</v>
      </c>
      <c r="QJV372" s="21" t="s">
        <v>2955</v>
      </c>
      <c r="QJW372" s="21" t="s">
        <v>2955</v>
      </c>
      <c r="QJX372" s="21" t="s">
        <v>2955</v>
      </c>
      <c r="QJY372" s="21" t="s">
        <v>2955</v>
      </c>
      <c r="QJZ372" s="21" t="s">
        <v>2955</v>
      </c>
      <c r="QKA372" s="21" t="s">
        <v>2955</v>
      </c>
      <c r="QKB372" s="21" t="s">
        <v>2955</v>
      </c>
      <c r="QKC372" s="21" t="s">
        <v>2955</v>
      </c>
      <c r="QKD372" s="21" t="s">
        <v>2955</v>
      </c>
      <c r="QKE372" s="21" t="s">
        <v>2955</v>
      </c>
      <c r="QKF372" s="21" t="s">
        <v>2955</v>
      </c>
      <c r="QKG372" s="21" t="s">
        <v>2955</v>
      </c>
      <c r="QKH372" s="21" t="s">
        <v>2955</v>
      </c>
      <c r="QKI372" s="21" t="s">
        <v>2955</v>
      </c>
      <c r="QKJ372" s="21" t="s">
        <v>2955</v>
      </c>
      <c r="QKK372" s="21" t="s">
        <v>2955</v>
      </c>
      <c r="QKL372" s="21" t="s">
        <v>2955</v>
      </c>
      <c r="QKM372" s="21" t="s">
        <v>2955</v>
      </c>
      <c r="QKN372" s="21" t="s">
        <v>2955</v>
      </c>
      <c r="QKO372" s="21" t="s">
        <v>2955</v>
      </c>
      <c r="QKP372" s="21" t="s">
        <v>2955</v>
      </c>
      <c r="QKQ372" s="21" t="s">
        <v>2955</v>
      </c>
      <c r="QKR372" s="21" t="s">
        <v>2955</v>
      </c>
      <c r="QKS372" s="21" t="s">
        <v>2955</v>
      </c>
      <c r="QKT372" s="21" t="s">
        <v>2955</v>
      </c>
      <c r="QKU372" s="21" t="s">
        <v>2955</v>
      </c>
      <c r="QKV372" s="21" t="s">
        <v>2955</v>
      </c>
      <c r="QKW372" s="21" t="s">
        <v>2955</v>
      </c>
      <c r="QKX372" s="21" t="s">
        <v>2955</v>
      </c>
      <c r="QKY372" s="21" t="s">
        <v>2955</v>
      </c>
      <c r="QKZ372" s="21" t="s">
        <v>2955</v>
      </c>
      <c r="QLA372" s="21" t="s">
        <v>2955</v>
      </c>
      <c r="QLB372" s="21" t="s">
        <v>2955</v>
      </c>
      <c r="QLC372" s="21" t="s">
        <v>2955</v>
      </c>
      <c r="QLD372" s="21" t="s">
        <v>2955</v>
      </c>
      <c r="QLE372" s="21" t="s">
        <v>2955</v>
      </c>
      <c r="QLF372" s="21" t="s">
        <v>2955</v>
      </c>
      <c r="QLG372" s="21" t="s">
        <v>2955</v>
      </c>
      <c r="QLH372" s="21" t="s">
        <v>2955</v>
      </c>
      <c r="QLI372" s="21" t="s">
        <v>2955</v>
      </c>
      <c r="QLJ372" s="21" t="s">
        <v>2955</v>
      </c>
      <c r="QLK372" s="21" t="s">
        <v>2955</v>
      </c>
      <c r="QLL372" s="21" t="s">
        <v>2955</v>
      </c>
      <c r="QLM372" s="21" t="s">
        <v>2955</v>
      </c>
      <c r="QLN372" s="21" t="s">
        <v>2955</v>
      </c>
      <c r="QLO372" s="21" t="s">
        <v>2955</v>
      </c>
      <c r="QLP372" s="21" t="s">
        <v>2955</v>
      </c>
      <c r="QLQ372" s="21" t="s">
        <v>2955</v>
      </c>
      <c r="QLR372" s="21" t="s">
        <v>2955</v>
      </c>
      <c r="QLS372" s="21" t="s">
        <v>2955</v>
      </c>
      <c r="QLT372" s="21" t="s">
        <v>2955</v>
      </c>
      <c r="QLU372" s="21" t="s">
        <v>2955</v>
      </c>
      <c r="QLV372" s="21" t="s">
        <v>2955</v>
      </c>
      <c r="QLW372" s="21" t="s">
        <v>2955</v>
      </c>
      <c r="QLX372" s="21" t="s">
        <v>2955</v>
      </c>
      <c r="QLY372" s="21" t="s">
        <v>2955</v>
      </c>
      <c r="QLZ372" s="21" t="s">
        <v>2955</v>
      </c>
      <c r="QMA372" s="21" t="s">
        <v>2955</v>
      </c>
      <c r="QMB372" s="21" t="s">
        <v>2955</v>
      </c>
      <c r="QMC372" s="21" t="s">
        <v>2955</v>
      </c>
      <c r="QMD372" s="21" t="s">
        <v>2955</v>
      </c>
      <c r="QME372" s="21" t="s">
        <v>2955</v>
      </c>
      <c r="QMF372" s="21" t="s">
        <v>2955</v>
      </c>
      <c r="QMG372" s="21" t="s">
        <v>2955</v>
      </c>
      <c r="QMH372" s="21" t="s">
        <v>2955</v>
      </c>
      <c r="QMI372" s="21" t="s">
        <v>2955</v>
      </c>
      <c r="QMJ372" s="21" t="s">
        <v>2955</v>
      </c>
      <c r="QMK372" s="21" t="s">
        <v>2955</v>
      </c>
      <c r="QML372" s="21" t="s">
        <v>2955</v>
      </c>
      <c r="QMM372" s="21" t="s">
        <v>2955</v>
      </c>
      <c r="QMN372" s="21" t="s">
        <v>2955</v>
      </c>
      <c r="QMO372" s="21" t="s">
        <v>2955</v>
      </c>
      <c r="QMP372" s="21" t="s">
        <v>2955</v>
      </c>
      <c r="QMQ372" s="21" t="s">
        <v>2955</v>
      </c>
      <c r="QMR372" s="21" t="s">
        <v>2955</v>
      </c>
      <c r="QMS372" s="21" t="s">
        <v>2955</v>
      </c>
      <c r="QMT372" s="21" t="s">
        <v>2955</v>
      </c>
      <c r="QMU372" s="21" t="s">
        <v>2955</v>
      </c>
      <c r="QMV372" s="21" t="s">
        <v>2955</v>
      </c>
      <c r="QMW372" s="21" t="s">
        <v>2955</v>
      </c>
      <c r="QMX372" s="21" t="s">
        <v>2955</v>
      </c>
      <c r="QMY372" s="21" t="s">
        <v>2955</v>
      </c>
      <c r="QMZ372" s="21" t="s">
        <v>2955</v>
      </c>
      <c r="QNA372" s="21" t="s">
        <v>2955</v>
      </c>
      <c r="QNB372" s="21" t="s">
        <v>2955</v>
      </c>
      <c r="QNC372" s="21" t="s">
        <v>2955</v>
      </c>
      <c r="QND372" s="21" t="s">
        <v>2955</v>
      </c>
      <c r="QNE372" s="21" t="s">
        <v>2955</v>
      </c>
      <c r="QNF372" s="21" t="s">
        <v>2955</v>
      </c>
      <c r="QNG372" s="21" t="s">
        <v>2955</v>
      </c>
      <c r="QNH372" s="21" t="s">
        <v>2955</v>
      </c>
      <c r="QNI372" s="21" t="s">
        <v>2955</v>
      </c>
      <c r="QNJ372" s="21" t="s">
        <v>2955</v>
      </c>
      <c r="QNK372" s="21" t="s">
        <v>2955</v>
      </c>
      <c r="QNL372" s="21" t="s">
        <v>2955</v>
      </c>
      <c r="QNM372" s="21" t="s">
        <v>2955</v>
      </c>
      <c r="QNN372" s="21" t="s">
        <v>2955</v>
      </c>
      <c r="QNO372" s="21" t="s">
        <v>2955</v>
      </c>
      <c r="QNP372" s="21" t="s">
        <v>2955</v>
      </c>
      <c r="QNQ372" s="21" t="s">
        <v>2955</v>
      </c>
      <c r="QNR372" s="21" t="s">
        <v>2955</v>
      </c>
      <c r="QNS372" s="21" t="s">
        <v>2955</v>
      </c>
      <c r="QNT372" s="21" t="s">
        <v>2955</v>
      </c>
      <c r="QNU372" s="21" t="s">
        <v>2955</v>
      </c>
      <c r="QNV372" s="21" t="s">
        <v>2955</v>
      </c>
      <c r="QNW372" s="21" t="s">
        <v>2955</v>
      </c>
      <c r="QNX372" s="21" t="s">
        <v>2955</v>
      </c>
      <c r="QNY372" s="21" t="s">
        <v>2955</v>
      </c>
      <c r="QNZ372" s="21" t="s">
        <v>2955</v>
      </c>
      <c r="QOA372" s="21" t="s">
        <v>2955</v>
      </c>
      <c r="QOB372" s="21" t="s">
        <v>2955</v>
      </c>
      <c r="QOC372" s="21" t="s">
        <v>2955</v>
      </c>
      <c r="QOD372" s="21" t="s">
        <v>2955</v>
      </c>
      <c r="QOE372" s="21" t="s">
        <v>2955</v>
      </c>
      <c r="QOF372" s="21" t="s">
        <v>2955</v>
      </c>
      <c r="QOG372" s="21" t="s">
        <v>2955</v>
      </c>
      <c r="QOH372" s="21" t="s">
        <v>2955</v>
      </c>
      <c r="QOI372" s="21" t="s">
        <v>2955</v>
      </c>
      <c r="QOJ372" s="21" t="s">
        <v>2955</v>
      </c>
      <c r="QOK372" s="21" t="s">
        <v>2955</v>
      </c>
      <c r="QOL372" s="21" t="s">
        <v>2955</v>
      </c>
      <c r="QOM372" s="21" t="s">
        <v>2955</v>
      </c>
      <c r="QON372" s="21" t="s">
        <v>2955</v>
      </c>
      <c r="QOO372" s="21" t="s">
        <v>2955</v>
      </c>
      <c r="QOP372" s="21" t="s">
        <v>2955</v>
      </c>
      <c r="QOQ372" s="21" t="s">
        <v>2955</v>
      </c>
      <c r="QOR372" s="21" t="s">
        <v>2955</v>
      </c>
      <c r="QOS372" s="21" t="s">
        <v>2955</v>
      </c>
      <c r="QOT372" s="21" t="s">
        <v>2955</v>
      </c>
      <c r="QOU372" s="21" t="s">
        <v>2955</v>
      </c>
      <c r="QOV372" s="21" t="s">
        <v>2955</v>
      </c>
      <c r="QOW372" s="21" t="s">
        <v>2955</v>
      </c>
      <c r="QOX372" s="21" t="s">
        <v>2955</v>
      </c>
      <c r="QOY372" s="21" t="s">
        <v>2955</v>
      </c>
      <c r="QOZ372" s="21" t="s">
        <v>2955</v>
      </c>
      <c r="QPA372" s="21" t="s">
        <v>2955</v>
      </c>
      <c r="QPB372" s="21" t="s">
        <v>2955</v>
      </c>
      <c r="QPC372" s="21" t="s">
        <v>2955</v>
      </c>
      <c r="QPD372" s="21" t="s">
        <v>2955</v>
      </c>
      <c r="QPE372" s="21" t="s">
        <v>2955</v>
      </c>
      <c r="QPF372" s="21" t="s">
        <v>2955</v>
      </c>
      <c r="QPG372" s="21" t="s">
        <v>2955</v>
      </c>
      <c r="QPH372" s="21" t="s">
        <v>2955</v>
      </c>
      <c r="QPI372" s="21" t="s">
        <v>2955</v>
      </c>
      <c r="QPJ372" s="21" t="s">
        <v>2955</v>
      </c>
      <c r="QPK372" s="21" t="s">
        <v>2955</v>
      </c>
      <c r="QPL372" s="21" t="s">
        <v>2955</v>
      </c>
      <c r="QPM372" s="21" t="s">
        <v>2955</v>
      </c>
      <c r="QPN372" s="21" t="s">
        <v>2955</v>
      </c>
      <c r="QPO372" s="21" t="s">
        <v>2955</v>
      </c>
      <c r="QPP372" s="21" t="s">
        <v>2955</v>
      </c>
      <c r="QPQ372" s="21" t="s">
        <v>2955</v>
      </c>
      <c r="QPR372" s="21" t="s">
        <v>2955</v>
      </c>
      <c r="QPS372" s="21" t="s">
        <v>2955</v>
      </c>
      <c r="QPT372" s="21" t="s">
        <v>2955</v>
      </c>
      <c r="QPU372" s="21" t="s">
        <v>2955</v>
      </c>
      <c r="QPV372" s="21" t="s">
        <v>2955</v>
      </c>
      <c r="QPW372" s="21" t="s">
        <v>2955</v>
      </c>
      <c r="QPX372" s="21" t="s">
        <v>2955</v>
      </c>
      <c r="QPY372" s="21" t="s">
        <v>2955</v>
      </c>
      <c r="QPZ372" s="21" t="s">
        <v>2955</v>
      </c>
      <c r="QQA372" s="21" t="s">
        <v>2955</v>
      </c>
      <c r="QQB372" s="21" t="s">
        <v>2955</v>
      </c>
      <c r="QQC372" s="21" t="s">
        <v>2955</v>
      </c>
      <c r="QQD372" s="21" t="s">
        <v>2955</v>
      </c>
      <c r="QQE372" s="21" t="s">
        <v>2955</v>
      </c>
      <c r="QQF372" s="21" t="s">
        <v>2955</v>
      </c>
      <c r="QQG372" s="21" t="s">
        <v>2955</v>
      </c>
      <c r="QQH372" s="21" t="s">
        <v>2955</v>
      </c>
      <c r="QQI372" s="21" t="s">
        <v>2955</v>
      </c>
      <c r="QQJ372" s="21" t="s">
        <v>2955</v>
      </c>
      <c r="QQK372" s="21" t="s">
        <v>2955</v>
      </c>
      <c r="QQL372" s="21" t="s">
        <v>2955</v>
      </c>
      <c r="QQM372" s="21" t="s">
        <v>2955</v>
      </c>
      <c r="QQN372" s="21" t="s">
        <v>2955</v>
      </c>
      <c r="QQO372" s="21" t="s">
        <v>2955</v>
      </c>
      <c r="QQP372" s="21" t="s">
        <v>2955</v>
      </c>
      <c r="QQQ372" s="21" t="s">
        <v>2955</v>
      </c>
      <c r="QQR372" s="21" t="s">
        <v>2955</v>
      </c>
      <c r="QQS372" s="21" t="s">
        <v>2955</v>
      </c>
      <c r="QQT372" s="21" t="s">
        <v>2955</v>
      </c>
      <c r="QQU372" s="21" t="s">
        <v>2955</v>
      </c>
      <c r="QQV372" s="21" t="s">
        <v>2955</v>
      </c>
      <c r="QQW372" s="21" t="s">
        <v>2955</v>
      </c>
      <c r="QQX372" s="21" t="s">
        <v>2955</v>
      </c>
      <c r="QQY372" s="21" t="s">
        <v>2955</v>
      </c>
      <c r="QQZ372" s="21" t="s">
        <v>2955</v>
      </c>
      <c r="QRA372" s="21" t="s">
        <v>2955</v>
      </c>
      <c r="QRB372" s="21" t="s">
        <v>2955</v>
      </c>
      <c r="QRC372" s="21" t="s">
        <v>2955</v>
      </c>
      <c r="QRD372" s="21" t="s">
        <v>2955</v>
      </c>
      <c r="QRE372" s="21" t="s">
        <v>2955</v>
      </c>
      <c r="QRF372" s="21" t="s">
        <v>2955</v>
      </c>
      <c r="QRG372" s="21" t="s">
        <v>2955</v>
      </c>
      <c r="QRH372" s="21" t="s">
        <v>2955</v>
      </c>
      <c r="QRI372" s="21" t="s">
        <v>2955</v>
      </c>
      <c r="QRJ372" s="21" t="s">
        <v>2955</v>
      </c>
      <c r="QRK372" s="21" t="s">
        <v>2955</v>
      </c>
      <c r="QRL372" s="21" t="s">
        <v>2955</v>
      </c>
      <c r="QRM372" s="21" t="s">
        <v>2955</v>
      </c>
      <c r="QRN372" s="21" t="s">
        <v>2955</v>
      </c>
      <c r="QRO372" s="21" t="s">
        <v>2955</v>
      </c>
      <c r="QRP372" s="21" t="s">
        <v>2955</v>
      </c>
      <c r="QRQ372" s="21" t="s">
        <v>2955</v>
      </c>
      <c r="QRR372" s="21" t="s">
        <v>2955</v>
      </c>
      <c r="QRS372" s="21" t="s">
        <v>2955</v>
      </c>
      <c r="QRT372" s="21" t="s">
        <v>2955</v>
      </c>
      <c r="QRU372" s="21" t="s">
        <v>2955</v>
      </c>
      <c r="QRV372" s="21" t="s">
        <v>2955</v>
      </c>
      <c r="QRW372" s="21" t="s">
        <v>2955</v>
      </c>
      <c r="QRX372" s="21" t="s">
        <v>2955</v>
      </c>
      <c r="QRY372" s="21" t="s">
        <v>2955</v>
      </c>
      <c r="QRZ372" s="21" t="s">
        <v>2955</v>
      </c>
      <c r="QSA372" s="21" t="s">
        <v>2955</v>
      </c>
      <c r="QSB372" s="21" t="s">
        <v>2955</v>
      </c>
      <c r="QSC372" s="21" t="s">
        <v>2955</v>
      </c>
      <c r="QSD372" s="21" t="s">
        <v>2955</v>
      </c>
      <c r="QSE372" s="21" t="s">
        <v>2955</v>
      </c>
      <c r="QSF372" s="21" t="s">
        <v>2955</v>
      </c>
      <c r="QSG372" s="21" t="s">
        <v>2955</v>
      </c>
      <c r="QSH372" s="21" t="s">
        <v>2955</v>
      </c>
      <c r="QSI372" s="21" t="s">
        <v>2955</v>
      </c>
      <c r="QSJ372" s="21" t="s">
        <v>2955</v>
      </c>
      <c r="QSK372" s="21" t="s">
        <v>2955</v>
      </c>
      <c r="QSL372" s="21" t="s">
        <v>2955</v>
      </c>
      <c r="QSM372" s="21" t="s">
        <v>2955</v>
      </c>
      <c r="QSN372" s="21" t="s">
        <v>2955</v>
      </c>
      <c r="QSO372" s="21" t="s">
        <v>2955</v>
      </c>
      <c r="QSP372" s="21" t="s">
        <v>2955</v>
      </c>
      <c r="QSQ372" s="21" t="s">
        <v>2955</v>
      </c>
      <c r="QSR372" s="21" t="s">
        <v>2955</v>
      </c>
      <c r="QSS372" s="21" t="s">
        <v>2955</v>
      </c>
      <c r="QST372" s="21" t="s">
        <v>2955</v>
      </c>
      <c r="QSU372" s="21" t="s">
        <v>2955</v>
      </c>
      <c r="QSV372" s="21" t="s">
        <v>2955</v>
      </c>
      <c r="QSW372" s="21" t="s">
        <v>2955</v>
      </c>
      <c r="QSX372" s="21" t="s">
        <v>2955</v>
      </c>
      <c r="QSY372" s="21" t="s">
        <v>2955</v>
      </c>
      <c r="QSZ372" s="21" t="s">
        <v>2955</v>
      </c>
      <c r="QTA372" s="21" t="s">
        <v>2955</v>
      </c>
      <c r="QTB372" s="21" t="s">
        <v>2955</v>
      </c>
      <c r="QTC372" s="21" t="s">
        <v>2955</v>
      </c>
      <c r="QTD372" s="21" t="s">
        <v>2955</v>
      </c>
      <c r="QTE372" s="21" t="s">
        <v>2955</v>
      </c>
      <c r="QTF372" s="21" t="s">
        <v>2955</v>
      </c>
      <c r="QTG372" s="21" t="s">
        <v>2955</v>
      </c>
      <c r="QTH372" s="21" t="s">
        <v>2955</v>
      </c>
      <c r="QTI372" s="21" t="s">
        <v>2955</v>
      </c>
      <c r="QTJ372" s="21" t="s">
        <v>2955</v>
      </c>
      <c r="QTK372" s="21" t="s">
        <v>2955</v>
      </c>
      <c r="QTL372" s="21" t="s">
        <v>2955</v>
      </c>
      <c r="QTM372" s="21" t="s">
        <v>2955</v>
      </c>
      <c r="QTN372" s="21" t="s">
        <v>2955</v>
      </c>
      <c r="QTO372" s="21" t="s">
        <v>2955</v>
      </c>
      <c r="QTP372" s="21" t="s">
        <v>2955</v>
      </c>
      <c r="QTQ372" s="21" t="s">
        <v>2955</v>
      </c>
      <c r="QTR372" s="21" t="s">
        <v>2955</v>
      </c>
      <c r="QTS372" s="21" t="s">
        <v>2955</v>
      </c>
      <c r="QTT372" s="21" t="s">
        <v>2955</v>
      </c>
      <c r="QTU372" s="21" t="s">
        <v>2955</v>
      </c>
      <c r="QTV372" s="21" t="s">
        <v>2955</v>
      </c>
      <c r="QTW372" s="21" t="s">
        <v>2955</v>
      </c>
      <c r="QTX372" s="21" t="s">
        <v>2955</v>
      </c>
      <c r="QTY372" s="21" t="s">
        <v>2955</v>
      </c>
      <c r="QTZ372" s="21" t="s">
        <v>2955</v>
      </c>
      <c r="QUA372" s="21" t="s">
        <v>2955</v>
      </c>
      <c r="QUB372" s="21" t="s">
        <v>2955</v>
      </c>
      <c r="QUC372" s="21" t="s">
        <v>2955</v>
      </c>
      <c r="QUD372" s="21" t="s">
        <v>2955</v>
      </c>
      <c r="QUE372" s="21" t="s">
        <v>2955</v>
      </c>
      <c r="QUF372" s="21" t="s">
        <v>2955</v>
      </c>
      <c r="QUG372" s="21" t="s">
        <v>2955</v>
      </c>
      <c r="QUH372" s="21" t="s">
        <v>2955</v>
      </c>
      <c r="QUI372" s="21" t="s">
        <v>2955</v>
      </c>
      <c r="QUJ372" s="21" t="s">
        <v>2955</v>
      </c>
      <c r="QUK372" s="21" t="s">
        <v>2955</v>
      </c>
      <c r="QUL372" s="21" t="s">
        <v>2955</v>
      </c>
      <c r="QUM372" s="21" t="s">
        <v>2955</v>
      </c>
      <c r="QUN372" s="21" t="s">
        <v>2955</v>
      </c>
      <c r="QUO372" s="21" t="s">
        <v>2955</v>
      </c>
      <c r="QUP372" s="21" t="s">
        <v>2955</v>
      </c>
      <c r="QUQ372" s="21" t="s">
        <v>2955</v>
      </c>
      <c r="QUR372" s="21" t="s">
        <v>2955</v>
      </c>
      <c r="QUS372" s="21" t="s">
        <v>2955</v>
      </c>
      <c r="QUT372" s="21" t="s">
        <v>2955</v>
      </c>
      <c r="QUU372" s="21" t="s">
        <v>2955</v>
      </c>
      <c r="QUV372" s="21" t="s">
        <v>2955</v>
      </c>
      <c r="QUW372" s="21" t="s">
        <v>2955</v>
      </c>
      <c r="QUX372" s="21" t="s">
        <v>2955</v>
      </c>
      <c r="QUY372" s="21" t="s">
        <v>2955</v>
      </c>
      <c r="QUZ372" s="21" t="s">
        <v>2955</v>
      </c>
      <c r="QVA372" s="21" t="s">
        <v>2955</v>
      </c>
      <c r="QVB372" s="21" t="s">
        <v>2955</v>
      </c>
      <c r="QVC372" s="21" t="s">
        <v>2955</v>
      </c>
      <c r="QVD372" s="21" t="s">
        <v>2955</v>
      </c>
      <c r="QVE372" s="21" t="s">
        <v>2955</v>
      </c>
      <c r="QVF372" s="21" t="s">
        <v>2955</v>
      </c>
      <c r="QVG372" s="21" t="s">
        <v>2955</v>
      </c>
      <c r="QVH372" s="21" t="s">
        <v>2955</v>
      </c>
      <c r="QVI372" s="21" t="s">
        <v>2955</v>
      </c>
      <c r="QVJ372" s="21" t="s">
        <v>2955</v>
      </c>
      <c r="QVK372" s="21" t="s">
        <v>2955</v>
      </c>
      <c r="QVL372" s="21" t="s">
        <v>2955</v>
      </c>
      <c r="QVM372" s="21" t="s">
        <v>2955</v>
      </c>
      <c r="QVN372" s="21" t="s">
        <v>2955</v>
      </c>
      <c r="QVO372" s="21" t="s">
        <v>2955</v>
      </c>
      <c r="QVP372" s="21" t="s">
        <v>2955</v>
      </c>
      <c r="QVQ372" s="21" t="s">
        <v>2955</v>
      </c>
      <c r="QVR372" s="21" t="s">
        <v>2955</v>
      </c>
      <c r="QVS372" s="21" t="s">
        <v>2955</v>
      </c>
      <c r="QVT372" s="21" t="s">
        <v>2955</v>
      </c>
      <c r="QVU372" s="21" t="s">
        <v>2955</v>
      </c>
      <c r="QVV372" s="21" t="s">
        <v>2955</v>
      </c>
      <c r="QVW372" s="21" t="s">
        <v>2955</v>
      </c>
      <c r="QVX372" s="21" t="s">
        <v>2955</v>
      </c>
      <c r="QVY372" s="21" t="s">
        <v>2955</v>
      </c>
      <c r="QVZ372" s="21" t="s">
        <v>2955</v>
      </c>
      <c r="QWA372" s="21" t="s">
        <v>2955</v>
      </c>
      <c r="QWB372" s="21" t="s">
        <v>2955</v>
      </c>
      <c r="QWC372" s="21" t="s">
        <v>2955</v>
      </c>
      <c r="QWD372" s="21" t="s">
        <v>2955</v>
      </c>
      <c r="QWE372" s="21" t="s">
        <v>2955</v>
      </c>
      <c r="QWF372" s="21" t="s">
        <v>2955</v>
      </c>
      <c r="QWG372" s="21" t="s">
        <v>2955</v>
      </c>
      <c r="QWH372" s="21" t="s">
        <v>2955</v>
      </c>
      <c r="QWI372" s="21" t="s">
        <v>2955</v>
      </c>
      <c r="QWJ372" s="21" t="s">
        <v>2955</v>
      </c>
      <c r="QWK372" s="21" t="s">
        <v>2955</v>
      </c>
      <c r="QWL372" s="21" t="s">
        <v>2955</v>
      </c>
      <c r="QWM372" s="21" t="s">
        <v>2955</v>
      </c>
      <c r="QWN372" s="21" t="s">
        <v>2955</v>
      </c>
      <c r="QWO372" s="21" t="s">
        <v>2955</v>
      </c>
      <c r="QWP372" s="21" t="s">
        <v>2955</v>
      </c>
      <c r="QWQ372" s="21" t="s">
        <v>2955</v>
      </c>
      <c r="QWR372" s="21" t="s">
        <v>2955</v>
      </c>
      <c r="QWS372" s="21" t="s">
        <v>2955</v>
      </c>
      <c r="QWT372" s="21" t="s">
        <v>2955</v>
      </c>
      <c r="QWU372" s="21" t="s">
        <v>2955</v>
      </c>
      <c r="QWV372" s="21" t="s">
        <v>2955</v>
      </c>
      <c r="QWW372" s="21" t="s">
        <v>2955</v>
      </c>
      <c r="QWX372" s="21" t="s">
        <v>2955</v>
      </c>
      <c r="QWY372" s="21" t="s">
        <v>2955</v>
      </c>
      <c r="QWZ372" s="21" t="s">
        <v>2955</v>
      </c>
      <c r="QXA372" s="21" t="s">
        <v>2955</v>
      </c>
      <c r="QXB372" s="21" t="s">
        <v>2955</v>
      </c>
      <c r="QXC372" s="21" t="s">
        <v>2955</v>
      </c>
      <c r="QXD372" s="21" t="s">
        <v>2955</v>
      </c>
      <c r="QXE372" s="21" t="s">
        <v>2955</v>
      </c>
      <c r="QXF372" s="21" t="s">
        <v>2955</v>
      </c>
      <c r="QXG372" s="21" t="s">
        <v>2955</v>
      </c>
      <c r="QXH372" s="21" t="s">
        <v>2955</v>
      </c>
      <c r="QXI372" s="21" t="s">
        <v>2955</v>
      </c>
      <c r="QXJ372" s="21" t="s">
        <v>2955</v>
      </c>
      <c r="QXK372" s="21" t="s">
        <v>2955</v>
      </c>
      <c r="QXL372" s="21" t="s">
        <v>2955</v>
      </c>
      <c r="QXM372" s="21" t="s">
        <v>2955</v>
      </c>
      <c r="QXN372" s="21" t="s">
        <v>2955</v>
      </c>
      <c r="QXO372" s="21" t="s">
        <v>2955</v>
      </c>
      <c r="QXP372" s="21" t="s">
        <v>2955</v>
      </c>
      <c r="QXQ372" s="21" t="s">
        <v>2955</v>
      </c>
      <c r="QXR372" s="21" t="s">
        <v>2955</v>
      </c>
      <c r="QXS372" s="21" t="s">
        <v>2955</v>
      </c>
      <c r="QXT372" s="21" t="s">
        <v>2955</v>
      </c>
      <c r="QXU372" s="21" t="s">
        <v>2955</v>
      </c>
      <c r="QXV372" s="21" t="s">
        <v>2955</v>
      </c>
      <c r="QXW372" s="21" t="s">
        <v>2955</v>
      </c>
      <c r="QXX372" s="21" t="s">
        <v>2955</v>
      </c>
      <c r="QXY372" s="21" t="s">
        <v>2955</v>
      </c>
      <c r="QXZ372" s="21" t="s">
        <v>2955</v>
      </c>
      <c r="QYA372" s="21" t="s">
        <v>2955</v>
      </c>
      <c r="QYB372" s="21" t="s">
        <v>2955</v>
      </c>
      <c r="QYC372" s="21" t="s">
        <v>2955</v>
      </c>
      <c r="QYD372" s="21" t="s">
        <v>2955</v>
      </c>
      <c r="QYE372" s="21" t="s">
        <v>2955</v>
      </c>
      <c r="QYF372" s="21" t="s">
        <v>2955</v>
      </c>
      <c r="QYG372" s="21" t="s">
        <v>2955</v>
      </c>
      <c r="QYH372" s="21" t="s">
        <v>2955</v>
      </c>
      <c r="QYI372" s="21" t="s">
        <v>2955</v>
      </c>
      <c r="QYJ372" s="21" t="s">
        <v>2955</v>
      </c>
      <c r="QYK372" s="21" t="s">
        <v>2955</v>
      </c>
      <c r="QYL372" s="21" t="s">
        <v>2955</v>
      </c>
      <c r="QYM372" s="21" t="s">
        <v>2955</v>
      </c>
      <c r="QYN372" s="21" t="s">
        <v>2955</v>
      </c>
      <c r="QYO372" s="21" t="s">
        <v>2955</v>
      </c>
      <c r="QYP372" s="21" t="s">
        <v>2955</v>
      </c>
      <c r="QYQ372" s="21" t="s">
        <v>2955</v>
      </c>
      <c r="QYR372" s="21" t="s">
        <v>2955</v>
      </c>
      <c r="QYS372" s="21" t="s">
        <v>2955</v>
      </c>
      <c r="QYT372" s="21" t="s">
        <v>2955</v>
      </c>
      <c r="QYU372" s="21" t="s">
        <v>2955</v>
      </c>
      <c r="QYV372" s="21" t="s">
        <v>2955</v>
      </c>
      <c r="QYW372" s="21" t="s">
        <v>2955</v>
      </c>
      <c r="QYX372" s="21" t="s">
        <v>2955</v>
      </c>
      <c r="QYY372" s="21" t="s">
        <v>2955</v>
      </c>
      <c r="QYZ372" s="21" t="s">
        <v>2955</v>
      </c>
      <c r="QZA372" s="21" t="s">
        <v>2955</v>
      </c>
      <c r="QZB372" s="21" t="s">
        <v>2955</v>
      </c>
      <c r="QZC372" s="21" t="s">
        <v>2955</v>
      </c>
      <c r="QZD372" s="21" t="s">
        <v>2955</v>
      </c>
      <c r="QZE372" s="21" t="s">
        <v>2955</v>
      </c>
      <c r="QZF372" s="21" t="s">
        <v>2955</v>
      </c>
      <c r="QZG372" s="21" t="s">
        <v>2955</v>
      </c>
      <c r="QZH372" s="21" t="s">
        <v>2955</v>
      </c>
      <c r="QZI372" s="21" t="s">
        <v>2955</v>
      </c>
      <c r="QZJ372" s="21" t="s">
        <v>2955</v>
      </c>
      <c r="QZK372" s="21" t="s">
        <v>2955</v>
      </c>
      <c r="QZL372" s="21" t="s">
        <v>2955</v>
      </c>
      <c r="QZM372" s="21" t="s">
        <v>2955</v>
      </c>
      <c r="QZN372" s="21" t="s">
        <v>2955</v>
      </c>
      <c r="QZO372" s="21" t="s">
        <v>2955</v>
      </c>
      <c r="QZP372" s="21" t="s">
        <v>2955</v>
      </c>
      <c r="QZQ372" s="21" t="s">
        <v>2955</v>
      </c>
      <c r="QZR372" s="21" t="s">
        <v>2955</v>
      </c>
      <c r="QZS372" s="21" t="s">
        <v>2955</v>
      </c>
      <c r="QZT372" s="21" t="s">
        <v>2955</v>
      </c>
      <c r="QZU372" s="21" t="s">
        <v>2955</v>
      </c>
      <c r="QZV372" s="21" t="s">
        <v>2955</v>
      </c>
      <c r="QZW372" s="21" t="s">
        <v>2955</v>
      </c>
      <c r="QZX372" s="21" t="s">
        <v>2955</v>
      </c>
      <c r="QZY372" s="21" t="s">
        <v>2955</v>
      </c>
      <c r="QZZ372" s="21" t="s">
        <v>2955</v>
      </c>
      <c r="RAA372" s="21" t="s">
        <v>2955</v>
      </c>
      <c r="RAB372" s="21" t="s">
        <v>2955</v>
      </c>
      <c r="RAC372" s="21" t="s">
        <v>2955</v>
      </c>
      <c r="RAD372" s="21" t="s">
        <v>2955</v>
      </c>
      <c r="RAE372" s="21" t="s">
        <v>2955</v>
      </c>
      <c r="RAF372" s="21" t="s">
        <v>2955</v>
      </c>
      <c r="RAG372" s="21" t="s">
        <v>2955</v>
      </c>
      <c r="RAH372" s="21" t="s">
        <v>2955</v>
      </c>
      <c r="RAI372" s="21" t="s">
        <v>2955</v>
      </c>
      <c r="RAJ372" s="21" t="s">
        <v>2955</v>
      </c>
      <c r="RAK372" s="21" t="s">
        <v>2955</v>
      </c>
      <c r="RAL372" s="21" t="s">
        <v>2955</v>
      </c>
      <c r="RAM372" s="21" t="s">
        <v>2955</v>
      </c>
      <c r="RAN372" s="21" t="s">
        <v>2955</v>
      </c>
      <c r="RAO372" s="21" t="s">
        <v>2955</v>
      </c>
      <c r="RAP372" s="21" t="s">
        <v>2955</v>
      </c>
      <c r="RAQ372" s="21" t="s">
        <v>2955</v>
      </c>
      <c r="RAR372" s="21" t="s">
        <v>2955</v>
      </c>
      <c r="RAS372" s="21" t="s">
        <v>2955</v>
      </c>
      <c r="RAT372" s="21" t="s">
        <v>2955</v>
      </c>
      <c r="RAU372" s="21" t="s">
        <v>2955</v>
      </c>
      <c r="RAV372" s="21" t="s">
        <v>2955</v>
      </c>
      <c r="RAW372" s="21" t="s">
        <v>2955</v>
      </c>
      <c r="RAX372" s="21" t="s">
        <v>2955</v>
      </c>
      <c r="RAY372" s="21" t="s">
        <v>2955</v>
      </c>
      <c r="RAZ372" s="21" t="s">
        <v>2955</v>
      </c>
      <c r="RBA372" s="21" t="s">
        <v>2955</v>
      </c>
      <c r="RBB372" s="21" t="s">
        <v>2955</v>
      </c>
      <c r="RBC372" s="21" t="s">
        <v>2955</v>
      </c>
      <c r="RBD372" s="21" t="s">
        <v>2955</v>
      </c>
      <c r="RBE372" s="21" t="s">
        <v>2955</v>
      </c>
      <c r="RBF372" s="21" t="s">
        <v>2955</v>
      </c>
      <c r="RBG372" s="21" t="s">
        <v>2955</v>
      </c>
      <c r="RBH372" s="21" t="s">
        <v>2955</v>
      </c>
      <c r="RBI372" s="21" t="s">
        <v>2955</v>
      </c>
      <c r="RBJ372" s="21" t="s">
        <v>2955</v>
      </c>
      <c r="RBK372" s="21" t="s">
        <v>2955</v>
      </c>
      <c r="RBL372" s="21" t="s">
        <v>2955</v>
      </c>
      <c r="RBM372" s="21" t="s">
        <v>2955</v>
      </c>
      <c r="RBN372" s="21" t="s">
        <v>2955</v>
      </c>
      <c r="RBO372" s="21" t="s">
        <v>2955</v>
      </c>
      <c r="RBP372" s="21" t="s">
        <v>2955</v>
      </c>
      <c r="RBQ372" s="21" t="s">
        <v>2955</v>
      </c>
      <c r="RBR372" s="21" t="s">
        <v>2955</v>
      </c>
      <c r="RBS372" s="21" t="s">
        <v>2955</v>
      </c>
      <c r="RBT372" s="21" t="s">
        <v>2955</v>
      </c>
      <c r="RBU372" s="21" t="s">
        <v>2955</v>
      </c>
      <c r="RBV372" s="21" t="s">
        <v>2955</v>
      </c>
      <c r="RBW372" s="21" t="s">
        <v>2955</v>
      </c>
      <c r="RBX372" s="21" t="s">
        <v>2955</v>
      </c>
      <c r="RBY372" s="21" t="s">
        <v>2955</v>
      </c>
      <c r="RBZ372" s="21" t="s">
        <v>2955</v>
      </c>
      <c r="RCA372" s="21" t="s">
        <v>2955</v>
      </c>
      <c r="RCB372" s="21" t="s">
        <v>2955</v>
      </c>
      <c r="RCC372" s="21" t="s">
        <v>2955</v>
      </c>
      <c r="RCD372" s="21" t="s">
        <v>2955</v>
      </c>
      <c r="RCE372" s="21" t="s">
        <v>2955</v>
      </c>
      <c r="RCF372" s="21" t="s">
        <v>2955</v>
      </c>
      <c r="RCG372" s="21" t="s">
        <v>2955</v>
      </c>
      <c r="RCH372" s="21" t="s">
        <v>2955</v>
      </c>
      <c r="RCI372" s="21" t="s">
        <v>2955</v>
      </c>
      <c r="RCJ372" s="21" t="s">
        <v>2955</v>
      </c>
      <c r="RCK372" s="21" t="s">
        <v>2955</v>
      </c>
      <c r="RCL372" s="21" t="s">
        <v>2955</v>
      </c>
      <c r="RCM372" s="21" t="s">
        <v>2955</v>
      </c>
      <c r="RCN372" s="21" t="s">
        <v>2955</v>
      </c>
      <c r="RCO372" s="21" t="s">
        <v>2955</v>
      </c>
      <c r="RCP372" s="21" t="s">
        <v>2955</v>
      </c>
      <c r="RCQ372" s="21" t="s">
        <v>2955</v>
      </c>
      <c r="RCR372" s="21" t="s">
        <v>2955</v>
      </c>
      <c r="RCS372" s="21" t="s">
        <v>2955</v>
      </c>
      <c r="RCT372" s="21" t="s">
        <v>2955</v>
      </c>
      <c r="RCU372" s="21" t="s">
        <v>2955</v>
      </c>
      <c r="RCV372" s="21" t="s">
        <v>2955</v>
      </c>
      <c r="RCW372" s="21" t="s">
        <v>2955</v>
      </c>
      <c r="RCX372" s="21" t="s">
        <v>2955</v>
      </c>
      <c r="RCY372" s="21" t="s">
        <v>2955</v>
      </c>
      <c r="RCZ372" s="21" t="s">
        <v>2955</v>
      </c>
      <c r="RDA372" s="21" t="s">
        <v>2955</v>
      </c>
      <c r="RDB372" s="21" t="s">
        <v>2955</v>
      </c>
      <c r="RDC372" s="21" t="s">
        <v>2955</v>
      </c>
      <c r="RDD372" s="21" t="s">
        <v>2955</v>
      </c>
      <c r="RDE372" s="21" t="s">
        <v>2955</v>
      </c>
      <c r="RDF372" s="21" t="s">
        <v>2955</v>
      </c>
      <c r="RDG372" s="21" t="s">
        <v>2955</v>
      </c>
      <c r="RDH372" s="21" t="s">
        <v>2955</v>
      </c>
      <c r="RDI372" s="21" t="s">
        <v>2955</v>
      </c>
      <c r="RDJ372" s="21" t="s">
        <v>2955</v>
      </c>
      <c r="RDK372" s="21" t="s">
        <v>2955</v>
      </c>
      <c r="RDL372" s="21" t="s">
        <v>2955</v>
      </c>
      <c r="RDM372" s="21" t="s">
        <v>2955</v>
      </c>
      <c r="RDN372" s="21" t="s">
        <v>2955</v>
      </c>
      <c r="RDO372" s="21" t="s">
        <v>2955</v>
      </c>
      <c r="RDP372" s="21" t="s">
        <v>2955</v>
      </c>
      <c r="RDQ372" s="21" t="s">
        <v>2955</v>
      </c>
      <c r="RDR372" s="21" t="s">
        <v>2955</v>
      </c>
      <c r="RDS372" s="21" t="s">
        <v>2955</v>
      </c>
      <c r="RDT372" s="21" t="s">
        <v>2955</v>
      </c>
      <c r="RDU372" s="21" t="s">
        <v>2955</v>
      </c>
      <c r="RDV372" s="21" t="s">
        <v>2955</v>
      </c>
      <c r="RDW372" s="21" t="s">
        <v>2955</v>
      </c>
      <c r="RDX372" s="21" t="s">
        <v>2955</v>
      </c>
      <c r="RDY372" s="21" t="s">
        <v>2955</v>
      </c>
      <c r="RDZ372" s="21" t="s">
        <v>2955</v>
      </c>
      <c r="REA372" s="21" t="s">
        <v>2955</v>
      </c>
      <c r="REB372" s="21" t="s">
        <v>2955</v>
      </c>
      <c r="REC372" s="21" t="s">
        <v>2955</v>
      </c>
      <c r="RED372" s="21" t="s">
        <v>2955</v>
      </c>
      <c r="REE372" s="21" t="s">
        <v>2955</v>
      </c>
      <c r="REF372" s="21" t="s">
        <v>2955</v>
      </c>
      <c r="REG372" s="21" t="s">
        <v>2955</v>
      </c>
      <c r="REH372" s="21" t="s">
        <v>2955</v>
      </c>
      <c r="REI372" s="21" t="s">
        <v>2955</v>
      </c>
      <c r="REJ372" s="21" t="s">
        <v>2955</v>
      </c>
      <c r="REK372" s="21" t="s">
        <v>2955</v>
      </c>
      <c r="REL372" s="21" t="s">
        <v>2955</v>
      </c>
      <c r="REM372" s="21" t="s">
        <v>2955</v>
      </c>
      <c r="REN372" s="21" t="s">
        <v>2955</v>
      </c>
      <c r="REO372" s="21" t="s">
        <v>2955</v>
      </c>
      <c r="REP372" s="21" t="s">
        <v>2955</v>
      </c>
      <c r="REQ372" s="21" t="s">
        <v>2955</v>
      </c>
      <c r="RER372" s="21" t="s">
        <v>2955</v>
      </c>
      <c r="RES372" s="21" t="s">
        <v>2955</v>
      </c>
      <c r="RET372" s="21" t="s">
        <v>2955</v>
      </c>
      <c r="REU372" s="21" t="s">
        <v>2955</v>
      </c>
      <c r="REV372" s="21" t="s">
        <v>2955</v>
      </c>
      <c r="REW372" s="21" t="s">
        <v>2955</v>
      </c>
      <c r="REX372" s="21" t="s">
        <v>2955</v>
      </c>
      <c r="REY372" s="21" t="s">
        <v>2955</v>
      </c>
      <c r="REZ372" s="21" t="s">
        <v>2955</v>
      </c>
      <c r="RFA372" s="21" t="s">
        <v>2955</v>
      </c>
      <c r="RFB372" s="21" t="s">
        <v>2955</v>
      </c>
      <c r="RFC372" s="21" t="s">
        <v>2955</v>
      </c>
      <c r="RFD372" s="21" t="s">
        <v>2955</v>
      </c>
      <c r="RFE372" s="21" t="s">
        <v>2955</v>
      </c>
      <c r="RFF372" s="21" t="s">
        <v>2955</v>
      </c>
      <c r="RFG372" s="21" t="s">
        <v>2955</v>
      </c>
      <c r="RFH372" s="21" t="s">
        <v>2955</v>
      </c>
      <c r="RFI372" s="21" t="s">
        <v>2955</v>
      </c>
      <c r="RFJ372" s="21" t="s">
        <v>2955</v>
      </c>
      <c r="RFK372" s="21" t="s">
        <v>2955</v>
      </c>
      <c r="RFL372" s="21" t="s">
        <v>2955</v>
      </c>
      <c r="RFM372" s="21" t="s">
        <v>2955</v>
      </c>
      <c r="RFN372" s="21" t="s">
        <v>2955</v>
      </c>
      <c r="RFO372" s="21" t="s">
        <v>2955</v>
      </c>
      <c r="RFP372" s="21" t="s">
        <v>2955</v>
      </c>
      <c r="RFQ372" s="21" t="s">
        <v>2955</v>
      </c>
      <c r="RFR372" s="21" t="s">
        <v>2955</v>
      </c>
      <c r="RFS372" s="21" t="s">
        <v>2955</v>
      </c>
      <c r="RFT372" s="21" t="s">
        <v>2955</v>
      </c>
      <c r="RFU372" s="21" t="s">
        <v>2955</v>
      </c>
      <c r="RFV372" s="21" t="s">
        <v>2955</v>
      </c>
      <c r="RFW372" s="21" t="s">
        <v>2955</v>
      </c>
      <c r="RFX372" s="21" t="s">
        <v>2955</v>
      </c>
      <c r="RFY372" s="21" t="s">
        <v>2955</v>
      </c>
      <c r="RFZ372" s="21" t="s">
        <v>2955</v>
      </c>
      <c r="RGA372" s="21" t="s">
        <v>2955</v>
      </c>
      <c r="RGB372" s="21" t="s">
        <v>2955</v>
      </c>
      <c r="RGC372" s="21" t="s">
        <v>2955</v>
      </c>
      <c r="RGD372" s="21" t="s">
        <v>2955</v>
      </c>
      <c r="RGE372" s="21" t="s">
        <v>2955</v>
      </c>
      <c r="RGF372" s="21" t="s">
        <v>2955</v>
      </c>
      <c r="RGG372" s="21" t="s">
        <v>2955</v>
      </c>
      <c r="RGH372" s="21" t="s">
        <v>2955</v>
      </c>
      <c r="RGI372" s="21" t="s">
        <v>2955</v>
      </c>
      <c r="RGJ372" s="21" t="s">
        <v>2955</v>
      </c>
      <c r="RGK372" s="21" t="s">
        <v>2955</v>
      </c>
      <c r="RGL372" s="21" t="s">
        <v>2955</v>
      </c>
      <c r="RGM372" s="21" t="s">
        <v>2955</v>
      </c>
      <c r="RGN372" s="21" t="s">
        <v>2955</v>
      </c>
      <c r="RGO372" s="21" t="s">
        <v>2955</v>
      </c>
      <c r="RGP372" s="21" t="s">
        <v>2955</v>
      </c>
      <c r="RGQ372" s="21" t="s">
        <v>2955</v>
      </c>
      <c r="RGR372" s="21" t="s">
        <v>2955</v>
      </c>
      <c r="RGS372" s="21" t="s">
        <v>2955</v>
      </c>
      <c r="RGT372" s="21" t="s">
        <v>2955</v>
      </c>
      <c r="RGU372" s="21" t="s">
        <v>2955</v>
      </c>
      <c r="RGV372" s="21" t="s">
        <v>2955</v>
      </c>
      <c r="RGW372" s="21" t="s">
        <v>2955</v>
      </c>
      <c r="RGX372" s="21" t="s">
        <v>2955</v>
      </c>
      <c r="RGY372" s="21" t="s">
        <v>2955</v>
      </c>
      <c r="RGZ372" s="21" t="s">
        <v>2955</v>
      </c>
      <c r="RHA372" s="21" t="s">
        <v>2955</v>
      </c>
      <c r="RHB372" s="21" t="s">
        <v>2955</v>
      </c>
      <c r="RHC372" s="21" t="s">
        <v>2955</v>
      </c>
      <c r="RHD372" s="21" t="s">
        <v>2955</v>
      </c>
      <c r="RHE372" s="21" t="s">
        <v>2955</v>
      </c>
      <c r="RHF372" s="21" t="s">
        <v>2955</v>
      </c>
      <c r="RHG372" s="21" t="s">
        <v>2955</v>
      </c>
      <c r="RHH372" s="21" t="s">
        <v>2955</v>
      </c>
      <c r="RHI372" s="21" t="s">
        <v>2955</v>
      </c>
      <c r="RHJ372" s="21" t="s">
        <v>2955</v>
      </c>
      <c r="RHK372" s="21" t="s">
        <v>2955</v>
      </c>
      <c r="RHL372" s="21" t="s">
        <v>2955</v>
      </c>
      <c r="RHM372" s="21" t="s">
        <v>2955</v>
      </c>
      <c r="RHN372" s="21" t="s">
        <v>2955</v>
      </c>
      <c r="RHO372" s="21" t="s">
        <v>2955</v>
      </c>
      <c r="RHP372" s="21" t="s">
        <v>2955</v>
      </c>
      <c r="RHQ372" s="21" t="s">
        <v>2955</v>
      </c>
      <c r="RHR372" s="21" t="s">
        <v>2955</v>
      </c>
      <c r="RHS372" s="21" t="s">
        <v>2955</v>
      </c>
      <c r="RHT372" s="21" t="s">
        <v>2955</v>
      </c>
      <c r="RHU372" s="21" t="s">
        <v>2955</v>
      </c>
      <c r="RHV372" s="21" t="s">
        <v>2955</v>
      </c>
      <c r="RHW372" s="21" t="s">
        <v>2955</v>
      </c>
      <c r="RHX372" s="21" t="s">
        <v>2955</v>
      </c>
      <c r="RHY372" s="21" t="s">
        <v>2955</v>
      </c>
      <c r="RHZ372" s="21" t="s">
        <v>2955</v>
      </c>
      <c r="RIA372" s="21" t="s">
        <v>2955</v>
      </c>
      <c r="RIB372" s="21" t="s">
        <v>2955</v>
      </c>
      <c r="RIC372" s="21" t="s">
        <v>2955</v>
      </c>
      <c r="RID372" s="21" t="s">
        <v>2955</v>
      </c>
      <c r="RIE372" s="21" t="s">
        <v>2955</v>
      </c>
      <c r="RIF372" s="21" t="s">
        <v>2955</v>
      </c>
      <c r="RIG372" s="21" t="s">
        <v>2955</v>
      </c>
      <c r="RIH372" s="21" t="s">
        <v>2955</v>
      </c>
      <c r="RII372" s="21" t="s">
        <v>2955</v>
      </c>
      <c r="RIJ372" s="21" t="s">
        <v>2955</v>
      </c>
      <c r="RIK372" s="21" t="s">
        <v>2955</v>
      </c>
      <c r="RIL372" s="21" t="s">
        <v>2955</v>
      </c>
      <c r="RIM372" s="21" t="s">
        <v>2955</v>
      </c>
      <c r="RIN372" s="21" t="s">
        <v>2955</v>
      </c>
      <c r="RIO372" s="21" t="s">
        <v>2955</v>
      </c>
      <c r="RIP372" s="21" t="s">
        <v>2955</v>
      </c>
      <c r="RIQ372" s="21" t="s">
        <v>2955</v>
      </c>
      <c r="RIR372" s="21" t="s">
        <v>2955</v>
      </c>
      <c r="RIS372" s="21" t="s">
        <v>2955</v>
      </c>
      <c r="RIT372" s="21" t="s">
        <v>2955</v>
      </c>
      <c r="RIU372" s="21" t="s">
        <v>2955</v>
      </c>
      <c r="RIV372" s="21" t="s">
        <v>2955</v>
      </c>
      <c r="RIW372" s="21" t="s">
        <v>2955</v>
      </c>
      <c r="RIX372" s="21" t="s">
        <v>2955</v>
      </c>
      <c r="RIY372" s="21" t="s">
        <v>2955</v>
      </c>
      <c r="RIZ372" s="21" t="s">
        <v>2955</v>
      </c>
      <c r="RJA372" s="21" t="s">
        <v>2955</v>
      </c>
      <c r="RJB372" s="21" t="s">
        <v>2955</v>
      </c>
      <c r="RJC372" s="21" t="s">
        <v>2955</v>
      </c>
      <c r="RJD372" s="21" t="s">
        <v>2955</v>
      </c>
      <c r="RJE372" s="21" t="s">
        <v>2955</v>
      </c>
      <c r="RJF372" s="21" t="s">
        <v>2955</v>
      </c>
      <c r="RJG372" s="21" t="s">
        <v>2955</v>
      </c>
      <c r="RJH372" s="21" t="s">
        <v>2955</v>
      </c>
      <c r="RJI372" s="21" t="s">
        <v>2955</v>
      </c>
      <c r="RJJ372" s="21" t="s">
        <v>2955</v>
      </c>
      <c r="RJK372" s="21" t="s">
        <v>2955</v>
      </c>
      <c r="RJL372" s="21" t="s">
        <v>2955</v>
      </c>
      <c r="RJM372" s="21" t="s">
        <v>2955</v>
      </c>
      <c r="RJN372" s="21" t="s">
        <v>2955</v>
      </c>
      <c r="RJO372" s="21" t="s">
        <v>2955</v>
      </c>
      <c r="RJP372" s="21" t="s">
        <v>2955</v>
      </c>
      <c r="RJQ372" s="21" t="s">
        <v>2955</v>
      </c>
      <c r="RJR372" s="21" t="s">
        <v>2955</v>
      </c>
      <c r="RJS372" s="21" t="s">
        <v>2955</v>
      </c>
      <c r="RJT372" s="21" t="s">
        <v>2955</v>
      </c>
      <c r="RJU372" s="21" t="s">
        <v>2955</v>
      </c>
      <c r="RJV372" s="21" t="s">
        <v>2955</v>
      </c>
      <c r="RJW372" s="21" t="s">
        <v>2955</v>
      </c>
      <c r="RJX372" s="21" t="s">
        <v>2955</v>
      </c>
      <c r="RJY372" s="21" t="s">
        <v>2955</v>
      </c>
      <c r="RJZ372" s="21" t="s">
        <v>2955</v>
      </c>
      <c r="RKA372" s="21" t="s">
        <v>2955</v>
      </c>
      <c r="RKB372" s="21" t="s">
        <v>2955</v>
      </c>
      <c r="RKC372" s="21" t="s">
        <v>2955</v>
      </c>
      <c r="RKD372" s="21" t="s">
        <v>2955</v>
      </c>
      <c r="RKE372" s="21" t="s">
        <v>2955</v>
      </c>
      <c r="RKF372" s="21" t="s">
        <v>2955</v>
      </c>
      <c r="RKG372" s="21" t="s">
        <v>2955</v>
      </c>
      <c r="RKH372" s="21" t="s">
        <v>2955</v>
      </c>
      <c r="RKI372" s="21" t="s">
        <v>2955</v>
      </c>
      <c r="RKJ372" s="21" t="s">
        <v>2955</v>
      </c>
      <c r="RKK372" s="21" t="s">
        <v>2955</v>
      </c>
      <c r="RKL372" s="21" t="s">
        <v>2955</v>
      </c>
      <c r="RKM372" s="21" t="s">
        <v>2955</v>
      </c>
      <c r="RKN372" s="21" t="s">
        <v>2955</v>
      </c>
      <c r="RKO372" s="21" t="s">
        <v>2955</v>
      </c>
      <c r="RKP372" s="21" t="s">
        <v>2955</v>
      </c>
      <c r="RKQ372" s="21" t="s">
        <v>2955</v>
      </c>
      <c r="RKR372" s="21" t="s">
        <v>2955</v>
      </c>
      <c r="RKS372" s="21" t="s">
        <v>2955</v>
      </c>
      <c r="RKT372" s="21" t="s">
        <v>2955</v>
      </c>
      <c r="RKU372" s="21" t="s">
        <v>2955</v>
      </c>
      <c r="RKV372" s="21" t="s">
        <v>2955</v>
      </c>
      <c r="RKW372" s="21" t="s">
        <v>2955</v>
      </c>
      <c r="RKX372" s="21" t="s">
        <v>2955</v>
      </c>
      <c r="RKY372" s="21" t="s">
        <v>2955</v>
      </c>
      <c r="RKZ372" s="21" t="s">
        <v>2955</v>
      </c>
      <c r="RLA372" s="21" t="s">
        <v>2955</v>
      </c>
      <c r="RLB372" s="21" t="s">
        <v>2955</v>
      </c>
      <c r="RLC372" s="21" t="s">
        <v>2955</v>
      </c>
      <c r="RLD372" s="21" t="s">
        <v>2955</v>
      </c>
      <c r="RLE372" s="21" t="s">
        <v>2955</v>
      </c>
      <c r="RLF372" s="21" t="s">
        <v>2955</v>
      </c>
      <c r="RLG372" s="21" t="s">
        <v>2955</v>
      </c>
      <c r="RLH372" s="21" t="s">
        <v>2955</v>
      </c>
      <c r="RLI372" s="21" t="s">
        <v>2955</v>
      </c>
      <c r="RLJ372" s="21" t="s">
        <v>2955</v>
      </c>
      <c r="RLK372" s="21" t="s">
        <v>2955</v>
      </c>
      <c r="RLL372" s="21" t="s">
        <v>2955</v>
      </c>
      <c r="RLM372" s="21" t="s">
        <v>2955</v>
      </c>
      <c r="RLN372" s="21" t="s">
        <v>2955</v>
      </c>
      <c r="RLO372" s="21" t="s">
        <v>2955</v>
      </c>
      <c r="RLP372" s="21" t="s">
        <v>2955</v>
      </c>
      <c r="RLQ372" s="21" t="s">
        <v>2955</v>
      </c>
      <c r="RLR372" s="21" t="s">
        <v>2955</v>
      </c>
      <c r="RLS372" s="21" t="s">
        <v>2955</v>
      </c>
      <c r="RLT372" s="21" t="s">
        <v>2955</v>
      </c>
      <c r="RLU372" s="21" t="s">
        <v>2955</v>
      </c>
      <c r="RLV372" s="21" t="s">
        <v>2955</v>
      </c>
      <c r="RLW372" s="21" t="s">
        <v>2955</v>
      </c>
      <c r="RLX372" s="21" t="s">
        <v>2955</v>
      </c>
      <c r="RLY372" s="21" t="s">
        <v>2955</v>
      </c>
      <c r="RLZ372" s="21" t="s">
        <v>2955</v>
      </c>
      <c r="RMA372" s="21" t="s">
        <v>2955</v>
      </c>
      <c r="RMB372" s="21" t="s">
        <v>2955</v>
      </c>
      <c r="RMC372" s="21" t="s">
        <v>2955</v>
      </c>
      <c r="RMD372" s="21" t="s">
        <v>2955</v>
      </c>
      <c r="RME372" s="21" t="s">
        <v>2955</v>
      </c>
      <c r="RMF372" s="21" t="s">
        <v>2955</v>
      </c>
      <c r="RMG372" s="21" t="s">
        <v>2955</v>
      </c>
      <c r="RMH372" s="21" t="s">
        <v>2955</v>
      </c>
      <c r="RMI372" s="21" t="s">
        <v>2955</v>
      </c>
      <c r="RMJ372" s="21" t="s">
        <v>2955</v>
      </c>
      <c r="RMK372" s="21" t="s">
        <v>2955</v>
      </c>
      <c r="RML372" s="21" t="s">
        <v>2955</v>
      </c>
      <c r="RMM372" s="21" t="s">
        <v>2955</v>
      </c>
      <c r="RMN372" s="21" t="s">
        <v>2955</v>
      </c>
      <c r="RMO372" s="21" t="s">
        <v>2955</v>
      </c>
      <c r="RMP372" s="21" t="s">
        <v>2955</v>
      </c>
      <c r="RMQ372" s="21" t="s">
        <v>2955</v>
      </c>
      <c r="RMR372" s="21" t="s">
        <v>2955</v>
      </c>
      <c r="RMS372" s="21" t="s">
        <v>2955</v>
      </c>
      <c r="RMT372" s="21" t="s">
        <v>2955</v>
      </c>
      <c r="RMU372" s="21" t="s">
        <v>2955</v>
      </c>
      <c r="RMV372" s="21" t="s">
        <v>2955</v>
      </c>
      <c r="RMW372" s="21" t="s">
        <v>2955</v>
      </c>
      <c r="RMX372" s="21" t="s">
        <v>2955</v>
      </c>
      <c r="RMY372" s="21" t="s">
        <v>2955</v>
      </c>
      <c r="RMZ372" s="21" t="s">
        <v>2955</v>
      </c>
      <c r="RNA372" s="21" t="s">
        <v>2955</v>
      </c>
      <c r="RNB372" s="21" t="s">
        <v>2955</v>
      </c>
      <c r="RNC372" s="21" t="s">
        <v>2955</v>
      </c>
      <c r="RND372" s="21" t="s">
        <v>2955</v>
      </c>
      <c r="RNE372" s="21" t="s">
        <v>2955</v>
      </c>
      <c r="RNF372" s="21" t="s">
        <v>2955</v>
      </c>
      <c r="RNG372" s="21" t="s">
        <v>2955</v>
      </c>
      <c r="RNH372" s="21" t="s">
        <v>2955</v>
      </c>
      <c r="RNI372" s="21" t="s">
        <v>2955</v>
      </c>
      <c r="RNJ372" s="21" t="s">
        <v>2955</v>
      </c>
      <c r="RNK372" s="21" t="s">
        <v>2955</v>
      </c>
      <c r="RNL372" s="21" t="s">
        <v>2955</v>
      </c>
      <c r="RNM372" s="21" t="s">
        <v>2955</v>
      </c>
      <c r="RNN372" s="21" t="s">
        <v>2955</v>
      </c>
      <c r="RNO372" s="21" t="s">
        <v>2955</v>
      </c>
      <c r="RNP372" s="21" t="s">
        <v>2955</v>
      </c>
      <c r="RNQ372" s="21" t="s">
        <v>2955</v>
      </c>
      <c r="RNR372" s="21" t="s">
        <v>2955</v>
      </c>
      <c r="RNS372" s="21" t="s">
        <v>2955</v>
      </c>
      <c r="RNT372" s="21" t="s">
        <v>2955</v>
      </c>
      <c r="RNU372" s="21" t="s">
        <v>2955</v>
      </c>
      <c r="RNV372" s="21" t="s">
        <v>2955</v>
      </c>
      <c r="RNW372" s="21" t="s">
        <v>2955</v>
      </c>
      <c r="RNX372" s="21" t="s">
        <v>2955</v>
      </c>
      <c r="RNY372" s="21" t="s">
        <v>2955</v>
      </c>
      <c r="RNZ372" s="21" t="s">
        <v>2955</v>
      </c>
      <c r="ROA372" s="21" t="s">
        <v>2955</v>
      </c>
      <c r="ROB372" s="21" t="s">
        <v>2955</v>
      </c>
      <c r="ROC372" s="21" t="s">
        <v>2955</v>
      </c>
      <c r="ROD372" s="21" t="s">
        <v>2955</v>
      </c>
      <c r="ROE372" s="21" t="s">
        <v>2955</v>
      </c>
      <c r="ROF372" s="21" t="s">
        <v>2955</v>
      </c>
      <c r="ROG372" s="21" t="s">
        <v>2955</v>
      </c>
      <c r="ROH372" s="21" t="s">
        <v>2955</v>
      </c>
      <c r="ROI372" s="21" t="s">
        <v>2955</v>
      </c>
      <c r="ROJ372" s="21" t="s">
        <v>2955</v>
      </c>
      <c r="ROK372" s="21" t="s">
        <v>2955</v>
      </c>
      <c r="ROL372" s="21" t="s">
        <v>2955</v>
      </c>
      <c r="ROM372" s="21" t="s">
        <v>2955</v>
      </c>
      <c r="RON372" s="21" t="s">
        <v>2955</v>
      </c>
      <c r="ROO372" s="21" t="s">
        <v>2955</v>
      </c>
      <c r="ROP372" s="21" t="s">
        <v>2955</v>
      </c>
      <c r="ROQ372" s="21" t="s">
        <v>2955</v>
      </c>
      <c r="ROR372" s="21" t="s">
        <v>2955</v>
      </c>
      <c r="ROS372" s="21" t="s">
        <v>2955</v>
      </c>
      <c r="ROT372" s="21" t="s">
        <v>2955</v>
      </c>
      <c r="ROU372" s="21" t="s">
        <v>2955</v>
      </c>
      <c r="ROV372" s="21" t="s">
        <v>2955</v>
      </c>
      <c r="ROW372" s="21" t="s">
        <v>2955</v>
      </c>
      <c r="ROX372" s="21" t="s">
        <v>2955</v>
      </c>
      <c r="ROY372" s="21" t="s">
        <v>2955</v>
      </c>
      <c r="ROZ372" s="21" t="s">
        <v>2955</v>
      </c>
      <c r="RPA372" s="21" t="s">
        <v>2955</v>
      </c>
      <c r="RPB372" s="21" t="s">
        <v>2955</v>
      </c>
      <c r="RPC372" s="21" t="s">
        <v>2955</v>
      </c>
      <c r="RPD372" s="21" t="s">
        <v>2955</v>
      </c>
      <c r="RPE372" s="21" t="s">
        <v>2955</v>
      </c>
      <c r="RPF372" s="21" t="s">
        <v>2955</v>
      </c>
      <c r="RPG372" s="21" t="s">
        <v>2955</v>
      </c>
      <c r="RPH372" s="21" t="s">
        <v>2955</v>
      </c>
      <c r="RPI372" s="21" t="s">
        <v>2955</v>
      </c>
      <c r="RPJ372" s="21" t="s">
        <v>2955</v>
      </c>
      <c r="RPK372" s="21" t="s">
        <v>2955</v>
      </c>
      <c r="RPL372" s="21" t="s">
        <v>2955</v>
      </c>
      <c r="RPM372" s="21" t="s">
        <v>2955</v>
      </c>
      <c r="RPN372" s="21" t="s">
        <v>2955</v>
      </c>
      <c r="RPO372" s="21" t="s">
        <v>2955</v>
      </c>
      <c r="RPP372" s="21" t="s">
        <v>2955</v>
      </c>
      <c r="RPQ372" s="21" t="s">
        <v>2955</v>
      </c>
      <c r="RPR372" s="21" t="s">
        <v>2955</v>
      </c>
      <c r="RPS372" s="21" t="s">
        <v>2955</v>
      </c>
      <c r="RPT372" s="21" t="s">
        <v>2955</v>
      </c>
      <c r="RPU372" s="21" t="s">
        <v>2955</v>
      </c>
      <c r="RPV372" s="21" t="s">
        <v>2955</v>
      </c>
      <c r="RPW372" s="21" t="s">
        <v>2955</v>
      </c>
      <c r="RPX372" s="21" t="s">
        <v>2955</v>
      </c>
      <c r="RPY372" s="21" t="s">
        <v>2955</v>
      </c>
      <c r="RPZ372" s="21" t="s">
        <v>2955</v>
      </c>
      <c r="RQA372" s="21" t="s">
        <v>2955</v>
      </c>
      <c r="RQB372" s="21" t="s">
        <v>2955</v>
      </c>
      <c r="RQC372" s="21" t="s">
        <v>2955</v>
      </c>
      <c r="RQD372" s="21" t="s">
        <v>2955</v>
      </c>
      <c r="RQE372" s="21" t="s">
        <v>2955</v>
      </c>
      <c r="RQF372" s="21" t="s">
        <v>2955</v>
      </c>
      <c r="RQG372" s="21" t="s">
        <v>2955</v>
      </c>
      <c r="RQH372" s="21" t="s">
        <v>2955</v>
      </c>
      <c r="RQI372" s="21" t="s">
        <v>2955</v>
      </c>
      <c r="RQJ372" s="21" t="s">
        <v>2955</v>
      </c>
      <c r="RQK372" s="21" t="s">
        <v>2955</v>
      </c>
      <c r="RQL372" s="21" t="s">
        <v>2955</v>
      </c>
      <c r="RQM372" s="21" t="s">
        <v>2955</v>
      </c>
      <c r="RQN372" s="21" t="s">
        <v>2955</v>
      </c>
      <c r="RQO372" s="21" t="s">
        <v>2955</v>
      </c>
      <c r="RQP372" s="21" t="s">
        <v>2955</v>
      </c>
      <c r="RQQ372" s="21" t="s">
        <v>2955</v>
      </c>
      <c r="RQR372" s="21" t="s">
        <v>2955</v>
      </c>
      <c r="RQS372" s="21" t="s">
        <v>2955</v>
      </c>
      <c r="RQT372" s="21" t="s">
        <v>2955</v>
      </c>
      <c r="RQU372" s="21" t="s">
        <v>2955</v>
      </c>
      <c r="RQV372" s="21" t="s">
        <v>2955</v>
      </c>
      <c r="RQW372" s="21" t="s">
        <v>2955</v>
      </c>
      <c r="RQX372" s="21" t="s">
        <v>2955</v>
      </c>
      <c r="RQY372" s="21" t="s">
        <v>2955</v>
      </c>
      <c r="RQZ372" s="21" t="s">
        <v>2955</v>
      </c>
      <c r="RRA372" s="21" t="s">
        <v>2955</v>
      </c>
      <c r="RRB372" s="21" t="s">
        <v>2955</v>
      </c>
      <c r="RRC372" s="21" t="s">
        <v>2955</v>
      </c>
      <c r="RRD372" s="21" t="s">
        <v>2955</v>
      </c>
      <c r="RRE372" s="21" t="s">
        <v>2955</v>
      </c>
      <c r="RRF372" s="21" t="s">
        <v>2955</v>
      </c>
      <c r="RRG372" s="21" t="s">
        <v>2955</v>
      </c>
      <c r="RRH372" s="21" t="s">
        <v>2955</v>
      </c>
      <c r="RRI372" s="21" t="s">
        <v>2955</v>
      </c>
      <c r="RRJ372" s="21" t="s">
        <v>2955</v>
      </c>
      <c r="RRK372" s="21" t="s">
        <v>2955</v>
      </c>
      <c r="RRL372" s="21" t="s">
        <v>2955</v>
      </c>
      <c r="RRM372" s="21" t="s">
        <v>2955</v>
      </c>
      <c r="RRN372" s="21" t="s">
        <v>2955</v>
      </c>
      <c r="RRO372" s="21" t="s">
        <v>2955</v>
      </c>
      <c r="RRP372" s="21" t="s">
        <v>2955</v>
      </c>
      <c r="RRQ372" s="21" t="s">
        <v>2955</v>
      </c>
      <c r="RRR372" s="21" t="s">
        <v>2955</v>
      </c>
      <c r="RRS372" s="21" t="s">
        <v>2955</v>
      </c>
      <c r="RRT372" s="21" t="s">
        <v>2955</v>
      </c>
      <c r="RRU372" s="21" t="s">
        <v>2955</v>
      </c>
      <c r="RRV372" s="21" t="s">
        <v>2955</v>
      </c>
      <c r="RRW372" s="21" t="s">
        <v>2955</v>
      </c>
      <c r="RRX372" s="21" t="s">
        <v>2955</v>
      </c>
      <c r="RRY372" s="21" t="s">
        <v>2955</v>
      </c>
      <c r="RRZ372" s="21" t="s">
        <v>2955</v>
      </c>
      <c r="RSA372" s="21" t="s">
        <v>2955</v>
      </c>
      <c r="RSB372" s="21" t="s">
        <v>2955</v>
      </c>
      <c r="RSC372" s="21" t="s">
        <v>2955</v>
      </c>
      <c r="RSD372" s="21" t="s">
        <v>2955</v>
      </c>
      <c r="RSE372" s="21" t="s">
        <v>2955</v>
      </c>
      <c r="RSF372" s="21" t="s">
        <v>2955</v>
      </c>
      <c r="RSG372" s="21" t="s">
        <v>2955</v>
      </c>
      <c r="RSH372" s="21" t="s">
        <v>2955</v>
      </c>
      <c r="RSI372" s="21" t="s">
        <v>2955</v>
      </c>
      <c r="RSJ372" s="21" t="s">
        <v>2955</v>
      </c>
      <c r="RSK372" s="21" t="s">
        <v>2955</v>
      </c>
      <c r="RSL372" s="21" t="s">
        <v>2955</v>
      </c>
      <c r="RSM372" s="21" t="s">
        <v>2955</v>
      </c>
      <c r="RSN372" s="21" t="s">
        <v>2955</v>
      </c>
      <c r="RSO372" s="21" t="s">
        <v>2955</v>
      </c>
      <c r="RSP372" s="21" t="s">
        <v>2955</v>
      </c>
      <c r="RSQ372" s="21" t="s">
        <v>2955</v>
      </c>
      <c r="RSR372" s="21" t="s">
        <v>2955</v>
      </c>
      <c r="RSS372" s="21" t="s">
        <v>2955</v>
      </c>
      <c r="RST372" s="21" t="s">
        <v>2955</v>
      </c>
      <c r="RSU372" s="21" t="s">
        <v>2955</v>
      </c>
      <c r="RSV372" s="21" t="s">
        <v>2955</v>
      </c>
      <c r="RSW372" s="21" t="s">
        <v>2955</v>
      </c>
      <c r="RSX372" s="21" t="s">
        <v>2955</v>
      </c>
      <c r="RSY372" s="21" t="s">
        <v>2955</v>
      </c>
      <c r="RSZ372" s="21" t="s">
        <v>2955</v>
      </c>
      <c r="RTA372" s="21" t="s">
        <v>2955</v>
      </c>
      <c r="RTB372" s="21" t="s">
        <v>2955</v>
      </c>
      <c r="RTC372" s="21" t="s">
        <v>2955</v>
      </c>
      <c r="RTD372" s="21" t="s">
        <v>2955</v>
      </c>
      <c r="RTE372" s="21" t="s">
        <v>2955</v>
      </c>
      <c r="RTF372" s="21" t="s">
        <v>2955</v>
      </c>
      <c r="RTG372" s="21" t="s">
        <v>2955</v>
      </c>
      <c r="RTH372" s="21" t="s">
        <v>2955</v>
      </c>
      <c r="RTI372" s="21" t="s">
        <v>2955</v>
      </c>
      <c r="RTJ372" s="21" t="s">
        <v>2955</v>
      </c>
      <c r="RTK372" s="21" t="s">
        <v>2955</v>
      </c>
      <c r="RTL372" s="21" t="s">
        <v>2955</v>
      </c>
      <c r="RTM372" s="21" t="s">
        <v>2955</v>
      </c>
      <c r="RTN372" s="21" t="s">
        <v>2955</v>
      </c>
      <c r="RTO372" s="21" t="s">
        <v>2955</v>
      </c>
      <c r="RTP372" s="21" t="s">
        <v>2955</v>
      </c>
      <c r="RTQ372" s="21" t="s">
        <v>2955</v>
      </c>
      <c r="RTR372" s="21" t="s">
        <v>2955</v>
      </c>
      <c r="RTS372" s="21" t="s">
        <v>2955</v>
      </c>
      <c r="RTT372" s="21" t="s">
        <v>2955</v>
      </c>
      <c r="RTU372" s="21" t="s">
        <v>2955</v>
      </c>
      <c r="RTV372" s="21" t="s">
        <v>2955</v>
      </c>
      <c r="RTW372" s="21" t="s">
        <v>2955</v>
      </c>
      <c r="RTX372" s="21" t="s">
        <v>2955</v>
      </c>
      <c r="RTY372" s="21" t="s">
        <v>2955</v>
      </c>
      <c r="RTZ372" s="21" t="s">
        <v>2955</v>
      </c>
      <c r="RUA372" s="21" t="s">
        <v>2955</v>
      </c>
      <c r="RUB372" s="21" t="s">
        <v>2955</v>
      </c>
      <c r="RUC372" s="21" t="s">
        <v>2955</v>
      </c>
      <c r="RUD372" s="21" t="s">
        <v>2955</v>
      </c>
      <c r="RUE372" s="21" t="s">
        <v>2955</v>
      </c>
      <c r="RUF372" s="21" t="s">
        <v>2955</v>
      </c>
      <c r="RUG372" s="21" t="s">
        <v>2955</v>
      </c>
      <c r="RUH372" s="21" t="s">
        <v>2955</v>
      </c>
      <c r="RUI372" s="21" t="s">
        <v>2955</v>
      </c>
      <c r="RUJ372" s="21" t="s">
        <v>2955</v>
      </c>
      <c r="RUK372" s="21" t="s">
        <v>2955</v>
      </c>
      <c r="RUL372" s="21" t="s">
        <v>2955</v>
      </c>
      <c r="RUM372" s="21" t="s">
        <v>2955</v>
      </c>
      <c r="RUN372" s="21" t="s">
        <v>2955</v>
      </c>
      <c r="RUO372" s="21" t="s">
        <v>2955</v>
      </c>
      <c r="RUP372" s="21" t="s">
        <v>2955</v>
      </c>
      <c r="RUQ372" s="21" t="s">
        <v>2955</v>
      </c>
      <c r="RUR372" s="21" t="s">
        <v>2955</v>
      </c>
      <c r="RUS372" s="21" t="s">
        <v>2955</v>
      </c>
      <c r="RUT372" s="21" t="s">
        <v>2955</v>
      </c>
      <c r="RUU372" s="21" t="s">
        <v>2955</v>
      </c>
      <c r="RUV372" s="21" t="s">
        <v>2955</v>
      </c>
      <c r="RUW372" s="21" t="s">
        <v>2955</v>
      </c>
      <c r="RUX372" s="21" t="s">
        <v>2955</v>
      </c>
      <c r="RUY372" s="21" t="s">
        <v>2955</v>
      </c>
      <c r="RUZ372" s="21" t="s">
        <v>2955</v>
      </c>
      <c r="RVA372" s="21" t="s">
        <v>2955</v>
      </c>
      <c r="RVB372" s="21" t="s">
        <v>2955</v>
      </c>
      <c r="RVC372" s="21" t="s">
        <v>2955</v>
      </c>
      <c r="RVD372" s="21" t="s">
        <v>2955</v>
      </c>
      <c r="RVE372" s="21" t="s">
        <v>2955</v>
      </c>
      <c r="RVF372" s="21" t="s">
        <v>2955</v>
      </c>
      <c r="RVG372" s="21" t="s">
        <v>2955</v>
      </c>
      <c r="RVH372" s="21" t="s">
        <v>2955</v>
      </c>
      <c r="RVI372" s="21" t="s">
        <v>2955</v>
      </c>
      <c r="RVJ372" s="21" t="s">
        <v>2955</v>
      </c>
      <c r="RVK372" s="21" t="s">
        <v>2955</v>
      </c>
      <c r="RVL372" s="21" t="s">
        <v>2955</v>
      </c>
      <c r="RVM372" s="21" t="s">
        <v>2955</v>
      </c>
      <c r="RVN372" s="21" t="s">
        <v>2955</v>
      </c>
      <c r="RVO372" s="21" t="s">
        <v>2955</v>
      </c>
      <c r="RVP372" s="21" t="s">
        <v>2955</v>
      </c>
      <c r="RVQ372" s="21" t="s">
        <v>2955</v>
      </c>
      <c r="RVR372" s="21" t="s">
        <v>2955</v>
      </c>
      <c r="RVS372" s="21" t="s">
        <v>2955</v>
      </c>
      <c r="RVT372" s="21" t="s">
        <v>2955</v>
      </c>
      <c r="RVU372" s="21" t="s">
        <v>2955</v>
      </c>
      <c r="RVV372" s="21" t="s">
        <v>2955</v>
      </c>
      <c r="RVW372" s="21" t="s">
        <v>2955</v>
      </c>
      <c r="RVX372" s="21" t="s">
        <v>2955</v>
      </c>
      <c r="RVY372" s="21" t="s">
        <v>2955</v>
      </c>
      <c r="RVZ372" s="21" t="s">
        <v>2955</v>
      </c>
      <c r="RWA372" s="21" t="s">
        <v>2955</v>
      </c>
      <c r="RWB372" s="21" t="s">
        <v>2955</v>
      </c>
      <c r="RWC372" s="21" t="s">
        <v>2955</v>
      </c>
      <c r="RWD372" s="21" t="s">
        <v>2955</v>
      </c>
      <c r="RWE372" s="21" t="s">
        <v>2955</v>
      </c>
      <c r="RWF372" s="21" t="s">
        <v>2955</v>
      </c>
      <c r="RWG372" s="21" t="s">
        <v>2955</v>
      </c>
      <c r="RWH372" s="21" t="s">
        <v>2955</v>
      </c>
      <c r="RWI372" s="21" t="s">
        <v>2955</v>
      </c>
      <c r="RWJ372" s="21" t="s">
        <v>2955</v>
      </c>
      <c r="RWK372" s="21" t="s">
        <v>2955</v>
      </c>
      <c r="RWL372" s="21" t="s">
        <v>2955</v>
      </c>
      <c r="RWM372" s="21" t="s">
        <v>2955</v>
      </c>
      <c r="RWN372" s="21" t="s">
        <v>2955</v>
      </c>
      <c r="RWO372" s="21" t="s">
        <v>2955</v>
      </c>
      <c r="RWP372" s="21" t="s">
        <v>2955</v>
      </c>
      <c r="RWQ372" s="21" t="s">
        <v>2955</v>
      </c>
      <c r="RWR372" s="21" t="s">
        <v>2955</v>
      </c>
      <c r="RWS372" s="21" t="s">
        <v>2955</v>
      </c>
      <c r="RWT372" s="21" t="s">
        <v>2955</v>
      </c>
      <c r="RWU372" s="21" t="s">
        <v>2955</v>
      </c>
      <c r="RWV372" s="21" t="s">
        <v>2955</v>
      </c>
      <c r="RWW372" s="21" t="s">
        <v>2955</v>
      </c>
      <c r="RWX372" s="21" t="s">
        <v>2955</v>
      </c>
      <c r="RWY372" s="21" t="s">
        <v>2955</v>
      </c>
      <c r="RWZ372" s="21" t="s">
        <v>2955</v>
      </c>
      <c r="RXA372" s="21" t="s">
        <v>2955</v>
      </c>
      <c r="RXB372" s="21" t="s">
        <v>2955</v>
      </c>
      <c r="RXC372" s="21" t="s">
        <v>2955</v>
      </c>
      <c r="RXD372" s="21" t="s">
        <v>2955</v>
      </c>
      <c r="RXE372" s="21" t="s">
        <v>2955</v>
      </c>
      <c r="RXF372" s="21" t="s">
        <v>2955</v>
      </c>
      <c r="RXG372" s="21" t="s">
        <v>2955</v>
      </c>
      <c r="RXH372" s="21" t="s">
        <v>2955</v>
      </c>
      <c r="RXI372" s="21" t="s">
        <v>2955</v>
      </c>
      <c r="RXJ372" s="21" t="s">
        <v>2955</v>
      </c>
      <c r="RXK372" s="21" t="s">
        <v>2955</v>
      </c>
      <c r="RXL372" s="21" t="s">
        <v>2955</v>
      </c>
      <c r="RXM372" s="21" t="s">
        <v>2955</v>
      </c>
      <c r="RXN372" s="21" t="s">
        <v>2955</v>
      </c>
      <c r="RXO372" s="21" t="s">
        <v>2955</v>
      </c>
      <c r="RXP372" s="21" t="s">
        <v>2955</v>
      </c>
      <c r="RXQ372" s="21" t="s">
        <v>2955</v>
      </c>
      <c r="RXR372" s="21" t="s">
        <v>2955</v>
      </c>
      <c r="RXS372" s="21" t="s">
        <v>2955</v>
      </c>
      <c r="RXT372" s="21" t="s">
        <v>2955</v>
      </c>
      <c r="RXU372" s="21" t="s">
        <v>2955</v>
      </c>
      <c r="RXV372" s="21" t="s">
        <v>2955</v>
      </c>
      <c r="RXW372" s="21" t="s">
        <v>2955</v>
      </c>
      <c r="RXX372" s="21" t="s">
        <v>2955</v>
      </c>
      <c r="RXY372" s="21" t="s">
        <v>2955</v>
      </c>
      <c r="RXZ372" s="21" t="s">
        <v>2955</v>
      </c>
      <c r="RYA372" s="21" t="s">
        <v>2955</v>
      </c>
      <c r="RYB372" s="21" t="s">
        <v>2955</v>
      </c>
      <c r="RYC372" s="21" t="s">
        <v>2955</v>
      </c>
      <c r="RYD372" s="21" t="s">
        <v>2955</v>
      </c>
      <c r="RYE372" s="21" t="s">
        <v>2955</v>
      </c>
      <c r="RYF372" s="21" t="s">
        <v>2955</v>
      </c>
      <c r="RYG372" s="21" t="s">
        <v>2955</v>
      </c>
      <c r="RYH372" s="21" t="s">
        <v>2955</v>
      </c>
      <c r="RYI372" s="21" t="s">
        <v>2955</v>
      </c>
      <c r="RYJ372" s="21" t="s">
        <v>2955</v>
      </c>
      <c r="RYK372" s="21" t="s">
        <v>2955</v>
      </c>
      <c r="RYL372" s="21" t="s">
        <v>2955</v>
      </c>
      <c r="RYM372" s="21" t="s">
        <v>2955</v>
      </c>
      <c r="RYN372" s="21" t="s">
        <v>2955</v>
      </c>
      <c r="RYO372" s="21" t="s">
        <v>2955</v>
      </c>
      <c r="RYP372" s="21" t="s">
        <v>2955</v>
      </c>
      <c r="RYQ372" s="21" t="s">
        <v>2955</v>
      </c>
      <c r="RYR372" s="21" t="s">
        <v>2955</v>
      </c>
      <c r="RYS372" s="21" t="s">
        <v>2955</v>
      </c>
      <c r="RYT372" s="21" t="s">
        <v>2955</v>
      </c>
      <c r="RYU372" s="21" t="s">
        <v>2955</v>
      </c>
      <c r="RYV372" s="21" t="s">
        <v>2955</v>
      </c>
      <c r="RYW372" s="21" t="s">
        <v>2955</v>
      </c>
      <c r="RYX372" s="21" t="s">
        <v>2955</v>
      </c>
      <c r="RYY372" s="21" t="s">
        <v>2955</v>
      </c>
      <c r="RYZ372" s="21" t="s">
        <v>2955</v>
      </c>
      <c r="RZA372" s="21" t="s">
        <v>2955</v>
      </c>
      <c r="RZB372" s="21" t="s">
        <v>2955</v>
      </c>
      <c r="RZC372" s="21" t="s">
        <v>2955</v>
      </c>
      <c r="RZD372" s="21" t="s">
        <v>2955</v>
      </c>
      <c r="RZE372" s="21" t="s">
        <v>2955</v>
      </c>
      <c r="RZF372" s="21" t="s">
        <v>2955</v>
      </c>
      <c r="RZG372" s="21" t="s">
        <v>2955</v>
      </c>
      <c r="RZH372" s="21" t="s">
        <v>2955</v>
      </c>
      <c r="RZI372" s="21" t="s">
        <v>2955</v>
      </c>
      <c r="RZJ372" s="21" t="s">
        <v>2955</v>
      </c>
      <c r="RZK372" s="21" t="s">
        <v>2955</v>
      </c>
      <c r="RZL372" s="21" t="s">
        <v>2955</v>
      </c>
      <c r="RZM372" s="21" t="s">
        <v>2955</v>
      </c>
      <c r="RZN372" s="21" t="s">
        <v>2955</v>
      </c>
      <c r="RZO372" s="21" t="s">
        <v>2955</v>
      </c>
      <c r="RZP372" s="21" t="s">
        <v>2955</v>
      </c>
      <c r="RZQ372" s="21" t="s">
        <v>2955</v>
      </c>
      <c r="RZR372" s="21" t="s">
        <v>2955</v>
      </c>
      <c r="RZS372" s="21" t="s">
        <v>2955</v>
      </c>
      <c r="RZT372" s="21" t="s">
        <v>2955</v>
      </c>
      <c r="RZU372" s="21" t="s">
        <v>2955</v>
      </c>
      <c r="RZV372" s="21" t="s">
        <v>2955</v>
      </c>
      <c r="RZW372" s="21" t="s">
        <v>2955</v>
      </c>
      <c r="RZX372" s="21" t="s">
        <v>2955</v>
      </c>
      <c r="RZY372" s="21" t="s">
        <v>2955</v>
      </c>
      <c r="RZZ372" s="21" t="s">
        <v>2955</v>
      </c>
      <c r="SAA372" s="21" t="s">
        <v>2955</v>
      </c>
      <c r="SAB372" s="21" t="s">
        <v>2955</v>
      </c>
      <c r="SAC372" s="21" t="s">
        <v>2955</v>
      </c>
      <c r="SAD372" s="21" t="s">
        <v>2955</v>
      </c>
      <c r="SAE372" s="21" t="s">
        <v>2955</v>
      </c>
      <c r="SAF372" s="21" t="s">
        <v>2955</v>
      </c>
      <c r="SAG372" s="21" t="s">
        <v>2955</v>
      </c>
      <c r="SAH372" s="21" t="s">
        <v>2955</v>
      </c>
      <c r="SAI372" s="21" t="s">
        <v>2955</v>
      </c>
      <c r="SAJ372" s="21" t="s">
        <v>2955</v>
      </c>
      <c r="SAK372" s="21" t="s">
        <v>2955</v>
      </c>
      <c r="SAL372" s="21" t="s">
        <v>2955</v>
      </c>
      <c r="SAM372" s="21" t="s">
        <v>2955</v>
      </c>
      <c r="SAN372" s="21" t="s">
        <v>2955</v>
      </c>
      <c r="SAO372" s="21" t="s">
        <v>2955</v>
      </c>
      <c r="SAP372" s="21" t="s">
        <v>2955</v>
      </c>
      <c r="SAQ372" s="21" t="s">
        <v>2955</v>
      </c>
      <c r="SAR372" s="21" t="s">
        <v>2955</v>
      </c>
      <c r="SAS372" s="21" t="s">
        <v>2955</v>
      </c>
      <c r="SAT372" s="21" t="s">
        <v>2955</v>
      </c>
      <c r="SAU372" s="21" t="s">
        <v>2955</v>
      </c>
      <c r="SAV372" s="21" t="s">
        <v>2955</v>
      </c>
      <c r="SAW372" s="21" t="s">
        <v>2955</v>
      </c>
      <c r="SAX372" s="21" t="s">
        <v>2955</v>
      </c>
      <c r="SAY372" s="21" t="s">
        <v>2955</v>
      </c>
      <c r="SAZ372" s="21" t="s">
        <v>2955</v>
      </c>
      <c r="SBA372" s="21" t="s">
        <v>2955</v>
      </c>
      <c r="SBB372" s="21" t="s">
        <v>2955</v>
      </c>
      <c r="SBC372" s="21" t="s">
        <v>2955</v>
      </c>
      <c r="SBD372" s="21" t="s">
        <v>2955</v>
      </c>
      <c r="SBE372" s="21" t="s">
        <v>2955</v>
      </c>
      <c r="SBF372" s="21" t="s">
        <v>2955</v>
      </c>
      <c r="SBG372" s="21" t="s">
        <v>2955</v>
      </c>
      <c r="SBH372" s="21" t="s">
        <v>2955</v>
      </c>
      <c r="SBI372" s="21" t="s">
        <v>2955</v>
      </c>
      <c r="SBJ372" s="21" t="s">
        <v>2955</v>
      </c>
      <c r="SBK372" s="21" t="s">
        <v>2955</v>
      </c>
      <c r="SBL372" s="21" t="s">
        <v>2955</v>
      </c>
      <c r="SBM372" s="21" t="s">
        <v>2955</v>
      </c>
      <c r="SBN372" s="21" t="s">
        <v>2955</v>
      </c>
      <c r="SBO372" s="21" t="s">
        <v>2955</v>
      </c>
      <c r="SBP372" s="21" t="s">
        <v>2955</v>
      </c>
      <c r="SBQ372" s="21" t="s">
        <v>2955</v>
      </c>
      <c r="SBR372" s="21" t="s">
        <v>2955</v>
      </c>
      <c r="SBS372" s="21" t="s">
        <v>2955</v>
      </c>
      <c r="SBT372" s="21" t="s">
        <v>2955</v>
      </c>
      <c r="SBU372" s="21" t="s">
        <v>2955</v>
      </c>
      <c r="SBV372" s="21" t="s">
        <v>2955</v>
      </c>
      <c r="SBW372" s="21" t="s">
        <v>2955</v>
      </c>
      <c r="SBX372" s="21" t="s">
        <v>2955</v>
      </c>
      <c r="SBY372" s="21" t="s">
        <v>2955</v>
      </c>
      <c r="SBZ372" s="21" t="s">
        <v>2955</v>
      </c>
      <c r="SCA372" s="21" t="s">
        <v>2955</v>
      </c>
      <c r="SCB372" s="21" t="s">
        <v>2955</v>
      </c>
      <c r="SCC372" s="21" t="s">
        <v>2955</v>
      </c>
      <c r="SCD372" s="21" t="s">
        <v>2955</v>
      </c>
      <c r="SCE372" s="21" t="s">
        <v>2955</v>
      </c>
      <c r="SCF372" s="21" t="s">
        <v>2955</v>
      </c>
      <c r="SCG372" s="21" t="s">
        <v>2955</v>
      </c>
      <c r="SCH372" s="21" t="s">
        <v>2955</v>
      </c>
      <c r="SCI372" s="21" t="s">
        <v>2955</v>
      </c>
      <c r="SCJ372" s="21" t="s">
        <v>2955</v>
      </c>
      <c r="SCK372" s="21" t="s">
        <v>2955</v>
      </c>
      <c r="SCL372" s="21" t="s">
        <v>2955</v>
      </c>
      <c r="SCM372" s="21" t="s">
        <v>2955</v>
      </c>
      <c r="SCN372" s="21" t="s">
        <v>2955</v>
      </c>
      <c r="SCO372" s="21" t="s">
        <v>2955</v>
      </c>
      <c r="SCP372" s="21" t="s">
        <v>2955</v>
      </c>
      <c r="SCQ372" s="21" t="s">
        <v>2955</v>
      </c>
      <c r="SCR372" s="21" t="s">
        <v>2955</v>
      </c>
      <c r="SCS372" s="21" t="s">
        <v>2955</v>
      </c>
      <c r="SCT372" s="21" t="s">
        <v>2955</v>
      </c>
      <c r="SCU372" s="21" t="s">
        <v>2955</v>
      </c>
      <c r="SCV372" s="21" t="s">
        <v>2955</v>
      </c>
      <c r="SCW372" s="21" t="s">
        <v>2955</v>
      </c>
      <c r="SCX372" s="21" t="s">
        <v>2955</v>
      </c>
      <c r="SCY372" s="21" t="s">
        <v>2955</v>
      </c>
      <c r="SCZ372" s="21" t="s">
        <v>2955</v>
      </c>
      <c r="SDA372" s="21" t="s">
        <v>2955</v>
      </c>
      <c r="SDB372" s="21" t="s">
        <v>2955</v>
      </c>
      <c r="SDC372" s="21" t="s">
        <v>2955</v>
      </c>
      <c r="SDD372" s="21" t="s">
        <v>2955</v>
      </c>
      <c r="SDE372" s="21" t="s">
        <v>2955</v>
      </c>
      <c r="SDF372" s="21" t="s">
        <v>2955</v>
      </c>
      <c r="SDG372" s="21" t="s">
        <v>2955</v>
      </c>
      <c r="SDH372" s="21" t="s">
        <v>2955</v>
      </c>
      <c r="SDI372" s="21" t="s">
        <v>2955</v>
      </c>
      <c r="SDJ372" s="21" t="s">
        <v>2955</v>
      </c>
      <c r="SDK372" s="21" t="s">
        <v>2955</v>
      </c>
      <c r="SDL372" s="21" t="s">
        <v>2955</v>
      </c>
      <c r="SDM372" s="21" t="s">
        <v>2955</v>
      </c>
      <c r="SDN372" s="21" t="s">
        <v>2955</v>
      </c>
      <c r="SDO372" s="21" t="s">
        <v>2955</v>
      </c>
      <c r="SDP372" s="21" t="s">
        <v>2955</v>
      </c>
      <c r="SDQ372" s="21" t="s">
        <v>2955</v>
      </c>
      <c r="SDR372" s="21" t="s">
        <v>2955</v>
      </c>
      <c r="SDS372" s="21" t="s">
        <v>2955</v>
      </c>
      <c r="SDT372" s="21" t="s">
        <v>2955</v>
      </c>
      <c r="SDU372" s="21" t="s">
        <v>2955</v>
      </c>
      <c r="SDV372" s="21" t="s">
        <v>2955</v>
      </c>
      <c r="SDW372" s="21" t="s">
        <v>2955</v>
      </c>
      <c r="SDX372" s="21" t="s">
        <v>2955</v>
      </c>
      <c r="SDY372" s="21" t="s">
        <v>2955</v>
      </c>
      <c r="SDZ372" s="21" t="s">
        <v>2955</v>
      </c>
      <c r="SEA372" s="21" t="s">
        <v>2955</v>
      </c>
      <c r="SEB372" s="21" t="s">
        <v>2955</v>
      </c>
      <c r="SEC372" s="21" t="s">
        <v>2955</v>
      </c>
      <c r="SED372" s="21" t="s">
        <v>2955</v>
      </c>
      <c r="SEE372" s="21" t="s">
        <v>2955</v>
      </c>
      <c r="SEF372" s="21" t="s">
        <v>2955</v>
      </c>
      <c r="SEG372" s="21" t="s">
        <v>2955</v>
      </c>
      <c r="SEH372" s="21" t="s">
        <v>2955</v>
      </c>
      <c r="SEI372" s="21" t="s">
        <v>2955</v>
      </c>
      <c r="SEJ372" s="21" t="s">
        <v>2955</v>
      </c>
      <c r="SEK372" s="21" t="s">
        <v>2955</v>
      </c>
      <c r="SEL372" s="21" t="s">
        <v>2955</v>
      </c>
      <c r="SEM372" s="21" t="s">
        <v>2955</v>
      </c>
      <c r="SEN372" s="21" t="s">
        <v>2955</v>
      </c>
      <c r="SEO372" s="21" t="s">
        <v>2955</v>
      </c>
      <c r="SEP372" s="21" t="s">
        <v>2955</v>
      </c>
      <c r="SEQ372" s="21" t="s">
        <v>2955</v>
      </c>
      <c r="SER372" s="21" t="s">
        <v>2955</v>
      </c>
      <c r="SES372" s="21" t="s">
        <v>2955</v>
      </c>
      <c r="SET372" s="21" t="s">
        <v>2955</v>
      </c>
      <c r="SEU372" s="21" t="s">
        <v>2955</v>
      </c>
      <c r="SEV372" s="21" t="s">
        <v>2955</v>
      </c>
      <c r="SEW372" s="21" t="s">
        <v>2955</v>
      </c>
      <c r="SEX372" s="21" t="s">
        <v>2955</v>
      </c>
      <c r="SEY372" s="21" t="s">
        <v>2955</v>
      </c>
      <c r="SEZ372" s="21" t="s">
        <v>2955</v>
      </c>
      <c r="SFA372" s="21" t="s">
        <v>2955</v>
      </c>
      <c r="SFB372" s="21" t="s">
        <v>2955</v>
      </c>
      <c r="SFC372" s="21" t="s">
        <v>2955</v>
      </c>
      <c r="SFD372" s="21" t="s">
        <v>2955</v>
      </c>
      <c r="SFE372" s="21" t="s">
        <v>2955</v>
      </c>
      <c r="SFF372" s="21" t="s">
        <v>2955</v>
      </c>
      <c r="SFG372" s="21" t="s">
        <v>2955</v>
      </c>
      <c r="SFH372" s="21" t="s">
        <v>2955</v>
      </c>
      <c r="SFI372" s="21" t="s">
        <v>2955</v>
      </c>
      <c r="SFJ372" s="21" t="s">
        <v>2955</v>
      </c>
      <c r="SFK372" s="21" t="s">
        <v>2955</v>
      </c>
      <c r="SFL372" s="21" t="s">
        <v>2955</v>
      </c>
      <c r="SFM372" s="21" t="s">
        <v>2955</v>
      </c>
      <c r="SFN372" s="21" t="s">
        <v>2955</v>
      </c>
      <c r="SFO372" s="21" t="s">
        <v>2955</v>
      </c>
      <c r="SFP372" s="21" t="s">
        <v>2955</v>
      </c>
      <c r="SFQ372" s="21" t="s">
        <v>2955</v>
      </c>
      <c r="SFR372" s="21" t="s">
        <v>2955</v>
      </c>
      <c r="SFS372" s="21" t="s">
        <v>2955</v>
      </c>
      <c r="SFT372" s="21" t="s">
        <v>2955</v>
      </c>
      <c r="SFU372" s="21" t="s">
        <v>2955</v>
      </c>
      <c r="SFV372" s="21" t="s">
        <v>2955</v>
      </c>
      <c r="SFW372" s="21" t="s">
        <v>2955</v>
      </c>
      <c r="SFX372" s="21" t="s">
        <v>2955</v>
      </c>
      <c r="SFY372" s="21" t="s">
        <v>2955</v>
      </c>
      <c r="SFZ372" s="21" t="s">
        <v>2955</v>
      </c>
      <c r="SGA372" s="21" t="s">
        <v>2955</v>
      </c>
      <c r="SGB372" s="21" t="s">
        <v>2955</v>
      </c>
      <c r="SGC372" s="21" t="s">
        <v>2955</v>
      </c>
      <c r="SGD372" s="21" t="s">
        <v>2955</v>
      </c>
      <c r="SGE372" s="21" t="s">
        <v>2955</v>
      </c>
      <c r="SGF372" s="21" t="s">
        <v>2955</v>
      </c>
      <c r="SGG372" s="21" t="s">
        <v>2955</v>
      </c>
      <c r="SGH372" s="21" t="s">
        <v>2955</v>
      </c>
      <c r="SGI372" s="21" t="s">
        <v>2955</v>
      </c>
      <c r="SGJ372" s="21" t="s">
        <v>2955</v>
      </c>
      <c r="SGK372" s="21" t="s">
        <v>2955</v>
      </c>
      <c r="SGL372" s="21" t="s">
        <v>2955</v>
      </c>
      <c r="SGM372" s="21" t="s">
        <v>2955</v>
      </c>
      <c r="SGN372" s="21" t="s">
        <v>2955</v>
      </c>
      <c r="SGO372" s="21" t="s">
        <v>2955</v>
      </c>
      <c r="SGP372" s="21" t="s">
        <v>2955</v>
      </c>
      <c r="SGQ372" s="21" t="s">
        <v>2955</v>
      </c>
      <c r="SGR372" s="21" t="s">
        <v>2955</v>
      </c>
      <c r="SGS372" s="21" t="s">
        <v>2955</v>
      </c>
      <c r="SGT372" s="21" t="s">
        <v>2955</v>
      </c>
      <c r="SGU372" s="21" t="s">
        <v>2955</v>
      </c>
      <c r="SGV372" s="21" t="s">
        <v>2955</v>
      </c>
      <c r="SGW372" s="21" t="s">
        <v>2955</v>
      </c>
      <c r="SGX372" s="21" t="s">
        <v>2955</v>
      </c>
      <c r="SGY372" s="21" t="s">
        <v>2955</v>
      </c>
      <c r="SGZ372" s="21" t="s">
        <v>2955</v>
      </c>
      <c r="SHA372" s="21" t="s">
        <v>2955</v>
      </c>
      <c r="SHB372" s="21" t="s">
        <v>2955</v>
      </c>
      <c r="SHC372" s="21" t="s">
        <v>2955</v>
      </c>
      <c r="SHD372" s="21" t="s">
        <v>2955</v>
      </c>
      <c r="SHE372" s="21" t="s">
        <v>2955</v>
      </c>
      <c r="SHF372" s="21" t="s">
        <v>2955</v>
      </c>
      <c r="SHG372" s="21" t="s">
        <v>2955</v>
      </c>
      <c r="SHH372" s="21" t="s">
        <v>2955</v>
      </c>
      <c r="SHI372" s="21" t="s">
        <v>2955</v>
      </c>
      <c r="SHJ372" s="21" t="s">
        <v>2955</v>
      </c>
      <c r="SHK372" s="21" t="s">
        <v>2955</v>
      </c>
      <c r="SHL372" s="21" t="s">
        <v>2955</v>
      </c>
      <c r="SHM372" s="21" t="s">
        <v>2955</v>
      </c>
      <c r="SHN372" s="21" t="s">
        <v>2955</v>
      </c>
      <c r="SHO372" s="21" t="s">
        <v>2955</v>
      </c>
      <c r="SHP372" s="21" t="s">
        <v>2955</v>
      </c>
      <c r="SHQ372" s="21" t="s">
        <v>2955</v>
      </c>
      <c r="SHR372" s="21" t="s">
        <v>2955</v>
      </c>
      <c r="SHS372" s="21" t="s">
        <v>2955</v>
      </c>
      <c r="SHT372" s="21" t="s">
        <v>2955</v>
      </c>
      <c r="SHU372" s="21" t="s">
        <v>2955</v>
      </c>
      <c r="SHV372" s="21" t="s">
        <v>2955</v>
      </c>
      <c r="SHW372" s="21" t="s">
        <v>2955</v>
      </c>
      <c r="SHX372" s="21" t="s">
        <v>2955</v>
      </c>
      <c r="SHY372" s="21" t="s">
        <v>2955</v>
      </c>
      <c r="SHZ372" s="21" t="s">
        <v>2955</v>
      </c>
      <c r="SIA372" s="21" t="s">
        <v>2955</v>
      </c>
      <c r="SIB372" s="21" t="s">
        <v>2955</v>
      </c>
      <c r="SIC372" s="21" t="s">
        <v>2955</v>
      </c>
      <c r="SID372" s="21" t="s">
        <v>2955</v>
      </c>
      <c r="SIE372" s="21" t="s">
        <v>2955</v>
      </c>
      <c r="SIF372" s="21" t="s">
        <v>2955</v>
      </c>
      <c r="SIG372" s="21" t="s">
        <v>2955</v>
      </c>
      <c r="SIH372" s="21" t="s">
        <v>2955</v>
      </c>
      <c r="SII372" s="21" t="s">
        <v>2955</v>
      </c>
      <c r="SIJ372" s="21" t="s">
        <v>2955</v>
      </c>
      <c r="SIK372" s="21" t="s">
        <v>2955</v>
      </c>
      <c r="SIL372" s="21" t="s">
        <v>2955</v>
      </c>
      <c r="SIM372" s="21" t="s">
        <v>2955</v>
      </c>
      <c r="SIN372" s="21" t="s">
        <v>2955</v>
      </c>
      <c r="SIO372" s="21" t="s">
        <v>2955</v>
      </c>
      <c r="SIP372" s="21" t="s">
        <v>2955</v>
      </c>
      <c r="SIQ372" s="21" t="s">
        <v>2955</v>
      </c>
      <c r="SIR372" s="21" t="s">
        <v>2955</v>
      </c>
      <c r="SIS372" s="21" t="s">
        <v>2955</v>
      </c>
      <c r="SIT372" s="21" t="s">
        <v>2955</v>
      </c>
      <c r="SIU372" s="21" t="s">
        <v>2955</v>
      </c>
      <c r="SIV372" s="21" t="s">
        <v>2955</v>
      </c>
      <c r="SIW372" s="21" t="s">
        <v>2955</v>
      </c>
      <c r="SIX372" s="21" t="s">
        <v>2955</v>
      </c>
      <c r="SIY372" s="21" t="s">
        <v>2955</v>
      </c>
      <c r="SIZ372" s="21" t="s">
        <v>2955</v>
      </c>
      <c r="SJA372" s="21" t="s">
        <v>2955</v>
      </c>
      <c r="SJB372" s="21" t="s">
        <v>2955</v>
      </c>
      <c r="SJC372" s="21" t="s">
        <v>2955</v>
      </c>
      <c r="SJD372" s="21" t="s">
        <v>2955</v>
      </c>
      <c r="SJE372" s="21" t="s">
        <v>2955</v>
      </c>
      <c r="SJF372" s="21" t="s">
        <v>2955</v>
      </c>
      <c r="SJG372" s="21" t="s">
        <v>2955</v>
      </c>
      <c r="SJH372" s="21" t="s">
        <v>2955</v>
      </c>
      <c r="SJI372" s="21" t="s">
        <v>2955</v>
      </c>
      <c r="SJJ372" s="21" t="s">
        <v>2955</v>
      </c>
      <c r="SJK372" s="21" t="s">
        <v>2955</v>
      </c>
      <c r="SJL372" s="21" t="s">
        <v>2955</v>
      </c>
      <c r="SJM372" s="21" t="s">
        <v>2955</v>
      </c>
      <c r="SJN372" s="21" t="s">
        <v>2955</v>
      </c>
      <c r="SJO372" s="21" t="s">
        <v>2955</v>
      </c>
      <c r="SJP372" s="21" t="s">
        <v>2955</v>
      </c>
      <c r="SJQ372" s="21" t="s">
        <v>2955</v>
      </c>
      <c r="SJR372" s="21" t="s">
        <v>2955</v>
      </c>
      <c r="SJS372" s="21" t="s">
        <v>2955</v>
      </c>
      <c r="SJT372" s="21" t="s">
        <v>2955</v>
      </c>
      <c r="SJU372" s="21" t="s">
        <v>2955</v>
      </c>
      <c r="SJV372" s="21" t="s">
        <v>2955</v>
      </c>
      <c r="SJW372" s="21" t="s">
        <v>2955</v>
      </c>
      <c r="SJX372" s="21" t="s">
        <v>2955</v>
      </c>
      <c r="SJY372" s="21" t="s">
        <v>2955</v>
      </c>
      <c r="SJZ372" s="21" t="s">
        <v>2955</v>
      </c>
      <c r="SKA372" s="21" t="s">
        <v>2955</v>
      </c>
      <c r="SKB372" s="21" t="s">
        <v>2955</v>
      </c>
      <c r="SKC372" s="21" t="s">
        <v>2955</v>
      </c>
      <c r="SKD372" s="21" t="s">
        <v>2955</v>
      </c>
      <c r="SKE372" s="21" t="s">
        <v>2955</v>
      </c>
      <c r="SKF372" s="21" t="s">
        <v>2955</v>
      </c>
      <c r="SKG372" s="21" t="s">
        <v>2955</v>
      </c>
      <c r="SKH372" s="21" t="s">
        <v>2955</v>
      </c>
      <c r="SKI372" s="21" t="s">
        <v>2955</v>
      </c>
      <c r="SKJ372" s="21" t="s">
        <v>2955</v>
      </c>
      <c r="SKK372" s="21" t="s">
        <v>2955</v>
      </c>
      <c r="SKL372" s="21" t="s">
        <v>2955</v>
      </c>
      <c r="SKM372" s="21" t="s">
        <v>2955</v>
      </c>
      <c r="SKN372" s="21" t="s">
        <v>2955</v>
      </c>
      <c r="SKO372" s="21" t="s">
        <v>2955</v>
      </c>
      <c r="SKP372" s="21" t="s">
        <v>2955</v>
      </c>
      <c r="SKQ372" s="21" t="s">
        <v>2955</v>
      </c>
      <c r="SKR372" s="21" t="s">
        <v>2955</v>
      </c>
      <c r="SKS372" s="21" t="s">
        <v>2955</v>
      </c>
      <c r="SKT372" s="21" t="s">
        <v>2955</v>
      </c>
      <c r="SKU372" s="21" t="s">
        <v>2955</v>
      </c>
      <c r="SKV372" s="21" t="s">
        <v>2955</v>
      </c>
      <c r="SKW372" s="21" t="s">
        <v>2955</v>
      </c>
      <c r="SKX372" s="21" t="s">
        <v>2955</v>
      </c>
      <c r="SKY372" s="21" t="s">
        <v>2955</v>
      </c>
      <c r="SKZ372" s="21" t="s">
        <v>2955</v>
      </c>
      <c r="SLA372" s="21" t="s">
        <v>2955</v>
      </c>
      <c r="SLB372" s="21" t="s">
        <v>2955</v>
      </c>
      <c r="SLC372" s="21" t="s">
        <v>2955</v>
      </c>
      <c r="SLD372" s="21" t="s">
        <v>2955</v>
      </c>
      <c r="SLE372" s="21" t="s">
        <v>2955</v>
      </c>
      <c r="SLF372" s="21" t="s">
        <v>2955</v>
      </c>
      <c r="SLG372" s="21" t="s">
        <v>2955</v>
      </c>
      <c r="SLH372" s="21" t="s">
        <v>2955</v>
      </c>
      <c r="SLI372" s="21" t="s">
        <v>2955</v>
      </c>
      <c r="SLJ372" s="21" t="s">
        <v>2955</v>
      </c>
      <c r="SLK372" s="21" t="s">
        <v>2955</v>
      </c>
      <c r="SLL372" s="21" t="s">
        <v>2955</v>
      </c>
      <c r="SLM372" s="21" t="s">
        <v>2955</v>
      </c>
      <c r="SLN372" s="21" t="s">
        <v>2955</v>
      </c>
      <c r="SLO372" s="21" t="s">
        <v>2955</v>
      </c>
      <c r="SLP372" s="21" t="s">
        <v>2955</v>
      </c>
      <c r="SLQ372" s="21" t="s">
        <v>2955</v>
      </c>
      <c r="SLR372" s="21" t="s">
        <v>2955</v>
      </c>
      <c r="SLS372" s="21" t="s">
        <v>2955</v>
      </c>
      <c r="SLT372" s="21" t="s">
        <v>2955</v>
      </c>
      <c r="SLU372" s="21" t="s">
        <v>2955</v>
      </c>
      <c r="SLV372" s="21" t="s">
        <v>2955</v>
      </c>
      <c r="SLW372" s="21" t="s">
        <v>2955</v>
      </c>
      <c r="SLX372" s="21" t="s">
        <v>2955</v>
      </c>
      <c r="SLY372" s="21" t="s">
        <v>2955</v>
      </c>
      <c r="SLZ372" s="21" t="s">
        <v>2955</v>
      </c>
      <c r="SMA372" s="21" t="s">
        <v>2955</v>
      </c>
      <c r="SMB372" s="21" t="s">
        <v>2955</v>
      </c>
      <c r="SMC372" s="21" t="s">
        <v>2955</v>
      </c>
      <c r="SMD372" s="21" t="s">
        <v>2955</v>
      </c>
      <c r="SME372" s="21" t="s">
        <v>2955</v>
      </c>
      <c r="SMF372" s="21" t="s">
        <v>2955</v>
      </c>
      <c r="SMG372" s="21" t="s">
        <v>2955</v>
      </c>
      <c r="SMH372" s="21" t="s">
        <v>2955</v>
      </c>
      <c r="SMI372" s="21" t="s">
        <v>2955</v>
      </c>
      <c r="SMJ372" s="21" t="s">
        <v>2955</v>
      </c>
      <c r="SMK372" s="21" t="s">
        <v>2955</v>
      </c>
      <c r="SML372" s="21" t="s">
        <v>2955</v>
      </c>
      <c r="SMM372" s="21" t="s">
        <v>2955</v>
      </c>
      <c r="SMN372" s="21" t="s">
        <v>2955</v>
      </c>
      <c r="SMO372" s="21" t="s">
        <v>2955</v>
      </c>
      <c r="SMP372" s="21" t="s">
        <v>2955</v>
      </c>
      <c r="SMQ372" s="21" t="s">
        <v>2955</v>
      </c>
      <c r="SMR372" s="21" t="s">
        <v>2955</v>
      </c>
      <c r="SMS372" s="21" t="s">
        <v>2955</v>
      </c>
      <c r="SMT372" s="21" t="s">
        <v>2955</v>
      </c>
      <c r="SMU372" s="21" t="s">
        <v>2955</v>
      </c>
      <c r="SMV372" s="21" t="s">
        <v>2955</v>
      </c>
      <c r="SMW372" s="21" t="s">
        <v>2955</v>
      </c>
      <c r="SMX372" s="21" t="s">
        <v>2955</v>
      </c>
      <c r="SMY372" s="21" t="s">
        <v>2955</v>
      </c>
      <c r="SMZ372" s="21" t="s">
        <v>2955</v>
      </c>
      <c r="SNA372" s="21" t="s">
        <v>2955</v>
      </c>
      <c r="SNB372" s="21" t="s">
        <v>2955</v>
      </c>
      <c r="SNC372" s="21" t="s">
        <v>2955</v>
      </c>
      <c r="SND372" s="21" t="s">
        <v>2955</v>
      </c>
      <c r="SNE372" s="21" t="s">
        <v>2955</v>
      </c>
      <c r="SNF372" s="21" t="s">
        <v>2955</v>
      </c>
      <c r="SNG372" s="21" t="s">
        <v>2955</v>
      </c>
      <c r="SNH372" s="21" t="s">
        <v>2955</v>
      </c>
      <c r="SNI372" s="21" t="s">
        <v>2955</v>
      </c>
      <c r="SNJ372" s="21" t="s">
        <v>2955</v>
      </c>
      <c r="SNK372" s="21" t="s">
        <v>2955</v>
      </c>
      <c r="SNL372" s="21" t="s">
        <v>2955</v>
      </c>
      <c r="SNM372" s="21" t="s">
        <v>2955</v>
      </c>
      <c r="SNN372" s="21" t="s">
        <v>2955</v>
      </c>
      <c r="SNO372" s="21" t="s">
        <v>2955</v>
      </c>
      <c r="SNP372" s="21" t="s">
        <v>2955</v>
      </c>
      <c r="SNQ372" s="21" t="s">
        <v>2955</v>
      </c>
      <c r="SNR372" s="21" t="s">
        <v>2955</v>
      </c>
      <c r="SNS372" s="21" t="s">
        <v>2955</v>
      </c>
      <c r="SNT372" s="21" t="s">
        <v>2955</v>
      </c>
      <c r="SNU372" s="21" t="s">
        <v>2955</v>
      </c>
      <c r="SNV372" s="21" t="s">
        <v>2955</v>
      </c>
      <c r="SNW372" s="21" t="s">
        <v>2955</v>
      </c>
      <c r="SNX372" s="21" t="s">
        <v>2955</v>
      </c>
      <c r="SNY372" s="21" t="s">
        <v>2955</v>
      </c>
      <c r="SNZ372" s="21" t="s">
        <v>2955</v>
      </c>
      <c r="SOA372" s="21" t="s">
        <v>2955</v>
      </c>
      <c r="SOB372" s="21" t="s">
        <v>2955</v>
      </c>
      <c r="SOC372" s="21" t="s">
        <v>2955</v>
      </c>
      <c r="SOD372" s="21" t="s">
        <v>2955</v>
      </c>
      <c r="SOE372" s="21" t="s">
        <v>2955</v>
      </c>
      <c r="SOF372" s="21" t="s">
        <v>2955</v>
      </c>
      <c r="SOG372" s="21" t="s">
        <v>2955</v>
      </c>
      <c r="SOH372" s="21" t="s">
        <v>2955</v>
      </c>
      <c r="SOI372" s="21" t="s">
        <v>2955</v>
      </c>
      <c r="SOJ372" s="21" t="s">
        <v>2955</v>
      </c>
      <c r="SOK372" s="21" t="s">
        <v>2955</v>
      </c>
      <c r="SOL372" s="21" t="s">
        <v>2955</v>
      </c>
      <c r="SOM372" s="21" t="s">
        <v>2955</v>
      </c>
      <c r="SON372" s="21" t="s">
        <v>2955</v>
      </c>
      <c r="SOO372" s="21" t="s">
        <v>2955</v>
      </c>
      <c r="SOP372" s="21" t="s">
        <v>2955</v>
      </c>
      <c r="SOQ372" s="21" t="s">
        <v>2955</v>
      </c>
      <c r="SOR372" s="21" t="s">
        <v>2955</v>
      </c>
      <c r="SOS372" s="21" t="s">
        <v>2955</v>
      </c>
      <c r="SOT372" s="21" t="s">
        <v>2955</v>
      </c>
      <c r="SOU372" s="21" t="s">
        <v>2955</v>
      </c>
      <c r="SOV372" s="21" t="s">
        <v>2955</v>
      </c>
      <c r="SOW372" s="21" t="s">
        <v>2955</v>
      </c>
      <c r="SOX372" s="21" t="s">
        <v>2955</v>
      </c>
      <c r="SOY372" s="21" t="s">
        <v>2955</v>
      </c>
      <c r="SOZ372" s="21" t="s">
        <v>2955</v>
      </c>
      <c r="SPA372" s="21" t="s">
        <v>2955</v>
      </c>
      <c r="SPB372" s="21" t="s">
        <v>2955</v>
      </c>
      <c r="SPC372" s="21" t="s">
        <v>2955</v>
      </c>
      <c r="SPD372" s="21" t="s">
        <v>2955</v>
      </c>
      <c r="SPE372" s="21" t="s">
        <v>2955</v>
      </c>
      <c r="SPF372" s="21" t="s">
        <v>2955</v>
      </c>
      <c r="SPG372" s="21" t="s">
        <v>2955</v>
      </c>
      <c r="SPH372" s="21" t="s">
        <v>2955</v>
      </c>
      <c r="SPI372" s="21" t="s">
        <v>2955</v>
      </c>
      <c r="SPJ372" s="21" t="s">
        <v>2955</v>
      </c>
      <c r="SPK372" s="21" t="s">
        <v>2955</v>
      </c>
      <c r="SPL372" s="21" t="s">
        <v>2955</v>
      </c>
      <c r="SPM372" s="21" t="s">
        <v>2955</v>
      </c>
      <c r="SPN372" s="21" t="s">
        <v>2955</v>
      </c>
      <c r="SPO372" s="21" t="s">
        <v>2955</v>
      </c>
      <c r="SPP372" s="21" t="s">
        <v>2955</v>
      </c>
      <c r="SPQ372" s="21" t="s">
        <v>2955</v>
      </c>
      <c r="SPR372" s="21" t="s">
        <v>2955</v>
      </c>
      <c r="SPS372" s="21" t="s">
        <v>2955</v>
      </c>
      <c r="SPT372" s="21" t="s">
        <v>2955</v>
      </c>
      <c r="SPU372" s="21" t="s">
        <v>2955</v>
      </c>
      <c r="SPV372" s="21" t="s">
        <v>2955</v>
      </c>
      <c r="SPW372" s="21" t="s">
        <v>2955</v>
      </c>
      <c r="SPX372" s="21" t="s">
        <v>2955</v>
      </c>
      <c r="SPY372" s="21" t="s">
        <v>2955</v>
      </c>
      <c r="SPZ372" s="21" t="s">
        <v>2955</v>
      </c>
      <c r="SQA372" s="21" t="s">
        <v>2955</v>
      </c>
      <c r="SQB372" s="21" t="s">
        <v>2955</v>
      </c>
      <c r="SQC372" s="21" t="s">
        <v>2955</v>
      </c>
      <c r="SQD372" s="21" t="s">
        <v>2955</v>
      </c>
      <c r="SQE372" s="21" t="s">
        <v>2955</v>
      </c>
      <c r="SQF372" s="21" t="s">
        <v>2955</v>
      </c>
      <c r="SQG372" s="21" t="s">
        <v>2955</v>
      </c>
      <c r="SQH372" s="21" t="s">
        <v>2955</v>
      </c>
      <c r="SQI372" s="21" t="s">
        <v>2955</v>
      </c>
      <c r="SQJ372" s="21" t="s">
        <v>2955</v>
      </c>
      <c r="SQK372" s="21" t="s">
        <v>2955</v>
      </c>
      <c r="SQL372" s="21" t="s">
        <v>2955</v>
      </c>
      <c r="SQM372" s="21" t="s">
        <v>2955</v>
      </c>
      <c r="SQN372" s="21" t="s">
        <v>2955</v>
      </c>
      <c r="SQO372" s="21" t="s">
        <v>2955</v>
      </c>
      <c r="SQP372" s="21" t="s">
        <v>2955</v>
      </c>
      <c r="SQQ372" s="21" t="s">
        <v>2955</v>
      </c>
      <c r="SQR372" s="21" t="s">
        <v>2955</v>
      </c>
      <c r="SQS372" s="21" t="s">
        <v>2955</v>
      </c>
      <c r="SQT372" s="21" t="s">
        <v>2955</v>
      </c>
      <c r="SQU372" s="21" t="s">
        <v>2955</v>
      </c>
      <c r="SQV372" s="21" t="s">
        <v>2955</v>
      </c>
      <c r="SQW372" s="21" t="s">
        <v>2955</v>
      </c>
      <c r="SQX372" s="21" t="s">
        <v>2955</v>
      </c>
      <c r="SQY372" s="21" t="s">
        <v>2955</v>
      </c>
      <c r="SQZ372" s="21" t="s">
        <v>2955</v>
      </c>
      <c r="SRA372" s="21" t="s">
        <v>2955</v>
      </c>
      <c r="SRB372" s="21" t="s">
        <v>2955</v>
      </c>
      <c r="SRC372" s="21" t="s">
        <v>2955</v>
      </c>
      <c r="SRD372" s="21" t="s">
        <v>2955</v>
      </c>
      <c r="SRE372" s="21" t="s">
        <v>2955</v>
      </c>
      <c r="SRF372" s="21" t="s">
        <v>2955</v>
      </c>
      <c r="SRG372" s="21" t="s">
        <v>2955</v>
      </c>
      <c r="SRH372" s="21" t="s">
        <v>2955</v>
      </c>
      <c r="SRI372" s="21" t="s">
        <v>2955</v>
      </c>
      <c r="SRJ372" s="21" t="s">
        <v>2955</v>
      </c>
      <c r="SRK372" s="21" t="s">
        <v>2955</v>
      </c>
      <c r="SRL372" s="21" t="s">
        <v>2955</v>
      </c>
      <c r="SRM372" s="21" t="s">
        <v>2955</v>
      </c>
      <c r="SRN372" s="21" t="s">
        <v>2955</v>
      </c>
      <c r="SRO372" s="21" t="s">
        <v>2955</v>
      </c>
      <c r="SRP372" s="21" t="s">
        <v>2955</v>
      </c>
      <c r="SRQ372" s="21" t="s">
        <v>2955</v>
      </c>
      <c r="SRR372" s="21" t="s">
        <v>2955</v>
      </c>
      <c r="SRS372" s="21" t="s">
        <v>2955</v>
      </c>
      <c r="SRT372" s="21" t="s">
        <v>2955</v>
      </c>
      <c r="SRU372" s="21" t="s">
        <v>2955</v>
      </c>
      <c r="SRV372" s="21" t="s">
        <v>2955</v>
      </c>
      <c r="SRW372" s="21" t="s">
        <v>2955</v>
      </c>
      <c r="SRX372" s="21" t="s">
        <v>2955</v>
      </c>
      <c r="SRY372" s="21" t="s">
        <v>2955</v>
      </c>
      <c r="SRZ372" s="21" t="s">
        <v>2955</v>
      </c>
      <c r="SSA372" s="21" t="s">
        <v>2955</v>
      </c>
      <c r="SSB372" s="21" t="s">
        <v>2955</v>
      </c>
      <c r="SSC372" s="21" t="s">
        <v>2955</v>
      </c>
      <c r="SSD372" s="21" t="s">
        <v>2955</v>
      </c>
      <c r="SSE372" s="21" t="s">
        <v>2955</v>
      </c>
      <c r="SSF372" s="21" t="s">
        <v>2955</v>
      </c>
      <c r="SSG372" s="21" t="s">
        <v>2955</v>
      </c>
      <c r="SSH372" s="21" t="s">
        <v>2955</v>
      </c>
      <c r="SSI372" s="21" t="s">
        <v>2955</v>
      </c>
      <c r="SSJ372" s="21" t="s">
        <v>2955</v>
      </c>
      <c r="SSK372" s="21" t="s">
        <v>2955</v>
      </c>
      <c r="SSL372" s="21" t="s">
        <v>2955</v>
      </c>
      <c r="SSM372" s="21" t="s">
        <v>2955</v>
      </c>
      <c r="SSN372" s="21" t="s">
        <v>2955</v>
      </c>
      <c r="SSO372" s="21" t="s">
        <v>2955</v>
      </c>
      <c r="SSP372" s="21" t="s">
        <v>2955</v>
      </c>
      <c r="SSQ372" s="21" t="s">
        <v>2955</v>
      </c>
      <c r="SSR372" s="21" t="s">
        <v>2955</v>
      </c>
      <c r="SSS372" s="21" t="s">
        <v>2955</v>
      </c>
      <c r="SST372" s="21" t="s">
        <v>2955</v>
      </c>
      <c r="SSU372" s="21" t="s">
        <v>2955</v>
      </c>
      <c r="SSV372" s="21" t="s">
        <v>2955</v>
      </c>
      <c r="SSW372" s="21" t="s">
        <v>2955</v>
      </c>
      <c r="SSX372" s="21" t="s">
        <v>2955</v>
      </c>
      <c r="SSY372" s="21" t="s">
        <v>2955</v>
      </c>
      <c r="SSZ372" s="21" t="s">
        <v>2955</v>
      </c>
      <c r="STA372" s="21" t="s">
        <v>2955</v>
      </c>
      <c r="STB372" s="21" t="s">
        <v>2955</v>
      </c>
      <c r="STC372" s="21" t="s">
        <v>2955</v>
      </c>
      <c r="STD372" s="21" t="s">
        <v>2955</v>
      </c>
      <c r="STE372" s="21" t="s">
        <v>2955</v>
      </c>
      <c r="STF372" s="21" t="s">
        <v>2955</v>
      </c>
      <c r="STG372" s="21" t="s">
        <v>2955</v>
      </c>
      <c r="STH372" s="21" t="s">
        <v>2955</v>
      </c>
      <c r="STI372" s="21" t="s">
        <v>2955</v>
      </c>
      <c r="STJ372" s="21" t="s">
        <v>2955</v>
      </c>
      <c r="STK372" s="21" t="s">
        <v>2955</v>
      </c>
      <c r="STL372" s="21" t="s">
        <v>2955</v>
      </c>
      <c r="STM372" s="21" t="s">
        <v>2955</v>
      </c>
      <c r="STN372" s="21" t="s">
        <v>2955</v>
      </c>
      <c r="STO372" s="21" t="s">
        <v>2955</v>
      </c>
      <c r="STP372" s="21" t="s">
        <v>2955</v>
      </c>
      <c r="STQ372" s="21" t="s">
        <v>2955</v>
      </c>
      <c r="STR372" s="21" t="s">
        <v>2955</v>
      </c>
      <c r="STS372" s="21" t="s">
        <v>2955</v>
      </c>
      <c r="STT372" s="21" t="s">
        <v>2955</v>
      </c>
      <c r="STU372" s="21" t="s">
        <v>2955</v>
      </c>
      <c r="STV372" s="21" t="s">
        <v>2955</v>
      </c>
      <c r="STW372" s="21" t="s">
        <v>2955</v>
      </c>
      <c r="STX372" s="21" t="s">
        <v>2955</v>
      </c>
      <c r="STY372" s="21" t="s">
        <v>2955</v>
      </c>
      <c r="STZ372" s="21" t="s">
        <v>2955</v>
      </c>
      <c r="SUA372" s="21" t="s">
        <v>2955</v>
      </c>
      <c r="SUB372" s="21" t="s">
        <v>2955</v>
      </c>
      <c r="SUC372" s="21" t="s">
        <v>2955</v>
      </c>
      <c r="SUD372" s="21" t="s">
        <v>2955</v>
      </c>
      <c r="SUE372" s="21" t="s">
        <v>2955</v>
      </c>
      <c r="SUF372" s="21" t="s">
        <v>2955</v>
      </c>
      <c r="SUG372" s="21" t="s">
        <v>2955</v>
      </c>
      <c r="SUH372" s="21" t="s">
        <v>2955</v>
      </c>
      <c r="SUI372" s="21" t="s">
        <v>2955</v>
      </c>
      <c r="SUJ372" s="21" t="s">
        <v>2955</v>
      </c>
      <c r="SUK372" s="21" t="s">
        <v>2955</v>
      </c>
      <c r="SUL372" s="21" t="s">
        <v>2955</v>
      </c>
      <c r="SUM372" s="21" t="s">
        <v>2955</v>
      </c>
      <c r="SUN372" s="21" t="s">
        <v>2955</v>
      </c>
      <c r="SUO372" s="21" t="s">
        <v>2955</v>
      </c>
      <c r="SUP372" s="21" t="s">
        <v>2955</v>
      </c>
      <c r="SUQ372" s="21" t="s">
        <v>2955</v>
      </c>
      <c r="SUR372" s="21" t="s">
        <v>2955</v>
      </c>
      <c r="SUS372" s="21" t="s">
        <v>2955</v>
      </c>
      <c r="SUT372" s="21" t="s">
        <v>2955</v>
      </c>
      <c r="SUU372" s="21" t="s">
        <v>2955</v>
      </c>
      <c r="SUV372" s="21" t="s">
        <v>2955</v>
      </c>
      <c r="SUW372" s="21" t="s">
        <v>2955</v>
      </c>
      <c r="SUX372" s="21" t="s">
        <v>2955</v>
      </c>
      <c r="SUY372" s="21" t="s">
        <v>2955</v>
      </c>
      <c r="SUZ372" s="21" t="s">
        <v>2955</v>
      </c>
      <c r="SVA372" s="21" t="s">
        <v>2955</v>
      </c>
      <c r="SVB372" s="21" t="s">
        <v>2955</v>
      </c>
      <c r="SVC372" s="21" t="s">
        <v>2955</v>
      </c>
      <c r="SVD372" s="21" t="s">
        <v>2955</v>
      </c>
      <c r="SVE372" s="21" t="s">
        <v>2955</v>
      </c>
      <c r="SVF372" s="21" t="s">
        <v>2955</v>
      </c>
      <c r="SVG372" s="21" t="s">
        <v>2955</v>
      </c>
      <c r="SVH372" s="21" t="s">
        <v>2955</v>
      </c>
      <c r="SVI372" s="21" t="s">
        <v>2955</v>
      </c>
      <c r="SVJ372" s="21" t="s">
        <v>2955</v>
      </c>
      <c r="SVK372" s="21" t="s">
        <v>2955</v>
      </c>
      <c r="SVL372" s="21" t="s">
        <v>2955</v>
      </c>
      <c r="SVM372" s="21" t="s">
        <v>2955</v>
      </c>
      <c r="SVN372" s="21" t="s">
        <v>2955</v>
      </c>
      <c r="SVO372" s="21" t="s">
        <v>2955</v>
      </c>
      <c r="SVP372" s="21" t="s">
        <v>2955</v>
      </c>
      <c r="SVQ372" s="21" t="s">
        <v>2955</v>
      </c>
      <c r="SVR372" s="21" t="s">
        <v>2955</v>
      </c>
      <c r="SVS372" s="21" t="s">
        <v>2955</v>
      </c>
      <c r="SVT372" s="21" t="s">
        <v>2955</v>
      </c>
      <c r="SVU372" s="21" t="s">
        <v>2955</v>
      </c>
      <c r="SVV372" s="21" t="s">
        <v>2955</v>
      </c>
      <c r="SVW372" s="21" t="s">
        <v>2955</v>
      </c>
      <c r="SVX372" s="21" t="s">
        <v>2955</v>
      </c>
      <c r="SVY372" s="21" t="s">
        <v>2955</v>
      </c>
      <c r="SVZ372" s="21" t="s">
        <v>2955</v>
      </c>
      <c r="SWA372" s="21" t="s">
        <v>2955</v>
      </c>
      <c r="SWB372" s="21" t="s">
        <v>2955</v>
      </c>
      <c r="SWC372" s="21" t="s">
        <v>2955</v>
      </c>
      <c r="SWD372" s="21" t="s">
        <v>2955</v>
      </c>
      <c r="SWE372" s="21" t="s">
        <v>2955</v>
      </c>
      <c r="SWF372" s="21" t="s">
        <v>2955</v>
      </c>
      <c r="SWG372" s="21" t="s">
        <v>2955</v>
      </c>
      <c r="SWH372" s="21" t="s">
        <v>2955</v>
      </c>
      <c r="SWI372" s="21" t="s">
        <v>2955</v>
      </c>
      <c r="SWJ372" s="21" t="s">
        <v>2955</v>
      </c>
      <c r="SWK372" s="21" t="s">
        <v>2955</v>
      </c>
      <c r="SWL372" s="21" t="s">
        <v>2955</v>
      </c>
      <c r="SWM372" s="21" t="s">
        <v>2955</v>
      </c>
      <c r="SWN372" s="21" t="s">
        <v>2955</v>
      </c>
      <c r="SWO372" s="21" t="s">
        <v>2955</v>
      </c>
      <c r="SWP372" s="21" t="s">
        <v>2955</v>
      </c>
      <c r="SWQ372" s="21" t="s">
        <v>2955</v>
      </c>
      <c r="SWR372" s="21" t="s">
        <v>2955</v>
      </c>
      <c r="SWS372" s="21" t="s">
        <v>2955</v>
      </c>
      <c r="SWT372" s="21" t="s">
        <v>2955</v>
      </c>
      <c r="SWU372" s="21" t="s">
        <v>2955</v>
      </c>
      <c r="SWV372" s="21" t="s">
        <v>2955</v>
      </c>
      <c r="SWW372" s="21" t="s">
        <v>2955</v>
      </c>
      <c r="SWX372" s="21" t="s">
        <v>2955</v>
      </c>
      <c r="SWY372" s="21" t="s">
        <v>2955</v>
      </c>
      <c r="SWZ372" s="21" t="s">
        <v>2955</v>
      </c>
      <c r="SXA372" s="21" t="s">
        <v>2955</v>
      </c>
      <c r="SXB372" s="21" t="s">
        <v>2955</v>
      </c>
      <c r="SXC372" s="21" t="s">
        <v>2955</v>
      </c>
      <c r="SXD372" s="21" t="s">
        <v>2955</v>
      </c>
      <c r="SXE372" s="21" t="s">
        <v>2955</v>
      </c>
      <c r="SXF372" s="21" t="s">
        <v>2955</v>
      </c>
      <c r="SXG372" s="21" t="s">
        <v>2955</v>
      </c>
      <c r="SXH372" s="21" t="s">
        <v>2955</v>
      </c>
      <c r="SXI372" s="21" t="s">
        <v>2955</v>
      </c>
      <c r="SXJ372" s="21" t="s">
        <v>2955</v>
      </c>
      <c r="SXK372" s="21" t="s">
        <v>2955</v>
      </c>
      <c r="SXL372" s="21" t="s">
        <v>2955</v>
      </c>
      <c r="SXM372" s="21" t="s">
        <v>2955</v>
      </c>
      <c r="SXN372" s="21" t="s">
        <v>2955</v>
      </c>
      <c r="SXO372" s="21" t="s">
        <v>2955</v>
      </c>
      <c r="SXP372" s="21" t="s">
        <v>2955</v>
      </c>
      <c r="SXQ372" s="21" t="s">
        <v>2955</v>
      </c>
      <c r="SXR372" s="21" t="s">
        <v>2955</v>
      </c>
      <c r="SXS372" s="21" t="s">
        <v>2955</v>
      </c>
      <c r="SXT372" s="21" t="s">
        <v>2955</v>
      </c>
      <c r="SXU372" s="21" t="s">
        <v>2955</v>
      </c>
      <c r="SXV372" s="21" t="s">
        <v>2955</v>
      </c>
      <c r="SXW372" s="21" t="s">
        <v>2955</v>
      </c>
      <c r="SXX372" s="21" t="s">
        <v>2955</v>
      </c>
      <c r="SXY372" s="21" t="s">
        <v>2955</v>
      </c>
      <c r="SXZ372" s="21" t="s">
        <v>2955</v>
      </c>
      <c r="SYA372" s="21" t="s">
        <v>2955</v>
      </c>
      <c r="SYB372" s="21" t="s">
        <v>2955</v>
      </c>
      <c r="SYC372" s="21" t="s">
        <v>2955</v>
      </c>
      <c r="SYD372" s="21" t="s">
        <v>2955</v>
      </c>
      <c r="SYE372" s="21" t="s">
        <v>2955</v>
      </c>
      <c r="SYF372" s="21" t="s">
        <v>2955</v>
      </c>
      <c r="SYG372" s="21" t="s">
        <v>2955</v>
      </c>
      <c r="SYH372" s="21" t="s">
        <v>2955</v>
      </c>
      <c r="SYI372" s="21" t="s">
        <v>2955</v>
      </c>
      <c r="SYJ372" s="21" t="s">
        <v>2955</v>
      </c>
      <c r="SYK372" s="21" t="s">
        <v>2955</v>
      </c>
      <c r="SYL372" s="21" t="s">
        <v>2955</v>
      </c>
      <c r="SYM372" s="21" t="s">
        <v>2955</v>
      </c>
      <c r="SYN372" s="21" t="s">
        <v>2955</v>
      </c>
      <c r="SYO372" s="21" t="s">
        <v>2955</v>
      </c>
      <c r="SYP372" s="21" t="s">
        <v>2955</v>
      </c>
      <c r="SYQ372" s="21" t="s">
        <v>2955</v>
      </c>
      <c r="SYR372" s="21" t="s">
        <v>2955</v>
      </c>
      <c r="SYS372" s="21" t="s">
        <v>2955</v>
      </c>
      <c r="SYT372" s="21" t="s">
        <v>2955</v>
      </c>
      <c r="SYU372" s="21" t="s">
        <v>2955</v>
      </c>
      <c r="SYV372" s="21" t="s">
        <v>2955</v>
      </c>
      <c r="SYW372" s="21" t="s">
        <v>2955</v>
      </c>
      <c r="SYX372" s="21" t="s">
        <v>2955</v>
      </c>
      <c r="SYY372" s="21" t="s">
        <v>2955</v>
      </c>
      <c r="SYZ372" s="21" t="s">
        <v>2955</v>
      </c>
      <c r="SZA372" s="21" t="s">
        <v>2955</v>
      </c>
      <c r="SZB372" s="21" t="s">
        <v>2955</v>
      </c>
      <c r="SZC372" s="21" t="s">
        <v>2955</v>
      </c>
      <c r="SZD372" s="21" t="s">
        <v>2955</v>
      </c>
      <c r="SZE372" s="21" t="s">
        <v>2955</v>
      </c>
      <c r="SZF372" s="21" t="s">
        <v>2955</v>
      </c>
      <c r="SZG372" s="21" t="s">
        <v>2955</v>
      </c>
      <c r="SZH372" s="21" t="s">
        <v>2955</v>
      </c>
      <c r="SZI372" s="21" t="s">
        <v>2955</v>
      </c>
      <c r="SZJ372" s="21" t="s">
        <v>2955</v>
      </c>
      <c r="SZK372" s="21" t="s">
        <v>2955</v>
      </c>
      <c r="SZL372" s="21" t="s">
        <v>2955</v>
      </c>
      <c r="SZM372" s="21" t="s">
        <v>2955</v>
      </c>
      <c r="SZN372" s="21" t="s">
        <v>2955</v>
      </c>
      <c r="SZO372" s="21" t="s">
        <v>2955</v>
      </c>
      <c r="SZP372" s="21" t="s">
        <v>2955</v>
      </c>
      <c r="SZQ372" s="21" t="s">
        <v>2955</v>
      </c>
      <c r="SZR372" s="21" t="s">
        <v>2955</v>
      </c>
      <c r="SZS372" s="21" t="s">
        <v>2955</v>
      </c>
      <c r="SZT372" s="21" t="s">
        <v>2955</v>
      </c>
      <c r="SZU372" s="21" t="s">
        <v>2955</v>
      </c>
      <c r="SZV372" s="21" t="s">
        <v>2955</v>
      </c>
      <c r="SZW372" s="21" t="s">
        <v>2955</v>
      </c>
      <c r="SZX372" s="21" t="s">
        <v>2955</v>
      </c>
      <c r="SZY372" s="21" t="s">
        <v>2955</v>
      </c>
      <c r="SZZ372" s="21" t="s">
        <v>2955</v>
      </c>
      <c r="TAA372" s="21" t="s">
        <v>2955</v>
      </c>
      <c r="TAB372" s="21" t="s">
        <v>2955</v>
      </c>
      <c r="TAC372" s="21" t="s">
        <v>2955</v>
      </c>
      <c r="TAD372" s="21" t="s">
        <v>2955</v>
      </c>
      <c r="TAE372" s="21" t="s">
        <v>2955</v>
      </c>
      <c r="TAF372" s="21" t="s">
        <v>2955</v>
      </c>
      <c r="TAG372" s="21" t="s">
        <v>2955</v>
      </c>
      <c r="TAH372" s="21" t="s">
        <v>2955</v>
      </c>
      <c r="TAI372" s="21" t="s">
        <v>2955</v>
      </c>
      <c r="TAJ372" s="21" t="s">
        <v>2955</v>
      </c>
      <c r="TAK372" s="21" t="s">
        <v>2955</v>
      </c>
      <c r="TAL372" s="21" t="s">
        <v>2955</v>
      </c>
      <c r="TAM372" s="21" t="s">
        <v>2955</v>
      </c>
      <c r="TAN372" s="21" t="s">
        <v>2955</v>
      </c>
      <c r="TAO372" s="21" t="s">
        <v>2955</v>
      </c>
      <c r="TAP372" s="21" t="s">
        <v>2955</v>
      </c>
      <c r="TAQ372" s="21" t="s">
        <v>2955</v>
      </c>
      <c r="TAR372" s="21" t="s">
        <v>2955</v>
      </c>
      <c r="TAS372" s="21" t="s">
        <v>2955</v>
      </c>
      <c r="TAT372" s="21" t="s">
        <v>2955</v>
      </c>
      <c r="TAU372" s="21" t="s">
        <v>2955</v>
      </c>
      <c r="TAV372" s="21" t="s">
        <v>2955</v>
      </c>
      <c r="TAW372" s="21" t="s">
        <v>2955</v>
      </c>
      <c r="TAX372" s="21" t="s">
        <v>2955</v>
      </c>
      <c r="TAY372" s="21" t="s">
        <v>2955</v>
      </c>
      <c r="TAZ372" s="21" t="s">
        <v>2955</v>
      </c>
      <c r="TBA372" s="21" t="s">
        <v>2955</v>
      </c>
      <c r="TBB372" s="21" t="s">
        <v>2955</v>
      </c>
      <c r="TBC372" s="21" t="s">
        <v>2955</v>
      </c>
      <c r="TBD372" s="21" t="s">
        <v>2955</v>
      </c>
      <c r="TBE372" s="21" t="s">
        <v>2955</v>
      </c>
      <c r="TBF372" s="21" t="s">
        <v>2955</v>
      </c>
      <c r="TBG372" s="21" t="s">
        <v>2955</v>
      </c>
      <c r="TBH372" s="21" t="s">
        <v>2955</v>
      </c>
      <c r="TBI372" s="21" t="s">
        <v>2955</v>
      </c>
      <c r="TBJ372" s="21" t="s">
        <v>2955</v>
      </c>
      <c r="TBK372" s="21" t="s">
        <v>2955</v>
      </c>
      <c r="TBL372" s="21" t="s">
        <v>2955</v>
      </c>
      <c r="TBM372" s="21" t="s">
        <v>2955</v>
      </c>
      <c r="TBN372" s="21" t="s">
        <v>2955</v>
      </c>
      <c r="TBO372" s="21" t="s">
        <v>2955</v>
      </c>
      <c r="TBP372" s="21" t="s">
        <v>2955</v>
      </c>
      <c r="TBQ372" s="21" t="s">
        <v>2955</v>
      </c>
      <c r="TBR372" s="21" t="s">
        <v>2955</v>
      </c>
      <c r="TBS372" s="21" t="s">
        <v>2955</v>
      </c>
      <c r="TBT372" s="21" t="s">
        <v>2955</v>
      </c>
      <c r="TBU372" s="21" t="s">
        <v>2955</v>
      </c>
      <c r="TBV372" s="21" t="s">
        <v>2955</v>
      </c>
      <c r="TBW372" s="21" t="s">
        <v>2955</v>
      </c>
      <c r="TBX372" s="21" t="s">
        <v>2955</v>
      </c>
      <c r="TBY372" s="21" t="s">
        <v>2955</v>
      </c>
      <c r="TBZ372" s="21" t="s">
        <v>2955</v>
      </c>
      <c r="TCA372" s="21" t="s">
        <v>2955</v>
      </c>
      <c r="TCB372" s="21" t="s">
        <v>2955</v>
      </c>
      <c r="TCC372" s="21" t="s">
        <v>2955</v>
      </c>
      <c r="TCD372" s="21" t="s">
        <v>2955</v>
      </c>
      <c r="TCE372" s="21" t="s">
        <v>2955</v>
      </c>
      <c r="TCF372" s="21" t="s">
        <v>2955</v>
      </c>
      <c r="TCG372" s="21" t="s">
        <v>2955</v>
      </c>
      <c r="TCH372" s="21" t="s">
        <v>2955</v>
      </c>
      <c r="TCI372" s="21" t="s">
        <v>2955</v>
      </c>
      <c r="TCJ372" s="21" t="s">
        <v>2955</v>
      </c>
      <c r="TCK372" s="21" t="s">
        <v>2955</v>
      </c>
      <c r="TCL372" s="21" t="s">
        <v>2955</v>
      </c>
      <c r="TCM372" s="21" t="s">
        <v>2955</v>
      </c>
      <c r="TCN372" s="21" t="s">
        <v>2955</v>
      </c>
      <c r="TCO372" s="21" t="s">
        <v>2955</v>
      </c>
      <c r="TCP372" s="21" t="s">
        <v>2955</v>
      </c>
      <c r="TCQ372" s="21" t="s">
        <v>2955</v>
      </c>
      <c r="TCR372" s="21" t="s">
        <v>2955</v>
      </c>
      <c r="TCS372" s="21" t="s">
        <v>2955</v>
      </c>
      <c r="TCT372" s="21" t="s">
        <v>2955</v>
      </c>
      <c r="TCU372" s="21" t="s">
        <v>2955</v>
      </c>
      <c r="TCV372" s="21" t="s">
        <v>2955</v>
      </c>
      <c r="TCW372" s="21" t="s">
        <v>2955</v>
      </c>
      <c r="TCX372" s="21" t="s">
        <v>2955</v>
      </c>
      <c r="TCY372" s="21" t="s">
        <v>2955</v>
      </c>
      <c r="TCZ372" s="21" t="s">
        <v>2955</v>
      </c>
      <c r="TDA372" s="21" t="s">
        <v>2955</v>
      </c>
      <c r="TDB372" s="21" t="s">
        <v>2955</v>
      </c>
      <c r="TDC372" s="21" t="s">
        <v>2955</v>
      </c>
      <c r="TDD372" s="21" t="s">
        <v>2955</v>
      </c>
      <c r="TDE372" s="21" t="s">
        <v>2955</v>
      </c>
      <c r="TDF372" s="21" t="s">
        <v>2955</v>
      </c>
      <c r="TDG372" s="21" t="s">
        <v>2955</v>
      </c>
      <c r="TDH372" s="21" t="s">
        <v>2955</v>
      </c>
      <c r="TDI372" s="21" t="s">
        <v>2955</v>
      </c>
      <c r="TDJ372" s="21" t="s">
        <v>2955</v>
      </c>
      <c r="TDK372" s="21" t="s">
        <v>2955</v>
      </c>
      <c r="TDL372" s="21" t="s">
        <v>2955</v>
      </c>
      <c r="TDM372" s="21" t="s">
        <v>2955</v>
      </c>
      <c r="TDN372" s="21" t="s">
        <v>2955</v>
      </c>
      <c r="TDO372" s="21" t="s">
        <v>2955</v>
      </c>
      <c r="TDP372" s="21" t="s">
        <v>2955</v>
      </c>
      <c r="TDQ372" s="21" t="s">
        <v>2955</v>
      </c>
      <c r="TDR372" s="21" t="s">
        <v>2955</v>
      </c>
      <c r="TDS372" s="21" t="s">
        <v>2955</v>
      </c>
      <c r="TDT372" s="21" t="s">
        <v>2955</v>
      </c>
      <c r="TDU372" s="21" t="s">
        <v>2955</v>
      </c>
      <c r="TDV372" s="21" t="s">
        <v>2955</v>
      </c>
      <c r="TDW372" s="21" t="s">
        <v>2955</v>
      </c>
      <c r="TDX372" s="21" t="s">
        <v>2955</v>
      </c>
      <c r="TDY372" s="21" t="s">
        <v>2955</v>
      </c>
      <c r="TDZ372" s="21" t="s">
        <v>2955</v>
      </c>
      <c r="TEA372" s="21" t="s">
        <v>2955</v>
      </c>
      <c r="TEB372" s="21" t="s">
        <v>2955</v>
      </c>
      <c r="TEC372" s="21" t="s">
        <v>2955</v>
      </c>
      <c r="TED372" s="21" t="s">
        <v>2955</v>
      </c>
      <c r="TEE372" s="21" t="s">
        <v>2955</v>
      </c>
      <c r="TEF372" s="21" t="s">
        <v>2955</v>
      </c>
      <c r="TEG372" s="21" t="s">
        <v>2955</v>
      </c>
      <c r="TEH372" s="21" t="s">
        <v>2955</v>
      </c>
      <c r="TEI372" s="21" t="s">
        <v>2955</v>
      </c>
      <c r="TEJ372" s="21" t="s">
        <v>2955</v>
      </c>
      <c r="TEK372" s="21" t="s">
        <v>2955</v>
      </c>
      <c r="TEL372" s="21" t="s">
        <v>2955</v>
      </c>
      <c r="TEM372" s="21" t="s">
        <v>2955</v>
      </c>
      <c r="TEN372" s="21" t="s">
        <v>2955</v>
      </c>
      <c r="TEO372" s="21" t="s">
        <v>2955</v>
      </c>
      <c r="TEP372" s="21" t="s">
        <v>2955</v>
      </c>
      <c r="TEQ372" s="21" t="s">
        <v>2955</v>
      </c>
      <c r="TER372" s="21" t="s">
        <v>2955</v>
      </c>
      <c r="TES372" s="21" t="s">
        <v>2955</v>
      </c>
      <c r="TET372" s="21" t="s">
        <v>2955</v>
      </c>
      <c r="TEU372" s="21" t="s">
        <v>2955</v>
      </c>
      <c r="TEV372" s="21" t="s">
        <v>2955</v>
      </c>
      <c r="TEW372" s="21" t="s">
        <v>2955</v>
      </c>
      <c r="TEX372" s="21" t="s">
        <v>2955</v>
      </c>
      <c r="TEY372" s="21" t="s">
        <v>2955</v>
      </c>
      <c r="TEZ372" s="21" t="s">
        <v>2955</v>
      </c>
      <c r="TFA372" s="21" t="s">
        <v>2955</v>
      </c>
      <c r="TFB372" s="21" t="s">
        <v>2955</v>
      </c>
      <c r="TFC372" s="21" t="s">
        <v>2955</v>
      </c>
      <c r="TFD372" s="21" t="s">
        <v>2955</v>
      </c>
      <c r="TFE372" s="21" t="s">
        <v>2955</v>
      </c>
      <c r="TFF372" s="21" t="s">
        <v>2955</v>
      </c>
      <c r="TFG372" s="21" t="s">
        <v>2955</v>
      </c>
      <c r="TFH372" s="21" t="s">
        <v>2955</v>
      </c>
      <c r="TFI372" s="21" t="s">
        <v>2955</v>
      </c>
      <c r="TFJ372" s="21" t="s">
        <v>2955</v>
      </c>
      <c r="TFK372" s="21" t="s">
        <v>2955</v>
      </c>
      <c r="TFL372" s="21" t="s">
        <v>2955</v>
      </c>
      <c r="TFM372" s="21" t="s">
        <v>2955</v>
      </c>
      <c r="TFN372" s="21" t="s">
        <v>2955</v>
      </c>
      <c r="TFO372" s="21" t="s">
        <v>2955</v>
      </c>
      <c r="TFP372" s="21" t="s">
        <v>2955</v>
      </c>
      <c r="TFQ372" s="21" t="s">
        <v>2955</v>
      </c>
      <c r="TFR372" s="21" t="s">
        <v>2955</v>
      </c>
      <c r="TFS372" s="21" t="s">
        <v>2955</v>
      </c>
      <c r="TFT372" s="21" t="s">
        <v>2955</v>
      </c>
      <c r="TFU372" s="21" t="s">
        <v>2955</v>
      </c>
      <c r="TFV372" s="21" t="s">
        <v>2955</v>
      </c>
      <c r="TFW372" s="21" t="s">
        <v>2955</v>
      </c>
      <c r="TFX372" s="21" t="s">
        <v>2955</v>
      </c>
      <c r="TFY372" s="21" t="s">
        <v>2955</v>
      </c>
      <c r="TFZ372" s="21" t="s">
        <v>2955</v>
      </c>
      <c r="TGA372" s="21" t="s">
        <v>2955</v>
      </c>
      <c r="TGB372" s="21" t="s">
        <v>2955</v>
      </c>
      <c r="TGC372" s="21" t="s">
        <v>2955</v>
      </c>
      <c r="TGD372" s="21" t="s">
        <v>2955</v>
      </c>
      <c r="TGE372" s="21" t="s">
        <v>2955</v>
      </c>
      <c r="TGF372" s="21" t="s">
        <v>2955</v>
      </c>
      <c r="TGG372" s="21" t="s">
        <v>2955</v>
      </c>
      <c r="TGH372" s="21" t="s">
        <v>2955</v>
      </c>
      <c r="TGI372" s="21" t="s">
        <v>2955</v>
      </c>
      <c r="TGJ372" s="21" t="s">
        <v>2955</v>
      </c>
      <c r="TGK372" s="21" t="s">
        <v>2955</v>
      </c>
      <c r="TGL372" s="21" t="s">
        <v>2955</v>
      </c>
      <c r="TGM372" s="21" t="s">
        <v>2955</v>
      </c>
      <c r="TGN372" s="21" t="s">
        <v>2955</v>
      </c>
      <c r="TGO372" s="21" t="s">
        <v>2955</v>
      </c>
      <c r="TGP372" s="21" t="s">
        <v>2955</v>
      </c>
      <c r="TGQ372" s="21" t="s">
        <v>2955</v>
      </c>
      <c r="TGR372" s="21" t="s">
        <v>2955</v>
      </c>
      <c r="TGS372" s="21" t="s">
        <v>2955</v>
      </c>
      <c r="TGT372" s="21" t="s">
        <v>2955</v>
      </c>
      <c r="TGU372" s="21" t="s">
        <v>2955</v>
      </c>
      <c r="TGV372" s="21" t="s">
        <v>2955</v>
      </c>
      <c r="TGW372" s="21" t="s">
        <v>2955</v>
      </c>
      <c r="TGX372" s="21" t="s">
        <v>2955</v>
      </c>
      <c r="TGY372" s="21" t="s">
        <v>2955</v>
      </c>
      <c r="TGZ372" s="21" t="s">
        <v>2955</v>
      </c>
      <c r="THA372" s="21" t="s">
        <v>2955</v>
      </c>
      <c r="THB372" s="21" t="s">
        <v>2955</v>
      </c>
      <c r="THC372" s="21" t="s">
        <v>2955</v>
      </c>
      <c r="THD372" s="21" t="s">
        <v>2955</v>
      </c>
      <c r="THE372" s="21" t="s">
        <v>2955</v>
      </c>
      <c r="THF372" s="21" t="s">
        <v>2955</v>
      </c>
      <c r="THG372" s="21" t="s">
        <v>2955</v>
      </c>
      <c r="THH372" s="21" t="s">
        <v>2955</v>
      </c>
      <c r="THI372" s="21" t="s">
        <v>2955</v>
      </c>
      <c r="THJ372" s="21" t="s">
        <v>2955</v>
      </c>
      <c r="THK372" s="21" t="s">
        <v>2955</v>
      </c>
      <c r="THL372" s="21" t="s">
        <v>2955</v>
      </c>
      <c r="THM372" s="21" t="s">
        <v>2955</v>
      </c>
      <c r="THN372" s="21" t="s">
        <v>2955</v>
      </c>
      <c r="THO372" s="21" t="s">
        <v>2955</v>
      </c>
      <c r="THP372" s="21" t="s">
        <v>2955</v>
      </c>
      <c r="THQ372" s="21" t="s">
        <v>2955</v>
      </c>
      <c r="THR372" s="21" t="s">
        <v>2955</v>
      </c>
      <c r="THS372" s="21" t="s">
        <v>2955</v>
      </c>
      <c r="THT372" s="21" t="s">
        <v>2955</v>
      </c>
      <c r="THU372" s="21" t="s">
        <v>2955</v>
      </c>
      <c r="THV372" s="21" t="s">
        <v>2955</v>
      </c>
      <c r="THW372" s="21" t="s">
        <v>2955</v>
      </c>
      <c r="THX372" s="21" t="s">
        <v>2955</v>
      </c>
      <c r="THY372" s="21" t="s">
        <v>2955</v>
      </c>
      <c r="THZ372" s="21" t="s">
        <v>2955</v>
      </c>
      <c r="TIA372" s="21" t="s">
        <v>2955</v>
      </c>
      <c r="TIB372" s="21" t="s">
        <v>2955</v>
      </c>
      <c r="TIC372" s="21" t="s">
        <v>2955</v>
      </c>
      <c r="TID372" s="21" t="s">
        <v>2955</v>
      </c>
      <c r="TIE372" s="21" t="s">
        <v>2955</v>
      </c>
      <c r="TIF372" s="21" t="s">
        <v>2955</v>
      </c>
      <c r="TIG372" s="21" t="s">
        <v>2955</v>
      </c>
      <c r="TIH372" s="21" t="s">
        <v>2955</v>
      </c>
      <c r="TII372" s="21" t="s">
        <v>2955</v>
      </c>
      <c r="TIJ372" s="21" t="s">
        <v>2955</v>
      </c>
      <c r="TIK372" s="21" t="s">
        <v>2955</v>
      </c>
      <c r="TIL372" s="21" t="s">
        <v>2955</v>
      </c>
      <c r="TIM372" s="21" t="s">
        <v>2955</v>
      </c>
      <c r="TIN372" s="21" t="s">
        <v>2955</v>
      </c>
      <c r="TIO372" s="21" t="s">
        <v>2955</v>
      </c>
      <c r="TIP372" s="21" t="s">
        <v>2955</v>
      </c>
      <c r="TIQ372" s="21" t="s">
        <v>2955</v>
      </c>
      <c r="TIR372" s="21" t="s">
        <v>2955</v>
      </c>
      <c r="TIS372" s="21" t="s">
        <v>2955</v>
      </c>
      <c r="TIT372" s="21" t="s">
        <v>2955</v>
      </c>
      <c r="TIU372" s="21" t="s">
        <v>2955</v>
      </c>
      <c r="TIV372" s="21" t="s">
        <v>2955</v>
      </c>
      <c r="TIW372" s="21" t="s">
        <v>2955</v>
      </c>
      <c r="TIX372" s="21" t="s">
        <v>2955</v>
      </c>
      <c r="TIY372" s="21" t="s">
        <v>2955</v>
      </c>
      <c r="TIZ372" s="21" t="s">
        <v>2955</v>
      </c>
      <c r="TJA372" s="21" t="s">
        <v>2955</v>
      </c>
      <c r="TJB372" s="21" t="s">
        <v>2955</v>
      </c>
      <c r="TJC372" s="21" t="s">
        <v>2955</v>
      </c>
      <c r="TJD372" s="21" t="s">
        <v>2955</v>
      </c>
      <c r="TJE372" s="21" t="s">
        <v>2955</v>
      </c>
      <c r="TJF372" s="21" t="s">
        <v>2955</v>
      </c>
      <c r="TJG372" s="21" t="s">
        <v>2955</v>
      </c>
      <c r="TJH372" s="21" t="s">
        <v>2955</v>
      </c>
      <c r="TJI372" s="21" t="s">
        <v>2955</v>
      </c>
      <c r="TJJ372" s="21" t="s">
        <v>2955</v>
      </c>
      <c r="TJK372" s="21" t="s">
        <v>2955</v>
      </c>
      <c r="TJL372" s="21" t="s">
        <v>2955</v>
      </c>
      <c r="TJM372" s="21" t="s">
        <v>2955</v>
      </c>
      <c r="TJN372" s="21" t="s">
        <v>2955</v>
      </c>
      <c r="TJO372" s="21" t="s">
        <v>2955</v>
      </c>
      <c r="TJP372" s="21" t="s">
        <v>2955</v>
      </c>
      <c r="TJQ372" s="21" t="s">
        <v>2955</v>
      </c>
      <c r="TJR372" s="21" t="s">
        <v>2955</v>
      </c>
      <c r="TJS372" s="21" t="s">
        <v>2955</v>
      </c>
      <c r="TJT372" s="21" t="s">
        <v>2955</v>
      </c>
      <c r="TJU372" s="21" t="s">
        <v>2955</v>
      </c>
      <c r="TJV372" s="21" t="s">
        <v>2955</v>
      </c>
      <c r="TJW372" s="21" t="s">
        <v>2955</v>
      </c>
      <c r="TJX372" s="21" t="s">
        <v>2955</v>
      </c>
      <c r="TJY372" s="21" t="s">
        <v>2955</v>
      </c>
      <c r="TJZ372" s="21" t="s">
        <v>2955</v>
      </c>
      <c r="TKA372" s="21" t="s">
        <v>2955</v>
      </c>
      <c r="TKB372" s="21" t="s">
        <v>2955</v>
      </c>
      <c r="TKC372" s="21" t="s">
        <v>2955</v>
      </c>
      <c r="TKD372" s="21" t="s">
        <v>2955</v>
      </c>
      <c r="TKE372" s="21" t="s">
        <v>2955</v>
      </c>
      <c r="TKF372" s="21" t="s">
        <v>2955</v>
      </c>
      <c r="TKG372" s="21" t="s">
        <v>2955</v>
      </c>
      <c r="TKH372" s="21" t="s">
        <v>2955</v>
      </c>
      <c r="TKI372" s="21" t="s">
        <v>2955</v>
      </c>
      <c r="TKJ372" s="21" t="s">
        <v>2955</v>
      </c>
      <c r="TKK372" s="21" t="s">
        <v>2955</v>
      </c>
      <c r="TKL372" s="21" t="s">
        <v>2955</v>
      </c>
      <c r="TKM372" s="21" t="s">
        <v>2955</v>
      </c>
      <c r="TKN372" s="21" t="s">
        <v>2955</v>
      </c>
      <c r="TKO372" s="21" t="s">
        <v>2955</v>
      </c>
      <c r="TKP372" s="21" t="s">
        <v>2955</v>
      </c>
      <c r="TKQ372" s="21" t="s">
        <v>2955</v>
      </c>
      <c r="TKR372" s="21" t="s">
        <v>2955</v>
      </c>
      <c r="TKS372" s="21" t="s">
        <v>2955</v>
      </c>
      <c r="TKT372" s="21" t="s">
        <v>2955</v>
      </c>
      <c r="TKU372" s="21" t="s">
        <v>2955</v>
      </c>
      <c r="TKV372" s="21" t="s">
        <v>2955</v>
      </c>
      <c r="TKW372" s="21" t="s">
        <v>2955</v>
      </c>
      <c r="TKX372" s="21" t="s">
        <v>2955</v>
      </c>
      <c r="TKY372" s="21" t="s">
        <v>2955</v>
      </c>
      <c r="TKZ372" s="21" t="s">
        <v>2955</v>
      </c>
      <c r="TLA372" s="21" t="s">
        <v>2955</v>
      </c>
      <c r="TLB372" s="21" t="s">
        <v>2955</v>
      </c>
      <c r="TLC372" s="21" t="s">
        <v>2955</v>
      </c>
      <c r="TLD372" s="21" t="s">
        <v>2955</v>
      </c>
      <c r="TLE372" s="21" t="s">
        <v>2955</v>
      </c>
      <c r="TLF372" s="21" t="s">
        <v>2955</v>
      </c>
      <c r="TLG372" s="21" t="s">
        <v>2955</v>
      </c>
      <c r="TLH372" s="21" t="s">
        <v>2955</v>
      </c>
      <c r="TLI372" s="21" t="s">
        <v>2955</v>
      </c>
      <c r="TLJ372" s="21" t="s">
        <v>2955</v>
      </c>
      <c r="TLK372" s="21" t="s">
        <v>2955</v>
      </c>
      <c r="TLL372" s="21" t="s">
        <v>2955</v>
      </c>
      <c r="TLM372" s="21" t="s">
        <v>2955</v>
      </c>
      <c r="TLN372" s="21" t="s">
        <v>2955</v>
      </c>
      <c r="TLO372" s="21" t="s">
        <v>2955</v>
      </c>
      <c r="TLP372" s="21" t="s">
        <v>2955</v>
      </c>
      <c r="TLQ372" s="21" t="s">
        <v>2955</v>
      </c>
      <c r="TLR372" s="21" t="s">
        <v>2955</v>
      </c>
      <c r="TLS372" s="21" t="s">
        <v>2955</v>
      </c>
      <c r="TLT372" s="21" t="s">
        <v>2955</v>
      </c>
      <c r="TLU372" s="21" t="s">
        <v>2955</v>
      </c>
      <c r="TLV372" s="21" t="s">
        <v>2955</v>
      </c>
      <c r="TLW372" s="21" t="s">
        <v>2955</v>
      </c>
      <c r="TLX372" s="21" t="s">
        <v>2955</v>
      </c>
      <c r="TLY372" s="21" t="s">
        <v>2955</v>
      </c>
      <c r="TLZ372" s="21" t="s">
        <v>2955</v>
      </c>
      <c r="TMA372" s="21" t="s">
        <v>2955</v>
      </c>
      <c r="TMB372" s="21" t="s">
        <v>2955</v>
      </c>
      <c r="TMC372" s="21" t="s">
        <v>2955</v>
      </c>
      <c r="TMD372" s="21" t="s">
        <v>2955</v>
      </c>
      <c r="TME372" s="21" t="s">
        <v>2955</v>
      </c>
      <c r="TMF372" s="21" t="s">
        <v>2955</v>
      </c>
      <c r="TMG372" s="21" t="s">
        <v>2955</v>
      </c>
      <c r="TMH372" s="21" t="s">
        <v>2955</v>
      </c>
      <c r="TMI372" s="21" t="s">
        <v>2955</v>
      </c>
      <c r="TMJ372" s="21" t="s">
        <v>2955</v>
      </c>
      <c r="TMK372" s="21" t="s">
        <v>2955</v>
      </c>
      <c r="TML372" s="21" t="s">
        <v>2955</v>
      </c>
      <c r="TMM372" s="21" t="s">
        <v>2955</v>
      </c>
      <c r="TMN372" s="21" t="s">
        <v>2955</v>
      </c>
      <c r="TMO372" s="21" t="s">
        <v>2955</v>
      </c>
      <c r="TMP372" s="21" t="s">
        <v>2955</v>
      </c>
      <c r="TMQ372" s="21" t="s">
        <v>2955</v>
      </c>
      <c r="TMR372" s="21" t="s">
        <v>2955</v>
      </c>
      <c r="TMS372" s="21" t="s">
        <v>2955</v>
      </c>
      <c r="TMT372" s="21" t="s">
        <v>2955</v>
      </c>
      <c r="TMU372" s="21" t="s">
        <v>2955</v>
      </c>
      <c r="TMV372" s="21" t="s">
        <v>2955</v>
      </c>
      <c r="TMW372" s="21" t="s">
        <v>2955</v>
      </c>
      <c r="TMX372" s="21" t="s">
        <v>2955</v>
      </c>
      <c r="TMY372" s="21" t="s">
        <v>2955</v>
      </c>
      <c r="TMZ372" s="21" t="s">
        <v>2955</v>
      </c>
      <c r="TNA372" s="21" t="s">
        <v>2955</v>
      </c>
      <c r="TNB372" s="21" t="s">
        <v>2955</v>
      </c>
      <c r="TNC372" s="21" t="s">
        <v>2955</v>
      </c>
      <c r="TND372" s="21" t="s">
        <v>2955</v>
      </c>
      <c r="TNE372" s="21" t="s">
        <v>2955</v>
      </c>
      <c r="TNF372" s="21" t="s">
        <v>2955</v>
      </c>
      <c r="TNG372" s="21" t="s">
        <v>2955</v>
      </c>
      <c r="TNH372" s="21" t="s">
        <v>2955</v>
      </c>
      <c r="TNI372" s="21" t="s">
        <v>2955</v>
      </c>
      <c r="TNJ372" s="21" t="s">
        <v>2955</v>
      </c>
      <c r="TNK372" s="21" t="s">
        <v>2955</v>
      </c>
      <c r="TNL372" s="21" t="s">
        <v>2955</v>
      </c>
      <c r="TNM372" s="21" t="s">
        <v>2955</v>
      </c>
      <c r="TNN372" s="21" t="s">
        <v>2955</v>
      </c>
      <c r="TNO372" s="21" t="s">
        <v>2955</v>
      </c>
      <c r="TNP372" s="21" t="s">
        <v>2955</v>
      </c>
      <c r="TNQ372" s="21" t="s">
        <v>2955</v>
      </c>
      <c r="TNR372" s="21" t="s">
        <v>2955</v>
      </c>
      <c r="TNS372" s="21" t="s">
        <v>2955</v>
      </c>
      <c r="TNT372" s="21" t="s">
        <v>2955</v>
      </c>
      <c r="TNU372" s="21" t="s">
        <v>2955</v>
      </c>
      <c r="TNV372" s="21" t="s">
        <v>2955</v>
      </c>
      <c r="TNW372" s="21" t="s">
        <v>2955</v>
      </c>
      <c r="TNX372" s="21" t="s">
        <v>2955</v>
      </c>
      <c r="TNY372" s="21" t="s">
        <v>2955</v>
      </c>
      <c r="TNZ372" s="21" t="s">
        <v>2955</v>
      </c>
      <c r="TOA372" s="21" t="s">
        <v>2955</v>
      </c>
      <c r="TOB372" s="21" t="s">
        <v>2955</v>
      </c>
      <c r="TOC372" s="21" t="s">
        <v>2955</v>
      </c>
      <c r="TOD372" s="21" t="s">
        <v>2955</v>
      </c>
      <c r="TOE372" s="21" t="s">
        <v>2955</v>
      </c>
      <c r="TOF372" s="21" t="s">
        <v>2955</v>
      </c>
      <c r="TOG372" s="21" t="s">
        <v>2955</v>
      </c>
      <c r="TOH372" s="21" t="s">
        <v>2955</v>
      </c>
      <c r="TOI372" s="21" t="s">
        <v>2955</v>
      </c>
      <c r="TOJ372" s="21" t="s">
        <v>2955</v>
      </c>
      <c r="TOK372" s="21" t="s">
        <v>2955</v>
      </c>
      <c r="TOL372" s="21" t="s">
        <v>2955</v>
      </c>
      <c r="TOM372" s="21" t="s">
        <v>2955</v>
      </c>
      <c r="TON372" s="21" t="s">
        <v>2955</v>
      </c>
      <c r="TOO372" s="21" t="s">
        <v>2955</v>
      </c>
      <c r="TOP372" s="21" t="s">
        <v>2955</v>
      </c>
      <c r="TOQ372" s="21" t="s">
        <v>2955</v>
      </c>
      <c r="TOR372" s="21" t="s">
        <v>2955</v>
      </c>
      <c r="TOS372" s="21" t="s">
        <v>2955</v>
      </c>
      <c r="TOT372" s="21" t="s">
        <v>2955</v>
      </c>
      <c r="TOU372" s="21" t="s">
        <v>2955</v>
      </c>
      <c r="TOV372" s="21" t="s">
        <v>2955</v>
      </c>
      <c r="TOW372" s="21" t="s">
        <v>2955</v>
      </c>
      <c r="TOX372" s="21" t="s">
        <v>2955</v>
      </c>
      <c r="TOY372" s="21" t="s">
        <v>2955</v>
      </c>
      <c r="TOZ372" s="21" t="s">
        <v>2955</v>
      </c>
      <c r="TPA372" s="21" t="s">
        <v>2955</v>
      </c>
      <c r="TPB372" s="21" t="s">
        <v>2955</v>
      </c>
      <c r="TPC372" s="21" t="s">
        <v>2955</v>
      </c>
      <c r="TPD372" s="21" t="s">
        <v>2955</v>
      </c>
      <c r="TPE372" s="21" t="s">
        <v>2955</v>
      </c>
      <c r="TPF372" s="21" t="s">
        <v>2955</v>
      </c>
      <c r="TPG372" s="21" t="s">
        <v>2955</v>
      </c>
      <c r="TPH372" s="21" t="s">
        <v>2955</v>
      </c>
      <c r="TPI372" s="21" t="s">
        <v>2955</v>
      </c>
      <c r="TPJ372" s="21" t="s">
        <v>2955</v>
      </c>
      <c r="TPK372" s="21" t="s">
        <v>2955</v>
      </c>
      <c r="TPL372" s="21" t="s">
        <v>2955</v>
      </c>
      <c r="TPM372" s="21" t="s">
        <v>2955</v>
      </c>
      <c r="TPN372" s="21" t="s">
        <v>2955</v>
      </c>
      <c r="TPO372" s="21" t="s">
        <v>2955</v>
      </c>
      <c r="TPP372" s="21" t="s">
        <v>2955</v>
      </c>
      <c r="TPQ372" s="21" t="s">
        <v>2955</v>
      </c>
      <c r="TPR372" s="21" t="s">
        <v>2955</v>
      </c>
      <c r="TPS372" s="21" t="s">
        <v>2955</v>
      </c>
      <c r="TPT372" s="21" t="s">
        <v>2955</v>
      </c>
      <c r="TPU372" s="21" t="s">
        <v>2955</v>
      </c>
      <c r="TPV372" s="21" t="s">
        <v>2955</v>
      </c>
      <c r="TPW372" s="21" t="s">
        <v>2955</v>
      </c>
      <c r="TPX372" s="21" t="s">
        <v>2955</v>
      </c>
      <c r="TPY372" s="21" t="s">
        <v>2955</v>
      </c>
      <c r="TPZ372" s="21" t="s">
        <v>2955</v>
      </c>
      <c r="TQA372" s="21" t="s">
        <v>2955</v>
      </c>
      <c r="TQB372" s="21" t="s">
        <v>2955</v>
      </c>
      <c r="TQC372" s="21" t="s">
        <v>2955</v>
      </c>
      <c r="TQD372" s="21" t="s">
        <v>2955</v>
      </c>
      <c r="TQE372" s="21" t="s">
        <v>2955</v>
      </c>
      <c r="TQF372" s="21" t="s">
        <v>2955</v>
      </c>
      <c r="TQG372" s="21" t="s">
        <v>2955</v>
      </c>
      <c r="TQH372" s="21" t="s">
        <v>2955</v>
      </c>
      <c r="TQI372" s="21" t="s">
        <v>2955</v>
      </c>
      <c r="TQJ372" s="21" t="s">
        <v>2955</v>
      </c>
      <c r="TQK372" s="21" t="s">
        <v>2955</v>
      </c>
      <c r="TQL372" s="21" t="s">
        <v>2955</v>
      </c>
      <c r="TQM372" s="21" t="s">
        <v>2955</v>
      </c>
      <c r="TQN372" s="21" t="s">
        <v>2955</v>
      </c>
      <c r="TQO372" s="21" t="s">
        <v>2955</v>
      </c>
      <c r="TQP372" s="21" t="s">
        <v>2955</v>
      </c>
      <c r="TQQ372" s="21" t="s">
        <v>2955</v>
      </c>
      <c r="TQR372" s="21" t="s">
        <v>2955</v>
      </c>
      <c r="TQS372" s="21" t="s">
        <v>2955</v>
      </c>
      <c r="TQT372" s="21" t="s">
        <v>2955</v>
      </c>
      <c r="TQU372" s="21" t="s">
        <v>2955</v>
      </c>
      <c r="TQV372" s="21" t="s">
        <v>2955</v>
      </c>
      <c r="TQW372" s="21" t="s">
        <v>2955</v>
      </c>
      <c r="TQX372" s="21" t="s">
        <v>2955</v>
      </c>
      <c r="TQY372" s="21" t="s">
        <v>2955</v>
      </c>
      <c r="TQZ372" s="21" t="s">
        <v>2955</v>
      </c>
      <c r="TRA372" s="21" t="s">
        <v>2955</v>
      </c>
      <c r="TRB372" s="21" t="s">
        <v>2955</v>
      </c>
      <c r="TRC372" s="21" t="s">
        <v>2955</v>
      </c>
      <c r="TRD372" s="21" t="s">
        <v>2955</v>
      </c>
      <c r="TRE372" s="21" t="s">
        <v>2955</v>
      </c>
      <c r="TRF372" s="21" t="s">
        <v>2955</v>
      </c>
      <c r="TRG372" s="21" t="s">
        <v>2955</v>
      </c>
      <c r="TRH372" s="21" t="s">
        <v>2955</v>
      </c>
      <c r="TRI372" s="21" t="s">
        <v>2955</v>
      </c>
      <c r="TRJ372" s="21" t="s">
        <v>2955</v>
      </c>
      <c r="TRK372" s="21" t="s">
        <v>2955</v>
      </c>
      <c r="TRL372" s="21" t="s">
        <v>2955</v>
      </c>
      <c r="TRM372" s="21" t="s">
        <v>2955</v>
      </c>
      <c r="TRN372" s="21" t="s">
        <v>2955</v>
      </c>
      <c r="TRO372" s="21" t="s">
        <v>2955</v>
      </c>
      <c r="TRP372" s="21" t="s">
        <v>2955</v>
      </c>
      <c r="TRQ372" s="21" t="s">
        <v>2955</v>
      </c>
      <c r="TRR372" s="21" t="s">
        <v>2955</v>
      </c>
      <c r="TRS372" s="21" t="s">
        <v>2955</v>
      </c>
      <c r="TRT372" s="21" t="s">
        <v>2955</v>
      </c>
      <c r="TRU372" s="21" t="s">
        <v>2955</v>
      </c>
      <c r="TRV372" s="21" t="s">
        <v>2955</v>
      </c>
      <c r="TRW372" s="21" t="s">
        <v>2955</v>
      </c>
      <c r="TRX372" s="21" t="s">
        <v>2955</v>
      </c>
      <c r="TRY372" s="21" t="s">
        <v>2955</v>
      </c>
      <c r="TRZ372" s="21" t="s">
        <v>2955</v>
      </c>
      <c r="TSA372" s="21" t="s">
        <v>2955</v>
      </c>
      <c r="TSB372" s="21" t="s">
        <v>2955</v>
      </c>
      <c r="TSC372" s="21" t="s">
        <v>2955</v>
      </c>
      <c r="TSD372" s="21" t="s">
        <v>2955</v>
      </c>
      <c r="TSE372" s="21" t="s">
        <v>2955</v>
      </c>
      <c r="TSF372" s="21" t="s">
        <v>2955</v>
      </c>
      <c r="TSG372" s="21" t="s">
        <v>2955</v>
      </c>
      <c r="TSH372" s="21" t="s">
        <v>2955</v>
      </c>
      <c r="TSI372" s="21" t="s">
        <v>2955</v>
      </c>
      <c r="TSJ372" s="21" t="s">
        <v>2955</v>
      </c>
      <c r="TSK372" s="21" t="s">
        <v>2955</v>
      </c>
      <c r="TSL372" s="21" t="s">
        <v>2955</v>
      </c>
      <c r="TSM372" s="21" t="s">
        <v>2955</v>
      </c>
      <c r="TSN372" s="21" t="s">
        <v>2955</v>
      </c>
      <c r="TSO372" s="21" t="s">
        <v>2955</v>
      </c>
      <c r="TSP372" s="21" t="s">
        <v>2955</v>
      </c>
      <c r="TSQ372" s="21" t="s">
        <v>2955</v>
      </c>
      <c r="TSR372" s="21" t="s">
        <v>2955</v>
      </c>
      <c r="TSS372" s="21" t="s">
        <v>2955</v>
      </c>
      <c r="TST372" s="21" t="s">
        <v>2955</v>
      </c>
      <c r="TSU372" s="21" t="s">
        <v>2955</v>
      </c>
      <c r="TSV372" s="21" t="s">
        <v>2955</v>
      </c>
      <c r="TSW372" s="21" t="s">
        <v>2955</v>
      </c>
      <c r="TSX372" s="21" t="s">
        <v>2955</v>
      </c>
      <c r="TSY372" s="21" t="s">
        <v>2955</v>
      </c>
      <c r="TSZ372" s="21" t="s">
        <v>2955</v>
      </c>
      <c r="TTA372" s="21" t="s">
        <v>2955</v>
      </c>
      <c r="TTB372" s="21" t="s">
        <v>2955</v>
      </c>
      <c r="TTC372" s="21" t="s">
        <v>2955</v>
      </c>
      <c r="TTD372" s="21" t="s">
        <v>2955</v>
      </c>
      <c r="TTE372" s="21" t="s">
        <v>2955</v>
      </c>
      <c r="TTF372" s="21" t="s">
        <v>2955</v>
      </c>
      <c r="TTG372" s="21" t="s">
        <v>2955</v>
      </c>
      <c r="TTH372" s="21" t="s">
        <v>2955</v>
      </c>
      <c r="TTI372" s="21" t="s">
        <v>2955</v>
      </c>
      <c r="TTJ372" s="21" t="s">
        <v>2955</v>
      </c>
      <c r="TTK372" s="21" t="s">
        <v>2955</v>
      </c>
      <c r="TTL372" s="21" t="s">
        <v>2955</v>
      </c>
      <c r="TTM372" s="21" t="s">
        <v>2955</v>
      </c>
      <c r="TTN372" s="21" t="s">
        <v>2955</v>
      </c>
      <c r="TTO372" s="21" t="s">
        <v>2955</v>
      </c>
      <c r="TTP372" s="21" t="s">
        <v>2955</v>
      </c>
      <c r="TTQ372" s="21" t="s">
        <v>2955</v>
      </c>
      <c r="TTR372" s="21" t="s">
        <v>2955</v>
      </c>
      <c r="TTS372" s="21" t="s">
        <v>2955</v>
      </c>
      <c r="TTT372" s="21" t="s">
        <v>2955</v>
      </c>
      <c r="TTU372" s="21" t="s">
        <v>2955</v>
      </c>
      <c r="TTV372" s="21" t="s">
        <v>2955</v>
      </c>
      <c r="TTW372" s="21" t="s">
        <v>2955</v>
      </c>
      <c r="TTX372" s="21" t="s">
        <v>2955</v>
      </c>
      <c r="TTY372" s="21" t="s">
        <v>2955</v>
      </c>
      <c r="TTZ372" s="21" t="s">
        <v>2955</v>
      </c>
      <c r="TUA372" s="21" t="s">
        <v>2955</v>
      </c>
      <c r="TUB372" s="21" t="s">
        <v>2955</v>
      </c>
      <c r="TUC372" s="21" t="s">
        <v>2955</v>
      </c>
      <c r="TUD372" s="21" t="s">
        <v>2955</v>
      </c>
      <c r="TUE372" s="21" t="s">
        <v>2955</v>
      </c>
      <c r="TUF372" s="21" t="s">
        <v>2955</v>
      </c>
      <c r="TUG372" s="21" t="s">
        <v>2955</v>
      </c>
      <c r="TUH372" s="21" t="s">
        <v>2955</v>
      </c>
      <c r="TUI372" s="21" t="s">
        <v>2955</v>
      </c>
      <c r="TUJ372" s="21" t="s">
        <v>2955</v>
      </c>
      <c r="TUK372" s="21" t="s">
        <v>2955</v>
      </c>
      <c r="TUL372" s="21" t="s">
        <v>2955</v>
      </c>
      <c r="TUM372" s="21" t="s">
        <v>2955</v>
      </c>
      <c r="TUN372" s="21" t="s">
        <v>2955</v>
      </c>
      <c r="TUO372" s="21" t="s">
        <v>2955</v>
      </c>
      <c r="TUP372" s="21" t="s">
        <v>2955</v>
      </c>
      <c r="TUQ372" s="21" t="s">
        <v>2955</v>
      </c>
      <c r="TUR372" s="21" t="s">
        <v>2955</v>
      </c>
      <c r="TUS372" s="21" t="s">
        <v>2955</v>
      </c>
      <c r="TUT372" s="21" t="s">
        <v>2955</v>
      </c>
      <c r="TUU372" s="21" t="s">
        <v>2955</v>
      </c>
      <c r="TUV372" s="21" t="s">
        <v>2955</v>
      </c>
      <c r="TUW372" s="21" t="s">
        <v>2955</v>
      </c>
      <c r="TUX372" s="21" t="s">
        <v>2955</v>
      </c>
      <c r="TUY372" s="21" t="s">
        <v>2955</v>
      </c>
      <c r="TUZ372" s="21" t="s">
        <v>2955</v>
      </c>
      <c r="TVA372" s="21" t="s">
        <v>2955</v>
      </c>
      <c r="TVB372" s="21" t="s">
        <v>2955</v>
      </c>
      <c r="TVC372" s="21" t="s">
        <v>2955</v>
      </c>
      <c r="TVD372" s="21" t="s">
        <v>2955</v>
      </c>
      <c r="TVE372" s="21" t="s">
        <v>2955</v>
      </c>
      <c r="TVF372" s="21" t="s">
        <v>2955</v>
      </c>
      <c r="TVG372" s="21" t="s">
        <v>2955</v>
      </c>
      <c r="TVH372" s="21" t="s">
        <v>2955</v>
      </c>
      <c r="TVI372" s="21" t="s">
        <v>2955</v>
      </c>
      <c r="TVJ372" s="21" t="s">
        <v>2955</v>
      </c>
      <c r="TVK372" s="21" t="s">
        <v>2955</v>
      </c>
      <c r="TVL372" s="21" t="s">
        <v>2955</v>
      </c>
      <c r="TVM372" s="21" t="s">
        <v>2955</v>
      </c>
      <c r="TVN372" s="21" t="s">
        <v>2955</v>
      </c>
      <c r="TVO372" s="21" t="s">
        <v>2955</v>
      </c>
      <c r="TVP372" s="21" t="s">
        <v>2955</v>
      </c>
      <c r="TVQ372" s="21" t="s">
        <v>2955</v>
      </c>
      <c r="TVR372" s="21" t="s">
        <v>2955</v>
      </c>
      <c r="TVS372" s="21" t="s">
        <v>2955</v>
      </c>
      <c r="TVT372" s="21" t="s">
        <v>2955</v>
      </c>
      <c r="TVU372" s="21" t="s">
        <v>2955</v>
      </c>
      <c r="TVV372" s="21" t="s">
        <v>2955</v>
      </c>
      <c r="TVW372" s="21" t="s">
        <v>2955</v>
      </c>
      <c r="TVX372" s="21" t="s">
        <v>2955</v>
      </c>
      <c r="TVY372" s="21" t="s">
        <v>2955</v>
      </c>
      <c r="TVZ372" s="21" t="s">
        <v>2955</v>
      </c>
      <c r="TWA372" s="21" t="s">
        <v>2955</v>
      </c>
      <c r="TWB372" s="21" t="s">
        <v>2955</v>
      </c>
      <c r="TWC372" s="21" t="s">
        <v>2955</v>
      </c>
      <c r="TWD372" s="21" t="s">
        <v>2955</v>
      </c>
      <c r="TWE372" s="21" t="s">
        <v>2955</v>
      </c>
      <c r="TWF372" s="21" t="s">
        <v>2955</v>
      </c>
      <c r="TWG372" s="21" t="s">
        <v>2955</v>
      </c>
      <c r="TWH372" s="21" t="s">
        <v>2955</v>
      </c>
      <c r="TWI372" s="21" t="s">
        <v>2955</v>
      </c>
      <c r="TWJ372" s="21" t="s">
        <v>2955</v>
      </c>
      <c r="TWK372" s="21" t="s">
        <v>2955</v>
      </c>
      <c r="TWL372" s="21" t="s">
        <v>2955</v>
      </c>
      <c r="TWM372" s="21" t="s">
        <v>2955</v>
      </c>
      <c r="TWN372" s="21" t="s">
        <v>2955</v>
      </c>
      <c r="TWO372" s="21" t="s">
        <v>2955</v>
      </c>
      <c r="TWP372" s="21" t="s">
        <v>2955</v>
      </c>
      <c r="TWQ372" s="21" t="s">
        <v>2955</v>
      </c>
      <c r="TWR372" s="21" t="s">
        <v>2955</v>
      </c>
      <c r="TWS372" s="21" t="s">
        <v>2955</v>
      </c>
      <c r="TWT372" s="21" t="s">
        <v>2955</v>
      </c>
      <c r="TWU372" s="21" t="s">
        <v>2955</v>
      </c>
      <c r="TWV372" s="21" t="s">
        <v>2955</v>
      </c>
      <c r="TWW372" s="21" t="s">
        <v>2955</v>
      </c>
      <c r="TWX372" s="21" t="s">
        <v>2955</v>
      </c>
      <c r="TWY372" s="21" t="s">
        <v>2955</v>
      </c>
      <c r="TWZ372" s="21" t="s">
        <v>2955</v>
      </c>
      <c r="TXA372" s="21" t="s">
        <v>2955</v>
      </c>
      <c r="TXB372" s="21" t="s">
        <v>2955</v>
      </c>
      <c r="TXC372" s="21" t="s">
        <v>2955</v>
      </c>
      <c r="TXD372" s="21" t="s">
        <v>2955</v>
      </c>
      <c r="TXE372" s="21" t="s">
        <v>2955</v>
      </c>
      <c r="TXF372" s="21" t="s">
        <v>2955</v>
      </c>
      <c r="TXG372" s="21" t="s">
        <v>2955</v>
      </c>
      <c r="TXH372" s="21" t="s">
        <v>2955</v>
      </c>
      <c r="TXI372" s="21" t="s">
        <v>2955</v>
      </c>
      <c r="TXJ372" s="21" t="s">
        <v>2955</v>
      </c>
      <c r="TXK372" s="21" t="s">
        <v>2955</v>
      </c>
      <c r="TXL372" s="21" t="s">
        <v>2955</v>
      </c>
      <c r="TXM372" s="21" t="s">
        <v>2955</v>
      </c>
      <c r="TXN372" s="21" t="s">
        <v>2955</v>
      </c>
      <c r="TXO372" s="21" t="s">
        <v>2955</v>
      </c>
      <c r="TXP372" s="21" t="s">
        <v>2955</v>
      </c>
      <c r="TXQ372" s="21" t="s">
        <v>2955</v>
      </c>
      <c r="TXR372" s="21" t="s">
        <v>2955</v>
      </c>
      <c r="TXS372" s="21" t="s">
        <v>2955</v>
      </c>
      <c r="TXT372" s="21" t="s">
        <v>2955</v>
      </c>
      <c r="TXU372" s="21" t="s">
        <v>2955</v>
      </c>
      <c r="TXV372" s="21" t="s">
        <v>2955</v>
      </c>
      <c r="TXW372" s="21" t="s">
        <v>2955</v>
      </c>
      <c r="TXX372" s="21" t="s">
        <v>2955</v>
      </c>
      <c r="TXY372" s="21" t="s">
        <v>2955</v>
      </c>
      <c r="TXZ372" s="21" t="s">
        <v>2955</v>
      </c>
      <c r="TYA372" s="21" t="s">
        <v>2955</v>
      </c>
      <c r="TYB372" s="21" t="s">
        <v>2955</v>
      </c>
      <c r="TYC372" s="21" t="s">
        <v>2955</v>
      </c>
      <c r="TYD372" s="21" t="s">
        <v>2955</v>
      </c>
      <c r="TYE372" s="21" t="s">
        <v>2955</v>
      </c>
      <c r="TYF372" s="21" t="s">
        <v>2955</v>
      </c>
      <c r="TYG372" s="21" t="s">
        <v>2955</v>
      </c>
      <c r="TYH372" s="21" t="s">
        <v>2955</v>
      </c>
      <c r="TYI372" s="21" t="s">
        <v>2955</v>
      </c>
      <c r="TYJ372" s="21" t="s">
        <v>2955</v>
      </c>
      <c r="TYK372" s="21" t="s">
        <v>2955</v>
      </c>
      <c r="TYL372" s="21" t="s">
        <v>2955</v>
      </c>
      <c r="TYM372" s="21" t="s">
        <v>2955</v>
      </c>
      <c r="TYN372" s="21" t="s">
        <v>2955</v>
      </c>
      <c r="TYO372" s="21" t="s">
        <v>2955</v>
      </c>
      <c r="TYP372" s="21" t="s">
        <v>2955</v>
      </c>
      <c r="TYQ372" s="21" t="s">
        <v>2955</v>
      </c>
      <c r="TYR372" s="21" t="s">
        <v>2955</v>
      </c>
      <c r="TYS372" s="21" t="s">
        <v>2955</v>
      </c>
      <c r="TYT372" s="21" t="s">
        <v>2955</v>
      </c>
      <c r="TYU372" s="21" t="s">
        <v>2955</v>
      </c>
      <c r="TYV372" s="21" t="s">
        <v>2955</v>
      </c>
      <c r="TYW372" s="21" t="s">
        <v>2955</v>
      </c>
      <c r="TYX372" s="21" t="s">
        <v>2955</v>
      </c>
      <c r="TYY372" s="21" t="s">
        <v>2955</v>
      </c>
      <c r="TYZ372" s="21" t="s">
        <v>2955</v>
      </c>
      <c r="TZA372" s="21" t="s">
        <v>2955</v>
      </c>
      <c r="TZB372" s="21" t="s">
        <v>2955</v>
      </c>
      <c r="TZC372" s="21" t="s">
        <v>2955</v>
      </c>
      <c r="TZD372" s="21" t="s">
        <v>2955</v>
      </c>
      <c r="TZE372" s="21" t="s">
        <v>2955</v>
      </c>
      <c r="TZF372" s="21" t="s">
        <v>2955</v>
      </c>
      <c r="TZG372" s="21" t="s">
        <v>2955</v>
      </c>
      <c r="TZH372" s="21" t="s">
        <v>2955</v>
      </c>
      <c r="TZI372" s="21" t="s">
        <v>2955</v>
      </c>
      <c r="TZJ372" s="21" t="s">
        <v>2955</v>
      </c>
      <c r="TZK372" s="21" t="s">
        <v>2955</v>
      </c>
      <c r="TZL372" s="21" t="s">
        <v>2955</v>
      </c>
      <c r="TZM372" s="21" t="s">
        <v>2955</v>
      </c>
      <c r="TZN372" s="21" t="s">
        <v>2955</v>
      </c>
      <c r="TZO372" s="21" t="s">
        <v>2955</v>
      </c>
      <c r="TZP372" s="21" t="s">
        <v>2955</v>
      </c>
      <c r="TZQ372" s="21" t="s">
        <v>2955</v>
      </c>
      <c r="TZR372" s="21" t="s">
        <v>2955</v>
      </c>
      <c r="TZS372" s="21" t="s">
        <v>2955</v>
      </c>
      <c r="TZT372" s="21" t="s">
        <v>2955</v>
      </c>
      <c r="TZU372" s="21" t="s">
        <v>2955</v>
      </c>
      <c r="TZV372" s="21" t="s">
        <v>2955</v>
      </c>
      <c r="TZW372" s="21" t="s">
        <v>2955</v>
      </c>
      <c r="TZX372" s="21" t="s">
        <v>2955</v>
      </c>
      <c r="TZY372" s="21" t="s">
        <v>2955</v>
      </c>
      <c r="TZZ372" s="21" t="s">
        <v>2955</v>
      </c>
      <c r="UAA372" s="21" t="s">
        <v>2955</v>
      </c>
      <c r="UAB372" s="21" t="s">
        <v>2955</v>
      </c>
      <c r="UAC372" s="21" t="s">
        <v>2955</v>
      </c>
      <c r="UAD372" s="21" t="s">
        <v>2955</v>
      </c>
      <c r="UAE372" s="21" t="s">
        <v>2955</v>
      </c>
      <c r="UAF372" s="21" t="s">
        <v>2955</v>
      </c>
      <c r="UAG372" s="21" t="s">
        <v>2955</v>
      </c>
      <c r="UAH372" s="21" t="s">
        <v>2955</v>
      </c>
      <c r="UAI372" s="21" t="s">
        <v>2955</v>
      </c>
      <c r="UAJ372" s="21" t="s">
        <v>2955</v>
      </c>
      <c r="UAK372" s="21" t="s">
        <v>2955</v>
      </c>
      <c r="UAL372" s="21" t="s">
        <v>2955</v>
      </c>
      <c r="UAM372" s="21" t="s">
        <v>2955</v>
      </c>
      <c r="UAN372" s="21" t="s">
        <v>2955</v>
      </c>
      <c r="UAO372" s="21" t="s">
        <v>2955</v>
      </c>
      <c r="UAP372" s="21" t="s">
        <v>2955</v>
      </c>
      <c r="UAQ372" s="21" t="s">
        <v>2955</v>
      </c>
      <c r="UAR372" s="21" t="s">
        <v>2955</v>
      </c>
      <c r="UAS372" s="21" t="s">
        <v>2955</v>
      </c>
      <c r="UAT372" s="21" t="s">
        <v>2955</v>
      </c>
      <c r="UAU372" s="21" t="s">
        <v>2955</v>
      </c>
      <c r="UAV372" s="21" t="s">
        <v>2955</v>
      </c>
      <c r="UAW372" s="21" t="s">
        <v>2955</v>
      </c>
      <c r="UAX372" s="21" t="s">
        <v>2955</v>
      </c>
      <c r="UAY372" s="21" t="s">
        <v>2955</v>
      </c>
      <c r="UAZ372" s="21" t="s">
        <v>2955</v>
      </c>
      <c r="UBA372" s="21" t="s">
        <v>2955</v>
      </c>
      <c r="UBB372" s="21" t="s">
        <v>2955</v>
      </c>
      <c r="UBC372" s="21" t="s">
        <v>2955</v>
      </c>
      <c r="UBD372" s="21" t="s">
        <v>2955</v>
      </c>
      <c r="UBE372" s="21" t="s">
        <v>2955</v>
      </c>
      <c r="UBF372" s="21" t="s">
        <v>2955</v>
      </c>
      <c r="UBG372" s="21" t="s">
        <v>2955</v>
      </c>
      <c r="UBH372" s="21" t="s">
        <v>2955</v>
      </c>
      <c r="UBI372" s="21" t="s">
        <v>2955</v>
      </c>
      <c r="UBJ372" s="21" t="s">
        <v>2955</v>
      </c>
      <c r="UBK372" s="21" t="s">
        <v>2955</v>
      </c>
      <c r="UBL372" s="21" t="s">
        <v>2955</v>
      </c>
      <c r="UBM372" s="21" t="s">
        <v>2955</v>
      </c>
      <c r="UBN372" s="21" t="s">
        <v>2955</v>
      </c>
      <c r="UBO372" s="21" t="s">
        <v>2955</v>
      </c>
      <c r="UBP372" s="21" t="s">
        <v>2955</v>
      </c>
      <c r="UBQ372" s="21" t="s">
        <v>2955</v>
      </c>
      <c r="UBR372" s="21" t="s">
        <v>2955</v>
      </c>
      <c r="UBS372" s="21" t="s">
        <v>2955</v>
      </c>
      <c r="UBT372" s="21" t="s">
        <v>2955</v>
      </c>
      <c r="UBU372" s="21" t="s">
        <v>2955</v>
      </c>
      <c r="UBV372" s="21" t="s">
        <v>2955</v>
      </c>
      <c r="UBW372" s="21" t="s">
        <v>2955</v>
      </c>
      <c r="UBX372" s="21" t="s">
        <v>2955</v>
      </c>
      <c r="UBY372" s="21" t="s">
        <v>2955</v>
      </c>
      <c r="UBZ372" s="21" t="s">
        <v>2955</v>
      </c>
      <c r="UCA372" s="21" t="s">
        <v>2955</v>
      </c>
      <c r="UCB372" s="21" t="s">
        <v>2955</v>
      </c>
      <c r="UCC372" s="21" t="s">
        <v>2955</v>
      </c>
      <c r="UCD372" s="21" t="s">
        <v>2955</v>
      </c>
      <c r="UCE372" s="21" t="s">
        <v>2955</v>
      </c>
      <c r="UCF372" s="21" t="s">
        <v>2955</v>
      </c>
      <c r="UCG372" s="21" t="s">
        <v>2955</v>
      </c>
      <c r="UCH372" s="21" t="s">
        <v>2955</v>
      </c>
      <c r="UCI372" s="21" t="s">
        <v>2955</v>
      </c>
      <c r="UCJ372" s="21" t="s">
        <v>2955</v>
      </c>
      <c r="UCK372" s="21" t="s">
        <v>2955</v>
      </c>
      <c r="UCL372" s="21" t="s">
        <v>2955</v>
      </c>
      <c r="UCM372" s="21" t="s">
        <v>2955</v>
      </c>
      <c r="UCN372" s="21" t="s">
        <v>2955</v>
      </c>
      <c r="UCO372" s="21" t="s">
        <v>2955</v>
      </c>
      <c r="UCP372" s="21" t="s">
        <v>2955</v>
      </c>
      <c r="UCQ372" s="21" t="s">
        <v>2955</v>
      </c>
      <c r="UCR372" s="21" t="s">
        <v>2955</v>
      </c>
      <c r="UCS372" s="21" t="s">
        <v>2955</v>
      </c>
      <c r="UCT372" s="21" t="s">
        <v>2955</v>
      </c>
      <c r="UCU372" s="21" t="s">
        <v>2955</v>
      </c>
      <c r="UCV372" s="21" t="s">
        <v>2955</v>
      </c>
      <c r="UCW372" s="21" t="s">
        <v>2955</v>
      </c>
      <c r="UCX372" s="21" t="s">
        <v>2955</v>
      </c>
      <c r="UCY372" s="21" t="s">
        <v>2955</v>
      </c>
      <c r="UCZ372" s="21" t="s">
        <v>2955</v>
      </c>
      <c r="UDA372" s="21" t="s">
        <v>2955</v>
      </c>
      <c r="UDB372" s="21" t="s">
        <v>2955</v>
      </c>
      <c r="UDC372" s="21" t="s">
        <v>2955</v>
      </c>
      <c r="UDD372" s="21" t="s">
        <v>2955</v>
      </c>
      <c r="UDE372" s="21" t="s">
        <v>2955</v>
      </c>
      <c r="UDF372" s="21" t="s">
        <v>2955</v>
      </c>
      <c r="UDG372" s="21" t="s">
        <v>2955</v>
      </c>
      <c r="UDH372" s="21" t="s">
        <v>2955</v>
      </c>
      <c r="UDI372" s="21" t="s">
        <v>2955</v>
      </c>
      <c r="UDJ372" s="21" t="s">
        <v>2955</v>
      </c>
      <c r="UDK372" s="21" t="s">
        <v>2955</v>
      </c>
      <c r="UDL372" s="21" t="s">
        <v>2955</v>
      </c>
      <c r="UDM372" s="21" t="s">
        <v>2955</v>
      </c>
      <c r="UDN372" s="21" t="s">
        <v>2955</v>
      </c>
      <c r="UDO372" s="21" t="s">
        <v>2955</v>
      </c>
      <c r="UDP372" s="21" t="s">
        <v>2955</v>
      </c>
      <c r="UDQ372" s="21" t="s">
        <v>2955</v>
      </c>
      <c r="UDR372" s="21" t="s">
        <v>2955</v>
      </c>
      <c r="UDS372" s="21" t="s">
        <v>2955</v>
      </c>
      <c r="UDT372" s="21" t="s">
        <v>2955</v>
      </c>
      <c r="UDU372" s="21" t="s">
        <v>2955</v>
      </c>
      <c r="UDV372" s="21" t="s">
        <v>2955</v>
      </c>
      <c r="UDW372" s="21" t="s">
        <v>2955</v>
      </c>
      <c r="UDX372" s="21" t="s">
        <v>2955</v>
      </c>
      <c r="UDY372" s="21" t="s">
        <v>2955</v>
      </c>
      <c r="UDZ372" s="21" t="s">
        <v>2955</v>
      </c>
      <c r="UEA372" s="21" t="s">
        <v>2955</v>
      </c>
      <c r="UEB372" s="21" t="s">
        <v>2955</v>
      </c>
      <c r="UEC372" s="21" t="s">
        <v>2955</v>
      </c>
      <c r="UED372" s="21" t="s">
        <v>2955</v>
      </c>
      <c r="UEE372" s="21" t="s">
        <v>2955</v>
      </c>
      <c r="UEF372" s="21" t="s">
        <v>2955</v>
      </c>
      <c r="UEG372" s="21" t="s">
        <v>2955</v>
      </c>
      <c r="UEH372" s="21" t="s">
        <v>2955</v>
      </c>
      <c r="UEI372" s="21" t="s">
        <v>2955</v>
      </c>
      <c r="UEJ372" s="21" t="s">
        <v>2955</v>
      </c>
      <c r="UEK372" s="21" t="s">
        <v>2955</v>
      </c>
      <c r="UEL372" s="21" t="s">
        <v>2955</v>
      </c>
      <c r="UEM372" s="21" t="s">
        <v>2955</v>
      </c>
      <c r="UEN372" s="21" t="s">
        <v>2955</v>
      </c>
      <c r="UEO372" s="21" t="s">
        <v>2955</v>
      </c>
      <c r="UEP372" s="21" t="s">
        <v>2955</v>
      </c>
      <c r="UEQ372" s="21" t="s">
        <v>2955</v>
      </c>
      <c r="UER372" s="21" t="s">
        <v>2955</v>
      </c>
      <c r="UES372" s="21" t="s">
        <v>2955</v>
      </c>
      <c r="UET372" s="21" t="s">
        <v>2955</v>
      </c>
      <c r="UEU372" s="21" t="s">
        <v>2955</v>
      </c>
      <c r="UEV372" s="21" t="s">
        <v>2955</v>
      </c>
      <c r="UEW372" s="21" t="s">
        <v>2955</v>
      </c>
      <c r="UEX372" s="21" t="s">
        <v>2955</v>
      </c>
      <c r="UEY372" s="21" t="s">
        <v>2955</v>
      </c>
      <c r="UEZ372" s="21" t="s">
        <v>2955</v>
      </c>
      <c r="UFA372" s="21" t="s">
        <v>2955</v>
      </c>
      <c r="UFB372" s="21" t="s">
        <v>2955</v>
      </c>
      <c r="UFC372" s="21" t="s">
        <v>2955</v>
      </c>
      <c r="UFD372" s="21" t="s">
        <v>2955</v>
      </c>
      <c r="UFE372" s="21" t="s">
        <v>2955</v>
      </c>
      <c r="UFF372" s="21" t="s">
        <v>2955</v>
      </c>
      <c r="UFG372" s="21" t="s">
        <v>2955</v>
      </c>
      <c r="UFH372" s="21" t="s">
        <v>2955</v>
      </c>
      <c r="UFI372" s="21" t="s">
        <v>2955</v>
      </c>
      <c r="UFJ372" s="21" t="s">
        <v>2955</v>
      </c>
      <c r="UFK372" s="21" t="s">
        <v>2955</v>
      </c>
      <c r="UFL372" s="21" t="s">
        <v>2955</v>
      </c>
      <c r="UFM372" s="21" t="s">
        <v>2955</v>
      </c>
      <c r="UFN372" s="21" t="s">
        <v>2955</v>
      </c>
      <c r="UFO372" s="21" t="s">
        <v>2955</v>
      </c>
      <c r="UFP372" s="21" t="s">
        <v>2955</v>
      </c>
      <c r="UFQ372" s="21" t="s">
        <v>2955</v>
      </c>
      <c r="UFR372" s="21" t="s">
        <v>2955</v>
      </c>
      <c r="UFS372" s="21" t="s">
        <v>2955</v>
      </c>
      <c r="UFT372" s="21" t="s">
        <v>2955</v>
      </c>
      <c r="UFU372" s="21" t="s">
        <v>2955</v>
      </c>
      <c r="UFV372" s="21" t="s">
        <v>2955</v>
      </c>
      <c r="UFW372" s="21" t="s">
        <v>2955</v>
      </c>
      <c r="UFX372" s="21" t="s">
        <v>2955</v>
      </c>
      <c r="UFY372" s="21" t="s">
        <v>2955</v>
      </c>
      <c r="UFZ372" s="21" t="s">
        <v>2955</v>
      </c>
      <c r="UGA372" s="21" t="s">
        <v>2955</v>
      </c>
      <c r="UGB372" s="21" t="s">
        <v>2955</v>
      </c>
      <c r="UGC372" s="21" t="s">
        <v>2955</v>
      </c>
      <c r="UGD372" s="21" t="s">
        <v>2955</v>
      </c>
      <c r="UGE372" s="21" t="s">
        <v>2955</v>
      </c>
      <c r="UGF372" s="21" t="s">
        <v>2955</v>
      </c>
      <c r="UGG372" s="21" t="s">
        <v>2955</v>
      </c>
      <c r="UGH372" s="21" t="s">
        <v>2955</v>
      </c>
      <c r="UGI372" s="21" t="s">
        <v>2955</v>
      </c>
      <c r="UGJ372" s="21" t="s">
        <v>2955</v>
      </c>
      <c r="UGK372" s="21" t="s">
        <v>2955</v>
      </c>
      <c r="UGL372" s="21" t="s">
        <v>2955</v>
      </c>
      <c r="UGM372" s="21" t="s">
        <v>2955</v>
      </c>
      <c r="UGN372" s="21" t="s">
        <v>2955</v>
      </c>
      <c r="UGO372" s="21" t="s">
        <v>2955</v>
      </c>
      <c r="UGP372" s="21" t="s">
        <v>2955</v>
      </c>
      <c r="UGQ372" s="21" t="s">
        <v>2955</v>
      </c>
      <c r="UGR372" s="21" t="s">
        <v>2955</v>
      </c>
      <c r="UGS372" s="21" t="s">
        <v>2955</v>
      </c>
      <c r="UGT372" s="21" t="s">
        <v>2955</v>
      </c>
      <c r="UGU372" s="21" t="s">
        <v>2955</v>
      </c>
      <c r="UGV372" s="21" t="s">
        <v>2955</v>
      </c>
      <c r="UGW372" s="21" t="s">
        <v>2955</v>
      </c>
      <c r="UGX372" s="21" t="s">
        <v>2955</v>
      </c>
      <c r="UGY372" s="21" t="s">
        <v>2955</v>
      </c>
      <c r="UGZ372" s="21" t="s">
        <v>2955</v>
      </c>
      <c r="UHA372" s="21" t="s">
        <v>2955</v>
      </c>
      <c r="UHB372" s="21" t="s">
        <v>2955</v>
      </c>
      <c r="UHC372" s="21" t="s">
        <v>2955</v>
      </c>
      <c r="UHD372" s="21" t="s">
        <v>2955</v>
      </c>
      <c r="UHE372" s="21" t="s">
        <v>2955</v>
      </c>
      <c r="UHF372" s="21" t="s">
        <v>2955</v>
      </c>
      <c r="UHG372" s="21" t="s">
        <v>2955</v>
      </c>
      <c r="UHH372" s="21" t="s">
        <v>2955</v>
      </c>
      <c r="UHI372" s="21" t="s">
        <v>2955</v>
      </c>
      <c r="UHJ372" s="21" t="s">
        <v>2955</v>
      </c>
      <c r="UHK372" s="21" t="s">
        <v>2955</v>
      </c>
      <c r="UHL372" s="21" t="s">
        <v>2955</v>
      </c>
      <c r="UHM372" s="21" t="s">
        <v>2955</v>
      </c>
      <c r="UHN372" s="21" t="s">
        <v>2955</v>
      </c>
      <c r="UHO372" s="21" t="s">
        <v>2955</v>
      </c>
      <c r="UHP372" s="21" t="s">
        <v>2955</v>
      </c>
      <c r="UHQ372" s="21" t="s">
        <v>2955</v>
      </c>
      <c r="UHR372" s="21" t="s">
        <v>2955</v>
      </c>
      <c r="UHS372" s="21" t="s">
        <v>2955</v>
      </c>
      <c r="UHT372" s="21" t="s">
        <v>2955</v>
      </c>
      <c r="UHU372" s="21" t="s">
        <v>2955</v>
      </c>
      <c r="UHV372" s="21" t="s">
        <v>2955</v>
      </c>
      <c r="UHW372" s="21" t="s">
        <v>2955</v>
      </c>
      <c r="UHX372" s="21" t="s">
        <v>2955</v>
      </c>
      <c r="UHY372" s="21" t="s">
        <v>2955</v>
      </c>
      <c r="UHZ372" s="21" t="s">
        <v>2955</v>
      </c>
      <c r="UIA372" s="21" t="s">
        <v>2955</v>
      </c>
      <c r="UIB372" s="21" t="s">
        <v>2955</v>
      </c>
      <c r="UIC372" s="21" t="s">
        <v>2955</v>
      </c>
      <c r="UID372" s="21" t="s">
        <v>2955</v>
      </c>
      <c r="UIE372" s="21" t="s">
        <v>2955</v>
      </c>
      <c r="UIF372" s="21" t="s">
        <v>2955</v>
      </c>
      <c r="UIG372" s="21" t="s">
        <v>2955</v>
      </c>
      <c r="UIH372" s="21" t="s">
        <v>2955</v>
      </c>
      <c r="UII372" s="21" t="s">
        <v>2955</v>
      </c>
      <c r="UIJ372" s="21" t="s">
        <v>2955</v>
      </c>
      <c r="UIK372" s="21" t="s">
        <v>2955</v>
      </c>
      <c r="UIL372" s="21" t="s">
        <v>2955</v>
      </c>
      <c r="UIM372" s="21" t="s">
        <v>2955</v>
      </c>
      <c r="UIN372" s="21" t="s">
        <v>2955</v>
      </c>
      <c r="UIO372" s="21" t="s">
        <v>2955</v>
      </c>
      <c r="UIP372" s="21" t="s">
        <v>2955</v>
      </c>
      <c r="UIQ372" s="21" t="s">
        <v>2955</v>
      </c>
      <c r="UIR372" s="21" t="s">
        <v>2955</v>
      </c>
      <c r="UIS372" s="21" t="s">
        <v>2955</v>
      </c>
      <c r="UIT372" s="21" t="s">
        <v>2955</v>
      </c>
      <c r="UIU372" s="21" t="s">
        <v>2955</v>
      </c>
      <c r="UIV372" s="21" t="s">
        <v>2955</v>
      </c>
      <c r="UIW372" s="21" t="s">
        <v>2955</v>
      </c>
      <c r="UIX372" s="21" t="s">
        <v>2955</v>
      </c>
      <c r="UIY372" s="21" t="s">
        <v>2955</v>
      </c>
      <c r="UIZ372" s="21" t="s">
        <v>2955</v>
      </c>
      <c r="UJA372" s="21" t="s">
        <v>2955</v>
      </c>
      <c r="UJB372" s="21" t="s">
        <v>2955</v>
      </c>
      <c r="UJC372" s="21" t="s">
        <v>2955</v>
      </c>
      <c r="UJD372" s="21" t="s">
        <v>2955</v>
      </c>
      <c r="UJE372" s="21" t="s">
        <v>2955</v>
      </c>
      <c r="UJF372" s="21" t="s">
        <v>2955</v>
      </c>
      <c r="UJG372" s="21" t="s">
        <v>2955</v>
      </c>
      <c r="UJH372" s="21" t="s">
        <v>2955</v>
      </c>
      <c r="UJI372" s="21" t="s">
        <v>2955</v>
      </c>
      <c r="UJJ372" s="21" t="s">
        <v>2955</v>
      </c>
      <c r="UJK372" s="21" t="s">
        <v>2955</v>
      </c>
      <c r="UJL372" s="21" t="s">
        <v>2955</v>
      </c>
      <c r="UJM372" s="21" t="s">
        <v>2955</v>
      </c>
      <c r="UJN372" s="21" t="s">
        <v>2955</v>
      </c>
      <c r="UJO372" s="21" t="s">
        <v>2955</v>
      </c>
      <c r="UJP372" s="21" t="s">
        <v>2955</v>
      </c>
      <c r="UJQ372" s="21" t="s">
        <v>2955</v>
      </c>
      <c r="UJR372" s="21" t="s">
        <v>2955</v>
      </c>
      <c r="UJS372" s="21" t="s">
        <v>2955</v>
      </c>
      <c r="UJT372" s="21" t="s">
        <v>2955</v>
      </c>
      <c r="UJU372" s="21" t="s">
        <v>2955</v>
      </c>
      <c r="UJV372" s="21" t="s">
        <v>2955</v>
      </c>
      <c r="UJW372" s="21" t="s">
        <v>2955</v>
      </c>
      <c r="UJX372" s="21" t="s">
        <v>2955</v>
      </c>
      <c r="UJY372" s="21" t="s">
        <v>2955</v>
      </c>
      <c r="UJZ372" s="21" t="s">
        <v>2955</v>
      </c>
      <c r="UKA372" s="21" t="s">
        <v>2955</v>
      </c>
      <c r="UKB372" s="21" t="s">
        <v>2955</v>
      </c>
      <c r="UKC372" s="21" t="s">
        <v>2955</v>
      </c>
      <c r="UKD372" s="21" t="s">
        <v>2955</v>
      </c>
      <c r="UKE372" s="21" t="s">
        <v>2955</v>
      </c>
      <c r="UKF372" s="21" t="s">
        <v>2955</v>
      </c>
      <c r="UKG372" s="21" t="s">
        <v>2955</v>
      </c>
      <c r="UKH372" s="21" t="s">
        <v>2955</v>
      </c>
      <c r="UKI372" s="21" t="s">
        <v>2955</v>
      </c>
      <c r="UKJ372" s="21" t="s">
        <v>2955</v>
      </c>
      <c r="UKK372" s="21" t="s">
        <v>2955</v>
      </c>
      <c r="UKL372" s="21" t="s">
        <v>2955</v>
      </c>
      <c r="UKM372" s="21" t="s">
        <v>2955</v>
      </c>
      <c r="UKN372" s="21" t="s">
        <v>2955</v>
      </c>
      <c r="UKO372" s="21" t="s">
        <v>2955</v>
      </c>
      <c r="UKP372" s="21" t="s">
        <v>2955</v>
      </c>
      <c r="UKQ372" s="21" t="s">
        <v>2955</v>
      </c>
      <c r="UKR372" s="21" t="s">
        <v>2955</v>
      </c>
      <c r="UKS372" s="21" t="s">
        <v>2955</v>
      </c>
      <c r="UKT372" s="21" t="s">
        <v>2955</v>
      </c>
      <c r="UKU372" s="21" t="s">
        <v>2955</v>
      </c>
      <c r="UKV372" s="21" t="s">
        <v>2955</v>
      </c>
      <c r="UKW372" s="21" t="s">
        <v>2955</v>
      </c>
      <c r="UKX372" s="21" t="s">
        <v>2955</v>
      </c>
      <c r="UKY372" s="21" t="s">
        <v>2955</v>
      </c>
      <c r="UKZ372" s="21" t="s">
        <v>2955</v>
      </c>
      <c r="ULA372" s="21" t="s">
        <v>2955</v>
      </c>
      <c r="ULB372" s="21" t="s">
        <v>2955</v>
      </c>
      <c r="ULC372" s="21" t="s">
        <v>2955</v>
      </c>
      <c r="ULD372" s="21" t="s">
        <v>2955</v>
      </c>
      <c r="ULE372" s="21" t="s">
        <v>2955</v>
      </c>
      <c r="ULF372" s="21" t="s">
        <v>2955</v>
      </c>
      <c r="ULG372" s="21" t="s">
        <v>2955</v>
      </c>
      <c r="ULH372" s="21" t="s">
        <v>2955</v>
      </c>
      <c r="ULI372" s="21" t="s">
        <v>2955</v>
      </c>
      <c r="ULJ372" s="21" t="s">
        <v>2955</v>
      </c>
      <c r="ULK372" s="21" t="s">
        <v>2955</v>
      </c>
      <c r="ULL372" s="21" t="s">
        <v>2955</v>
      </c>
      <c r="ULM372" s="21" t="s">
        <v>2955</v>
      </c>
      <c r="ULN372" s="21" t="s">
        <v>2955</v>
      </c>
      <c r="ULO372" s="21" t="s">
        <v>2955</v>
      </c>
      <c r="ULP372" s="21" t="s">
        <v>2955</v>
      </c>
      <c r="ULQ372" s="21" t="s">
        <v>2955</v>
      </c>
      <c r="ULR372" s="21" t="s">
        <v>2955</v>
      </c>
      <c r="ULS372" s="21" t="s">
        <v>2955</v>
      </c>
      <c r="ULT372" s="21" t="s">
        <v>2955</v>
      </c>
      <c r="ULU372" s="21" t="s">
        <v>2955</v>
      </c>
      <c r="ULV372" s="21" t="s">
        <v>2955</v>
      </c>
      <c r="ULW372" s="21" t="s">
        <v>2955</v>
      </c>
      <c r="ULX372" s="21" t="s">
        <v>2955</v>
      </c>
      <c r="ULY372" s="21" t="s">
        <v>2955</v>
      </c>
      <c r="ULZ372" s="21" t="s">
        <v>2955</v>
      </c>
      <c r="UMA372" s="21" t="s">
        <v>2955</v>
      </c>
      <c r="UMB372" s="21" t="s">
        <v>2955</v>
      </c>
      <c r="UMC372" s="21" t="s">
        <v>2955</v>
      </c>
      <c r="UMD372" s="21" t="s">
        <v>2955</v>
      </c>
      <c r="UME372" s="21" t="s">
        <v>2955</v>
      </c>
      <c r="UMF372" s="21" t="s">
        <v>2955</v>
      </c>
      <c r="UMG372" s="21" t="s">
        <v>2955</v>
      </c>
      <c r="UMH372" s="21" t="s">
        <v>2955</v>
      </c>
      <c r="UMI372" s="21" t="s">
        <v>2955</v>
      </c>
      <c r="UMJ372" s="21" t="s">
        <v>2955</v>
      </c>
      <c r="UMK372" s="21" t="s">
        <v>2955</v>
      </c>
      <c r="UML372" s="21" t="s">
        <v>2955</v>
      </c>
      <c r="UMM372" s="21" t="s">
        <v>2955</v>
      </c>
      <c r="UMN372" s="21" t="s">
        <v>2955</v>
      </c>
      <c r="UMO372" s="21" t="s">
        <v>2955</v>
      </c>
      <c r="UMP372" s="21" t="s">
        <v>2955</v>
      </c>
      <c r="UMQ372" s="21" t="s">
        <v>2955</v>
      </c>
      <c r="UMR372" s="21" t="s">
        <v>2955</v>
      </c>
      <c r="UMS372" s="21" t="s">
        <v>2955</v>
      </c>
      <c r="UMT372" s="21" t="s">
        <v>2955</v>
      </c>
      <c r="UMU372" s="21" t="s">
        <v>2955</v>
      </c>
      <c r="UMV372" s="21" t="s">
        <v>2955</v>
      </c>
      <c r="UMW372" s="21" t="s">
        <v>2955</v>
      </c>
      <c r="UMX372" s="21" t="s">
        <v>2955</v>
      </c>
      <c r="UMY372" s="21" t="s">
        <v>2955</v>
      </c>
      <c r="UMZ372" s="21" t="s">
        <v>2955</v>
      </c>
      <c r="UNA372" s="21" t="s">
        <v>2955</v>
      </c>
      <c r="UNB372" s="21" t="s">
        <v>2955</v>
      </c>
      <c r="UNC372" s="21" t="s">
        <v>2955</v>
      </c>
      <c r="UND372" s="21" t="s">
        <v>2955</v>
      </c>
      <c r="UNE372" s="21" t="s">
        <v>2955</v>
      </c>
      <c r="UNF372" s="21" t="s">
        <v>2955</v>
      </c>
      <c r="UNG372" s="21" t="s">
        <v>2955</v>
      </c>
      <c r="UNH372" s="21" t="s">
        <v>2955</v>
      </c>
      <c r="UNI372" s="21" t="s">
        <v>2955</v>
      </c>
      <c r="UNJ372" s="21" t="s">
        <v>2955</v>
      </c>
      <c r="UNK372" s="21" t="s">
        <v>2955</v>
      </c>
      <c r="UNL372" s="21" t="s">
        <v>2955</v>
      </c>
      <c r="UNM372" s="21" t="s">
        <v>2955</v>
      </c>
      <c r="UNN372" s="21" t="s">
        <v>2955</v>
      </c>
      <c r="UNO372" s="21" t="s">
        <v>2955</v>
      </c>
      <c r="UNP372" s="21" t="s">
        <v>2955</v>
      </c>
      <c r="UNQ372" s="21" t="s">
        <v>2955</v>
      </c>
      <c r="UNR372" s="21" t="s">
        <v>2955</v>
      </c>
      <c r="UNS372" s="21" t="s">
        <v>2955</v>
      </c>
      <c r="UNT372" s="21" t="s">
        <v>2955</v>
      </c>
      <c r="UNU372" s="21" t="s">
        <v>2955</v>
      </c>
      <c r="UNV372" s="21" t="s">
        <v>2955</v>
      </c>
      <c r="UNW372" s="21" t="s">
        <v>2955</v>
      </c>
      <c r="UNX372" s="21" t="s">
        <v>2955</v>
      </c>
      <c r="UNY372" s="21" t="s">
        <v>2955</v>
      </c>
      <c r="UNZ372" s="21" t="s">
        <v>2955</v>
      </c>
      <c r="UOA372" s="21" t="s">
        <v>2955</v>
      </c>
      <c r="UOB372" s="21" t="s">
        <v>2955</v>
      </c>
      <c r="UOC372" s="21" t="s">
        <v>2955</v>
      </c>
      <c r="UOD372" s="21" t="s">
        <v>2955</v>
      </c>
      <c r="UOE372" s="21" t="s">
        <v>2955</v>
      </c>
      <c r="UOF372" s="21" t="s">
        <v>2955</v>
      </c>
      <c r="UOG372" s="21" t="s">
        <v>2955</v>
      </c>
      <c r="UOH372" s="21" t="s">
        <v>2955</v>
      </c>
      <c r="UOI372" s="21" t="s">
        <v>2955</v>
      </c>
      <c r="UOJ372" s="21" t="s">
        <v>2955</v>
      </c>
      <c r="UOK372" s="21" t="s">
        <v>2955</v>
      </c>
      <c r="UOL372" s="21" t="s">
        <v>2955</v>
      </c>
      <c r="UOM372" s="21" t="s">
        <v>2955</v>
      </c>
      <c r="UON372" s="21" t="s">
        <v>2955</v>
      </c>
      <c r="UOO372" s="21" t="s">
        <v>2955</v>
      </c>
      <c r="UOP372" s="21" t="s">
        <v>2955</v>
      </c>
      <c r="UOQ372" s="21" t="s">
        <v>2955</v>
      </c>
      <c r="UOR372" s="21" t="s">
        <v>2955</v>
      </c>
      <c r="UOS372" s="21" t="s">
        <v>2955</v>
      </c>
      <c r="UOT372" s="21" t="s">
        <v>2955</v>
      </c>
      <c r="UOU372" s="21" t="s">
        <v>2955</v>
      </c>
      <c r="UOV372" s="21" t="s">
        <v>2955</v>
      </c>
      <c r="UOW372" s="21" t="s">
        <v>2955</v>
      </c>
      <c r="UOX372" s="21" t="s">
        <v>2955</v>
      </c>
      <c r="UOY372" s="21" t="s">
        <v>2955</v>
      </c>
      <c r="UOZ372" s="21" t="s">
        <v>2955</v>
      </c>
      <c r="UPA372" s="21" t="s">
        <v>2955</v>
      </c>
      <c r="UPB372" s="21" t="s">
        <v>2955</v>
      </c>
      <c r="UPC372" s="21" t="s">
        <v>2955</v>
      </c>
      <c r="UPD372" s="21" t="s">
        <v>2955</v>
      </c>
      <c r="UPE372" s="21" t="s">
        <v>2955</v>
      </c>
      <c r="UPF372" s="21" t="s">
        <v>2955</v>
      </c>
      <c r="UPG372" s="21" t="s">
        <v>2955</v>
      </c>
      <c r="UPH372" s="21" t="s">
        <v>2955</v>
      </c>
      <c r="UPI372" s="21" t="s">
        <v>2955</v>
      </c>
      <c r="UPJ372" s="21" t="s">
        <v>2955</v>
      </c>
      <c r="UPK372" s="21" t="s">
        <v>2955</v>
      </c>
      <c r="UPL372" s="21" t="s">
        <v>2955</v>
      </c>
      <c r="UPM372" s="21" t="s">
        <v>2955</v>
      </c>
      <c r="UPN372" s="21" t="s">
        <v>2955</v>
      </c>
      <c r="UPO372" s="21" t="s">
        <v>2955</v>
      </c>
      <c r="UPP372" s="21" t="s">
        <v>2955</v>
      </c>
      <c r="UPQ372" s="21" t="s">
        <v>2955</v>
      </c>
      <c r="UPR372" s="21" t="s">
        <v>2955</v>
      </c>
      <c r="UPS372" s="21" t="s">
        <v>2955</v>
      </c>
      <c r="UPT372" s="21" t="s">
        <v>2955</v>
      </c>
      <c r="UPU372" s="21" t="s">
        <v>2955</v>
      </c>
      <c r="UPV372" s="21" t="s">
        <v>2955</v>
      </c>
      <c r="UPW372" s="21" t="s">
        <v>2955</v>
      </c>
      <c r="UPX372" s="21" t="s">
        <v>2955</v>
      </c>
      <c r="UPY372" s="21" t="s">
        <v>2955</v>
      </c>
      <c r="UPZ372" s="21" t="s">
        <v>2955</v>
      </c>
      <c r="UQA372" s="21" t="s">
        <v>2955</v>
      </c>
      <c r="UQB372" s="21" t="s">
        <v>2955</v>
      </c>
      <c r="UQC372" s="21" t="s">
        <v>2955</v>
      </c>
      <c r="UQD372" s="21" t="s">
        <v>2955</v>
      </c>
      <c r="UQE372" s="21" t="s">
        <v>2955</v>
      </c>
      <c r="UQF372" s="21" t="s">
        <v>2955</v>
      </c>
      <c r="UQG372" s="21" t="s">
        <v>2955</v>
      </c>
      <c r="UQH372" s="21" t="s">
        <v>2955</v>
      </c>
      <c r="UQI372" s="21" t="s">
        <v>2955</v>
      </c>
      <c r="UQJ372" s="21" t="s">
        <v>2955</v>
      </c>
      <c r="UQK372" s="21" t="s">
        <v>2955</v>
      </c>
      <c r="UQL372" s="21" t="s">
        <v>2955</v>
      </c>
      <c r="UQM372" s="21" t="s">
        <v>2955</v>
      </c>
      <c r="UQN372" s="21" t="s">
        <v>2955</v>
      </c>
      <c r="UQO372" s="21" t="s">
        <v>2955</v>
      </c>
      <c r="UQP372" s="21" t="s">
        <v>2955</v>
      </c>
      <c r="UQQ372" s="21" t="s">
        <v>2955</v>
      </c>
      <c r="UQR372" s="21" t="s">
        <v>2955</v>
      </c>
      <c r="UQS372" s="21" t="s">
        <v>2955</v>
      </c>
      <c r="UQT372" s="21" t="s">
        <v>2955</v>
      </c>
      <c r="UQU372" s="21" t="s">
        <v>2955</v>
      </c>
      <c r="UQV372" s="21" t="s">
        <v>2955</v>
      </c>
      <c r="UQW372" s="21" t="s">
        <v>2955</v>
      </c>
      <c r="UQX372" s="21" t="s">
        <v>2955</v>
      </c>
      <c r="UQY372" s="21" t="s">
        <v>2955</v>
      </c>
      <c r="UQZ372" s="21" t="s">
        <v>2955</v>
      </c>
      <c r="URA372" s="21" t="s">
        <v>2955</v>
      </c>
      <c r="URB372" s="21" t="s">
        <v>2955</v>
      </c>
      <c r="URC372" s="21" t="s">
        <v>2955</v>
      </c>
      <c r="URD372" s="21" t="s">
        <v>2955</v>
      </c>
      <c r="URE372" s="21" t="s">
        <v>2955</v>
      </c>
      <c r="URF372" s="21" t="s">
        <v>2955</v>
      </c>
      <c r="URG372" s="21" t="s">
        <v>2955</v>
      </c>
      <c r="URH372" s="21" t="s">
        <v>2955</v>
      </c>
      <c r="URI372" s="21" t="s">
        <v>2955</v>
      </c>
      <c r="URJ372" s="21" t="s">
        <v>2955</v>
      </c>
      <c r="URK372" s="21" t="s">
        <v>2955</v>
      </c>
      <c r="URL372" s="21" t="s">
        <v>2955</v>
      </c>
      <c r="URM372" s="21" t="s">
        <v>2955</v>
      </c>
      <c r="URN372" s="21" t="s">
        <v>2955</v>
      </c>
      <c r="URO372" s="21" t="s">
        <v>2955</v>
      </c>
      <c r="URP372" s="21" t="s">
        <v>2955</v>
      </c>
      <c r="URQ372" s="21" t="s">
        <v>2955</v>
      </c>
      <c r="URR372" s="21" t="s">
        <v>2955</v>
      </c>
      <c r="URS372" s="21" t="s">
        <v>2955</v>
      </c>
      <c r="URT372" s="21" t="s">
        <v>2955</v>
      </c>
      <c r="URU372" s="21" t="s">
        <v>2955</v>
      </c>
      <c r="URV372" s="21" t="s">
        <v>2955</v>
      </c>
      <c r="URW372" s="21" t="s">
        <v>2955</v>
      </c>
      <c r="URX372" s="21" t="s">
        <v>2955</v>
      </c>
      <c r="URY372" s="21" t="s">
        <v>2955</v>
      </c>
      <c r="URZ372" s="21" t="s">
        <v>2955</v>
      </c>
      <c r="USA372" s="21" t="s">
        <v>2955</v>
      </c>
      <c r="USB372" s="21" t="s">
        <v>2955</v>
      </c>
      <c r="USC372" s="21" t="s">
        <v>2955</v>
      </c>
      <c r="USD372" s="21" t="s">
        <v>2955</v>
      </c>
      <c r="USE372" s="21" t="s">
        <v>2955</v>
      </c>
      <c r="USF372" s="21" t="s">
        <v>2955</v>
      </c>
      <c r="USG372" s="21" t="s">
        <v>2955</v>
      </c>
      <c r="USH372" s="21" t="s">
        <v>2955</v>
      </c>
      <c r="USI372" s="21" t="s">
        <v>2955</v>
      </c>
      <c r="USJ372" s="21" t="s">
        <v>2955</v>
      </c>
      <c r="USK372" s="21" t="s">
        <v>2955</v>
      </c>
      <c r="USL372" s="21" t="s">
        <v>2955</v>
      </c>
      <c r="USM372" s="21" t="s">
        <v>2955</v>
      </c>
      <c r="USN372" s="21" t="s">
        <v>2955</v>
      </c>
      <c r="USO372" s="21" t="s">
        <v>2955</v>
      </c>
      <c r="USP372" s="21" t="s">
        <v>2955</v>
      </c>
      <c r="USQ372" s="21" t="s">
        <v>2955</v>
      </c>
      <c r="USR372" s="21" t="s">
        <v>2955</v>
      </c>
      <c r="USS372" s="21" t="s">
        <v>2955</v>
      </c>
      <c r="UST372" s="21" t="s">
        <v>2955</v>
      </c>
      <c r="USU372" s="21" t="s">
        <v>2955</v>
      </c>
      <c r="USV372" s="21" t="s">
        <v>2955</v>
      </c>
      <c r="USW372" s="21" t="s">
        <v>2955</v>
      </c>
      <c r="USX372" s="21" t="s">
        <v>2955</v>
      </c>
      <c r="USY372" s="21" t="s">
        <v>2955</v>
      </c>
      <c r="USZ372" s="21" t="s">
        <v>2955</v>
      </c>
      <c r="UTA372" s="21" t="s">
        <v>2955</v>
      </c>
      <c r="UTB372" s="21" t="s">
        <v>2955</v>
      </c>
      <c r="UTC372" s="21" t="s">
        <v>2955</v>
      </c>
      <c r="UTD372" s="21" t="s">
        <v>2955</v>
      </c>
      <c r="UTE372" s="21" t="s">
        <v>2955</v>
      </c>
      <c r="UTF372" s="21" t="s">
        <v>2955</v>
      </c>
      <c r="UTG372" s="21" t="s">
        <v>2955</v>
      </c>
      <c r="UTH372" s="21" t="s">
        <v>2955</v>
      </c>
      <c r="UTI372" s="21" t="s">
        <v>2955</v>
      </c>
      <c r="UTJ372" s="21" t="s">
        <v>2955</v>
      </c>
      <c r="UTK372" s="21" t="s">
        <v>2955</v>
      </c>
      <c r="UTL372" s="21" t="s">
        <v>2955</v>
      </c>
      <c r="UTM372" s="21" t="s">
        <v>2955</v>
      </c>
      <c r="UTN372" s="21" t="s">
        <v>2955</v>
      </c>
      <c r="UTO372" s="21" t="s">
        <v>2955</v>
      </c>
      <c r="UTP372" s="21" t="s">
        <v>2955</v>
      </c>
      <c r="UTQ372" s="21" t="s">
        <v>2955</v>
      </c>
      <c r="UTR372" s="21" t="s">
        <v>2955</v>
      </c>
      <c r="UTS372" s="21" t="s">
        <v>2955</v>
      </c>
      <c r="UTT372" s="21" t="s">
        <v>2955</v>
      </c>
      <c r="UTU372" s="21" t="s">
        <v>2955</v>
      </c>
      <c r="UTV372" s="21" t="s">
        <v>2955</v>
      </c>
      <c r="UTW372" s="21" t="s">
        <v>2955</v>
      </c>
      <c r="UTX372" s="21" t="s">
        <v>2955</v>
      </c>
      <c r="UTY372" s="21" t="s">
        <v>2955</v>
      </c>
      <c r="UTZ372" s="21" t="s">
        <v>2955</v>
      </c>
      <c r="UUA372" s="21" t="s">
        <v>2955</v>
      </c>
      <c r="UUB372" s="21" t="s">
        <v>2955</v>
      </c>
      <c r="UUC372" s="21" t="s">
        <v>2955</v>
      </c>
      <c r="UUD372" s="21" t="s">
        <v>2955</v>
      </c>
      <c r="UUE372" s="21" t="s">
        <v>2955</v>
      </c>
      <c r="UUF372" s="21" t="s">
        <v>2955</v>
      </c>
      <c r="UUG372" s="21" t="s">
        <v>2955</v>
      </c>
      <c r="UUH372" s="21" t="s">
        <v>2955</v>
      </c>
      <c r="UUI372" s="21" t="s">
        <v>2955</v>
      </c>
      <c r="UUJ372" s="21" t="s">
        <v>2955</v>
      </c>
      <c r="UUK372" s="21" t="s">
        <v>2955</v>
      </c>
      <c r="UUL372" s="21" t="s">
        <v>2955</v>
      </c>
      <c r="UUM372" s="21" t="s">
        <v>2955</v>
      </c>
      <c r="UUN372" s="21" t="s">
        <v>2955</v>
      </c>
      <c r="UUO372" s="21" t="s">
        <v>2955</v>
      </c>
      <c r="UUP372" s="21" t="s">
        <v>2955</v>
      </c>
      <c r="UUQ372" s="21" t="s">
        <v>2955</v>
      </c>
      <c r="UUR372" s="21" t="s">
        <v>2955</v>
      </c>
      <c r="UUS372" s="21" t="s">
        <v>2955</v>
      </c>
      <c r="UUT372" s="21" t="s">
        <v>2955</v>
      </c>
      <c r="UUU372" s="21" t="s">
        <v>2955</v>
      </c>
      <c r="UUV372" s="21" t="s">
        <v>2955</v>
      </c>
      <c r="UUW372" s="21" t="s">
        <v>2955</v>
      </c>
      <c r="UUX372" s="21" t="s">
        <v>2955</v>
      </c>
      <c r="UUY372" s="21" t="s">
        <v>2955</v>
      </c>
      <c r="UUZ372" s="21" t="s">
        <v>2955</v>
      </c>
      <c r="UVA372" s="21" t="s">
        <v>2955</v>
      </c>
      <c r="UVB372" s="21" t="s">
        <v>2955</v>
      </c>
      <c r="UVC372" s="21" t="s">
        <v>2955</v>
      </c>
      <c r="UVD372" s="21" t="s">
        <v>2955</v>
      </c>
      <c r="UVE372" s="21" t="s">
        <v>2955</v>
      </c>
      <c r="UVF372" s="21" t="s">
        <v>2955</v>
      </c>
      <c r="UVG372" s="21" t="s">
        <v>2955</v>
      </c>
      <c r="UVH372" s="21" t="s">
        <v>2955</v>
      </c>
      <c r="UVI372" s="21" t="s">
        <v>2955</v>
      </c>
      <c r="UVJ372" s="21" t="s">
        <v>2955</v>
      </c>
      <c r="UVK372" s="21" t="s">
        <v>2955</v>
      </c>
      <c r="UVL372" s="21" t="s">
        <v>2955</v>
      </c>
      <c r="UVM372" s="21" t="s">
        <v>2955</v>
      </c>
      <c r="UVN372" s="21" t="s">
        <v>2955</v>
      </c>
      <c r="UVO372" s="21" t="s">
        <v>2955</v>
      </c>
      <c r="UVP372" s="21" t="s">
        <v>2955</v>
      </c>
      <c r="UVQ372" s="21" t="s">
        <v>2955</v>
      </c>
      <c r="UVR372" s="21" t="s">
        <v>2955</v>
      </c>
      <c r="UVS372" s="21" t="s">
        <v>2955</v>
      </c>
      <c r="UVT372" s="21" t="s">
        <v>2955</v>
      </c>
      <c r="UVU372" s="21" t="s">
        <v>2955</v>
      </c>
      <c r="UVV372" s="21" t="s">
        <v>2955</v>
      </c>
      <c r="UVW372" s="21" t="s">
        <v>2955</v>
      </c>
      <c r="UVX372" s="21" t="s">
        <v>2955</v>
      </c>
      <c r="UVY372" s="21" t="s">
        <v>2955</v>
      </c>
      <c r="UVZ372" s="21" t="s">
        <v>2955</v>
      </c>
      <c r="UWA372" s="21" t="s">
        <v>2955</v>
      </c>
      <c r="UWB372" s="21" t="s">
        <v>2955</v>
      </c>
      <c r="UWC372" s="21" t="s">
        <v>2955</v>
      </c>
      <c r="UWD372" s="21" t="s">
        <v>2955</v>
      </c>
      <c r="UWE372" s="21" t="s">
        <v>2955</v>
      </c>
      <c r="UWF372" s="21" t="s">
        <v>2955</v>
      </c>
      <c r="UWG372" s="21" t="s">
        <v>2955</v>
      </c>
      <c r="UWH372" s="21" t="s">
        <v>2955</v>
      </c>
      <c r="UWI372" s="21" t="s">
        <v>2955</v>
      </c>
      <c r="UWJ372" s="21" t="s">
        <v>2955</v>
      </c>
      <c r="UWK372" s="21" t="s">
        <v>2955</v>
      </c>
      <c r="UWL372" s="21" t="s">
        <v>2955</v>
      </c>
      <c r="UWM372" s="21" t="s">
        <v>2955</v>
      </c>
      <c r="UWN372" s="21" t="s">
        <v>2955</v>
      </c>
      <c r="UWO372" s="21" t="s">
        <v>2955</v>
      </c>
      <c r="UWP372" s="21" t="s">
        <v>2955</v>
      </c>
      <c r="UWQ372" s="21" t="s">
        <v>2955</v>
      </c>
      <c r="UWR372" s="21" t="s">
        <v>2955</v>
      </c>
      <c r="UWS372" s="21" t="s">
        <v>2955</v>
      </c>
      <c r="UWT372" s="21" t="s">
        <v>2955</v>
      </c>
      <c r="UWU372" s="21" t="s">
        <v>2955</v>
      </c>
      <c r="UWV372" s="21" t="s">
        <v>2955</v>
      </c>
      <c r="UWW372" s="21" t="s">
        <v>2955</v>
      </c>
      <c r="UWX372" s="21" t="s">
        <v>2955</v>
      </c>
      <c r="UWY372" s="21" t="s">
        <v>2955</v>
      </c>
      <c r="UWZ372" s="21" t="s">
        <v>2955</v>
      </c>
      <c r="UXA372" s="21" t="s">
        <v>2955</v>
      </c>
      <c r="UXB372" s="21" t="s">
        <v>2955</v>
      </c>
      <c r="UXC372" s="21" t="s">
        <v>2955</v>
      </c>
      <c r="UXD372" s="21" t="s">
        <v>2955</v>
      </c>
      <c r="UXE372" s="21" t="s">
        <v>2955</v>
      </c>
      <c r="UXF372" s="21" t="s">
        <v>2955</v>
      </c>
      <c r="UXG372" s="21" t="s">
        <v>2955</v>
      </c>
      <c r="UXH372" s="21" t="s">
        <v>2955</v>
      </c>
      <c r="UXI372" s="21" t="s">
        <v>2955</v>
      </c>
      <c r="UXJ372" s="21" t="s">
        <v>2955</v>
      </c>
      <c r="UXK372" s="21" t="s">
        <v>2955</v>
      </c>
      <c r="UXL372" s="21" t="s">
        <v>2955</v>
      </c>
      <c r="UXM372" s="21" t="s">
        <v>2955</v>
      </c>
      <c r="UXN372" s="21" t="s">
        <v>2955</v>
      </c>
      <c r="UXO372" s="21" t="s">
        <v>2955</v>
      </c>
      <c r="UXP372" s="21" t="s">
        <v>2955</v>
      </c>
      <c r="UXQ372" s="21" t="s">
        <v>2955</v>
      </c>
      <c r="UXR372" s="21" t="s">
        <v>2955</v>
      </c>
      <c r="UXS372" s="21" t="s">
        <v>2955</v>
      </c>
      <c r="UXT372" s="21" t="s">
        <v>2955</v>
      </c>
      <c r="UXU372" s="21" t="s">
        <v>2955</v>
      </c>
      <c r="UXV372" s="21" t="s">
        <v>2955</v>
      </c>
      <c r="UXW372" s="21" t="s">
        <v>2955</v>
      </c>
      <c r="UXX372" s="21" t="s">
        <v>2955</v>
      </c>
      <c r="UXY372" s="21" t="s">
        <v>2955</v>
      </c>
      <c r="UXZ372" s="21" t="s">
        <v>2955</v>
      </c>
      <c r="UYA372" s="21" t="s">
        <v>2955</v>
      </c>
      <c r="UYB372" s="21" t="s">
        <v>2955</v>
      </c>
      <c r="UYC372" s="21" t="s">
        <v>2955</v>
      </c>
      <c r="UYD372" s="21" t="s">
        <v>2955</v>
      </c>
      <c r="UYE372" s="21" t="s">
        <v>2955</v>
      </c>
      <c r="UYF372" s="21" t="s">
        <v>2955</v>
      </c>
      <c r="UYG372" s="21" t="s">
        <v>2955</v>
      </c>
      <c r="UYH372" s="21" t="s">
        <v>2955</v>
      </c>
      <c r="UYI372" s="21" t="s">
        <v>2955</v>
      </c>
      <c r="UYJ372" s="21" t="s">
        <v>2955</v>
      </c>
      <c r="UYK372" s="21" t="s">
        <v>2955</v>
      </c>
      <c r="UYL372" s="21" t="s">
        <v>2955</v>
      </c>
      <c r="UYM372" s="21" t="s">
        <v>2955</v>
      </c>
      <c r="UYN372" s="21" t="s">
        <v>2955</v>
      </c>
      <c r="UYO372" s="21" t="s">
        <v>2955</v>
      </c>
      <c r="UYP372" s="21" t="s">
        <v>2955</v>
      </c>
      <c r="UYQ372" s="21" t="s">
        <v>2955</v>
      </c>
      <c r="UYR372" s="21" t="s">
        <v>2955</v>
      </c>
      <c r="UYS372" s="21" t="s">
        <v>2955</v>
      </c>
      <c r="UYT372" s="21" t="s">
        <v>2955</v>
      </c>
      <c r="UYU372" s="21" t="s">
        <v>2955</v>
      </c>
      <c r="UYV372" s="21" t="s">
        <v>2955</v>
      </c>
      <c r="UYW372" s="21" t="s">
        <v>2955</v>
      </c>
      <c r="UYX372" s="21" t="s">
        <v>2955</v>
      </c>
      <c r="UYY372" s="21" t="s">
        <v>2955</v>
      </c>
      <c r="UYZ372" s="21" t="s">
        <v>2955</v>
      </c>
      <c r="UZA372" s="21" t="s">
        <v>2955</v>
      </c>
      <c r="UZB372" s="21" t="s">
        <v>2955</v>
      </c>
      <c r="UZC372" s="21" t="s">
        <v>2955</v>
      </c>
      <c r="UZD372" s="21" t="s">
        <v>2955</v>
      </c>
      <c r="UZE372" s="21" t="s">
        <v>2955</v>
      </c>
      <c r="UZF372" s="21" t="s">
        <v>2955</v>
      </c>
      <c r="UZG372" s="21" t="s">
        <v>2955</v>
      </c>
      <c r="UZH372" s="21" t="s">
        <v>2955</v>
      </c>
      <c r="UZI372" s="21" t="s">
        <v>2955</v>
      </c>
      <c r="UZJ372" s="21" t="s">
        <v>2955</v>
      </c>
      <c r="UZK372" s="21" t="s">
        <v>2955</v>
      </c>
      <c r="UZL372" s="21" t="s">
        <v>2955</v>
      </c>
      <c r="UZM372" s="21" t="s">
        <v>2955</v>
      </c>
      <c r="UZN372" s="21" t="s">
        <v>2955</v>
      </c>
      <c r="UZO372" s="21" t="s">
        <v>2955</v>
      </c>
      <c r="UZP372" s="21" t="s">
        <v>2955</v>
      </c>
      <c r="UZQ372" s="21" t="s">
        <v>2955</v>
      </c>
      <c r="UZR372" s="21" t="s">
        <v>2955</v>
      </c>
      <c r="UZS372" s="21" t="s">
        <v>2955</v>
      </c>
      <c r="UZT372" s="21" t="s">
        <v>2955</v>
      </c>
      <c r="UZU372" s="21" t="s">
        <v>2955</v>
      </c>
      <c r="UZV372" s="21" t="s">
        <v>2955</v>
      </c>
      <c r="UZW372" s="21" t="s">
        <v>2955</v>
      </c>
      <c r="UZX372" s="21" t="s">
        <v>2955</v>
      </c>
      <c r="UZY372" s="21" t="s">
        <v>2955</v>
      </c>
      <c r="UZZ372" s="21" t="s">
        <v>2955</v>
      </c>
      <c r="VAA372" s="21" t="s">
        <v>2955</v>
      </c>
      <c r="VAB372" s="21" t="s">
        <v>2955</v>
      </c>
      <c r="VAC372" s="21" t="s">
        <v>2955</v>
      </c>
      <c r="VAD372" s="21" t="s">
        <v>2955</v>
      </c>
      <c r="VAE372" s="21" t="s">
        <v>2955</v>
      </c>
      <c r="VAF372" s="21" t="s">
        <v>2955</v>
      </c>
      <c r="VAG372" s="21" t="s">
        <v>2955</v>
      </c>
      <c r="VAH372" s="21" t="s">
        <v>2955</v>
      </c>
      <c r="VAI372" s="21" t="s">
        <v>2955</v>
      </c>
      <c r="VAJ372" s="21" t="s">
        <v>2955</v>
      </c>
      <c r="VAK372" s="21" t="s">
        <v>2955</v>
      </c>
      <c r="VAL372" s="21" t="s">
        <v>2955</v>
      </c>
      <c r="VAM372" s="21" t="s">
        <v>2955</v>
      </c>
      <c r="VAN372" s="21" t="s">
        <v>2955</v>
      </c>
      <c r="VAO372" s="21" t="s">
        <v>2955</v>
      </c>
      <c r="VAP372" s="21" t="s">
        <v>2955</v>
      </c>
      <c r="VAQ372" s="21" t="s">
        <v>2955</v>
      </c>
      <c r="VAR372" s="21" t="s">
        <v>2955</v>
      </c>
      <c r="VAS372" s="21" t="s">
        <v>2955</v>
      </c>
      <c r="VAT372" s="21" t="s">
        <v>2955</v>
      </c>
      <c r="VAU372" s="21" t="s">
        <v>2955</v>
      </c>
      <c r="VAV372" s="21" t="s">
        <v>2955</v>
      </c>
      <c r="VAW372" s="21" t="s">
        <v>2955</v>
      </c>
      <c r="VAX372" s="21" t="s">
        <v>2955</v>
      </c>
      <c r="VAY372" s="21" t="s">
        <v>2955</v>
      </c>
      <c r="VAZ372" s="21" t="s">
        <v>2955</v>
      </c>
      <c r="VBA372" s="21" t="s">
        <v>2955</v>
      </c>
      <c r="VBB372" s="21" t="s">
        <v>2955</v>
      </c>
      <c r="VBC372" s="21" t="s">
        <v>2955</v>
      </c>
      <c r="VBD372" s="21" t="s">
        <v>2955</v>
      </c>
      <c r="VBE372" s="21" t="s">
        <v>2955</v>
      </c>
      <c r="VBF372" s="21" t="s">
        <v>2955</v>
      </c>
      <c r="VBG372" s="21" t="s">
        <v>2955</v>
      </c>
      <c r="VBH372" s="21" t="s">
        <v>2955</v>
      </c>
      <c r="VBI372" s="21" t="s">
        <v>2955</v>
      </c>
      <c r="VBJ372" s="21" t="s">
        <v>2955</v>
      </c>
      <c r="VBK372" s="21" t="s">
        <v>2955</v>
      </c>
      <c r="VBL372" s="21" t="s">
        <v>2955</v>
      </c>
      <c r="VBM372" s="21" t="s">
        <v>2955</v>
      </c>
      <c r="VBN372" s="21" t="s">
        <v>2955</v>
      </c>
      <c r="VBO372" s="21" t="s">
        <v>2955</v>
      </c>
      <c r="VBP372" s="21" t="s">
        <v>2955</v>
      </c>
      <c r="VBQ372" s="21" t="s">
        <v>2955</v>
      </c>
      <c r="VBR372" s="21" t="s">
        <v>2955</v>
      </c>
      <c r="VBS372" s="21" t="s">
        <v>2955</v>
      </c>
      <c r="VBT372" s="21" t="s">
        <v>2955</v>
      </c>
      <c r="VBU372" s="21" t="s">
        <v>2955</v>
      </c>
      <c r="VBV372" s="21" t="s">
        <v>2955</v>
      </c>
      <c r="VBW372" s="21" t="s">
        <v>2955</v>
      </c>
      <c r="VBX372" s="21" t="s">
        <v>2955</v>
      </c>
      <c r="VBY372" s="21" t="s">
        <v>2955</v>
      </c>
      <c r="VBZ372" s="21" t="s">
        <v>2955</v>
      </c>
      <c r="VCA372" s="21" t="s">
        <v>2955</v>
      </c>
      <c r="VCB372" s="21" t="s">
        <v>2955</v>
      </c>
      <c r="VCC372" s="21" t="s">
        <v>2955</v>
      </c>
      <c r="VCD372" s="21" t="s">
        <v>2955</v>
      </c>
      <c r="VCE372" s="21" t="s">
        <v>2955</v>
      </c>
      <c r="VCF372" s="21" t="s">
        <v>2955</v>
      </c>
      <c r="VCG372" s="21" t="s">
        <v>2955</v>
      </c>
      <c r="VCH372" s="21" t="s">
        <v>2955</v>
      </c>
      <c r="VCI372" s="21" t="s">
        <v>2955</v>
      </c>
      <c r="VCJ372" s="21" t="s">
        <v>2955</v>
      </c>
      <c r="VCK372" s="21" t="s">
        <v>2955</v>
      </c>
      <c r="VCL372" s="21" t="s">
        <v>2955</v>
      </c>
      <c r="VCM372" s="21" t="s">
        <v>2955</v>
      </c>
      <c r="VCN372" s="21" t="s">
        <v>2955</v>
      </c>
      <c r="VCO372" s="21" t="s">
        <v>2955</v>
      </c>
      <c r="VCP372" s="21" t="s">
        <v>2955</v>
      </c>
      <c r="VCQ372" s="21" t="s">
        <v>2955</v>
      </c>
      <c r="VCR372" s="21" t="s">
        <v>2955</v>
      </c>
      <c r="VCS372" s="21" t="s">
        <v>2955</v>
      </c>
      <c r="VCT372" s="21" t="s">
        <v>2955</v>
      </c>
      <c r="VCU372" s="21" t="s">
        <v>2955</v>
      </c>
      <c r="VCV372" s="21" t="s">
        <v>2955</v>
      </c>
      <c r="VCW372" s="21" t="s">
        <v>2955</v>
      </c>
      <c r="VCX372" s="21" t="s">
        <v>2955</v>
      </c>
      <c r="VCY372" s="21" t="s">
        <v>2955</v>
      </c>
      <c r="VCZ372" s="21" t="s">
        <v>2955</v>
      </c>
      <c r="VDA372" s="21" t="s">
        <v>2955</v>
      </c>
      <c r="VDB372" s="21" t="s">
        <v>2955</v>
      </c>
      <c r="VDC372" s="21" t="s">
        <v>2955</v>
      </c>
      <c r="VDD372" s="21" t="s">
        <v>2955</v>
      </c>
      <c r="VDE372" s="21" t="s">
        <v>2955</v>
      </c>
      <c r="VDF372" s="21" t="s">
        <v>2955</v>
      </c>
      <c r="VDG372" s="21" t="s">
        <v>2955</v>
      </c>
      <c r="VDH372" s="21" t="s">
        <v>2955</v>
      </c>
      <c r="VDI372" s="21" t="s">
        <v>2955</v>
      </c>
      <c r="VDJ372" s="21" t="s">
        <v>2955</v>
      </c>
      <c r="VDK372" s="21" t="s">
        <v>2955</v>
      </c>
      <c r="VDL372" s="21" t="s">
        <v>2955</v>
      </c>
      <c r="VDM372" s="21" t="s">
        <v>2955</v>
      </c>
      <c r="VDN372" s="21" t="s">
        <v>2955</v>
      </c>
      <c r="VDO372" s="21" t="s">
        <v>2955</v>
      </c>
      <c r="VDP372" s="21" t="s">
        <v>2955</v>
      </c>
      <c r="VDQ372" s="21" t="s">
        <v>2955</v>
      </c>
      <c r="VDR372" s="21" t="s">
        <v>2955</v>
      </c>
      <c r="VDS372" s="21" t="s">
        <v>2955</v>
      </c>
      <c r="VDT372" s="21" t="s">
        <v>2955</v>
      </c>
      <c r="VDU372" s="21" t="s">
        <v>2955</v>
      </c>
      <c r="VDV372" s="21" t="s">
        <v>2955</v>
      </c>
      <c r="VDW372" s="21" t="s">
        <v>2955</v>
      </c>
      <c r="VDX372" s="21" t="s">
        <v>2955</v>
      </c>
      <c r="VDY372" s="21" t="s">
        <v>2955</v>
      </c>
      <c r="VDZ372" s="21" t="s">
        <v>2955</v>
      </c>
      <c r="VEA372" s="21" t="s">
        <v>2955</v>
      </c>
      <c r="VEB372" s="21" t="s">
        <v>2955</v>
      </c>
      <c r="VEC372" s="21" t="s">
        <v>2955</v>
      </c>
      <c r="VED372" s="21" t="s">
        <v>2955</v>
      </c>
      <c r="VEE372" s="21" t="s">
        <v>2955</v>
      </c>
      <c r="VEF372" s="21" t="s">
        <v>2955</v>
      </c>
      <c r="VEG372" s="21" t="s">
        <v>2955</v>
      </c>
      <c r="VEH372" s="21" t="s">
        <v>2955</v>
      </c>
      <c r="VEI372" s="21" t="s">
        <v>2955</v>
      </c>
      <c r="VEJ372" s="21" t="s">
        <v>2955</v>
      </c>
      <c r="VEK372" s="21" t="s">
        <v>2955</v>
      </c>
      <c r="VEL372" s="21" t="s">
        <v>2955</v>
      </c>
      <c r="VEM372" s="21" t="s">
        <v>2955</v>
      </c>
      <c r="VEN372" s="21" t="s">
        <v>2955</v>
      </c>
      <c r="VEO372" s="21" t="s">
        <v>2955</v>
      </c>
      <c r="VEP372" s="21" t="s">
        <v>2955</v>
      </c>
      <c r="VEQ372" s="21" t="s">
        <v>2955</v>
      </c>
      <c r="VER372" s="21" t="s">
        <v>2955</v>
      </c>
      <c r="VES372" s="21" t="s">
        <v>2955</v>
      </c>
      <c r="VET372" s="21" t="s">
        <v>2955</v>
      </c>
      <c r="VEU372" s="21" t="s">
        <v>2955</v>
      </c>
      <c r="VEV372" s="21" t="s">
        <v>2955</v>
      </c>
      <c r="VEW372" s="21" t="s">
        <v>2955</v>
      </c>
      <c r="VEX372" s="21" t="s">
        <v>2955</v>
      </c>
      <c r="VEY372" s="21" t="s">
        <v>2955</v>
      </c>
      <c r="VEZ372" s="21" t="s">
        <v>2955</v>
      </c>
      <c r="VFA372" s="21" t="s">
        <v>2955</v>
      </c>
      <c r="VFB372" s="21" t="s">
        <v>2955</v>
      </c>
      <c r="VFC372" s="21" t="s">
        <v>2955</v>
      </c>
      <c r="VFD372" s="21" t="s">
        <v>2955</v>
      </c>
      <c r="VFE372" s="21" t="s">
        <v>2955</v>
      </c>
      <c r="VFF372" s="21" t="s">
        <v>2955</v>
      </c>
      <c r="VFG372" s="21" t="s">
        <v>2955</v>
      </c>
      <c r="VFH372" s="21" t="s">
        <v>2955</v>
      </c>
      <c r="VFI372" s="21" t="s">
        <v>2955</v>
      </c>
      <c r="VFJ372" s="21" t="s">
        <v>2955</v>
      </c>
      <c r="VFK372" s="21" t="s">
        <v>2955</v>
      </c>
      <c r="VFL372" s="21" t="s">
        <v>2955</v>
      </c>
      <c r="VFM372" s="21" t="s">
        <v>2955</v>
      </c>
      <c r="VFN372" s="21" t="s">
        <v>2955</v>
      </c>
      <c r="VFO372" s="21" t="s">
        <v>2955</v>
      </c>
      <c r="VFP372" s="21" t="s">
        <v>2955</v>
      </c>
      <c r="VFQ372" s="21" t="s">
        <v>2955</v>
      </c>
      <c r="VFR372" s="21" t="s">
        <v>2955</v>
      </c>
      <c r="VFS372" s="21" t="s">
        <v>2955</v>
      </c>
      <c r="VFT372" s="21" t="s">
        <v>2955</v>
      </c>
      <c r="VFU372" s="21" t="s">
        <v>2955</v>
      </c>
      <c r="VFV372" s="21" t="s">
        <v>2955</v>
      </c>
      <c r="VFW372" s="21" t="s">
        <v>2955</v>
      </c>
      <c r="VFX372" s="21" t="s">
        <v>2955</v>
      </c>
      <c r="VFY372" s="21" t="s">
        <v>2955</v>
      </c>
      <c r="VFZ372" s="21" t="s">
        <v>2955</v>
      </c>
      <c r="VGA372" s="21" t="s">
        <v>2955</v>
      </c>
      <c r="VGB372" s="21" t="s">
        <v>2955</v>
      </c>
      <c r="VGC372" s="21" t="s">
        <v>2955</v>
      </c>
      <c r="VGD372" s="21" t="s">
        <v>2955</v>
      </c>
      <c r="VGE372" s="21" t="s">
        <v>2955</v>
      </c>
      <c r="VGF372" s="21" t="s">
        <v>2955</v>
      </c>
      <c r="VGG372" s="21" t="s">
        <v>2955</v>
      </c>
      <c r="VGH372" s="21" t="s">
        <v>2955</v>
      </c>
      <c r="VGI372" s="21" t="s">
        <v>2955</v>
      </c>
      <c r="VGJ372" s="21" t="s">
        <v>2955</v>
      </c>
      <c r="VGK372" s="21" t="s">
        <v>2955</v>
      </c>
      <c r="VGL372" s="21" t="s">
        <v>2955</v>
      </c>
      <c r="VGM372" s="21" t="s">
        <v>2955</v>
      </c>
      <c r="VGN372" s="21" t="s">
        <v>2955</v>
      </c>
      <c r="VGO372" s="21" t="s">
        <v>2955</v>
      </c>
      <c r="VGP372" s="21" t="s">
        <v>2955</v>
      </c>
      <c r="VGQ372" s="21" t="s">
        <v>2955</v>
      </c>
      <c r="VGR372" s="21" t="s">
        <v>2955</v>
      </c>
      <c r="VGS372" s="21" t="s">
        <v>2955</v>
      </c>
      <c r="VGT372" s="21" t="s">
        <v>2955</v>
      </c>
      <c r="VGU372" s="21" t="s">
        <v>2955</v>
      </c>
      <c r="VGV372" s="21" t="s">
        <v>2955</v>
      </c>
      <c r="VGW372" s="21" t="s">
        <v>2955</v>
      </c>
      <c r="VGX372" s="21" t="s">
        <v>2955</v>
      </c>
      <c r="VGY372" s="21" t="s">
        <v>2955</v>
      </c>
      <c r="VGZ372" s="21" t="s">
        <v>2955</v>
      </c>
      <c r="VHA372" s="21" t="s">
        <v>2955</v>
      </c>
      <c r="VHB372" s="21" t="s">
        <v>2955</v>
      </c>
      <c r="VHC372" s="21" t="s">
        <v>2955</v>
      </c>
      <c r="VHD372" s="21" t="s">
        <v>2955</v>
      </c>
      <c r="VHE372" s="21" t="s">
        <v>2955</v>
      </c>
      <c r="VHF372" s="21" t="s">
        <v>2955</v>
      </c>
      <c r="VHG372" s="21" t="s">
        <v>2955</v>
      </c>
      <c r="VHH372" s="21" t="s">
        <v>2955</v>
      </c>
      <c r="VHI372" s="21" t="s">
        <v>2955</v>
      </c>
      <c r="VHJ372" s="21" t="s">
        <v>2955</v>
      </c>
      <c r="VHK372" s="21" t="s">
        <v>2955</v>
      </c>
      <c r="VHL372" s="21" t="s">
        <v>2955</v>
      </c>
      <c r="VHM372" s="21" t="s">
        <v>2955</v>
      </c>
      <c r="VHN372" s="21" t="s">
        <v>2955</v>
      </c>
      <c r="VHO372" s="21" t="s">
        <v>2955</v>
      </c>
      <c r="VHP372" s="21" t="s">
        <v>2955</v>
      </c>
      <c r="VHQ372" s="21" t="s">
        <v>2955</v>
      </c>
      <c r="VHR372" s="21" t="s">
        <v>2955</v>
      </c>
      <c r="VHS372" s="21" t="s">
        <v>2955</v>
      </c>
      <c r="VHT372" s="21" t="s">
        <v>2955</v>
      </c>
      <c r="VHU372" s="21" t="s">
        <v>2955</v>
      </c>
      <c r="VHV372" s="21" t="s">
        <v>2955</v>
      </c>
      <c r="VHW372" s="21" t="s">
        <v>2955</v>
      </c>
      <c r="VHX372" s="21" t="s">
        <v>2955</v>
      </c>
      <c r="VHY372" s="21" t="s">
        <v>2955</v>
      </c>
      <c r="VHZ372" s="21" t="s">
        <v>2955</v>
      </c>
      <c r="VIA372" s="21" t="s">
        <v>2955</v>
      </c>
      <c r="VIB372" s="21" t="s">
        <v>2955</v>
      </c>
      <c r="VIC372" s="21" t="s">
        <v>2955</v>
      </c>
      <c r="VID372" s="21" t="s">
        <v>2955</v>
      </c>
      <c r="VIE372" s="21" t="s">
        <v>2955</v>
      </c>
      <c r="VIF372" s="21" t="s">
        <v>2955</v>
      </c>
      <c r="VIG372" s="21" t="s">
        <v>2955</v>
      </c>
      <c r="VIH372" s="21" t="s">
        <v>2955</v>
      </c>
      <c r="VII372" s="21" t="s">
        <v>2955</v>
      </c>
      <c r="VIJ372" s="21" t="s">
        <v>2955</v>
      </c>
      <c r="VIK372" s="21" t="s">
        <v>2955</v>
      </c>
      <c r="VIL372" s="21" t="s">
        <v>2955</v>
      </c>
      <c r="VIM372" s="21" t="s">
        <v>2955</v>
      </c>
      <c r="VIN372" s="21" t="s">
        <v>2955</v>
      </c>
      <c r="VIO372" s="21" t="s">
        <v>2955</v>
      </c>
      <c r="VIP372" s="21" t="s">
        <v>2955</v>
      </c>
      <c r="VIQ372" s="21" t="s">
        <v>2955</v>
      </c>
      <c r="VIR372" s="21" t="s">
        <v>2955</v>
      </c>
      <c r="VIS372" s="21" t="s">
        <v>2955</v>
      </c>
      <c r="VIT372" s="21" t="s">
        <v>2955</v>
      </c>
      <c r="VIU372" s="21" t="s">
        <v>2955</v>
      </c>
      <c r="VIV372" s="21" t="s">
        <v>2955</v>
      </c>
      <c r="VIW372" s="21" t="s">
        <v>2955</v>
      </c>
      <c r="VIX372" s="21" t="s">
        <v>2955</v>
      </c>
      <c r="VIY372" s="21" t="s">
        <v>2955</v>
      </c>
      <c r="VIZ372" s="21" t="s">
        <v>2955</v>
      </c>
      <c r="VJA372" s="21" t="s">
        <v>2955</v>
      </c>
      <c r="VJB372" s="21" t="s">
        <v>2955</v>
      </c>
      <c r="VJC372" s="21" t="s">
        <v>2955</v>
      </c>
      <c r="VJD372" s="21" t="s">
        <v>2955</v>
      </c>
      <c r="VJE372" s="21" t="s">
        <v>2955</v>
      </c>
      <c r="VJF372" s="21" t="s">
        <v>2955</v>
      </c>
      <c r="VJG372" s="21" t="s">
        <v>2955</v>
      </c>
      <c r="VJH372" s="21" t="s">
        <v>2955</v>
      </c>
      <c r="VJI372" s="21" t="s">
        <v>2955</v>
      </c>
      <c r="VJJ372" s="21" t="s">
        <v>2955</v>
      </c>
      <c r="VJK372" s="21" t="s">
        <v>2955</v>
      </c>
      <c r="VJL372" s="21" t="s">
        <v>2955</v>
      </c>
      <c r="VJM372" s="21" t="s">
        <v>2955</v>
      </c>
      <c r="VJN372" s="21" t="s">
        <v>2955</v>
      </c>
      <c r="VJO372" s="21" t="s">
        <v>2955</v>
      </c>
      <c r="VJP372" s="21" t="s">
        <v>2955</v>
      </c>
      <c r="VJQ372" s="21" t="s">
        <v>2955</v>
      </c>
      <c r="VJR372" s="21" t="s">
        <v>2955</v>
      </c>
      <c r="VJS372" s="21" t="s">
        <v>2955</v>
      </c>
      <c r="VJT372" s="21" t="s">
        <v>2955</v>
      </c>
      <c r="VJU372" s="21" t="s">
        <v>2955</v>
      </c>
      <c r="VJV372" s="21" t="s">
        <v>2955</v>
      </c>
      <c r="VJW372" s="21" t="s">
        <v>2955</v>
      </c>
      <c r="VJX372" s="21" t="s">
        <v>2955</v>
      </c>
      <c r="VJY372" s="21" t="s">
        <v>2955</v>
      </c>
      <c r="VJZ372" s="21" t="s">
        <v>2955</v>
      </c>
      <c r="VKA372" s="21" t="s">
        <v>2955</v>
      </c>
      <c r="VKB372" s="21" t="s">
        <v>2955</v>
      </c>
      <c r="VKC372" s="21" t="s">
        <v>2955</v>
      </c>
      <c r="VKD372" s="21" t="s">
        <v>2955</v>
      </c>
      <c r="VKE372" s="21" t="s">
        <v>2955</v>
      </c>
      <c r="VKF372" s="21" t="s">
        <v>2955</v>
      </c>
      <c r="VKG372" s="21" t="s">
        <v>2955</v>
      </c>
      <c r="VKH372" s="21" t="s">
        <v>2955</v>
      </c>
      <c r="VKI372" s="21" t="s">
        <v>2955</v>
      </c>
      <c r="VKJ372" s="21" t="s">
        <v>2955</v>
      </c>
      <c r="VKK372" s="21" t="s">
        <v>2955</v>
      </c>
      <c r="VKL372" s="21" t="s">
        <v>2955</v>
      </c>
      <c r="VKM372" s="21" t="s">
        <v>2955</v>
      </c>
      <c r="VKN372" s="21" t="s">
        <v>2955</v>
      </c>
      <c r="VKO372" s="21" t="s">
        <v>2955</v>
      </c>
      <c r="VKP372" s="21" t="s">
        <v>2955</v>
      </c>
      <c r="VKQ372" s="21" t="s">
        <v>2955</v>
      </c>
      <c r="VKR372" s="21" t="s">
        <v>2955</v>
      </c>
      <c r="VKS372" s="21" t="s">
        <v>2955</v>
      </c>
      <c r="VKT372" s="21" t="s">
        <v>2955</v>
      </c>
      <c r="VKU372" s="21" t="s">
        <v>2955</v>
      </c>
      <c r="VKV372" s="21" t="s">
        <v>2955</v>
      </c>
      <c r="VKW372" s="21" t="s">
        <v>2955</v>
      </c>
      <c r="VKX372" s="21" t="s">
        <v>2955</v>
      </c>
      <c r="VKY372" s="21" t="s">
        <v>2955</v>
      </c>
      <c r="VKZ372" s="21" t="s">
        <v>2955</v>
      </c>
      <c r="VLA372" s="21" t="s">
        <v>2955</v>
      </c>
      <c r="VLB372" s="21" t="s">
        <v>2955</v>
      </c>
      <c r="VLC372" s="21" t="s">
        <v>2955</v>
      </c>
      <c r="VLD372" s="21" t="s">
        <v>2955</v>
      </c>
      <c r="VLE372" s="21" t="s">
        <v>2955</v>
      </c>
      <c r="VLF372" s="21" t="s">
        <v>2955</v>
      </c>
      <c r="VLG372" s="21" t="s">
        <v>2955</v>
      </c>
      <c r="VLH372" s="21" t="s">
        <v>2955</v>
      </c>
      <c r="VLI372" s="21" t="s">
        <v>2955</v>
      </c>
      <c r="VLJ372" s="21" t="s">
        <v>2955</v>
      </c>
      <c r="VLK372" s="21" t="s">
        <v>2955</v>
      </c>
      <c r="VLL372" s="21" t="s">
        <v>2955</v>
      </c>
      <c r="VLM372" s="21" t="s">
        <v>2955</v>
      </c>
      <c r="VLN372" s="21" t="s">
        <v>2955</v>
      </c>
      <c r="VLO372" s="21" t="s">
        <v>2955</v>
      </c>
      <c r="VLP372" s="21" t="s">
        <v>2955</v>
      </c>
      <c r="VLQ372" s="21" t="s">
        <v>2955</v>
      </c>
      <c r="VLR372" s="21" t="s">
        <v>2955</v>
      </c>
      <c r="VLS372" s="21" t="s">
        <v>2955</v>
      </c>
      <c r="VLT372" s="21" t="s">
        <v>2955</v>
      </c>
      <c r="VLU372" s="21" t="s">
        <v>2955</v>
      </c>
      <c r="VLV372" s="21" t="s">
        <v>2955</v>
      </c>
      <c r="VLW372" s="21" t="s">
        <v>2955</v>
      </c>
      <c r="VLX372" s="21" t="s">
        <v>2955</v>
      </c>
      <c r="VLY372" s="21" t="s">
        <v>2955</v>
      </c>
      <c r="VLZ372" s="21" t="s">
        <v>2955</v>
      </c>
      <c r="VMA372" s="21" t="s">
        <v>2955</v>
      </c>
      <c r="VMB372" s="21" t="s">
        <v>2955</v>
      </c>
      <c r="VMC372" s="21" t="s">
        <v>2955</v>
      </c>
      <c r="VMD372" s="21" t="s">
        <v>2955</v>
      </c>
      <c r="VME372" s="21" t="s">
        <v>2955</v>
      </c>
      <c r="VMF372" s="21" t="s">
        <v>2955</v>
      </c>
      <c r="VMG372" s="21" t="s">
        <v>2955</v>
      </c>
      <c r="VMH372" s="21" t="s">
        <v>2955</v>
      </c>
      <c r="VMI372" s="21" t="s">
        <v>2955</v>
      </c>
      <c r="VMJ372" s="21" t="s">
        <v>2955</v>
      </c>
      <c r="VMK372" s="21" t="s">
        <v>2955</v>
      </c>
      <c r="VML372" s="21" t="s">
        <v>2955</v>
      </c>
      <c r="VMM372" s="21" t="s">
        <v>2955</v>
      </c>
      <c r="VMN372" s="21" t="s">
        <v>2955</v>
      </c>
      <c r="VMO372" s="21" t="s">
        <v>2955</v>
      </c>
      <c r="VMP372" s="21" t="s">
        <v>2955</v>
      </c>
      <c r="VMQ372" s="21" t="s">
        <v>2955</v>
      </c>
      <c r="VMR372" s="21" t="s">
        <v>2955</v>
      </c>
      <c r="VMS372" s="21" t="s">
        <v>2955</v>
      </c>
      <c r="VMT372" s="21" t="s">
        <v>2955</v>
      </c>
      <c r="VMU372" s="21" t="s">
        <v>2955</v>
      </c>
      <c r="VMV372" s="21" t="s">
        <v>2955</v>
      </c>
      <c r="VMW372" s="21" t="s">
        <v>2955</v>
      </c>
      <c r="VMX372" s="21" t="s">
        <v>2955</v>
      </c>
      <c r="VMY372" s="21" t="s">
        <v>2955</v>
      </c>
      <c r="VMZ372" s="21" t="s">
        <v>2955</v>
      </c>
      <c r="VNA372" s="21" t="s">
        <v>2955</v>
      </c>
      <c r="VNB372" s="21" t="s">
        <v>2955</v>
      </c>
      <c r="VNC372" s="21" t="s">
        <v>2955</v>
      </c>
      <c r="VND372" s="21" t="s">
        <v>2955</v>
      </c>
      <c r="VNE372" s="21" t="s">
        <v>2955</v>
      </c>
      <c r="VNF372" s="21" t="s">
        <v>2955</v>
      </c>
      <c r="VNG372" s="21" t="s">
        <v>2955</v>
      </c>
      <c r="VNH372" s="21" t="s">
        <v>2955</v>
      </c>
      <c r="VNI372" s="21" t="s">
        <v>2955</v>
      </c>
      <c r="VNJ372" s="21" t="s">
        <v>2955</v>
      </c>
      <c r="VNK372" s="21" t="s">
        <v>2955</v>
      </c>
      <c r="VNL372" s="21" t="s">
        <v>2955</v>
      </c>
      <c r="VNM372" s="21" t="s">
        <v>2955</v>
      </c>
      <c r="VNN372" s="21" t="s">
        <v>2955</v>
      </c>
      <c r="VNO372" s="21" t="s">
        <v>2955</v>
      </c>
      <c r="VNP372" s="21" t="s">
        <v>2955</v>
      </c>
      <c r="VNQ372" s="21" t="s">
        <v>2955</v>
      </c>
      <c r="VNR372" s="21" t="s">
        <v>2955</v>
      </c>
      <c r="VNS372" s="21" t="s">
        <v>2955</v>
      </c>
      <c r="VNT372" s="21" t="s">
        <v>2955</v>
      </c>
      <c r="VNU372" s="21" t="s">
        <v>2955</v>
      </c>
      <c r="VNV372" s="21" t="s">
        <v>2955</v>
      </c>
      <c r="VNW372" s="21" t="s">
        <v>2955</v>
      </c>
      <c r="VNX372" s="21" t="s">
        <v>2955</v>
      </c>
      <c r="VNY372" s="21" t="s">
        <v>2955</v>
      </c>
      <c r="VNZ372" s="21" t="s">
        <v>2955</v>
      </c>
      <c r="VOA372" s="21" t="s">
        <v>2955</v>
      </c>
      <c r="VOB372" s="21" t="s">
        <v>2955</v>
      </c>
      <c r="VOC372" s="21" t="s">
        <v>2955</v>
      </c>
      <c r="VOD372" s="21" t="s">
        <v>2955</v>
      </c>
      <c r="VOE372" s="21" t="s">
        <v>2955</v>
      </c>
      <c r="VOF372" s="21" t="s">
        <v>2955</v>
      </c>
      <c r="VOG372" s="21" t="s">
        <v>2955</v>
      </c>
      <c r="VOH372" s="21" t="s">
        <v>2955</v>
      </c>
      <c r="VOI372" s="21" t="s">
        <v>2955</v>
      </c>
      <c r="VOJ372" s="21" t="s">
        <v>2955</v>
      </c>
      <c r="VOK372" s="21" t="s">
        <v>2955</v>
      </c>
      <c r="VOL372" s="21" t="s">
        <v>2955</v>
      </c>
      <c r="VOM372" s="21" t="s">
        <v>2955</v>
      </c>
      <c r="VON372" s="21" t="s">
        <v>2955</v>
      </c>
      <c r="VOO372" s="21" t="s">
        <v>2955</v>
      </c>
      <c r="VOP372" s="21" t="s">
        <v>2955</v>
      </c>
      <c r="VOQ372" s="21" t="s">
        <v>2955</v>
      </c>
      <c r="VOR372" s="21" t="s">
        <v>2955</v>
      </c>
      <c r="VOS372" s="21" t="s">
        <v>2955</v>
      </c>
      <c r="VOT372" s="21" t="s">
        <v>2955</v>
      </c>
      <c r="VOU372" s="21" t="s">
        <v>2955</v>
      </c>
      <c r="VOV372" s="21" t="s">
        <v>2955</v>
      </c>
      <c r="VOW372" s="21" t="s">
        <v>2955</v>
      </c>
      <c r="VOX372" s="21" t="s">
        <v>2955</v>
      </c>
      <c r="VOY372" s="21" t="s">
        <v>2955</v>
      </c>
      <c r="VOZ372" s="21" t="s">
        <v>2955</v>
      </c>
      <c r="VPA372" s="21" t="s">
        <v>2955</v>
      </c>
      <c r="VPB372" s="21" t="s">
        <v>2955</v>
      </c>
      <c r="VPC372" s="21" t="s">
        <v>2955</v>
      </c>
      <c r="VPD372" s="21" t="s">
        <v>2955</v>
      </c>
      <c r="VPE372" s="21" t="s">
        <v>2955</v>
      </c>
      <c r="VPF372" s="21" t="s">
        <v>2955</v>
      </c>
      <c r="VPG372" s="21" t="s">
        <v>2955</v>
      </c>
      <c r="VPH372" s="21" t="s">
        <v>2955</v>
      </c>
      <c r="VPI372" s="21" t="s">
        <v>2955</v>
      </c>
      <c r="VPJ372" s="21" t="s">
        <v>2955</v>
      </c>
      <c r="VPK372" s="21" t="s">
        <v>2955</v>
      </c>
      <c r="VPL372" s="21" t="s">
        <v>2955</v>
      </c>
      <c r="VPM372" s="21" t="s">
        <v>2955</v>
      </c>
      <c r="VPN372" s="21" t="s">
        <v>2955</v>
      </c>
      <c r="VPO372" s="21" t="s">
        <v>2955</v>
      </c>
      <c r="VPP372" s="21" t="s">
        <v>2955</v>
      </c>
      <c r="VPQ372" s="21" t="s">
        <v>2955</v>
      </c>
      <c r="VPR372" s="21" t="s">
        <v>2955</v>
      </c>
      <c r="VPS372" s="21" t="s">
        <v>2955</v>
      </c>
      <c r="VPT372" s="21" t="s">
        <v>2955</v>
      </c>
      <c r="VPU372" s="21" t="s">
        <v>2955</v>
      </c>
      <c r="VPV372" s="21" t="s">
        <v>2955</v>
      </c>
      <c r="VPW372" s="21" t="s">
        <v>2955</v>
      </c>
      <c r="VPX372" s="21" t="s">
        <v>2955</v>
      </c>
      <c r="VPY372" s="21" t="s">
        <v>2955</v>
      </c>
      <c r="VPZ372" s="21" t="s">
        <v>2955</v>
      </c>
      <c r="VQA372" s="21" t="s">
        <v>2955</v>
      </c>
      <c r="VQB372" s="21" t="s">
        <v>2955</v>
      </c>
      <c r="VQC372" s="21" t="s">
        <v>2955</v>
      </c>
      <c r="VQD372" s="21" t="s">
        <v>2955</v>
      </c>
      <c r="VQE372" s="21" t="s">
        <v>2955</v>
      </c>
      <c r="VQF372" s="21" t="s">
        <v>2955</v>
      </c>
      <c r="VQG372" s="21" t="s">
        <v>2955</v>
      </c>
      <c r="VQH372" s="21" t="s">
        <v>2955</v>
      </c>
      <c r="VQI372" s="21" t="s">
        <v>2955</v>
      </c>
      <c r="VQJ372" s="21" t="s">
        <v>2955</v>
      </c>
      <c r="VQK372" s="21" t="s">
        <v>2955</v>
      </c>
      <c r="VQL372" s="21" t="s">
        <v>2955</v>
      </c>
      <c r="VQM372" s="21" t="s">
        <v>2955</v>
      </c>
      <c r="VQN372" s="21" t="s">
        <v>2955</v>
      </c>
      <c r="VQO372" s="21" t="s">
        <v>2955</v>
      </c>
      <c r="VQP372" s="21" t="s">
        <v>2955</v>
      </c>
      <c r="VQQ372" s="21" t="s">
        <v>2955</v>
      </c>
      <c r="VQR372" s="21" t="s">
        <v>2955</v>
      </c>
      <c r="VQS372" s="21" t="s">
        <v>2955</v>
      </c>
      <c r="VQT372" s="21" t="s">
        <v>2955</v>
      </c>
      <c r="VQU372" s="21" t="s">
        <v>2955</v>
      </c>
      <c r="VQV372" s="21" t="s">
        <v>2955</v>
      </c>
      <c r="VQW372" s="21" t="s">
        <v>2955</v>
      </c>
      <c r="VQX372" s="21" t="s">
        <v>2955</v>
      </c>
      <c r="VQY372" s="21" t="s">
        <v>2955</v>
      </c>
      <c r="VQZ372" s="21" t="s">
        <v>2955</v>
      </c>
      <c r="VRA372" s="21" t="s">
        <v>2955</v>
      </c>
      <c r="VRB372" s="21" t="s">
        <v>2955</v>
      </c>
      <c r="VRC372" s="21" t="s">
        <v>2955</v>
      </c>
      <c r="VRD372" s="21" t="s">
        <v>2955</v>
      </c>
      <c r="VRE372" s="21" t="s">
        <v>2955</v>
      </c>
      <c r="VRF372" s="21" t="s">
        <v>2955</v>
      </c>
      <c r="VRG372" s="21" t="s">
        <v>2955</v>
      </c>
      <c r="VRH372" s="21" t="s">
        <v>2955</v>
      </c>
      <c r="VRI372" s="21" t="s">
        <v>2955</v>
      </c>
      <c r="VRJ372" s="21" t="s">
        <v>2955</v>
      </c>
      <c r="VRK372" s="21" t="s">
        <v>2955</v>
      </c>
      <c r="VRL372" s="21" t="s">
        <v>2955</v>
      </c>
      <c r="VRM372" s="21" t="s">
        <v>2955</v>
      </c>
      <c r="VRN372" s="21" t="s">
        <v>2955</v>
      </c>
      <c r="VRO372" s="21" t="s">
        <v>2955</v>
      </c>
      <c r="VRP372" s="21" t="s">
        <v>2955</v>
      </c>
      <c r="VRQ372" s="21" t="s">
        <v>2955</v>
      </c>
      <c r="VRR372" s="21" t="s">
        <v>2955</v>
      </c>
      <c r="VRS372" s="21" t="s">
        <v>2955</v>
      </c>
      <c r="VRT372" s="21" t="s">
        <v>2955</v>
      </c>
      <c r="VRU372" s="21" t="s">
        <v>2955</v>
      </c>
      <c r="VRV372" s="21" t="s">
        <v>2955</v>
      </c>
      <c r="VRW372" s="21" t="s">
        <v>2955</v>
      </c>
      <c r="VRX372" s="21" t="s">
        <v>2955</v>
      </c>
      <c r="VRY372" s="21" t="s">
        <v>2955</v>
      </c>
      <c r="VRZ372" s="21" t="s">
        <v>2955</v>
      </c>
      <c r="VSA372" s="21" t="s">
        <v>2955</v>
      </c>
      <c r="VSB372" s="21" t="s">
        <v>2955</v>
      </c>
      <c r="VSC372" s="21" t="s">
        <v>2955</v>
      </c>
      <c r="VSD372" s="21" t="s">
        <v>2955</v>
      </c>
      <c r="VSE372" s="21" t="s">
        <v>2955</v>
      </c>
      <c r="VSF372" s="21" t="s">
        <v>2955</v>
      </c>
      <c r="VSG372" s="21" t="s">
        <v>2955</v>
      </c>
      <c r="VSH372" s="21" t="s">
        <v>2955</v>
      </c>
      <c r="VSI372" s="21" t="s">
        <v>2955</v>
      </c>
      <c r="VSJ372" s="21" t="s">
        <v>2955</v>
      </c>
      <c r="VSK372" s="21" t="s">
        <v>2955</v>
      </c>
      <c r="VSL372" s="21" t="s">
        <v>2955</v>
      </c>
      <c r="VSM372" s="21" t="s">
        <v>2955</v>
      </c>
      <c r="VSN372" s="21" t="s">
        <v>2955</v>
      </c>
      <c r="VSO372" s="21" t="s">
        <v>2955</v>
      </c>
      <c r="VSP372" s="21" t="s">
        <v>2955</v>
      </c>
      <c r="VSQ372" s="21" t="s">
        <v>2955</v>
      </c>
      <c r="VSR372" s="21" t="s">
        <v>2955</v>
      </c>
      <c r="VSS372" s="21" t="s">
        <v>2955</v>
      </c>
      <c r="VST372" s="21" t="s">
        <v>2955</v>
      </c>
      <c r="VSU372" s="21" t="s">
        <v>2955</v>
      </c>
      <c r="VSV372" s="21" t="s">
        <v>2955</v>
      </c>
      <c r="VSW372" s="21" t="s">
        <v>2955</v>
      </c>
      <c r="VSX372" s="21" t="s">
        <v>2955</v>
      </c>
      <c r="VSY372" s="21" t="s">
        <v>2955</v>
      </c>
      <c r="VSZ372" s="21" t="s">
        <v>2955</v>
      </c>
      <c r="VTA372" s="21" t="s">
        <v>2955</v>
      </c>
      <c r="VTB372" s="21" t="s">
        <v>2955</v>
      </c>
      <c r="VTC372" s="21" t="s">
        <v>2955</v>
      </c>
      <c r="VTD372" s="21" t="s">
        <v>2955</v>
      </c>
      <c r="VTE372" s="21" t="s">
        <v>2955</v>
      </c>
      <c r="VTF372" s="21" t="s">
        <v>2955</v>
      </c>
      <c r="VTG372" s="21" t="s">
        <v>2955</v>
      </c>
      <c r="VTH372" s="21" t="s">
        <v>2955</v>
      </c>
      <c r="VTI372" s="21" t="s">
        <v>2955</v>
      </c>
      <c r="VTJ372" s="21" t="s">
        <v>2955</v>
      </c>
      <c r="VTK372" s="21" t="s">
        <v>2955</v>
      </c>
      <c r="VTL372" s="21" t="s">
        <v>2955</v>
      </c>
      <c r="VTM372" s="21" t="s">
        <v>2955</v>
      </c>
      <c r="VTN372" s="21" t="s">
        <v>2955</v>
      </c>
      <c r="VTO372" s="21" t="s">
        <v>2955</v>
      </c>
      <c r="VTP372" s="21" t="s">
        <v>2955</v>
      </c>
      <c r="VTQ372" s="21" t="s">
        <v>2955</v>
      </c>
      <c r="VTR372" s="21" t="s">
        <v>2955</v>
      </c>
      <c r="VTS372" s="21" t="s">
        <v>2955</v>
      </c>
      <c r="VTT372" s="21" t="s">
        <v>2955</v>
      </c>
      <c r="VTU372" s="21" t="s">
        <v>2955</v>
      </c>
      <c r="VTV372" s="21" t="s">
        <v>2955</v>
      </c>
      <c r="VTW372" s="21" t="s">
        <v>2955</v>
      </c>
      <c r="VTX372" s="21" t="s">
        <v>2955</v>
      </c>
      <c r="VTY372" s="21" t="s">
        <v>2955</v>
      </c>
      <c r="VTZ372" s="21" t="s">
        <v>2955</v>
      </c>
      <c r="VUA372" s="21" t="s">
        <v>2955</v>
      </c>
      <c r="VUB372" s="21" t="s">
        <v>2955</v>
      </c>
      <c r="VUC372" s="21" t="s">
        <v>2955</v>
      </c>
      <c r="VUD372" s="21" t="s">
        <v>2955</v>
      </c>
      <c r="VUE372" s="21" t="s">
        <v>2955</v>
      </c>
      <c r="VUF372" s="21" t="s">
        <v>2955</v>
      </c>
      <c r="VUG372" s="21" t="s">
        <v>2955</v>
      </c>
      <c r="VUH372" s="21" t="s">
        <v>2955</v>
      </c>
      <c r="VUI372" s="21" t="s">
        <v>2955</v>
      </c>
      <c r="VUJ372" s="21" t="s">
        <v>2955</v>
      </c>
      <c r="VUK372" s="21" t="s">
        <v>2955</v>
      </c>
      <c r="VUL372" s="21" t="s">
        <v>2955</v>
      </c>
      <c r="VUM372" s="21" t="s">
        <v>2955</v>
      </c>
      <c r="VUN372" s="21" t="s">
        <v>2955</v>
      </c>
      <c r="VUO372" s="21" t="s">
        <v>2955</v>
      </c>
      <c r="VUP372" s="21" t="s">
        <v>2955</v>
      </c>
      <c r="VUQ372" s="21" t="s">
        <v>2955</v>
      </c>
      <c r="VUR372" s="21" t="s">
        <v>2955</v>
      </c>
      <c r="VUS372" s="21" t="s">
        <v>2955</v>
      </c>
      <c r="VUT372" s="21" t="s">
        <v>2955</v>
      </c>
      <c r="VUU372" s="21" t="s">
        <v>2955</v>
      </c>
      <c r="VUV372" s="21" t="s">
        <v>2955</v>
      </c>
      <c r="VUW372" s="21" t="s">
        <v>2955</v>
      </c>
      <c r="VUX372" s="21" t="s">
        <v>2955</v>
      </c>
      <c r="VUY372" s="21" t="s">
        <v>2955</v>
      </c>
      <c r="VUZ372" s="21" t="s">
        <v>2955</v>
      </c>
      <c r="VVA372" s="21" t="s">
        <v>2955</v>
      </c>
      <c r="VVB372" s="21" t="s">
        <v>2955</v>
      </c>
      <c r="VVC372" s="21" t="s">
        <v>2955</v>
      </c>
      <c r="VVD372" s="21" t="s">
        <v>2955</v>
      </c>
      <c r="VVE372" s="21" t="s">
        <v>2955</v>
      </c>
      <c r="VVF372" s="21" t="s">
        <v>2955</v>
      </c>
      <c r="VVG372" s="21" t="s">
        <v>2955</v>
      </c>
      <c r="VVH372" s="21" t="s">
        <v>2955</v>
      </c>
      <c r="VVI372" s="21" t="s">
        <v>2955</v>
      </c>
      <c r="VVJ372" s="21" t="s">
        <v>2955</v>
      </c>
      <c r="VVK372" s="21" t="s">
        <v>2955</v>
      </c>
      <c r="VVL372" s="21" t="s">
        <v>2955</v>
      </c>
      <c r="VVM372" s="21" t="s">
        <v>2955</v>
      </c>
      <c r="VVN372" s="21" t="s">
        <v>2955</v>
      </c>
      <c r="VVO372" s="21" t="s">
        <v>2955</v>
      </c>
      <c r="VVP372" s="21" t="s">
        <v>2955</v>
      </c>
      <c r="VVQ372" s="21" t="s">
        <v>2955</v>
      </c>
      <c r="VVR372" s="21" t="s">
        <v>2955</v>
      </c>
      <c r="VVS372" s="21" t="s">
        <v>2955</v>
      </c>
      <c r="VVT372" s="21" t="s">
        <v>2955</v>
      </c>
      <c r="VVU372" s="21" t="s">
        <v>2955</v>
      </c>
      <c r="VVV372" s="21" t="s">
        <v>2955</v>
      </c>
      <c r="VVW372" s="21" t="s">
        <v>2955</v>
      </c>
      <c r="VVX372" s="21" t="s">
        <v>2955</v>
      </c>
      <c r="VVY372" s="21" t="s">
        <v>2955</v>
      </c>
      <c r="VVZ372" s="21" t="s">
        <v>2955</v>
      </c>
      <c r="VWA372" s="21" t="s">
        <v>2955</v>
      </c>
      <c r="VWB372" s="21" t="s">
        <v>2955</v>
      </c>
      <c r="VWC372" s="21" t="s">
        <v>2955</v>
      </c>
      <c r="VWD372" s="21" t="s">
        <v>2955</v>
      </c>
      <c r="VWE372" s="21" t="s">
        <v>2955</v>
      </c>
      <c r="VWF372" s="21" t="s">
        <v>2955</v>
      </c>
      <c r="VWG372" s="21" t="s">
        <v>2955</v>
      </c>
      <c r="VWH372" s="21" t="s">
        <v>2955</v>
      </c>
      <c r="VWI372" s="21" t="s">
        <v>2955</v>
      </c>
      <c r="VWJ372" s="21" t="s">
        <v>2955</v>
      </c>
      <c r="VWK372" s="21" t="s">
        <v>2955</v>
      </c>
      <c r="VWL372" s="21" t="s">
        <v>2955</v>
      </c>
      <c r="VWM372" s="21" t="s">
        <v>2955</v>
      </c>
      <c r="VWN372" s="21" t="s">
        <v>2955</v>
      </c>
      <c r="VWO372" s="21" t="s">
        <v>2955</v>
      </c>
      <c r="VWP372" s="21" t="s">
        <v>2955</v>
      </c>
      <c r="VWQ372" s="21" t="s">
        <v>2955</v>
      </c>
      <c r="VWR372" s="21" t="s">
        <v>2955</v>
      </c>
      <c r="VWS372" s="21" t="s">
        <v>2955</v>
      </c>
      <c r="VWT372" s="21" t="s">
        <v>2955</v>
      </c>
      <c r="VWU372" s="21" t="s">
        <v>2955</v>
      </c>
      <c r="VWV372" s="21" t="s">
        <v>2955</v>
      </c>
      <c r="VWW372" s="21" t="s">
        <v>2955</v>
      </c>
      <c r="VWX372" s="21" t="s">
        <v>2955</v>
      </c>
      <c r="VWY372" s="21" t="s">
        <v>2955</v>
      </c>
      <c r="VWZ372" s="21" t="s">
        <v>2955</v>
      </c>
      <c r="VXA372" s="21" t="s">
        <v>2955</v>
      </c>
      <c r="VXB372" s="21" t="s">
        <v>2955</v>
      </c>
      <c r="VXC372" s="21" t="s">
        <v>2955</v>
      </c>
      <c r="VXD372" s="21" t="s">
        <v>2955</v>
      </c>
      <c r="VXE372" s="21" t="s">
        <v>2955</v>
      </c>
      <c r="VXF372" s="21" t="s">
        <v>2955</v>
      </c>
      <c r="VXG372" s="21" t="s">
        <v>2955</v>
      </c>
      <c r="VXH372" s="21" t="s">
        <v>2955</v>
      </c>
      <c r="VXI372" s="21" t="s">
        <v>2955</v>
      </c>
      <c r="VXJ372" s="21" t="s">
        <v>2955</v>
      </c>
      <c r="VXK372" s="21" t="s">
        <v>2955</v>
      </c>
      <c r="VXL372" s="21" t="s">
        <v>2955</v>
      </c>
      <c r="VXM372" s="21" t="s">
        <v>2955</v>
      </c>
      <c r="VXN372" s="21" t="s">
        <v>2955</v>
      </c>
      <c r="VXO372" s="21" t="s">
        <v>2955</v>
      </c>
      <c r="VXP372" s="21" t="s">
        <v>2955</v>
      </c>
      <c r="VXQ372" s="21" t="s">
        <v>2955</v>
      </c>
      <c r="VXR372" s="21" t="s">
        <v>2955</v>
      </c>
      <c r="VXS372" s="21" t="s">
        <v>2955</v>
      </c>
      <c r="VXT372" s="21" t="s">
        <v>2955</v>
      </c>
      <c r="VXU372" s="21" t="s">
        <v>2955</v>
      </c>
      <c r="VXV372" s="21" t="s">
        <v>2955</v>
      </c>
      <c r="VXW372" s="21" t="s">
        <v>2955</v>
      </c>
      <c r="VXX372" s="21" t="s">
        <v>2955</v>
      </c>
      <c r="VXY372" s="21" t="s">
        <v>2955</v>
      </c>
      <c r="VXZ372" s="21" t="s">
        <v>2955</v>
      </c>
      <c r="VYA372" s="21" t="s">
        <v>2955</v>
      </c>
      <c r="VYB372" s="21" t="s">
        <v>2955</v>
      </c>
      <c r="VYC372" s="21" t="s">
        <v>2955</v>
      </c>
      <c r="VYD372" s="21" t="s">
        <v>2955</v>
      </c>
      <c r="VYE372" s="21" t="s">
        <v>2955</v>
      </c>
      <c r="VYF372" s="21" t="s">
        <v>2955</v>
      </c>
      <c r="VYG372" s="21" t="s">
        <v>2955</v>
      </c>
      <c r="VYH372" s="21" t="s">
        <v>2955</v>
      </c>
      <c r="VYI372" s="21" t="s">
        <v>2955</v>
      </c>
      <c r="VYJ372" s="21" t="s">
        <v>2955</v>
      </c>
      <c r="VYK372" s="21" t="s">
        <v>2955</v>
      </c>
      <c r="VYL372" s="21" t="s">
        <v>2955</v>
      </c>
      <c r="VYM372" s="21" t="s">
        <v>2955</v>
      </c>
      <c r="VYN372" s="21" t="s">
        <v>2955</v>
      </c>
      <c r="VYO372" s="21" t="s">
        <v>2955</v>
      </c>
      <c r="VYP372" s="21" t="s">
        <v>2955</v>
      </c>
      <c r="VYQ372" s="21" t="s">
        <v>2955</v>
      </c>
      <c r="VYR372" s="21" t="s">
        <v>2955</v>
      </c>
      <c r="VYS372" s="21" t="s">
        <v>2955</v>
      </c>
      <c r="VYT372" s="21" t="s">
        <v>2955</v>
      </c>
      <c r="VYU372" s="21" t="s">
        <v>2955</v>
      </c>
      <c r="VYV372" s="21" t="s">
        <v>2955</v>
      </c>
      <c r="VYW372" s="21" t="s">
        <v>2955</v>
      </c>
      <c r="VYX372" s="21" t="s">
        <v>2955</v>
      </c>
      <c r="VYY372" s="21" t="s">
        <v>2955</v>
      </c>
      <c r="VYZ372" s="21" t="s">
        <v>2955</v>
      </c>
      <c r="VZA372" s="21" t="s">
        <v>2955</v>
      </c>
      <c r="VZB372" s="21" t="s">
        <v>2955</v>
      </c>
      <c r="VZC372" s="21" t="s">
        <v>2955</v>
      </c>
      <c r="VZD372" s="21" t="s">
        <v>2955</v>
      </c>
      <c r="VZE372" s="21" t="s">
        <v>2955</v>
      </c>
      <c r="VZF372" s="21" t="s">
        <v>2955</v>
      </c>
      <c r="VZG372" s="21" t="s">
        <v>2955</v>
      </c>
      <c r="VZH372" s="21" t="s">
        <v>2955</v>
      </c>
      <c r="VZI372" s="21" t="s">
        <v>2955</v>
      </c>
      <c r="VZJ372" s="21" t="s">
        <v>2955</v>
      </c>
      <c r="VZK372" s="21" t="s">
        <v>2955</v>
      </c>
      <c r="VZL372" s="21" t="s">
        <v>2955</v>
      </c>
      <c r="VZM372" s="21" t="s">
        <v>2955</v>
      </c>
      <c r="VZN372" s="21" t="s">
        <v>2955</v>
      </c>
      <c r="VZO372" s="21" t="s">
        <v>2955</v>
      </c>
      <c r="VZP372" s="21" t="s">
        <v>2955</v>
      </c>
      <c r="VZQ372" s="21" t="s">
        <v>2955</v>
      </c>
      <c r="VZR372" s="21" t="s">
        <v>2955</v>
      </c>
      <c r="VZS372" s="21" t="s">
        <v>2955</v>
      </c>
      <c r="VZT372" s="21" t="s">
        <v>2955</v>
      </c>
      <c r="VZU372" s="21" t="s">
        <v>2955</v>
      </c>
      <c r="VZV372" s="21" t="s">
        <v>2955</v>
      </c>
      <c r="VZW372" s="21" t="s">
        <v>2955</v>
      </c>
      <c r="VZX372" s="21" t="s">
        <v>2955</v>
      </c>
      <c r="VZY372" s="21" t="s">
        <v>2955</v>
      </c>
      <c r="VZZ372" s="21" t="s">
        <v>2955</v>
      </c>
      <c r="WAA372" s="21" t="s">
        <v>2955</v>
      </c>
      <c r="WAB372" s="21" t="s">
        <v>2955</v>
      </c>
      <c r="WAC372" s="21" t="s">
        <v>2955</v>
      </c>
      <c r="WAD372" s="21" t="s">
        <v>2955</v>
      </c>
      <c r="WAE372" s="21" t="s">
        <v>2955</v>
      </c>
      <c r="WAF372" s="21" t="s">
        <v>2955</v>
      </c>
      <c r="WAG372" s="21" t="s">
        <v>2955</v>
      </c>
      <c r="WAH372" s="21" t="s">
        <v>2955</v>
      </c>
      <c r="WAI372" s="21" t="s">
        <v>2955</v>
      </c>
      <c r="WAJ372" s="21" t="s">
        <v>2955</v>
      </c>
      <c r="WAK372" s="21" t="s">
        <v>2955</v>
      </c>
      <c r="WAL372" s="21" t="s">
        <v>2955</v>
      </c>
      <c r="WAM372" s="21" t="s">
        <v>2955</v>
      </c>
      <c r="WAN372" s="21" t="s">
        <v>2955</v>
      </c>
      <c r="WAO372" s="21" t="s">
        <v>2955</v>
      </c>
      <c r="WAP372" s="21" t="s">
        <v>2955</v>
      </c>
      <c r="WAQ372" s="21" t="s">
        <v>2955</v>
      </c>
      <c r="WAR372" s="21" t="s">
        <v>2955</v>
      </c>
      <c r="WAS372" s="21" t="s">
        <v>2955</v>
      </c>
      <c r="WAT372" s="21" t="s">
        <v>2955</v>
      </c>
      <c r="WAU372" s="21" t="s">
        <v>2955</v>
      </c>
      <c r="WAV372" s="21" t="s">
        <v>2955</v>
      </c>
      <c r="WAW372" s="21" t="s">
        <v>2955</v>
      </c>
      <c r="WAX372" s="21" t="s">
        <v>2955</v>
      </c>
      <c r="WAY372" s="21" t="s">
        <v>2955</v>
      </c>
      <c r="WAZ372" s="21" t="s">
        <v>2955</v>
      </c>
      <c r="WBA372" s="21" t="s">
        <v>2955</v>
      </c>
      <c r="WBB372" s="21" t="s">
        <v>2955</v>
      </c>
      <c r="WBC372" s="21" t="s">
        <v>2955</v>
      </c>
      <c r="WBD372" s="21" t="s">
        <v>2955</v>
      </c>
      <c r="WBE372" s="21" t="s">
        <v>2955</v>
      </c>
      <c r="WBF372" s="21" t="s">
        <v>2955</v>
      </c>
      <c r="WBG372" s="21" t="s">
        <v>2955</v>
      </c>
      <c r="WBH372" s="21" t="s">
        <v>2955</v>
      </c>
      <c r="WBI372" s="21" t="s">
        <v>2955</v>
      </c>
      <c r="WBJ372" s="21" t="s">
        <v>2955</v>
      </c>
      <c r="WBK372" s="21" t="s">
        <v>2955</v>
      </c>
      <c r="WBL372" s="21" t="s">
        <v>2955</v>
      </c>
      <c r="WBM372" s="21" t="s">
        <v>2955</v>
      </c>
      <c r="WBN372" s="21" t="s">
        <v>2955</v>
      </c>
      <c r="WBO372" s="21" t="s">
        <v>2955</v>
      </c>
      <c r="WBP372" s="21" t="s">
        <v>2955</v>
      </c>
      <c r="WBQ372" s="21" t="s">
        <v>2955</v>
      </c>
      <c r="WBR372" s="21" t="s">
        <v>2955</v>
      </c>
      <c r="WBS372" s="21" t="s">
        <v>2955</v>
      </c>
      <c r="WBT372" s="21" t="s">
        <v>2955</v>
      </c>
      <c r="WBU372" s="21" t="s">
        <v>2955</v>
      </c>
      <c r="WBV372" s="21" t="s">
        <v>2955</v>
      </c>
      <c r="WBW372" s="21" t="s">
        <v>2955</v>
      </c>
      <c r="WBX372" s="21" t="s">
        <v>2955</v>
      </c>
      <c r="WBY372" s="21" t="s">
        <v>2955</v>
      </c>
      <c r="WBZ372" s="21" t="s">
        <v>2955</v>
      </c>
      <c r="WCA372" s="21" t="s">
        <v>2955</v>
      </c>
      <c r="WCB372" s="21" t="s">
        <v>2955</v>
      </c>
      <c r="WCC372" s="21" t="s">
        <v>2955</v>
      </c>
      <c r="WCD372" s="21" t="s">
        <v>2955</v>
      </c>
      <c r="WCE372" s="21" t="s">
        <v>2955</v>
      </c>
      <c r="WCF372" s="21" t="s">
        <v>2955</v>
      </c>
      <c r="WCG372" s="21" t="s">
        <v>2955</v>
      </c>
      <c r="WCH372" s="21" t="s">
        <v>2955</v>
      </c>
      <c r="WCI372" s="21" t="s">
        <v>2955</v>
      </c>
      <c r="WCJ372" s="21" t="s">
        <v>2955</v>
      </c>
      <c r="WCK372" s="21" t="s">
        <v>2955</v>
      </c>
      <c r="WCL372" s="21" t="s">
        <v>2955</v>
      </c>
      <c r="WCM372" s="21" t="s">
        <v>2955</v>
      </c>
      <c r="WCN372" s="21" t="s">
        <v>2955</v>
      </c>
      <c r="WCO372" s="21" t="s">
        <v>2955</v>
      </c>
      <c r="WCP372" s="21" t="s">
        <v>2955</v>
      </c>
      <c r="WCQ372" s="21" t="s">
        <v>2955</v>
      </c>
      <c r="WCR372" s="21" t="s">
        <v>2955</v>
      </c>
      <c r="WCS372" s="21" t="s">
        <v>2955</v>
      </c>
      <c r="WCT372" s="21" t="s">
        <v>2955</v>
      </c>
      <c r="WCU372" s="21" t="s">
        <v>2955</v>
      </c>
      <c r="WCV372" s="21" t="s">
        <v>2955</v>
      </c>
      <c r="WCW372" s="21" t="s">
        <v>2955</v>
      </c>
      <c r="WCX372" s="21" t="s">
        <v>2955</v>
      </c>
      <c r="WCY372" s="21" t="s">
        <v>2955</v>
      </c>
      <c r="WCZ372" s="21" t="s">
        <v>2955</v>
      </c>
      <c r="WDA372" s="21" t="s">
        <v>2955</v>
      </c>
      <c r="WDB372" s="21" t="s">
        <v>2955</v>
      </c>
      <c r="WDC372" s="21" t="s">
        <v>2955</v>
      </c>
      <c r="WDD372" s="21" t="s">
        <v>2955</v>
      </c>
      <c r="WDE372" s="21" t="s">
        <v>2955</v>
      </c>
      <c r="WDF372" s="21" t="s">
        <v>2955</v>
      </c>
      <c r="WDG372" s="21" t="s">
        <v>2955</v>
      </c>
      <c r="WDH372" s="21" t="s">
        <v>2955</v>
      </c>
      <c r="WDI372" s="21" t="s">
        <v>2955</v>
      </c>
      <c r="WDJ372" s="21" t="s">
        <v>2955</v>
      </c>
      <c r="WDK372" s="21" t="s">
        <v>2955</v>
      </c>
      <c r="WDL372" s="21" t="s">
        <v>2955</v>
      </c>
      <c r="WDM372" s="21" t="s">
        <v>2955</v>
      </c>
      <c r="WDN372" s="21" t="s">
        <v>2955</v>
      </c>
      <c r="WDO372" s="21" t="s">
        <v>2955</v>
      </c>
      <c r="WDP372" s="21" t="s">
        <v>2955</v>
      </c>
      <c r="WDQ372" s="21" t="s">
        <v>2955</v>
      </c>
      <c r="WDR372" s="21" t="s">
        <v>2955</v>
      </c>
      <c r="WDS372" s="21" t="s">
        <v>2955</v>
      </c>
      <c r="WDT372" s="21" t="s">
        <v>2955</v>
      </c>
      <c r="WDU372" s="21" t="s">
        <v>2955</v>
      </c>
      <c r="WDV372" s="21" t="s">
        <v>2955</v>
      </c>
      <c r="WDW372" s="21" t="s">
        <v>2955</v>
      </c>
      <c r="WDX372" s="21" t="s">
        <v>2955</v>
      </c>
      <c r="WDY372" s="21" t="s">
        <v>2955</v>
      </c>
      <c r="WDZ372" s="21" t="s">
        <v>2955</v>
      </c>
      <c r="WEA372" s="21" t="s">
        <v>2955</v>
      </c>
      <c r="WEB372" s="21" t="s">
        <v>2955</v>
      </c>
      <c r="WEC372" s="21" t="s">
        <v>2955</v>
      </c>
      <c r="WED372" s="21" t="s">
        <v>2955</v>
      </c>
      <c r="WEE372" s="21" t="s">
        <v>2955</v>
      </c>
      <c r="WEF372" s="21" t="s">
        <v>2955</v>
      </c>
      <c r="WEG372" s="21" t="s">
        <v>2955</v>
      </c>
      <c r="WEH372" s="21" t="s">
        <v>2955</v>
      </c>
      <c r="WEI372" s="21" t="s">
        <v>2955</v>
      </c>
      <c r="WEJ372" s="21" t="s">
        <v>2955</v>
      </c>
      <c r="WEK372" s="21" t="s">
        <v>2955</v>
      </c>
      <c r="WEL372" s="21" t="s">
        <v>2955</v>
      </c>
      <c r="WEM372" s="21" t="s">
        <v>2955</v>
      </c>
      <c r="WEN372" s="21" t="s">
        <v>2955</v>
      </c>
      <c r="WEO372" s="21" t="s">
        <v>2955</v>
      </c>
      <c r="WEP372" s="21" t="s">
        <v>2955</v>
      </c>
      <c r="WEQ372" s="21" t="s">
        <v>2955</v>
      </c>
      <c r="WER372" s="21" t="s">
        <v>2955</v>
      </c>
      <c r="WES372" s="21" t="s">
        <v>2955</v>
      </c>
      <c r="WET372" s="21" t="s">
        <v>2955</v>
      </c>
      <c r="WEU372" s="21" t="s">
        <v>2955</v>
      </c>
      <c r="WEV372" s="21" t="s">
        <v>2955</v>
      </c>
      <c r="WEW372" s="21" t="s">
        <v>2955</v>
      </c>
      <c r="WEX372" s="21" t="s">
        <v>2955</v>
      </c>
      <c r="WEY372" s="21" t="s">
        <v>2955</v>
      </c>
      <c r="WEZ372" s="21" t="s">
        <v>2955</v>
      </c>
      <c r="WFA372" s="21" t="s">
        <v>2955</v>
      </c>
      <c r="WFB372" s="21" t="s">
        <v>2955</v>
      </c>
      <c r="WFC372" s="21" t="s">
        <v>2955</v>
      </c>
      <c r="WFD372" s="21" t="s">
        <v>2955</v>
      </c>
      <c r="WFE372" s="21" t="s">
        <v>2955</v>
      </c>
      <c r="WFF372" s="21" t="s">
        <v>2955</v>
      </c>
      <c r="WFG372" s="21" t="s">
        <v>2955</v>
      </c>
      <c r="WFH372" s="21" t="s">
        <v>2955</v>
      </c>
      <c r="WFI372" s="21" t="s">
        <v>2955</v>
      </c>
      <c r="WFJ372" s="21" t="s">
        <v>2955</v>
      </c>
      <c r="WFK372" s="21" t="s">
        <v>2955</v>
      </c>
      <c r="WFL372" s="21" t="s">
        <v>2955</v>
      </c>
      <c r="WFM372" s="21" t="s">
        <v>2955</v>
      </c>
      <c r="WFN372" s="21" t="s">
        <v>2955</v>
      </c>
      <c r="WFO372" s="21" t="s">
        <v>2955</v>
      </c>
      <c r="WFP372" s="21" t="s">
        <v>2955</v>
      </c>
      <c r="WFQ372" s="21" t="s">
        <v>2955</v>
      </c>
      <c r="WFR372" s="21" t="s">
        <v>2955</v>
      </c>
      <c r="WFS372" s="21" t="s">
        <v>2955</v>
      </c>
      <c r="WFT372" s="21" t="s">
        <v>2955</v>
      </c>
      <c r="WFU372" s="21" t="s">
        <v>2955</v>
      </c>
      <c r="WFV372" s="21" t="s">
        <v>2955</v>
      </c>
      <c r="WFW372" s="21" t="s">
        <v>2955</v>
      </c>
      <c r="WFX372" s="21" t="s">
        <v>2955</v>
      </c>
      <c r="WFY372" s="21" t="s">
        <v>2955</v>
      </c>
      <c r="WFZ372" s="21" t="s">
        <v>2955</v>
      </c>
      <c r="WGA372" s="21" t="s">
        <v>2955</v>
      </c>
      <c r="WGB372" s="21" t="s">
        <v>2955</v>
      </c>
      <c r="WGC372" s="21" t="s">
        <v>2955</v>
      </c>
      <c r="WGD372" s="21" t="s">
        <v>2955</v>
      </c>
      <c r="WGE372" s="21" t="s">
        <v>2955</v>
      </c>
      <c r="WGF372" s="21" t="s">
        <v>2955</v>
      </c>
      <c r="WGG372" s="21" t="s">
        <v>2955</v>
      </c>
      <c r="WGH372" s="21" t="s">
        <v>2955</v>
      </c>
      <c r="WGI372" s="21" t="s">
        <v>2955</v>
      </c>
      <c r="WGJ372" s="21" t="s">
        <v>2955</v>
      </c>
      <c r="WGK372" s="21" t="s">
        <v>2955</v>
      </c>
      <c r="WGL372" s="21" t="s">
        <v>2955</v>
      </c>
      <c r="WGM372" s="21" t="s">
        <v>2955</v>
      </c>
      <c r="WGN372" s="21" t="s">
        <v>2955</v>
      </c>
      <c r="WGO372" s="21" t="s">
        <v>2955</v>
      </c>
      <c r="WGP372" s="21" t="s">
        <v>2955</v>
      </c>
      <c r="WGQ372" s="21" t="s">
        <v>2955</v>
      </c>
      <c r="WGR372" s="21" t="s">
        <v>2955</v>
      </c>
      <c r="WGS372" s="21" t="s">
        <v>2955</v>
      </c>
      <c r="WGT372" s="21" t="s">
        <v>2955</v>
      </c>
      <c r="WGU372" s="21" t="s">
        <v>2955</v>
      </c>
      <c r="WGV372" s="21" t="s">
        <v>2955</v>
      </c>
      <c r="WGW372" s="21" t="s">
        <v>2955</v>
      </c>
      <c r="WGX372" s="21" t="s">
        <v>2955</v>
      </c>
      <c r="WGY372" s="21" t="s">
        <v>2955</v>
      </c>
      <c r="WGZ372" s="21" t="s">
        <v>2955</v>
      </c>
      <c r="WHA372" s="21" t="s">
        <v>2955</v>
      </c>
      <c r="WHB372" s="21" t="s">
        <v>2955</v>
      </c>
      <c r="WHC372" s="21" t="s">
        <v>2955</v>
      </c>
      <c r="WHD372" s="21" t="s">
        <v>2955</v>
      </c>
      <c r="WHE372" s="21" t="s">
        <v>2955</v>
      </c>
      <c r="WHF372" s="21" t="s">
        <v>2955</v>
      </c>
      <c r="WHG372" s="21" t="s">
        <v>2955</v>
      </c>
      <c r="WHH372" s="21" t="s">
        <v>2955</v>
      </c>
      <c r="WHI372" s="21" t="s">
        <v>2955</v>
      </c>
      <c r="WHJ372" s="21" t="s">
        <v>2955</v>
      </c>
      <c r="WHK372" s="21" t="s">
        <v>2955</v>
      </c>
      <c r="WHL372" s="21" t="s">
        <v>2955</v>
      </c>
      <c r="WHM372" s="21" t="s">
        <v>2955</v>
      </c>
      <c r="WHN372" s="21" t="s">
        <v>2955</v>
      </c>
      <c r="WHO372" s="21" t="s">
        <v>2955</v>
      </c>
      <c r="WHP372" s="21" t="s">
        <v>2955</v>
      </c>
      <c r="WHQ372" s="21" t="s">
        <v>2955</v>
      </c>
      <c r="WHR372" s="21" t="s">
        <v>2955</v>
      </c>
      <c r="WHS372" s="21" t="s">
        <v>2955</v>
      </c>
      <c r="WHT372" s="21" t="s">
        <v>2955</v>
      </c>
      <c r="WHU372" s="21" t="s">
        <v>2955</v>
      </c>
      <c r="WHV372" s="21" t="s">
        <v>2955</v>
      </c>
      <c r="WHW372" s="21" t="s">
        <v>2955</v>
      </c>
      <c r="WHX372" s="21" t="s">
        <v>2955</v>
      </c>
      <c r="WHY372" s="21" t="s">
        <v>2955</v>
      </c>
      <c r="WHZ372" s="21" t="s">
        <v>2955</v>
      </c>
      <c r="WIA372" s="21" t="s">
        <v>2955</v>
      </c>
      <c r="WIB372" s="21" t="s">
        <v>2955</v>
      </c>
      <c r="WIC372" s="21" t="s">
        <v>2955</v>
      </c>
      <c r="WID372" s="21" t="s">
        <v>2955</v>
      </c>
      <c r="WIE372" s="21" t="s">
        <v>2955</v>
      </c>
      <c r="WIF372" s="21" t="s">
        <v>2955</v>
      </c>
      <c r="WIG372" s="21" t="s">
        <v>2955</v>
      </c>
      <c r="WIH372" s="21" t="s">
        <v>2955</v>
      </c>
      <c r="WII372" s="21" t="s">
        <v>2955</v>
      </c>
      <c r="WIJ372" s="21" t="s">
        <v>2955</v>
      </c>
      <c r="WIK372" s="21" t="s">
        <v>2955</v>
      </c>
      <c r="WIL372" s="21" t="s">
        <v>2955</v>
      </c>
      <c r="WIM372" s="21" t="s">
        <v>2955</v>
      </c>
      <c r="WIN372" s="21" t="s">
        <v>2955</v>
      </c>
      <c r="WIO372" s="21" t="s">
        <v>2955</v>
      </c>
      <c r="WIP372" s="21" t="s">
        <v>2955</v>
      </c>
      <c r="WIQ372" s="21" t="s">
        <v>2955</v>
      </c>
      <c r="WIR372" s="21" t="s">
        <v>2955</v>
      </c>
      <c r="WIS372" s="21" t="s">
        <v>2955</v>
      </c>
      <c r="WIT372" s="21" t="s">
        <v>2955</v>
      </c>
      <c r="WIU372" s="21" t="s">
        <v>2955</v>
      </c>
      <c r="WIV372" s="21" t="s">
        <v>2955</v>
      </c>
      <c r="WIW372" s="21" t="s">
        <v>2955</v>
      </c>
      <c r="WIX372" s="21" t="s">
        <v>2955</v>
      </c>
      <c r="WIY372" s="21" t="s">
        <v>2955</v>
      </c>
      <c r="WIZ372" s="21" t="s">
        <v>2955</v>
      </c>
      <c r="WJA372" s="21" t="s">
        <v>2955</v>
      </c>
      <c r="WJB372" s="21" t="s">
        <v>2955</v>
      </c>
      <c r="WJC372" s="21" t="s">
        <v>2955</v>
      </c>
      <c r="WJD372" s="21" t="s">
        <v>2955</v>
      </c>
      <c r="WJE372" s="21" t="s">
        <v>2955</v>
      </c>
      <c r="WJF372" s="21" t="s">
        <v>2955</v>
      </c>
      <c r="WJG372" s="21" t="s">
        <v>2955</v>
      </c>
      <c r="WJH372" s="21" t="s">
        <v>2955</v>
      </c>
      <c r="WJI372" s="21" t="s">
        <v>2955</v>
      </c>
      <c r="WJJ372" s="21" t="s">
        <v>2955</v>
      </c>
      <c r="WJK372" s="21" t="s">
        <v>2955</v>
      </c>
      <c r="WJL372" s="21" t="s">
        <v>2955</v>
      </c>
      <c r="WJM372" s="21" t="s">
        <v>2955</v>
      </c>
      <c r="WJN372" s="21" t="s">
        <v>2955</v>
      </c>
      <c r="WJO372" s="21" t="s">
        <v>2955</v>
      </c>
      <c r="WJP372" s="21" t="s">
        <v>2955</v>
      </c>
      <c r="WJQ372" s="21" t="s">
        <v>2955</v>
      </c>
      <c r="WJR372" s="21" t="s">
        <v>2955</v>
      </c>
      <c r="WJS372" s="21" t="s">
        <v>2955</v>
      </c>
      <c r="WJT372" s="21" t="s">
        <v>2955</v>
      </c>
      <c r="WJU372" s="21" t="s">
        <v>2955</v>
      </c>
      <c r="WJV372" s="21" t="s">
        <v>2955</v>
      </c>
      <c r="WJW372" s="21" t="s">
        <v>2955</v>
      </c>
      <c r="WJX372" s="21" t="s">
        <v>2955</v>
      </c>
      <c r="WJY372" s="21" t="s">
        <v>2955</v>
      </c>
      <c r="WJZ372" s="21" t="s">
        <v>2955</v>
      </c>
      <c r="WKA372" s="21" t="s">
        <v>2955</v>
      </c>
      <c r="WKB372" s="21" t="s">
        <v>2955</v>
      </c>
      <c r="WKC372" s="21" t="s">
        <v>2955</v>
      </c>
      <c r="WKD372" s="21" t="s">
        <v>2955</v>
      </c>
      <c r="WKE372" s="21" t="s">
        <v>2955</v>
      </c>
      <c r="WKF372" s="21" t="s">
        <v>2955</v>
      </c>
      <c r="WKG372" s="21" t="s">
        <v>2955</v>
      </c>
      <c r="WKH372" s="21" t="s">
        <v>2955</v>
      </c>
      <c r="WKI372" s="21" t="s">
        <v>2955</v>
      </c>
      <c r="WKJ372" s="21" t="s">
        <v>2955</v>
      </c>
      <c r="WKK372" s="21" t="s">
        <v>2955</v>
      </c>
      <c r="WKL372" s="21" t="s">
        <v>2955</v>
      </c>
      <c r="WKM372" s="21" t="s">
        <v>2955</v>
      </c>
      <c r="WKN372" s="21" t="s">
        <v>2955</v>
      </c>
      <c r="WKO372" s="21" t="s">
        <v>2955</v>
      </c>
      <c r="WKP372" s="21" t="s">
        <v>2955</v>
      </c>
      <c r="WKQ372" s="21" t="s">
        <v>2955</v>
      </c>
      <c r="WKR372" s="21" t="s">
        <v>2955</v>
      </c>
      <c r="WKS372" s="21" t="s">
        <v>2955</v>
      </c>
      <c r="WKT372" s="21" t="s">
        <v>2955</v>
      </c>
      <c r="WKU372" s="21" t="s">
        <v>2955</v>
      </c>
      <c r="WKV372" s="21" t="s">
        <v>2955</v>
      </c>
      <c r="WKW372" s="21" t="s">
        <v>2955</v>
      </c>
      <c r="WKX372" s="21" t="s">
        <v>2955</v>
      </c>
      <c r="WKY372" s="21" t="s">
        <v>2955</v>
      </c>
      <c r="WKZ372" s="21" t="s">
        <v>2955</v>
      </c>
      <c r="WLA372" s="21" t="s">
        <v>2955</v>
      </c>
      <c r="WLB372" s="21" t="s">
        <v>2955</v>
      </c>
      <c r="WLC372" s="21" t="s">
        <v>2955</v>
      </c>
      <c r="WLD372" s="21" t="s">
        <v>2955</v>
      </c>
      <c r="WLE372" s="21" t="s">
        <v>2955</v>
      </c>
      <c r="WLF372" s="21" t="s">
        <v>2955</v>
      </c>
      <c r="WLG372" s="21" t="s">
        <v>2955</v>
      </c>
      <c r="WLH372" s="21" t="s">
        <v>2955</v>
      </c>
      <c r="WLI372" s="21" t="s">
        <v>2955</v>
      </c>
      <c r="WLJ372" s="21" t="s">
        <v>2955</v>
      </c>
      <c r="WLK372" s="21" t="s">
        <v>2955</v>
      </c>
      <c r="WLL372" s="21" t="s">
        <v>2955</v>
      </c>
      <c r="WLM372" s="21" t="s">
        <v>2955</v>
      </c>
      <c r="WLN372" s="21" t="s">
        <v>2955</v>
      </c>
      <c r="WLO372" s="21" t="s">
        <v>2955</v>
      </c>
      <c r="WLP372" s="21" t="s">
        <v>2955</v>
      </c>
      <c r="WLQ372" s="21" t="s">
        <v>2955</v>
      </c>
      <c r="WLR372" s="21" t="s">
        <v>2955</v>
      </c>
      <c r="WLS372" s="21" t="s">
        <v>2955</v>
      </c>
      <c r="WLT372" s="21" t="s">
        <v>2955</v>
      </c>
      <c r="WLU372" s="21" t="s">
        <v>2955</v>
      </c>
      <c r="WLV372" s="21" t="s">
        <v>2955</v>
      </c>
      <c r="WLW372" s="21" t="s">
        <v>2955</v>
      </c>
      <c r="WLX372" s="21" t="s">
        <v>2955</v>
      </c>
      <c r="WLY372" s="21" t="s">
        <v>2955</v>
      </c>
      <c r="WLZ372" s="21" t="s">
        <v>2955</v>
      </c>
      <c r="WMA372" s="21" t="s">
        <v>2955</v>
      </c>
      <c r="WMB372" s="21" t="s">
        <v>2955</v>
      </c>
      <c r="WMC372" s="21" t="s">
        <v>2955</v>
      </c>
      <c r="WMD372" s="21" t="s">
        <v>2955</v>
      </c>
      <c r="WME372" s="21" t="s">
        <v>2955</v>
      </c>
      <c r="WMF372" s="21" t="s">
        <v>2955</v>
      </c>
      <c r="WMG372" s="21" t="s">
        <v>2955</v>
      </c>
      <c r="WMH372" s="21" t="s">
        <v>2955</v>
      </c>
      <c r="WMI372" s="21" t="s">
        <v>2955</v>
      </c>
      <c r="WMJ372" s="21" t="s">
        <v>2955</v>
      </c>
      <c r="WMK372" s="21" t="s">
        <v>2955</v>
      </c>
      <c r="WML372" s="21" t="s">
        <v>2955</v>
      </c>
      <c r="WMM372" s="21" t="s">
        <v>2955</v>
      </c>
      <c r="WMN372" s="21" t="s">
        <v>2955</v>
      </c>
      <c r="WMO372" s="21" t="s">
        <v>2955</v>
      </c>
      <c r="WMP372" s="21" t="s">
        <v>2955</v>
      </c>
      <c r="WMQ372" s="21" t="s">
        <v>2955</v>
      </c>
      <c r="WMR372" s="21" t="s">
        <v>2955</v>
      </c>
      <c r="WMS372" s="21" t="s">
        <v>2955</v>
      </c>
      <c r="WMT372" s="21" t="s">
        <v>2955</v>
      </c>
      <c r="WMU372" s="21" t="s">
        <v>2955</v>
      </c>
      <c r="WMV372" s="21" t="s">
        <v>2955</v>
      </c>
      <c r="WMW372" s="21" t="s">
        <v>2955</v>
      </c>
      <c r="WMX372" s="21" t="s">
        <v>2955</v>
      </c>
      <c r="WMY372" s="21" t="s">
        <v>2955</v>
      </c>
      <c r="WMZ372" s="21" t="s">
        <v>2955</v>
      </c>
      <c r="WNA372" s="21" t="s">
        <v>2955</v>
      </c>
      <c r="WNB372" s="21" t="s">
        <v>2955</v>
      </c>
      <c r="WNC372" s="21" t="s">
        <v>2955</v>
      </c>
      <c r="WND372" s="21" t="s">
        <v>2955</v>
      </c>
      <c r="WNE372" s="21" t="s">
        <v>2955</v>
      </c>
      <c r="WNF372" s="21" t="s">
        <v>2955</v>
      </c>
      <c r="WNG372" s="21" t="s">
        <v>2955</v>
      </c>
      <c r="WNH372" s="21" t="s">
        <v>2955</v>
      </c>
      <c r="WNI372" s="21" t="s">
        <v>2955</v>
      </c>
      <c r="WNJ372" s="21" t="s">
        <v>2955</v>
      </c>
      <c r="WNK372" s="21" t="s">
        <v>2955</v>
      </c>
      <c r="WNL372" s="21" t="s">
        <v>2955</v>
      </c>
      <c r="WNM372" s="21" t="s">
        <v>2955</v>
      </c>
      <c r="WNN372" s="21" t="s">
        <v>2955</v>
      </c>
      <c r="WNO372" s="21" t="s">
        <v>2955</v>
      </c>
      <c r="WNP372" s="21" t="s">
        <v>2955</v>
      </c>
      <c r="WNQ372" s="21" t="s">
        <v>2955</v>
      </c>
      <c r="WNR372" s="21" t="s">
        <v>2955</v>
      </c>
      <c r="WNS372" s="21" t="s">
        <v>2955</v>
      </c>
      <c r="WNT372" s="21" t="s">
        <v>2955</v>
      </c>
      <c r="WNU372" s="21" t="s">
        <v>2955</v>
      </c>
      <c r="WNV372" s="21" t="s">
        <v>2955</v>
      </c>
      <c r="WNW372" s="21" t="s">
        <v>2955</v>
      </c>
      <c r="WNX372" s="21" t="s">
        <v>2955</v>
      </c>
      <c r="WNY372" s="21" t="s">
        <v>2955</v>
      </c>
      <c r="WNZ372" s="21" t="s">
        <v>2955</v>
      </c>
      <c r="WOA372" s="21" t="s">
        <v>2955</v>
      </c>
      <c r="WOB372" s="21" t="s">
        <v>2955</v>
      </c>
      <c r="WOC372" s="21" t="s">
        <v>2955</v>
      </c>
      <c r="WOD372" s="21" t="s">
        <v>2955</v>
      </c>
      <c r="WOE372" s="21" t="s">
        <v>2955</v>
      </c>
      <c r="WOF372" s="21" t="s">
        <v>2955</v>
      </c>
      <c r="WOG372" s="21" t="s">
        <v>2955</v>
      </c>
      <c r="WOH372" s="21" t="s">
        <v>2955</v>
      </c>
      <c r="WOI372" s="21" t="s">
        <v>2955</v>
      </c>
      <c r="WOJ372" s="21" t="s">
        <v>2955</v>
      </c>
      <c r="WOK372" s="21" t="s">
        <v>2955</v>
      </c>
      <c r="WOL372" s="21" t="s">
        <v>2955</v>
      </c>
      <c r="WOM372" s="21" t="s">
        <v>2955</v>
      </c>
      <c r="WON372" s="21" t="s">
        <v>2955</v>
      </c>
      <c r="WOO372" s="21" t="s">
        <v>2955</v>
      </c>
      <c r="WOP372" s="21" t="s">
        <v>2955</v>
      </c>
      <c r="WOQ372" s="21" t="s">
        <v>2955</v>
      </c>
      <c r="WOR372" s="21" t="s">
        <v>2955</v>
      </c>
      <c r="WOS372" s="21" t="s">
        <v>2955</v>
      </c>
      <c r="WOT372" s="21" t="s">
        <v>2955</v>
      </c>
      <c r="WOU372" s="21" t="s">
        <v>2955</v>
      </c>
      <c r="WOV372" s="21" t="s">
        <v>2955</v>
      </c>
      <c r="WOW372" s="21" t="s">
        <v>2955</v>
      </c>
      <c r="WOX372" s="21" t="s">
        <v>2955</v>
      </c>
      <c r="WOY372" s="21" t="s">
        <v>2955</v>
      </c>
      <c r="WOZ372" s="21" t="s">
        <v>2955</v>
      </c>
      <c r="WPA372" s="21" t="s">
        <v>2955</v>
      </c>
      <c r="WPB372" s="21" t="s">
        <v>2955</v>
      </c>
      <c r="WPC372" s="21" t="s">
        <v>2955</v>
      </c>
      <c r="WPD372" s="21" t="s">
        <v>2955</v>
      </c>
      <c r="WPE372" s="21" t="s">
        <v>2955</v>
      </c>
      <c r="WPF372" s="21" t="s">
        <v>2955</v>
      </c>
      <c r="WPG372" s="21" t="s">
        <v>2955</v>
      </c>
      <c r="WPH372" s="21" t="s">
        <v>2955</v>
      </c>
      <c r="WPI372" s="21" t="s">
        <v>2955</v>
      </c>
      <c r="WPJ372" s="21" t="s">
        <v>2955</v>
      </c>
      <c r="WPK372" s="21" t="s">
        <v>2955</v>
      </c>
      <c r="WPL372" s="21" t="s">
        <v>2955</v>
      </c>
      <c r="WPM372" s="21" t="s">
        <v>2955</v>
      </c>
      <c r="WPN372" s="21" t="s">
        <v>2955</v>
      </c>
      <c r="WPO372" s="21" t="s">
        <v>2955</v>
      </c>
      <c r="WPP372" s="21" t="s">
        <v>2955</v>
      </c>
      <c r="WPQ372" s="21" t="s">
        <v>2955</v>
      </c>
      <c r="WPR372" s="21" t="s">
        <v>2955</v>
      </c>
      <c r="WPS372" s="21" t="s">
        <v>2955</v>
      </c>
      <c r="WPT372" s="21" t="s">
        <v>2955</v>
      </c>
      <c r="WPU372" s="21" t="s">
        <v>2955</v>
      </c>
      <c r="WPV372" s="21" t="s">
        <v>2955</v>
      </c>
      <c r="WPW372" s="21" t="s">
        <v>2955</v>
      </c>
      <c r="WPX372" s="21" t="s">
        <v>2955</v>
      </c>
      <c r="WPY372" s="21" t="s">
        <v>2955</v>
      </c>
      <c r="WPZ372" s="21" t="s">
        <v>2955</v>
      </c>
      <c r="WQA372" s="21" t="s">
        <v>2955</v>
      </c>
      <c r="WQB372" s="21" t="s">
        <v>2955</v>
      </c>
      <c r="WQC372" s="21" t="s">
        <v>2955</v>
      </c>
      <c r="WQD372" s="21" t="s">
        <v>2955</v>
      </c>
      <c r="WQE372" s="21" t="s">
        <v>2955</v>
      </c>
      <c r="WQF372" s="21" t="s">
        <v>2955</v>
      </c>
      <c r="WQG372" s="21" t="s">
        <v>2955</v>
      </c>
      <c r="WQH372" s="21" t="s">
        <v>2955</v>
      </c>
      <c r="WQI372" s="21" t="s">
        <v>2955</v>
      </c>
      <c r="WQJ372" s="21" t="s">
        <v>2955</v>
      </c>
      <c r="WQK372" s="21" t="s">
        <v>2955</v>
      </c>
      <c r="WQL372" s="21" t="s">
        <v>2955</v>
      </c>
      <c r="WQM372" s="21" t="s">
        <v>2955</v>
      </c>
      <c r="WQN372" s="21" t="s">
        <v>2955</v>
      </c>
      <c r="WQO372" s="21" t="s">
        <v>2955</v>
      </c>
      <c r="WQP372" s="21" t="s">
        <v>2955</v>
      </c>
      <c r="WQQ372" s="21" t="s">
        <v>2955</v>
      </c>
      <c r="WQR372" s="21" t="s">
        <v>2955</v>
      </c>
      <c r="WQS372" s="21" t="s">
        <v>2955</v>
      </c>
      <c r="WQT372" s="21" t="s">
        <v>2955</v>
      </c>
      <c r="WQU372" s="21" t="s">
        <v>2955</v>
      </c>
      <c r="WQV372" s="21" t="s">
        <v>2955</v>
      </c>
      <c r="WQW372" s="21" t="s">
        <v>2955</v>
      </c>
      <c r="WQX372" s="21" t="s">
        <v>2955</v>
      </c>
      <c r="WQY372" s="21" t="s">
        <v>2955</v>
      </c>
      <c r="WQZ372" s="21" t="s">
        <v>2955</v>
      </c>
      <c r="WRA372" s="21" t="s">
        <v>2955</v>
      </c>
      <c r="WRB372" s="21" t="s">
        <v>2955</v>
      </c>
      <c r="WRC372" s="21" t="s">
        <v>2955</v>
      </c>
      <c r="WRD372" s="21" t="s">
        <v>2955</v>
      </c>
      <c r="WRE372" s="21" t="s">
        <v>2955</v>
      </c>
      <c r="WRF372" s="21" t="s">
        <v>2955</v>
      </c>
      <c r="WRG372" s="21" t="s">
        <v>2955</v>
      </c>
      <c r="WRH372" s="21" t="s">
        <v>2955</v>
      </c>
      <c r="WRI372" s="21" t="s">
        <v>2955</v>
      </c>
      <c r="WRJ372" s="21" t="s">
        <v>2955</v>
      </c>
      <c r="WRK372" s="21" t="s">
        <v>2955</v>
      </c>
      <c r="WRL372" s="21" t="s">
        <v>2955</v>
      </c>
      <c r="WRM372" s="21" t="s">
        <v>2955</v>
      </c>
      <c r="WRN372" s="21" t="s">
        <v>2955</v>
      </c>
      <c r="WRO372" s="21" t="s">
        <v>2955</v>
      </c>
      <c r="WRP372" s="21" t="s">
        <v>2955</v>
      </c>
      <c r="WRQ372" s="21" t="s">
        <v>2955</v>
      </c>
      <c r="WRR372" s="21" t="s">
        <v>2955</v>
      </c>
      <c r="WRS372" s="21" t="s">
        <v>2955</v>
      </c>
      <c r="WRT372" s="21" t="s">
        <v>2955</v>
      </c>
      <c r="WRU372" s="21" t="s">
        <v>2955</v>
      </c>
      <c r="WRV372" s="21" t="s">
        <v>2955</v>
      </c>
      <c r="WRW372" s="21" t="s">
        <v>2955</v>
      </c>
      <c r="WRX372" s="21" t="s">
        <v>2955</v>
      </c>
      <c r="WRY372" s="21" t="s">
        <v>2955</v>
      </c>
      <c r="WRZ372" s="21" t="s">
        <v>2955</v>
      </c>
      <c r="WSA372" s="21" t="s">
        <v>2955</v>
      </c>
      <c r="WSB372" s="21" t="s">
        <v>2955</v>
      </c>
      <c r="WSC372" s="21" t="s">
        <v>2955</v>
      </c>
      <c r="WSD372" s="21" t="s">
        <v>2955</v>
      </c>
      <c r="WSE372" s="21" t="s">
        <v>2955</v>
      </c>
      <c r="WSF372" s="21" t="s">
        <v>2955</v>
      </c>
      <c r="WSG372" s="21" t="s">
        <v>2955</v>
      </c>
      <c r="WSH372" s="21" t="s">
        <v>2955</v>
      </c>
      <c r="WSI372" s="21" t="s">
        <v>2955</v>
      </c>
      <c r="WSJ372" s="21" t="s">
        <v>2955</v>
      </c>
      <c r="WSK372" s="21" t="s">
        <v>2955</v>
      </c>
      <c r="WSL372" s="21" t="s">
        <v>2955</v>
      </c>
      <c r="WSM372" s="21" t="s">
        <v>2955</v>
      </c>
      <c r="WSN372" s="21" t="s">
        <v>2955</v>
      </c>
      <c r="WSO372" s="21" t="s">
        <v>2955</v>
      </c>
      <c r="WSP372" s="21" t="s">
        <v>2955</v>
      </c>
      <c r="WSQ372" s="21" t="s">
        <v>2955</v>
      </c>
      <c r="WSR372" s="21" t="s">
        <v>2955</v>
      </c>
      <c r="WSS372" s="21" t="s">
        <v>2955</v>
      </c>
      <c r="WST372" s="21" t="s">
        <v>2955</v>
      </c>
      <c r="WSU372" s="21" t="s">
        <v>2955</v>
      </c>
      <c r="WSV372" s="21" t="s">
        <v>2955</v>
      </c>
      <c r="WSW372" s="21" t="s">
        <v>2955</v>
      </c>
      <c r="WSX372" s="21" t="s">
        <v>2955</v>
      </c>
      <c r="WSY372" s="21" t="s">
        <v>2955</v>
      </c>
      <c r="WSZ372" s="21" t="s">
        <v>2955</v>
      </c>
      <c r="WTA372" s="21" t="s">
        <v>2955</v>
      </c>
      <c r="WTB372" s="21" t="s">
        <v>2955</v>
      </c>
      <c r="WTC372" s="21" t="s">
        <v>2955</v>
      </c>
      <c r="WTD372" s="21" t="s">
        <v>2955</v>
      </c>
      <c r="WTE372" s="21" t="s">
        <v>2955</v>
      </c>
      <c r="WTF372" s="21" t="s">
        <v>2955</v>
      </c>
      <c r="WTG372" s="21" t="s">
        <v>2955</v>
      </c>
      <c r="WTH372" s="21" t="s">
        <v>2955</v>
      </c>
      <c r="WTI372" s="21" t="s">
        <v>2955</v>
      </c>
      <c r="WTJ372" s="21" t="s">
        <v>2955</v>
      </c>
      <c r="WTK372" s="21" t="s">
        <v>2955</v>
      </c>
      <c r="WTL372" s="21" t="s">
        <v>2955</v>
      </c>
      <c r="WTM372" s="21" t="s">
        <v>2955</v>
      </c>
      <c r="WTN372" s="21" t="s">
        <v>2955</v>
      </c>
      <c r="WTO372" s="21" t="s">
        <v>2955</v>
      </c>
      <c r="WTP372" s="21" t="s">
        <v>2955</v>
      </c>
      <c r="WTQ372" s="21" t="s">
        <v>2955</v>
      </c>
      <c r="WTR372" s="21" t="s">
        <v>2955</v>
      </c>
      <c r="WTS372" s="21" t="s">
        <v>2955</v>
      </c>
      <c r="WTT372" s="21" t="s">
        <v>2955</v>
      </c>
      <c r="WTU372" s="21" t="s">
        <v>2955</v>
      </c>
      <c r="WTV372" s="21" t="s">
        <v>2955</v>
      </c>
      <c r="WTW372" s="21" t="s">
        <v>2955</v>
      </c>
      <c r="WTX372" s="21" t="s">
        <v>2955</v>
      </c>
      <c r="WTY372" s="21" t="s">
        <v>2955</v>
      </c>
      <c r="WTZ372" s="21" t="s">
        <v>2955</v>
      </c>
      <c r="WUA372" s="21" t="s">
        <v>2955</v>
      </c>
      <c r="WUB372" s="21" t="s">
        <v>2955</v>
      </c>
      <c r="WUC372" s="21" t="s">
        <v>2955</v>
      </c>
      <c r="WUD372" s="21" t="s">
        <v>2955</v>
      </c>
      <c r="WUE372" s="21" t="s">
        <v>2955</v>
      </c>
      <c r="WUF372" s="21" t="s">
        <v>2955</v>
      </c>
      <c r="WUG372" s="21" t="s">
        <v>2955</v>
      </c>
      <c r="WUH372" s="21" t="s">
        <v>2955</v>
      </c>
      <c r="WUI372" s="21" t="s">
        <v>2955</v>
      </c>
      <c r="WUJ372" s="21" t="s">
        <v>2955</v>
      </c>
      <c r="WUK372" s="21" t="s">
        <v>2955</v>
      </c>
      <c r="WUL372" s="21" t="s">
        <v>2955</v>
      </c>
      <c r="WUM372" s="21" t="s">
        <v>2955</v>
      </c>
      <c r="WUN372" s="21" t="s">
        <v>2955</v>
      </c>
      <c r="WUO372" s="21" t="s">
        <v>2955</v>
      </c>
      <c r="WUP372" s="21" t="s">
        <v>2955</v>
      </c>
      <c r="WUQ372" s="21" t="s">
        <v>2955</v>
      </c>
      <c r="WUR372" s="21" t="s">
        <v>2955</v>
      </c>
      <c r="WUS372" s="21" t="s">
        <v>2955</v>
      </c>
      <c r="WUT372" s="21" t="s">
        <v>2955</v>
      </c>
      <c r="WUU372" s="21" t="s">
        <v>2955</v>
      </c>
      <c r="WUV372" s="21" t="s">
        <v>2955</v>
      </c>
      <c r="WUW372" s="21" t="s">
        <v>2955</v>
      </c>
      <c r="WUX372" s="21" t="s">
        <v>2955</v>
      </c>
      <c r="WUY372" s="21" t="s">
        <v>2955</v>
      </c>
      <c r="WUZ372" s="21" t="s">
        <v>2955</v>
      </c>
      <c r="WVA372" s="21" t="s">
        <v>2955</v>
      </c>
      <c r="WVB372" s="21" t="s">
        <v>2955</v>
      </c>
      <c r="WVC372" s="21" t="s">
        <v>2955</v>
      </c>
      <c r="WVD372" s="21" t="s">
        <v>2955</v>
      </c>
      <c r="WVE372" s="21" t="s">
        <v>2955</v>
      </c>
      <c r="WVF372" s="21" t="s">
        <v>2955</v>
      </c>
      <c r="WVG372" s="21" t="s">
        <v>2955</v>
      </c>
      <c r="WVH372" s="21" t="s">
        <v>2955</v>
      </c>
      <c r="WVI372" s="21" t="s">
        <v>2955</v>
      </c>
      <c r="WVJ372" s="21" t="s">
        <v>2955</v>
      </c>
      <c r="WVK372" s="21" t="s">
        <v>2955</v>
      </c>
      <c r="WVL372" s="21" t="s">
        <v>2955</v>
      </c>
      <c r="WVM372" s="21" t="s">
        <v>2955</v>
      </c>
      <c r="WVN372" s="21" t="s">
        <v>2955</v>
      </c>
      <c r="WVO372" s="21" t="s">
        <v>2955</v>
      </c>
      <c r="WVP372" s="21" t="s">
        <v>2955</v>
      </c>
      <c r="WVQ372" s="21" t="s">
        <v>2955</v>
      </c>
      <c r="WVR372" s="21" t="s">
        <v>2955</v>
      </c>
      <c r="WVS372" s="21" t="s">
        <v>2955</v>
      </c>
      <c r="WVT372" s="21" t="s">
        <v>2955</v>
      </c>
      <c r="WVU372" s="21" t="s">
        <v>2955</v>
      </c>
      <c r="WVV372" s="21" t="s">
        <v>2955</v>
      </c>
      <c r="WVW372" s="21" t="s">
        <v>2955</v>
      </c>
      <c r="WVX372" s="21" t="s">
        <v>2955</v>
      </c>
      <c r="WVY372" s="21" t="s">
        <v>2955</v>
      </c>
      <c r="WVZ372" s="21" t="s">
        <v>2955</v>
      </c>
      <c r="WWA372" s="21" t="s">
        <v>2955</v>
      </c>
      <c r="WWB372" s="21" t="s">
        <v>2955</v>
      </c>
      <c r="WWC372" s="21" t="s">
        <v>2955</v>
      </c>
      <c r="WWD372" s="21" t="s">
        <v>2955</v>
      </c>
      <c r="WWE372" s="21" t="s">
        <v>2955</v>
      </c>
      <c r="WWF372" s="21" t="s">
        <v>2955</v>
      </c>
      <c r="WWG372" s="21" t="s">
        <v>2955</v>
      </c>
      <c r="WWH372" s="21" t="s">
        <v>2955</v>
      </c>
      <c r="WWI372" s="21" t="s">
        <v>2955</v>
      </c>
      <c r="WWJ372" s="21" t="s">
        <v>2955</v>
      </c>
      <c r="WWK372" s="21" t="s">
        <v>2955</v>
      </c>
      <c r="WWL372" s="21" t="s">
        <v>2955</v>
      </c>
      <c r="WWM372" s="21" t="s">
        <v>2955</v>
      </c>
      <c r="WWN372" s="21" t="s">
        <v>2955</v>
      </c>
      <c r="WWO372" s="21" t="s">
        <v>2955</v>
      </c>
      <c r="WWP372" s="21" t="s">
        <v>2955</v>
      </c>
      <c r="WWQ372" s="21" t="s">
        <v>2955</v>
      </c>
      <c r="WWR372" s="21" t="s">
        <v>2955</v>
      </c>
      <c r="WWS372" s="21" t="s">
        <v>2955</v>
      </c>
      <c r="WWT372" s="21" t="s">
        <v>2955</v>
      </c>
      <c r="WWU372" s="21" t="s">
        <v>2955</v>
      </c>
      <c r="WWV372" s="21" t="s">
        <v>2955</v>
      </c>
      <c r="WWW372" s="21" t="s">
        <v>2955</v>
      </c>
      <c r="WWX372" s="21" t="s">
        <v>2955</v>
      </c>
      <c r="WWY372" s="21" t="s">
        <v>2955</v>
      </c>
      <c r="WWZ372" s="21" t="s">
        <v>2955</v>
      </c>
      <c r="WXA372" s="21" t="s">
        <v>2955</v>
      </c>
      <c r="WXB372" s="21" t="s">
        <v>2955</v>
      </c>
      <c r="WXC372" s="21" t="s">
        <v>2955</v>
      </c>
      <c r="WXD372" s="21" t="s">
        <v>2955</v>
      </c>
      <c r="WXE372" s="21" t="s">
        <v>2955</v>
      </c>
      <c r="WXF372" s="21" t="s">
        <v>2955</v>
      </c>
      <c r="WXG372" s="21" t="s">
        <v>2955</v>
      </c>
      <c r="WXH372" s="21" t="s">
        <v>2955</v>
      </c>
      <c r="WXI372" s="21" t="s">
        <v>2955</v>
      </c>
      <c r="WXJ372" s="21" t="s">
        <v>2955</v>
      </c>
      <c r="WXK372" s="21" t="s">
        <v>2955</v>
      </c>
      <c r="WXL372" s="21" t="s">
        <v>2955</v>
      </c>
      <c r="WXM372" s="21" t="s">
        <v>2955</v>
      </c>
      <c r="WXN372" s="21" t="s">
        <v>2955</v>
      </c>
      <c r="WXO372" s="21" t="s">
        <v>2955</v>
      </c>
      <c r="WXP372" s="21" t="s">
        <v>2955</v>
      </c>
      <c r="WXQ372" s="21" t="s">
        <v>2955</v>
      </c>
      <c r="WXR372" s="21" t="s">
        <v>2955</v>
      </c>
      <c r="WXS372" s="21" t="s">
        <v>2955</v>
      </c>
      <c r="WXT372" s="21" t="s">
        <v>2955</v>
      </c>
      <c r="WXU372" s="21" t="s">
        <v>2955</v>
      </c>
      <c r="WXV372" s="21" t="s">
        <v>2955</v>
      </c>
      <c r="WXW372" s="21" t="s">
        <v>2955</v>
      </c>
      <c r="WXX372" s="21" t="s">
        <v>2955</v>
      </c>
      <c r="WXY372" s="21" t="s">
        <v>2955</v>
      </c>
      <c r="WXZ372" s="21" t="s">
        <v>2955</v>
      </c>
      <c r="WYA372" s="21" t="s">
        <v>2955</v>
      </c>
      <c r="WYB372" s="21" t="s">
        <v>2955</v>
      </c>
      <c r="WYC372" s="21" t="s">
        <v>2955</v>
      </c>
      <c r="WYD372" s="21" t="s">
        <v>2955</v>
      </c>
      <c r="WYE372" s="21" t="s">
        <v>2955</v>
      </c>
      <c r="WYF372" s="21" t="s">
        <v>2955</v>
      </c>
      <c r="WYG372" s="21" t="s">
        <v>2955</v>
      </c>
      <c r="WYH372" s="21" t="s">
        <v>2955</v>
      </c>
      <c r="WYI372" s="21" t="s">
        <v>2955</v>
      </c>
      <c r="WYJ372" s="21" t="s">
        <v>2955</v>
      </c>
      <c r="WYK372" s="21" t="s">
        <v>2955</v>
      </c>
      <c r="WYL372" s="21" t="s">
        <v>2955</v>
      </c>
      <c r="WYM372" s="21" t="s">
        <v>2955</v>
      </c>
      <c r="WYN372" s="21" t="s">
        <v>2955</v>
      </c>
      <c r="WYO372" s="21" t="s">
        <v>2955</v>
      </c>
      <c r="WYP372" s="21" t="s">
        <v>2955</v>
      </c>
      <c r="WYQ372" s="21" t="s">
        <v>2955</v>
      </c>
      <c r="WYR372" s="21" t="s">
        <v>2955</v>
      </c>
      <c r="WYS372" s="21" t="s">
        <v>2955</v>
      </c>
      <c r="WYT372" s="21" t="s">
        <v>2955</v>
      </c>
      <c r="WYU372" s="21" t="s">
        <v>2955</v>
      </c>
      <c r="WYV372" s="21" t="s">
        <v>2955</v>
      </c>
      <c r="WYW372" s="21" t="s">
        <v>2955</v>
      </c>
      <c r="WYX372" s="21" t="s">
        <v>2955</v>
      </c>
      <c r="WYY372" s="21" t="s">
        <v>2955</v>
      </c>
      <c r="WYZ372" s="21" t="s">
        <v>2955</v>
      </c>
      <c r="WZA372" s="21" t="s">
        <v>2955</v>
      </c>
      <c r="WZB372" s="21" t="s">
        <v>2955</v>
      </c>
      <c r="WZC372" s="21" t="s">
        <v>2955</v>
      </c>
      <c r="WZD372" s="21" t="s">
        <v>2955</v>
      </c>
      <c r="WZE372" s="21" t="s">
        <v>2955</v>
      </c>
      <c r="WZF372" s="21" t="s">
        <v>2955</v>
      </c>
      <c r="WZG372" s="21" t="s">
        <v>2955</v>
      </c>
      <c r="WZH372" s="21" t="s">
        <v>2955</v>
      </c>
      <c r="WZI372" s="21" t="s">
        <v>2955</v>
      </c>
      <c r="WZJ372" s="21" t="s">
        <v>2955</v>
      </c>
      <c r="WZK372" s="21" t="s">
        <v>2955</v>
      </c>
      <c r="WZL372" s="21" t="s">
        <v>2955</v>
      </c>
      <c r="WZM372" s="21" t="s">
        <v>2955</v>
      </c>
      <c r="WZN372" s="21" t="s">
        <v>2955</v>
      </c>
      <c r="WZO372" s="21" t="s">
        <v>2955</v>
      </c>
      <c r="WZP372" s="21" t="s">
        <v>2955</v>
      </c>
      <c r="WZQ372" s="21" t="s">
        <v>2955</v>
      </c>
      <c r="WZR372" s="21" t="s">
        <v>2955</v>
      </c>
      <c r="WZS372" s="21" t="s">
        <v>2955</v>
      </c>
      <c r="WZT372" s="21" t="s">
        <v>2955</v>
      </c>
      <c r="WZU372" s="21" t="s">
        <v>2955</v>
      </c>
      <c r="WZV372" s="21" t="s">
        <v>2955</v>
      </c>
      <c r="WZW372" s="21" t="s">
        <v>2955</v>
      </c>
      <c r="WZX372" s="21" t="s">
        <v>2955</v>
      </c>
      <c r="WZY372" s="21" t="s">
        <v>2955</v>
      </c>
      <c r="WZZ372" s="21" t="s">
        <v>2955</v>
      </c>
      <c r="XAA372" s="21" t="s">
        <v>2955</v>
      </c>
      <c r="XAB372" s="21" t="s">
        <v>2955</v>
      </c>
      <c r="XAC372" s="21" t="s">
        <v>2955</v>
      </c>
      <c r="XAD372" s="21" t="s">
        <v>2955</v>
      </c>
      <c r="XAE372" s="21" t="s">
        <v>2955</v>
      </c>
      <c r="XAF372" s="21" t="s">
        <v>2955</v>
      </c>
      <c r="XAG372" s="21" t="s">
        <v>2955</v>
      </c>
      <c r="XAH372" s="21" t="s">
        <v>2955</v>
      </c>
      <c r="XAI372" s="21" t="s">
        <v>2955</v>
      </c>
      <c r="XAJ372" s="21" t="s">
        <v>2955</v>
      </c>
      <c r="XAK372" s="21" t="s">
        <v>2955</v>
      </c>
      <c r="XAL372" s="21" t="s">
        <v>2955</v>
      </c>
      <c r="XAM372" s="21" t="s">
        <v>2955</v>
      </c>
      <c r="XAN372" s="21" t="s">
        <v>2955</v>
      </c>
      <c r="XAO372" s="21" t="s">
        <v>2955</v>
      </c>
      <c r="XAP372" s="21" t="s">
        <v>2955</v>
      </c>
      <c r="XAQ372" s="21" t="s">
        <v>2955</v>
      </c>
      <c r="XAR372" s="21" t="s">
        <v>2955</v>
      </c>
      <c r="XAS372" s="21" t="s">
        <v>2955</v>
      </c>
      <c r="XAT372" s="21" t="s">
        <v>2955</v>
      </c>
      <c r="XAU372" s="21" t="s">
        <v>2955</v>
      </c>
      <c r="XAV372" s="21" t="s">
        <v>2955</v>
      </c>
      <c r="XAW372" s="21" t="s">
        <v>2955</v>
      </c>
      <c r="XAX372" s="21" t="s">
        <v>2955</v>
      </c>
      <c r="XAY372" s="21" t="s">
        <v>2955</v>
      </c>
      <c r="XAZ372" s="21" t="s">
        <v>2955</v>
      </c>
      <c r="XBA372" s="21" t="s">
        <v>2955</v>
      </c>
      <c r="XBB372" s="21" t="s">
        <v>2955</v>
      </c>
      <c r="XBC372" s="21" t="s">
        <v>2955</v>
      </c>
      <c r="XBD372" s="21" t="s">
        <v>2955</v>
      </c>
      <c r="XBE372" s="21" t="s">
        <v>2955</v>
      </c>
      <c r="XBF372" s="21" t="s">
        <v>2955</v>
      </c>
      <c r="XBG372" s="21" t="s">
        <v>2955</v>
      </c>
      <c r="XBH372" s="21" t="s">
        <v>2955</v>
      </c>
      <c r="XBI372" s="21" t="s">
        <v>2955</v>
      </c>
      <c r="XBJ372" s="21" t="s">
        <v>2955</v>
      </c>
      <c r="XBK372" s="21" t="s">
        <v>2955</v>
      </c>
      <c r="XBL372" s="21" t="s">
        <v>2955</v>
      </c>
      <c r="XBM372" s="21" t="s">
        <v>2955</v>
      </c>
      <c r="XBN372" s="21" t="s">
        <v>2955</v>
      </c>
      <c r="XBO372" s="21" t="s">
        <v>2955</v>
      </c>
      <c r="XBP372" s="21" t="s">
        <v>2955</v>
      </c>
      <c r="XBQ372" s="21" t="s">
        <v>2955</v>
      </c>
      <c r="XBR372" s="21" t="s">
        <v>2955</v>
      </c>
      <c r="XBS372" s="21" t="s">
        <v>2955</v>
      </c>
      <c r="XBT372" s="21" t="s">
        <v>2955</v>
      </c>
      <c r="XBU372" s="21" t="s">
        <v>2955</v>
      </c>
      <c r="XBV372" s="21" t="s">
        <v>2955</v>
      </c>
      <c r="XBW372" s="21" t="s">
        <v>2955</v>
      </c>
      <c r="XBX372" s="21" t="s">
        <v>2955</v>
      </c>
      <c r="XBY372" s="21" t="s">
        <v>2955</v>
      </c>
      <c r="XBZ372" s="21" t="s">
        <v>2955</v>
      </c>
      <c r="XCA372" s="21" t="s">
        <v>2955</v>
      </c>
      <c r="XCB372" s="21" t="s">
        <v>2955</v>
      </c>
      <c r="XCC372" s="21" t="s">
        <v>2955</v>
      </c>
      <c r="XCD372" s="21" t="s">
        <v>2955</v>
      </c>
      <c r="XCE372" s="21" t="s">
        <v>2955</v>
      </c>
      <c r="XCF372" s="21" t="s">
        <v>2955</v>
      </c>
      <c r="XCG372" s="21" t="s">
        <v>2955</v>
      </c>
      <c r="XCH372" s="21" t="s">
        <v>2955</v>
      </c>
      <c r="XCI372" s="21" t="s">
        <v>2955</v>
      </c>
      <c r="XCJ372" s="21" t="s">
        <v>2955</v>
      </c>
      <c r="XCK372" s="21" t="s">
        <v>2955</v>
      </c>
      <c r="XCL372" s="21" t="s">
        <v>2955</v>
      </c>
      <c r="XCM372" s="21" t="s">
        <v>2955</v>
      </c>
      <c r="XCN372" s="21" t="s">
        <v>2955</v>
      </c>
      <c r="XCO372" s="21" t="s">
        <v>2955</v>
      </c>
      <c r="XCP372" s="21" t="s">
        <v>2955</v>
      </c>
      <c r="XCQ372" s="21" t="s">
        <v>2955</v>
      </c>
      <c r="XCR372" s="21" t="s">
        <v>2955</v>
      </c>
      <c r="XCS372" s="21" t="s">
        <v>2955</v>
      </c>
      <c r="XCT372" s="21" t="s">
        <v>2955</v>
      </c>
      <c r="XCU372" s="21" t="s">
        <v>2955</v>
      </c>
      <c r="XCV372" s="21" t="s">
        <v>2955</v>
      </c>
      <c r="XCW372" s="21" t="s">
        <v>2955</v>
      </c>
      <c r="XCX372" s="21" t="s">
        <v>2955</v>
      </c>
      <c r="XCY372" s="21" t="s">
        <v>2955</v>
      </c>
      <c r="XCZ372" s="21" t="s">
        <v>2955</v>
      </c>
      <c r="XDA372" s="21" t="s">
        <v>2955</v>
      </c>
      <c r="XDB372" s="21" t="s">
        <v>2955</v>
      </c>
      <c r="XDC372" s="21" t="s">
        <v>2955</v>
      </c>
      <c r="XDD372" s="21" t="s">
        <v>2955</v>
      </c>
      <c r="XDE372" s="21" t="s">
        <v>2955</v>
      </c>
      <c r="XDF372" s="21" t="s">
        <v>2955</v>
      </c>
      <c r="XDG372" s="21" t="s">
        <v>2955</v>
      </c>
      <c r="XDH372" s="21" t="s">
        <v>2955</v>
      </c>
      <c r="XDI372" s="21" t="s">
        <v>2955</v>
      </c>
      <c r="XDJ372" s="21" t="s">
        <v>2955</v>
      </c>
      <c r="XDK372" s="21" t="s">
        <v>2955</v>
      </c>
      <c r="XDL372" s="21" t="s">
        <v>2955</v>
      </c>
      <c r="XDM372" s="21" t="s">
        <v>2955</v>
      </c>
      <c r="XDN372" s="21" t="s">
        <v>2955</v>
      </c>
      <c r="XDO372" s="21" t="s">
        <v>2955</v>
      </c>
      <c r="XDP372" s="21" t="s">
        <v>2955</v>
      </c>
      <c r="XDQ372" s="21" t="s">
        <v>2955</v>
      </c>
      <c r="XDR372" s="21" t="s">
        <v>2955</v>
      </c>
      <c r="XDS372" s="21" t="s">
        <v>2955</v>
      </c>
      <c r="XDT372" s="21" t="s">
        <v>2955</v>
      </c>
      <c r="XDU372" s="21" t="s">
        <v>2955</v>
      </c>
      <c r="XDV372" s="21" t="s">
        <v>2955</v>
      </c>
      <c r="XDW372" s="21" t="s">
        <v>2955</v>
      </c>
      <c r="XDX372" s="21" t="s">
        <v>2955</v>
      </c>
      <c r="XDY372" s="21" t="s">
        <v>2955</v>
      </c>
      <c r="XDZ372" s="21" t="s">
        <v>2955</v>
      </c>
      <c r="XEA372" s="21" t="s">
        <v>2955</v>
      </c>
      <c r="XEB372" s="21" t="s">
        <v>2955</v>
      </c>
      <c r="XEC372" s="21" t="s">
        <v>2955</v>
      </c>
      <c r="XED372" s="21" t="s">
        <v>2955</v>
      </c>
      <c r="XEE372" s="21" t="s">
        <v>2955</v>
      </c>
      <c r="XEF372" s="21" t="s">
        <v>2955</v>
      </c>
      <c r="XEG372" s="21" t="s">
        <v>2955</v>
      </c>
      <c r="XEH372" s="21" t="s">
        <v>2955</v>
      </c>
      <c r="XEI372" s="21" t="s">
        <v>2955</v>
      </c>
      <c r="XEJ372" s="21" t="s">
        <v>2955</v>
      </c>
      <c r="XEK372" s="21" t="s">
        <v>2955</v>
      </c>
      <c r="XEL372" s="21" t="s">
        <v>2955</v>
      </c>
      <c r="XEM372" s="21" t="s">
        <v>2955</v>
      </c>
      <c r="XEN372" s="21" t="s">
        <v>2955</v>
      </c>
      <c r="XEO372" s="21" t="s">
        <v>2955</v>
      </c>
      <c r="XEP372" s="21" t="s">
        <v>2955</v>
      </c>
      <c r="XEQ372" s="21" t="s">
        <v>2955</v>
      </c>
      <c r="XER372" s="21" t="s">
        <v>2955</v>
      </c>
      <c r="XES372" s="21" t="s">
        <v>2955</v>
      </c>
      <c r="XET372" s="21" t="s">
        <v>2955</v>
      </c>
      <c r="XEU372" s="21" t="s">
        <v>2955</v>
      </c>
      <c r="XEV372" s="21" t="s">
        <v>2955</v>
      </c>
      <c r="XEW372" s="21" t="s">
        <v>2955</v>
      </c>
      <c r="XEX372" s="21" t="s">
        <v>2955</v>
      </c>
      <c r="XEY372" s="21" t="s">
        <v>2955</v>
      </c>
      <c r="XEZ372" s="21" t="s">
        <v>2955</v>
      </c>
      <c r="XFA372" s="21" t="s">
        <v>2955</v>
      </c>
      <c r="XFB372" s="21" t="s">
        <v>2955</v>
      </c>
      <c r="XFC372" s="21" t="s">
        <v>2955</v>
      </c>
      <c r="XFD372" s="21" t="s">
        <v>2955</v>
      </c>
    </row>
    <row r="373" spans="1:16384" s="39" customFormat="1">
      <c r="A373" s="47" t="s">
        <v>950</v>
      </c>
      <c r="B373" s="47">
        <v>1</v>
      </c>
      <c r="C373" s="47" t="s">
        <v>1303</v>
      </c>
      <c r="D373"/>
      <c r="E373"/>
      <c r="F373"/>
      <c r="G373"/>
      <c r="H373"/>
      <c r="I373"/>
      <c r="J373"/>
      <c r="K373"/>
      <c r="L373"/>
      <c r="M373"/>
      <c r="N373"/>
      <c r="O373"/>
      <c r="P373"/>
      <c r="AL373" s="40"/>
      <c r="AM373" s="38"/>
      <c r="AN373" s="38"/>
      <c r="AO373" s="38"/>
    </row>
    <row r="374" spans="1:16384" s="39" customFormat="1">
      <c r="A374" s="47" t="s">
        <v>951</v>
      </c>
      <c r="B374" s="47">
        <v>1</v>
      </c>
      <c r="C374" s="47" t="s">
        <v>1303</v>
      </c>
      <c r="D374"/>
      <c r="E374"/>
      <c r="F374"/>
      <c r="G374"/>
      <c r="H374"/>
      <c r="I374"/>
      <c r="J374"/>
      <c r="K374"/>
      <c r="L374"/>
      <c r="M374"/>
      <c r="N374"/>
      <c r="O374"/>
      <c r="P374"/>
      <c r="AL374" s="40"/>
      <c r="AM374" s="38"/>
      <c r="AN374" s="38"/>
      <c r="AO374" s="38"/>
    </row>
    <row r="375" spans="1:16384" s="39" customFormat="1">
      <c r="A375" s="50" t="s">
        <v>1930</v>
      </c>
      <c r="B375" s="47">
        <v>2</v>
      </c>
      <c r="C375" s="47" t="s">
        <v>1925</v>
      </c>
      <c r="D375"/>
      <c r="E375"/>
      <c r="F375"/>
      <c r="G375"/>
      <c r="H375"/>
      <c r="I375"/>
      <c r="J375"/>
      <c r="K375"/>
      <c r="L375"/>
      <c r="M375"/>
      <c r="N375"/>
      <c r="O375"/>
      <c r="P375"/>
    </row>
    <row r="376" spans="1:16384" s="39" customFormat="1">
      <c r="A376" s="47" t="s">
        <v>33</v>
      </c>
      <c r="B376" s="47">
        <v>1</v>
      </c>
      <c r="C376" s="47" t="s">
        <v>397</v>
      </c>
      <c r="D376"/>
      <c r="E376"/>
      <c r="F376"/>
      <c r="G376"/>
      <c r="H376"/>
      <c r="I376"/>
      <c r="J376"/>
      <c r="K376"/>
      <c r="L376"/>
      <c r="M376"/>
      <c r="N376"/>
      <c r="O376"/>
      <c r="P376"/>
    </row>
    <row r="377" spans="1:16384" s="77" customFormat="1">
      <c r="A377" s="47" t="s">
        <v>72</v>
      </c>
      <c r="B377" s="47">
        <v>1</v>
      </c>
      <c r="C377" s="47" t="s">
        <v>501</v>
      </c>
      <c r="D377"/>
      <c r="E377"/>
      <c r="F377"/>
      <c r="G377"/>
      <c r="H377"/>
      <c r="I377"/>
      <c r="J377"/>
      <c r="K377"/>
      <c r="L377"/>
      <c r="M377"/>
      <c r="N377"/>
      <c r="O377"/>
      <c r="P377"/>
    </row>
    <row r="378" spans="1:16384" s="25" customFormat="1">
      <c r="A378" s="47" t="s">
        <v>933</v>
      </c>
      <c r="B378" s="47">
        <v>1</v>
      </c>
      <c r="C378" s="47" t="s">
        <v>1198</v>
      </c>
      <c r="D378"/>
      <c r="E378"/>
      <c r="F378"/>
      <c r="G378"/>
      <c r="H378"/>
      <c r="I378"/>
      <c r="J378"/>
      <c r="K378"/>
      <c r="L378"/>
      <c r="M378"/>
      <c r="N378"/>
      <c r="O378"/>
      <c r="P378"/>
    </row>
    <row r="379" spans="1:16384" s="83" customFormat="1">
      <c r="A379" s="25" t="s">
        <v>2919</v>
      </c>
      <c r="B379" s="47">
        <v>3</v>
      </c>
      <c r="C379" s="47" t="s">
        <v>2920</v>
      </c>
      <c r="D379"/>
      <c r="E379"/>
      <c r="F379"/>
      <c r="G379"/>
      <c r="H379"/>
      <c r="I379"/>
      <c r="J379"/>
      <c r="K379"/>
      <c r="L379"/>
      <c r="M379"/>
      <c r="N379"/>
      <c r="O379"/>
      <c r="P379"/>
    </row>
    <row r="380" spans="1:16384" s="81" customFormat="1">
      <c r="A380" s="32" t="s">
        <v>2757</v>
      </c>
      <c r="B380" s="47">
        <v>2</v>
      </c>
      <c r="C380" s="47" t="s">
        <v>1995</v>
      </c>
      <c r="D380"/>
      <c r="E380"/>
      <c r="F380"/>
      <c r="G380"/>
      <c r="H380"/>
      <c r="I380"/>
      <c r="J380"/>
      <c r="K380"/>
      <c r="L380"/>
      <c r="M380"/>
      <c r="N380"/>
      <c r="O380"/>
      <c r="P380"/>
    </row>
    <row r="381" spans="1:16384" s="81" customFormat="1">
      <c r="A381" s="47" t="s">
        <v>107</v>
      </c>
      <c r="B381" s="47">
        <v>1</v>
      </c>
      <c r="C381" s="47" t="s">
        <v>628</v>
      </c>
      <c r="D381"/>
      <c r="E381"/>
      <c r="F381"/>
      <c r="G381"/>
      <c r="H381"/>
      <c r="I381"/>
      <c r="J381"/>
      <c r="K381"/>
      <c r="L381"/>
      <c r="M381"/>
      <c r="N381"/>
      <c r="O381"/>
      <c r="P381"/>
    </row>
    <row r="382" spans="1:16384" s="58" customFormat="1">
      <c r="A382" s="47" t="s">
        <v>344</v>
      </c>
      <c r="B382" s="47">
        <v>1</v>
      </c>
      <c r="C382" s="47" t="s">
        <v>1124</v>
      </c>
      <c r="D382"/>
      <c r="E382"/>
      <c r="F382"/>
      <c r="G382"/>
      <c r="H382"/>
      <c r="I382"/>
      <c r="J382"/>
      <c r="K382"/>
      <c r="L382"/>
      <c r="M382"/>
      <c r="N382"/>
      <c r="O382"/>
      <c r="P382"/>
    </row>
    <row r="383" spans="1:16384" s="58" customFormat="1">
      <c r="A383" s="47" t="s">
        <v>341</v>
      </c>
      <c r="B383" s="47">
        <v>1</v>
      </c>
      <c r="C383" s="47" t="s">
        <v>896</v>
      </c>
      <c r="D383"/>
      <c r="E383"/>
      <c r="F383"/>
      <c r="G383"/>
      <c r="H383"/>
      <c r="I383"/>
      <c r="J383"/>
      <c r="K383"/>
      <c r="L383"/>
      <c r="M383"/>
      <c r="N383"/>
      <c r="O383"/>
      <c r="P383"/>
    </row>
    <row r="384" spans="1:16384" s="25" customFormat="1">
      <c r="A384" s="47" t="s">
        <v>807</v>
      </c>
      <c r="B384" s="47">
        <v>2</v>
      </c>
      <c r="C384" s="47" t="s">
        <v>1126</v>
      </c>
      <c r="D384"/>
      <c r="E384"/>
      <c r="F384"/>
      <c r="G384"/>
      <c r="H384"/>
      <c r="I384"/>
      <c r="J384"/>
      <c r="K384"/>
      <c r="L384"/>
      <c r="M384"/>
      <c r="N384"/>
      <c r="O384"/>
      <c r="P384"/>
    </row>
    <row r="385" spans="1:16" s="64" customFormat="1">
      <c r="A385" s="47" t="s">
        <v>49</v>
      </c>
      <c r="B385" s="47">
        <v>1</v>
      </c>
      <c r="C385" s="47" t="s">
        <v>416</v>
      </c>
      <c r="D385"/>
      <c r="E385"/>
      <c r="F385"/>
      <c r="G385"/>
      <c r="H385"/>
      <c r="I385"/>
      <c r="J385"/>
      <c r="K385"/>
      <c r="L385"/>
      <c r="M385"/>
      <c r="N385"/>
      <c r="O385"/>
      <c r="P385"/>
    </row>
    <row r="386" spans="1:16">
      <c r="A386" s="47" t="s">
        <v>122</v>
      </c>
      <c r="B386" s="47">
        <v>1</v>
      </c>
      <c r="C386" s="47" t="s">
        <v>416</v>
      </c>
    </row>
    <row r="387" spans="1:16" s="39" customFormat="1">
      <c r="A387" s="47" t="s">
        <v>131</v>
      </c>
      <c r="B387" s="47">
        <v>1</v>
      </c>
      <c r="C387" s="47" t="s">
        <v>416</v>
      </c>
      <c r="D387"/>
      <c r="E387"/>
      <c r="F387"/>
      <c r="G387"/>
      <c r="H387"/>
      <c r="I387"/>
      <c r="J387"/>
      <c r="K387"/>
      <c r="L387"/>
      <c r="M387"/>
      <c r="N387"/>
      <c r="O387"/>
      <c r="P387"/>
    </row>
    <row r="388" spans="1:16" s="39" customFormat="1">
      <c r="A388" s="47" t="s">
        <v>78</v>
      </c>
      <c r="B388" s="47">
        <v>1</v>
      </c>
      <c r="C388" s="47" t="s">
        <v>529</v>
      </c>
      <c r="D388"/>
      <c r="E388"/>
      <c r="F388"/>
      <c r="G388"/>
      <c r="H388"/>
      <c r="I388"/>
      <c r="J388"/>
      <c r="K388"/>
      <c r="L388"/>
      <c r="M388"/>
      <c r="N388"/>
      <c r="O388"/>
      <c r="P388"/>
    </row>
    <row r="389" spans="1:16" s="39" customFormat="1">
      <c r="A389" s="47" t="s">
        <v>143</v>
      </c>
      <c r="B389" s="47">
        <v>1</v>
      </c>
      <c r="C389" s="47" t="s">
        <v>740</v>
      </c>
      <c r="D389"/>
      <c r="E389"/>
      <c r="F389"/>
      <c r="G389"/>
      <c r="H389"/>
      <c r="I389"/>
      <c r="J389"/>
      <c r="K389"/>
      <c r="L389"/>
      <c r="M389"/>
      <c r="N389"/>
      <c r="O389"/>
      <c r="P389"/>
    </row>
    <row r="390" spans="1:16" s="39" customFormat="1">
      <c r="A390" s="25" t="s">
        <v>2700</v>
      </c>
      <c r="B390" s="47">
        <v>3</v>
      </c>
      <c r="C390" s="47" t="s">
        <v>2701</v>
      </c>
      <c r="D390"/>
      <c r="E390"/>
      <c r="F390"/>
      <c r="G390"/>
      <c r="H390"/>
      <c r="I390"/>
      <c r="J390"/>
      <c r="K390"/>
      <c r="L390"/>
      <c r="M390"/>
      <c r="N390"/>
      <c r="O390"/>
      <c r="P390"/>
    </row>
    <row r="391" spans="1:16" s="39" customFormat="1">
      <c r="A391" s="32" t="s">
        <v>2801</v>
      </c>
      <c r="B391" s="47">
        <v>3</v>
      </c>
      <c r="C391" s="47" t="s">
        <v>2701</v>
      </c>
      <c r="D391"/>
      <c r="E391"/>
      <c r="F391"/>
      <c r="G391"/>
      <c r="H391"/>
      <c r="I391"/>
      <c r="J391"/>
      <c r="K391"/>
      <c r="L391"/>
      <c r="M391"/>
      <c r="N391"/>
      <c r="O391"/>
      <c r="P391"/>
    </row>
    <row r="392" spans="1:16" s="39" customFormat="1">
      <c r="A392" s="47" t="s">
        <v>149</v>
      </c>
      <c r="B392" s="47">
        <v>1</v>
      </c>
      <c r="C392" s="47" t="s">
        <v>777</v>
      </c>
      <c r="D392"/>
      <c r="E392"/>
      <c r="F392"/>
      <c r="G392"/>
      <c r="H392"/>
      <c r="I392"/>
      <c r="J392"/>
      <c r="K392"/>
      <c r="L392"/>
      <c r="M392"/>
      <c r="N392"/>
      <c r="O392"/>
      <c r="P392"/>
    </row>
    <row r="393" spans="1:16" s="39" customFormat="1">
      <c r="A393" s="47" t="s">
        <v>41</v>
      </c>
      <c r="B393" s="47">
        <v>1</v>
      </c>
      <c r="C393" s="47" t="s">
        <v>404</v>
      </c>
      <c r="D393"/>
      <c r="E393"/>
      <c r="F393"/>
      <c r="G393"/>
      <c r="H393"/>
      <c r="I393"/>
      <c r="J393"/>
      <c r="K393"/>
      <c r="L393"/>
      <c r="M393"/>
      <c r="N393"/>
      <c r="O393"/>
      <c r="P393"/>
    </row>
    <row r="394" spans="1:16" s="39" customFormat="1">
      <c r="A394" s="47" t="s">
        <v>22</v>
      </c>
      <c r="B394" s="47">
        <v>1</v>
      </c>
      <c r="C394" s="47" t="s">
        <v>290</v>
      </c>
      <c r="D394"/>
      <c r="E394"/>
      <c r="F394"/>
      <c r="G394"/>
      <c r="H394"/>
      <c r="I394"/>
      <c r="J394"/>
      <c r="K394"/>
      <c r="L394"/>
      <c r="M394"/>
      <c r="N394"/>
      <c r="O394"/>
      <c r="P394"/>
    </row>
    <row r="395" spans="1:16" s="39" customFormat="1">
      <c r="A395" s="47" t="s">
        <v>497</v>
      </c>
      <c r="B395" s="47">
        <v>1</v>
      </c>
      <c r="C395" s="47" t="s">
        <v>795</v>
      </c>
      <c r="D395"/>
      <c r="E395"/>
      <c r="F395"/>
      <c r="G395"/>
      <c r="H395"/>
      <c r="I395"/>
      <c r="J395"/>
      <c r="K395"/>
      <c r="L395"/>
      <c r="M395"/>
      <c r="N395"/>
      <c r="O395"/>
      <c r="P395"/>
    </row>
    <row r="396" spans="1:16" s="39" customFormat="1">
      <c r="A396" s="47" t="s">
        <v>490</v>
      </c>
      <c r="B396" s="47">
        <v>1</v>
      </c>
      <c r="C396" s="47" t="s">
        <v>810</v>
      </c>
      <c r="D396"/>
      <c r="E396"/>
      <c r="F396"/>
      <c r="G396"/>
      <c r="H396"/>
      <c r="I396"/>
      <c r="J396"/>
      <c r="K396"/>
      <c r="L396"/>
      <c r="M396"/>
      <c r="N396"/>
      <c r="O396"/>
      <c r="P396"/>
    </row>
    <row r="397" spans="1:16">
      <c r="A397" s="47" t="s">
        <v>822</v>
      </c>
      <c r="B397" s="47">
        <v>2</v>
      </c>
      <c r="C397" s="47" t="s">
        <v>1127</v>
      </c>
    </row>
    <row r="398" spans="1:16" s="55" customFormat="1">
      <c r="A398" s="25" t="s">
        <v>2952</v>
      </c>
      <c r="B398" s="47">
        <v>3</v>
      </c>
      <c r="C398" s="47" t="s">
        <v>1127</v>
      </c>
      <c r="D398"/>
      <c r="E398"/>
      <c r="F398"/>
      <c r="G398"/>
      <c r="H398"/>
      <c r="I398"/>
      <c r="J398"/>
      <c r="K398"/>
      <c r="L398"/>
      <c r="M398"/>
      <c r="N398"/>
      <c r="O398"/>
      <c r="P398"/>
    </row>
    <row r="399" spans="1:16" s="55" customFormat="1" ht="17">
      <c r="A399" s="46" t="s">
        <v>2930</v>
      </c>
      <c r="B399" s="47">
        <v>3</v>
      </c>
      <c r="C399" s="47" t="s">
        <v>2931</v>
      </c>
      <c r="D399"/>
      <c r="E399"/>
      <c r="F399"/>
      <c r="G399"/>
      <c r="H399"/>
      <c r="I399"/>
      <c r="J399"/>
      <c r="K399"/>
      <c r="L399"/>
      <c r="M399"/>
      <c r="N399"/>
      <c r="O399"/>
      <c r="P399"/>
    </row>
    <row r="400" spans="1:16" s="25" customFormat="1">
      <c r="A400" s="25" t="s">
        <v>2932</v>
      </c>
      <c r="B400" s="47">
        <v>3</v>
      </c>
      <c r="C400" s="47" t="s">
        <v>2931</v>
      </c>
      <c r="D400"/>
      <c r="E400"/>
      <c r="F400"/>
      <c r="G400"/>
      <c r="H400"/>
      <c r="I400"/>
      <c r="J400"/>
      <c r="K400"/>
      <c r="L400"/>
      <c r="M400"/>
      <c r="N400"/>
      <c r="O400"/>
      <c r="P400"/>
    </row>
    <row r="401" spans="1:16" s="58" customFormat="1">
      <c r="A401" s="32" t="s">
        <v>2775</v>
      </c>
      <c r="B401" s="47">
        <v>2</v>
      </c>
      <c r="C401" s="47" t="s">
        <v>2123</v>
      </c>
      <c r="D401"/>
      <c r="E401"/>
      <c r="F401"/>
      <c r="G401"/>
      <c r="H401"/>
      <c r="I401"/>
      <c r="J401"/>
      <c r="K401"/>
      <c r="L401"/>
      <c r="M401"/>
      <c r="N401"/>
      <c r="O401"/>
      <c r="P401"/>
    </row>
    <row r="402" spans="1:16" s="25" customFormat="1">
      <c r="A402" s="47" t="s">
        <v>81</v>
      </c>
      <c r="B402" s="47">
        <v>1</v>
      </c>
      <c r="C402" s="47" t="s">
        <v>532</v>
      </c>
      <c r="D402"/>
      <c r="E402"/>
      <c r="F402"/>
      <c r="G402"/>
      <c r="H402"/>
      <c r="I402"/>
      <c r="J402"/>
      <c r="K402"/>
      <c r="L402"/>
      <c r="M402"/>
      <c r="N402"/>
      <c r="O402"/>
      <c r="P402"/>
    </row>
    <row r="403" spans="1:16" s="25" customFormat="1">
      <c r="A403" s="32" t="s">
        <v>2813</v>
      </c>
      <c r="B403" s="47">
        <v>3</v>
      </c>
      <c r="C403" s="47" t="s">
        <v>2748</v>
      </c>
      <c r="D403"/>
      <c r="E403"/>
      <c r="F403"/>
      <c r="G403"/>
      <c r="H403"/>
      <c r="I403"/>
      <c r="J403"/>
      <c r="K403"/>
      <c r="L403"/>
      <c r="M403"/>
      <c r="N403"/>
      <c r="O403"/>
      <c r="P403"/>
    </row>
    <row r="404" spans="1:16" s="25" customFormat="1">
      <c r="A404" s="47" t="s">
        <v>767</v>
      </c>
      <c r="B404" s="47">
        <v>1</v>
      </c>
      <c r="C404" s="47" t="s">
        <v>878</v>
      </c>
      <c r="D404"/>
      <c r="E404"/>
      <c r="F404"/>
      <c r="G404"/>
      <c r="H404"/>
      <c r="I404"/>
      <c r="J404"/>
      <c r="K404"/>
      <c r="L404"/>
      <c r="M404"/>
      <c r="N404"/>
      <c r="O404"/>
      <c r="P404"/>
    </row>
    <row r="405" spans="1:16" s="25" customFormat="1">
      <c r="A405" s="47" t="s">
        <v>739</v>
      </c>
      <c r="B405" s="47">
        <v>1</v>
      </c>
      <c r="C405" s="47" t="s">
        <v>814</v>
      </c>
      <c r="D405"/>
      <c r="E405"/>
      <c r="F405"/>
      <c r="G405"/>
      <c r="H405"/>
      <c r="I405"/>
      <c r="J405"/>
      <c r="K405"/>
      <c r="L405"/>
      <c r="M405"/>
      <c r="N405"/>
      <c r="O405"/>
      <c r="P405"/>
    </row>
    <row r="406" spans="1:16" s="25" customFormat="1">
      <c r="A406" s="47" t="s">
        <v>525</v>
      </c>
      <c r="B406" s="47">
        <v>1</v>
      </c>
      <c r="C406" s="47" t="s">
        <v>911</v>
      </c>
      <c r="D406"/>
      <c r="E406"/>
      <c r="F406"/>
      <c r="G406"/>
      <c r="H406"/>
      <c r="I406"/>
      <c r="J406"/>
      <c r="K406"/>
      <c r="L406"/>
      <c r="M406"/>
      <c r="N406"/>
      <c r="O406"/>
      <c r="P406"/>
    </row>
    <row r="407" spans="1:16" s="25" customFormat="1">
      <c r="A407" s="47" t="s">
        <v>2735</v>
      </c>
      <c r="B407" s="47">
        <v>1</v>
      </c>
      <c r="C407" s="47" t="s">
        <v>911</v>
      </c>
      <c r="D407"/>
      <c r="E407"/>
      <c r="F407"/>
      <c r="G407"/>
      <c r="H407"/>
      <c r="I407"/>
      <c r="J407"/>
      <c r="K407"/>
      <c r="L407"/>
      <c r="M407"/>
      <c r="N407"/>
      <c r="O407"/>
      <c r="P407"/>
    </row>
    <row r="408" spans="1:16" s="25" customFormat="1">
      <c r="A408" s="47" t="s">
        <v>34</v>
      </c>
      <c r="B408" s="47">
        <v>1</v>
      </c>
      <c r="C408" s="47" t="s">
        <v>398</v>
      </c>
      <c r="D408"/>
      <c r="E408"/>
      <c r="F408"/>
      <c r="G408"/>
      <c r="H408"/>
      <c r="I408"/>
      <c r="J408"/>
      <c r="K408"/>
      <c r="L408"/>
      <c r="M408"/>
      <c r="N408"/>
      <c r="O408"/>
      <c r="P408"/>
    </row>
    <row r="409" spans="1:16" s="25" customFormat="1">
      <c r="A409" s="47" t="s">
        <v>1825</v>
      </c>
      <c r="B409" s="47">
        <v>2</v>
      </c>
      <c r="C409" s="47" t="s">
        <v>1826</v>
      </c>
      <c r="D409"/>
      <c r="E409"/>
      <c r="F409"/>
      <c r="G409"/>
      <c r="H409"/>
      <c r="I409"/>
      <c r="J409"/>
      <c r="K409"/>
      <c r="L409"/>
      <c r="M409"/>
      <c r="N409"/>
      <c r="O409"/>
      <c r="P409"/>
    </row>
    <row r="410" spans="1:16" s="25" customFormat="1">
      <c r="A410" s="47" t="s">
        <v>108</v>
      </c>
      <c r="B410" s="47">
        <v>1</v>
      </c>
      <c r="C410" s="47" t="s">
        <v>629</v>
      </c>
      <c r="D410"/>
      <c r="E410"/>
      <c r="F410"/>
      <c r="G410"/>
      <c r="H410"/>
      <c r="I410"/>
      <c r="J410"/>
      <c r="K410"/>
      <c r="L410"/>
      <c r="M410"/>
      <c r="N410"/>
      <c r="O410"/>
      <c r="P410"/>
    </row>
    <row r="411" spans="1:16" s="25" customFormat="1">
      <c r="A411" s="47" t="s">
        <v>124</v>
      </c>
      <c r="B411" s="47">
        <v>1</v>
      </c>
      <c r="C411" s="47" t="s">
        <v>629</v>
      </c>
      <c r="D411"/>
      <c r="E411"/>
      <c r="F411"/>
      <c r="G411"/>
      <c r="H411"/>
      <c r="I411"/>
      <c r="J411"/>
      <c r="K411"/>
      <c r="L411"/>
      <c r="M411"/>
      <c r="N411"/>
      <c r="O411"/>
      <c r="P411"/>
    </row>
    <row r="412" spans="1:16" s="25" customFormat="1">
      <c r="A412" s="47" t="s">
        <v>142</v>
      </c>
      <c r="B412" s="47">
        <v>1</v>
      </c>
      <c r="C412" s="47" t="s">
        <v>629</v>
      </c>
      <c r="D412"/>
      <c r="E412"/>
      <c r="F412"/>
      <c r="G412"/>
      <c r="H412"/>
      <c r="I412"/>
      <c r="J412"/>
      <c r="K412"/>
      <c r="L412"/>
      <c r="M412"/>
      <c r="N412"/>
      <c r="O412"/>
      <c r="P412"/>
    </row>
    <row r="413" spans="1:16" s="25" customFormat="1" ht="17">
      <c r="A413" s="46" t="s">
        <v>2975</v>
      </c>
      <c r="B413" s="47">
        <v>3</v>
      </c>
      <c r="C413" s="47" t="s">
        <v>2976</v>
      </c>
      <c r="D413"/>
      <c r="E413"/>
      <c r="F413"/>
      <c r="G413"/>
      <c r="H413"/>
      <c r="I413"/>
      <c r="J413"/>
      <c r="K413"/>
      <c r="L413"/>
      <c r="M413"/>
      <c r="N413"/>
      <c r="O413"/>
      <c r="P413"/>
    </row>
    <row r="414" spans="1:16" s="25" customFormat="1">
      <c r="A414" s="25" t="s">
        <v>2911</v>
      </c>
      <c r="B414" s="47">
        <v>3</v>
      </c>
      <c r="C414" s="47" t="s">
        <v>2912</v>
      </c>
      <c r="D414"/>
      <c r="E414"/>
      <c r="F414"/>
      <c r="G414"/>
      <c r="H414"/>
      <c r="I414"/>
      <c r="J414"/>
      <c r="K414"/>
      <c r="L414"/>
      <c r="M414"/>
      <c r="N414"/>
      <c r="O414"/>
      <c r="P414"/>
    </row>
    <row r="415" spans="1:16" s="25" customFormat="1" ht="17">
      <c r="A415" s="46" t="s">
        <v>2934</v>
      </c>
      <c r="B415" s="47">
        <v>3</v>
      </c>
      <c r="C415" s="47" t="s">
        <v>2912</v>
      </c>
      <c r="D415"/>
      <c r="E415"/>
      <c r="F415"/>
      <c r="G415"/>
      <c r="H415"/>
      <c r="I415"/>
      <c r="J415"/>
      <c r="K415"/>
      <c r="L415"/>
      <c r="M415"/>
      <c r="N415"/>
      <c r="O415"/>
      <c r="P415"/>
    </row>
    <row r="416" spans="1:16" s="25" customFormat="1" ht="17">
      <c r="A416" s="46" t="s">
        <v>2936</v>
      </c>
      <c r="B416" s="47">
        <v>3</v>
      </c>
      <c r="C416" s="47" t="s">
        <v>2912</v>
      </c>
      <c r="D416"/>
      <c r="E416"/>
      <c r="F416"/>
      <c r="G416"/>
      <c r="H416"/>
      <c r="I416"/>
      <c r="J416"/>
      <c r="K416"/>
      <c r="L416"/>
      <c r="M416"/>
      <c r="N416"/>
      <c r="O416"/>
      <c r="P416"/>
    </row>
    <row r="417" spans="1:16" s="25" customFormat="1" ht="17">
      <c r="A417" s="46" t="s">
        <v>2943</v>
      </c>
      <c r="B417" s="47">
        <v>3</v>
      </c>
      <c r="C417" s="47" t="s">
        <v>2912</v>
      </c>
      <c r="D417"/>
      <c r="E417"/>
      <c r="F417"/>
      <c r="G417"/>
      <c r="H417"/>
      <c r="I417"/>
      <c r="J417"/>
      <c r="K417"/>
      <c r="L417"/>
      <c r="M417"/>
      <c r="N417"/>
      <c r="O417"/>
      <c r="P417"/>
    </row>
    <row r="418" spans="1:16" s="25" customFormat="1" ht="17">
      <c r="A418" s="46" t="s">
        <v>2967</v>
      </c>
      <c r="B418" s="47">
        <v>3</v>
      </c>
      <c r="C418" s="47" t="s">
        <v>2912</v>
      </c>
      <c r="D418"/>
      <c r="E418"/>
      <c r="F418"/>
      <c r="G418"/>
      <c r="H418"/>
      <c r="I418"/>
      <c r="J418"/>
      <c r="K418"/>
      <c r="L418"/>
      <c r="M418"/>
      <c r="N418"/>
      <c r="O418"/>
      <c r="P418"/>
    </row>
    <row r="419" spans="1:16" s="39" customFormat="1" ht="17">
      <c r="A419" s="46" t="s">
        <v>2974</v>
      </c>
      <c r="B419" s="47">
        <v>3</v>
      </c>
      <c r="C419" s="47" t="s">
        <v>2912</v>
      </c>
      <c r="D419"/>
      <c r="E419"/>
      <c r="F419"/>
      <c r="G419"/>
      <c r="H419"/>
      <c r="I419"/>
      <c r="J419"/>
      <c r="K419"/>
      <c r="L419"/>
      <c r="M419"/>
      <c r="N419"/>
      <c r="O419"/>
      <c r="P419"/>
    </row>
    <row r="420" spans="1:16" s="39" customFormat="1" ht="17">
      <c r="A420" s="46" t="s">
        <v>2915</v>
      </c>
      <c r="B420" s="47">
        <v>3</v>
      </c>
      <c r="C420" s="47" t="s">
        <v>2912</v>
      </c>
      <c r="D420"/>
      <c r="E420"/>
      <c r="F420"/>
      <c r="G420"/>
      <c r="H420"/>
      <c r="I420"/>
      <c r="J420"/>
      <c r="K420"/>
      <c r="L420"/>
      <c r="M420"/>
      <c r="N420"/>
      <c r="O420"/>
      <c r="P420"/>
    </row>
    <row r="421" spans="1:16" s="39" customFormat="1" ht="17">
      <c r="A421" s="93" t="s">
        <v>2927</v>
      </c>
      <c r="B421" s="47">
        <v>3</v>
      </c>
      <c r="C421" s="47" t="s">
        <v>3042</v>
      </c>
      <c r="D421"/>
      <c r="E421"/>
      <c r="F421"/>
      <c r="G421"/>
      <c r="H421"/>
      <c r="I421"/>
      <c r="J421"/>
      <c r="K421"/>
      <c r="L421"/>
      <c r="M421"/>
      <c r="N421"/>
      <c r="O421"/>
      <c r="P421"/>
    </row>
    <row r="422" spans="1:16" s="25" customFormat="1">
      <c r="A422" s="47" t="s">
        <v>516</v>
      </c>
      <c r="B422" s="47">
        <v>1</v>
      </c>
      <c r="C422" s="47" t="s">
        <v>873</v>
      </c>
      <c r="D422"/>
      <c r="E422"/>
      <c r="F422"/>
      <c r="G422"/>
      <c r="H422"/>
      <c r="I422"/>
      <c r="J422"/>
      <c r="K422"/>
      <c r="L422"/>
      <c r="M422"/>
      <c r="N422"/>
      <c r="O422"/>
      <c r="P422"/>
    </row>
    <row r="423" spans="1:16" s="25" customFormat="1">
      <c r="A423" s="47" t="s">
        <v>754</v>
      </c>
      <c r="B423" s="47">
        <v>1</v>
      </c>
      <c r="C423" s="47" t="s">
        <v>755</v>
      </c>
      <c r="D423"/>
      <c r="E423"/>
      <c r="F423"/>
      <c r="G423"/>
      <c r="H423"/>
      <c r="I423"/>
      <c r="J423"/>
      <c r="K423"/>
      <c r="L423"/>
      <c r="M423"/>
      <c r="N423"/>
      <c r="O423"/>
      <c r="P423"/>
    </row>
    <row r="424" spans="1:16" s="25" customFormat="1">
      <c r="A424" s="47" t="s">
        <v>576</v>
      </c>
      <c r="B424" s="47">
        <v>1</v>
      </c>
      <c r="C424" s="47" t="s">
        <v>926</v>
      </c>
      <c r="D424"/>
      <c r="E424"/>
      <c r="F424"/>
      <c r="G424"/>
      <c r="H424"/>
      <c r="I424"/>
      <c r="J424"/>
      <c r="K424"/>
      <c r="L424"/>
      <c r="M424"/>
      <c r="N424"/>
      <c r="O424"/>
      <c r="P424"/>
    </row>
    <row r="425" spans="1:16" s="25" customFormat="1">
      <c r="A425" s="47" t="s">
        <v>738</v>
      </c>
      <c r="B425" s="47">
        <v>1</v>
      </c>
      <c r="C425" s="47" t="s">
        <v>895</v>
      </c>
      <c r="D425"/>
      <c r="E425"/>
      <c r="F425"/>
      <c r="G425"/>
      <c r="H425"/>
      <c r="I425"/>
      <c r="J425"/>
      <c r="K425"/>
      <c r="L425"/>
      <c r="M425"/>
      <c r="N425"/>
      <c r="O425"/>
      <c r="P425"/>
    </row>
    <row r="426" spans="1:16" s="25" customFormat="1">
      <c r="A426" s="47" t="s">
        <v>12</v>
      </c>
      <c r="B426" s="47">
        <v>1</v>
      </c>
      <c r="C426" s="47" t="s">
        <v>1132</v>
      </c>
      <c r="D426"/>
      <c r="E426"/>
      <c r="F426"/>
      <c r="G426"/>
      <c r="H426"/>
      <c r="I426"/>
      <c r="J426"/>
      <c r="K426"/>
      <c r="L426"/>
      <c r="M426"/>
      <c r="N426"/>
      <c r="O426"/>
      <c r="P426"/>
    </row>
    <row r="427" spans="1:16" s="25" customFormat="1">
      <c r="A427" s="47" t="s">
        <v>494</v>
      </c>
      <c r="B427" s="47">
        <v>1</v>
      </c>
      <c r="C427" s="47" t="s">
        <v>1132</v>
      </c>
      <c r="D427"/>
      <c r="E427"/>
      <c r="F427"/>
      <c r="G427"/>
      <c r="H427"/>
      <c r="I427"/>
      <c r="J427"/>
      <c r="K427"/>
      <c r="L427"/>
      <c r="M427"/>
      <c r="N427"/>
      <c r="O427"/>
      <c r="P427"/>
    </row>
    <row r="428" spans="1:16" s="25" customFormat="1">
      <c r="A428" s="47" t="s">
        <v>710</v>
      </c>
      <c r="B428" s="47">
        <v>1</v>
      </c>
      <c r="C428" s="47" t="s">
        <v>1132</v>
      </c>
      <c r="D428"/>
      <c r="E428"/>
      <c r="F428"/>
      <c r="G428"/>
      <c r="H428"/>
      <c r="I428"/>
      <c r="J428"/>
      <c r="K428"/>
      <c r="L428"/>
      <c r="M428"/>
      <c r="N428"/>
      <c r="O428"/>
      <c r="P428"/>
    </row>
    <row r="429" spans="1:16" s="25" customFormat="1">
      <c r="A429" s="47" t="s">
        <v>339</v>
      </c>
      <c r="B429" s="47">
        <v>1</v>
      </c>
      <c r="C429" s="47" t="s">
        <v>1132</v>
      </c>
      <c r="D429"/>
      <c r="E429"/>
      <c r="F429"/>
      <c r="G429"/>
      <c r="H429"/>
      <c r="I429"/>
      <c r="J429"/>
      <c r="K429"/>
      <c r="L429"/>
      <c r="M429"/>
      <c r="N429"/>
      <c r="O429"/>
      <c r="P429"/>
    </row>
    <row r="430" spans="1:16" s="25" customFormat="1">
      <c r="A430" s="47" t="s">
        <v>583</v>
      </c>
      <c r="B430" s="47">
        <v>1</v>
      </c>
      <c r="C430" s="47" t="s">
        <v>1132</v>
      </c>
      <c r="D430"/>
      <c r="E430"/>
      <c r="F430"/>
      <c r="G430"/>
      <c r="H430"/>
      <c r="I430"/>
      <c r="J430"/>
      <c r="K430"/>
      <c r="L430"/>
      <c r="M430"/>
      <c r="N430"/>
      <c r="O430"/>
      <c r="P430"/>
    </row>
    <row r="431" spans="1:16" s="36" customFormat="1">
      <c r="A431" s="47" t="s">
        <v>338</v>
      </c>
      <c r="B431" s="47">
        <v>1</v>
      </c>
      <c r="C431" s="47" t="s">
        <v>1132</v>
      </c>
      <c r="D431"/>
      <c r="E431"/>
      <c r="F431"/>
      <c r="G431"/>
      <c r="H431"/>
      <c r="I431"/>
      <c r="J431"/>
      <c r="K431"/>
      <c r="L431"/>
      <c r="M431"/>
      <c r="N431"/>
      <c r="O431"/>
      <c r="P431"/>
    </row>
    <row r="432" spans="1:16" s="25" customFormat="1">
      <c r="A432" s="47" t="s">
        <v>343</v>
      </c>
      <c r="B432" s="47">
        <v>1</v>
      </c>
      <c r="C432" s="47" t="s">
        <v>1132</v>
      </c>
      <c r="D432"/>
      <c r="E432"/>
      <c r="F432"/>
      <c r="G432"/>
      <c r="H432"/>
      <c r="I432"/>
      <c r="J432"/>
      <c r="K432"/>
      <c r="L432"/>
      <c r="M432"/>
      <c r="N432"/>
      <c r="O432"/>
      <c r="P432"/>
    </row>
    <row r="433" spans="1:16" s="25" customFormat="1">
      <c r="A433" s="47" t="s">
        <v>867</v>
      </c>
      <c r="B433" s="47">
        <v>2</v>
      </c>
      <c r="C433" s="47" t="s">
        <v>1132</v>
      </c>
      <c r="D433"/>
      <c r="E433"/>
      <c r="F433"/>
      <c r="G433"/>
      <c r="H433"/>
      <c r="I433"/>
      <c r="J433"/>
      <c r="K433"/>
      <c r="L433"/>
      <c r="M433"/>
      <c r="N433"/>
      <c r="O433"/>
      <c r="P433"/>
    </row>
    <row r="434" spans="1:16" s="25" customFormat="1">
      <c r="A434" s="47" t="s">
        <v>868</v>
      </c>
      <c r="B434" s="47">
        <v>2</v>
      </c>
      <c r="C434" s="47" t="s">
        <v>1132</v>
      </c>
      <c r="D434"/>
      <c r="E434"/>
      <c r="F434"/>
      <c r="G434"/>
      <c r="H434"/>
      <c r="I434"/>
      <c r="J434"/>
      <c r="K434"/>
      <c r="L434"/>
      <c r="M434"/>
      <c r="N434"/>
      <c r="O434"/>
      <c r="P434"/>
    </row>
    <row r="435" spans="1:16" s="25" customFormat="1">
      <c r="A435" s="47" t="s">
        <v>887</v>
      </c>
      <c r="B435" s="47">
        <v>2</v>
      </c>
      <c r="C435" s="47" t="s">
        <v>1132</v>
      </c>
      <c r="D435"/>
      <c r="E435"/>
      <c r="F435"/>
      <c r="G435"/>
      <c r="H435"/>
      <c r="I435"/>
      <c r="J435"/>
      <c r="K435"/>
      <c r="L435"/>
      <c r="M435"/>
      <c r="N435"/>
      <c r="O435"/>
      <c r="P435"/>
    </row>
    <row r="436" spans="1:16" s="25" customFormat="1">
      <c r="A436" s="47" t="s">
        <v>908</v>
      </c>
      <c r="B436" s="47">
        <v>2</v>
      </c>
      <c r="C436" s="47" t="s">
        <v>1132</v>
      </c>
      <c r="D436"/>
      <c r="E436"/>
      <c r="F436"/>
      <c r="G436"/>
      <c r="H436"/>
      <c r="I436"/>
      <c r="J436"/>
      <c r="K436"/>
      <c r="L436"/>
      <c r="M436"/>
      <c r="N436"/>
      <c r="O436"/>
      <c r="P436"/>
    </row>
    <row r="437" spans="1:16" s="25" customFormat="1">
      <c r="A437" s="47" t="s">
        <v>909</v>
      </c>
      <c r="B437" s="47">
        <v>2</v>
      </c>
      <c r="C437" s="47" t="s">
        <v>1132</v>
      </c>
      <c r="D437"/>
      <c r="E437"/>
      <c r="F437"/>
      <c r="G437"/>
      <c r="H437"/>
      <c r="I437"/>
      <c r="J437"/>
      <c r="K437"/>
      <c r="L437"/>
      <c r="M437"/>
      <c r="N437"/>
      <c r="O437"/>
      <c r="P437"/>
    </row>
    <row r="438" spans="1:16" s="25" customFormat="1">
      <c r="A438" s="47" t="s">
        <v>910</v>
      </c>
      <c r="B438" s="47">
        <v>2</v>
      </c>
      <c r="C438" s="47" t="s">
        <v>1132</v>
      </c>
      <c r="D438"/>
      <c r="E438"/>
      <c r="F438"/>
      <c r="G438"/>
      <c r="H438"/>
      <c r="I438"/>
      <c r="J438"/>
      <c r="K438"/>
      <c r="L438"/>
      <c r="M438"/>
      <c r="N438"/>
      <c r="O438"/>
      <c r="P438"/>
    </row>
    <row r="439" spans="1:16" s="36" customFormat="1">
      <c r="A439" s="47" t="s">
        <v>962</v>
      </c>
      <c r="B439" s="47">
        <v>2</v>
      </c>
      <c r="C439" s="47" t="s">
        <v>1132</v>
      </c>
      <c r="D439"/>
      <c r="E439"/>
      <c r="F439"/>
      <c r="G439"/>
      <c r="H439"/>
      <c r="I439"/>
      <c r="J439"/>
      <c r="K439"/>
      <c r="L439"/>
      <c r="M439"/>
      <c r="N439"/>
      <c r="O439"/>
      <c r="P439"/>
    </row>
    <row r="440" spans="1:16" s="25" customFormat="1">
      <c r="A440" s="47" t="s">
        <v>964</v>
      </c>
      <c r="B440" s="47">
        <v>2</v>
      </c>
      <c r="C440" s="47" t="s">
        <v>1132</v>
      </c>
      <c r="D440"/>
      <c r="E440"/>
      <c r="F440"/>
      <c r="G440"/>
      <c r="H440"/>
      <c r="I440"/>
      <c r="J440"/>
      <c r="K440"/>
      <c r="L440"/>
      <c r="M440"/>
      <c r="N440"/>
      <c r="O440"/>
      <c r="P440"/>
    </row>
    <row r="441" spans="1:16" s="25" customFormat="1">
      <c r="A441" s="47" t="s">
        <v>848</v>
      </c>
      <c r="B441" s="47">
        <v>2</v>
      </c>
      <c r="C441" s="47" t="s">
        <v>1132</v>
      </c>
      <c r="D441"/>
      <c r="E441"/>
      <c r="F441"/>
      <c r="G441"/>
      <c r="H441"/>
      <c r="I441"/>
      <c r="J441"/>
      <c r="K441"/>
      <c r="L441"/>
      <c r="M441"/>
      <c r="N441"/>
      <c r="O441"/>
      <c r="P441"/>
    </row>
    <row r="442" spans="1:16" s="25" customFormat="1">
      <c r="A442" s="47" t="s">
        <v>886</v>
      </c>
      <c r="B442" s="47">
        <v>2</v>
      </c>
      <c r="C442" s="47" t="s">
        <v>1132</v>
      </c>
      <c r="D442"/>
      <c r="E442"/>
      <c r="F442"/>
      <c r="G442"/>
      <c r="H442"/>
      <c r="I442"/>
      <c r="J442"/>
      <c r="K442"/>
      <c r="L442"/>
      <c r="M442"/>
      <c r="N442"/>
      <c r="O442"/>
      <c r="P442"/>
    </row>
    <row r="443" spans="1:16" ht="16">
      <c r="A443" s="29" t="s">
        <v>431</v>
      </c>
      <c r="B443" s="94">
        <v>1</v>
      </c>
      <c r="C443" s="94" t="s">
        <v>3085</v>
      </c>
    </row>
    <row r="444" spans="1:16">
      <c r="A444" s="95" t="s">
        <v>394</v>
      </c>
      <c r="B444" s="94">
        <v>1</v>
      </c>
      <c r="C444" s="94" t="s">
        <v>3086</v>
      </c>
    </row>
  </sheetData>
  <sortState xmlns:xlrd2="http://schemas.microsoft.com/office/spreadsheetml/2017/richdata2" ref="A2:C442">
    <sortCondition descending="1" sortBy="cellColor" ref="A2:A442" dxfId="10"/>
    <sortCondition sortBy="cellColor" ref="A2:A442" dxfId="9"/>
    <sortCondition sortBy="cellColor" ref="A2:A442" dxfId="8"/>
    <sortCondition sortBy="cellColor" ref="A2:A442" dxfId="7"/>
    <sortCondition sortBy="cellColor" ref="A2:A442" dxfId="6"/>
    <sortCondition sortBy="cellColor" ref="A2:A442" dxfId="5"/>
    <sortCondition sortBy="cellColor" ref="A2:A442" dxfId="4"/>
    <sortCondition sortBy="cellColor" ref="A2:A442" dxfId="3"/>
    <sortCondition sortBy="cellColor" ref="A2:A442" dxfId="2"/>
    <sortCondition sortBy="cellColor" ref="A2:A442" dxfId="1"/>
    <sortCondition sortBy="cellColor" ref="A2:A442" dxfId="0"/>
  </sortState>
  <phoneticPr fontId="10"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3C58-089C-4847-942C-FC2D3B85069B}">
  <dimension ref="A1:C100"/>
  <sheetViews>
    <sheetView workbookViewId="0">
      <selection activeCell="I30" sqref="I30"/>
    </sheetView>
  </sheetViews>
  <sheetFormatPr baseColWidth="10" defaultColWidth="10.83203125" defaultRowHeight="15"/>
  <cols>
    <col min="1" max="1" width="26.33203125" customWidth="1"/>
    <col min="2" max="2" width="22.33203125" customWidth="1"/>
    <col min="3" max="3" width="25.83203125" customWidth="1"/>
  </cols>
  <sheetData>
    <row r="1" spans="1:3">
      <c r="A1" t="s">
        <v>3109</v>
      </c>
      <c r="B1" t="s">
        <v>3110</v>
      </c>
      <c r="C1" t="s">
        <v>3111</v>
      </c>
    </row>
    <row r="2" spans="1:3">
      <c r="A2" t="s">
        <v>2732</v>
      </c>
      <c r="B2" t="s">
        <v>2611</v>
      </c>
      <c r="C2" t="s">
        <v>443</v>
      </c>
    </row>
    <row r="3" spans="1:3">
      <c r="A3" t="s">
        <v>3112</v>
      </c>
      <c r="B3" t="s">
        <v>1976</v>
      </c>
      <c r="C3" t="s">
        <v>446</v>
      </c>
    </row>
    <row r="4" spans="1:3">
      <c r="A4" t="s">
        <v>3113</v>
      </c>
      <c r="B4" t="s">
        <v>152</v>
      </c>
      <c r="C4" t="s">
        <v>443</v>
      </c>
    </row>
    <row r="5" spans="1:3">
      <c r="A5" t="s">
        <v>2537</v>
      </c>
      <c r="B5" t="s">
        <v>152</v>
      </c>
      <c r="C5" t="s">
        <v>443</v>
      </c>
    </row>
    <row r="6" spans="1:3">
      <c r="A6" t="s">
        <v>622</v>
      </c>
      <c r="B6" t="s">
        <v>272</v>
      </c>
      <c r="C6" t="s">
        <v>443</v>
      </c>
    </row>
    <row r="7" spans="1:3">
      <c r="A7" t="s">
        <v>2528</v>
      </c>
      <c r="B7" t="s">
        <v>2611</v>
      </c>
      <c r="C7" t="s">
        <v>443</v>
      </c>
    </row>
    <row r="8" spans="1:3">
      <c r="A8" t="s">
        <v>2546</v>
      </c>
      <c r="B8" t="s">
        <v>2611</v>
      </c>
      <c r="C8" t="s">
        <v>444</v>
      </c>
    </row>
    <row r="9" spans="1:3">
      <c r="A9" t="s">
        <v>2545</v>
      </c>
      <c r="B9" t="s">
        <v>2611</v>
      </c>
      <c r="C9" t="s">
        <v>444</v>
      </c>
    </row>
    <row r="10" spans="1:3">
      <c r="A10" t="s">
        <v>2730</v>
      </c>
      <c r="B10" t="s">
        <v>1976</v>
      </c>
      <c r="C10" t="s">
        <v>446</v>
      </c>
    </row>
    <row r="11" spans="1:3">
      <c r="A11" t="s">
        <v>2556</v>
      </c>
      <c r="B11" t="s">
        <v>1976</v>
      </c>
      <c r="C11" t="s">
        <v>446</v>
      </c>
    </row>
    <row r="12" spans="1:3">
      <c r="A12" t="s">
        <v>3114</v>
      </c>
      <c r="B12" t="s">
        <v>1976</v>
      </c>
      <c r="C12" t="s">
        <v>446</v>
      </c>
    </row>
    <row r="13" spans="1:3">
      <c r="A13" t="s">
        <v>2547</v>
      </c>
      <c r="B13" t="s">
        <v>1976</v>
      </c>
      <c r="C13" t="s">
        <v>444</v>
      </c>
    </row>
    <row r="14" spans="1:3">
      <c r="A14" t="s">
        <v>2552</v>
      </c>
      <c r="B14" t="s">
        <v>1976</v>
      </c>
      <c r="C14" t="s">
        <v>444</v>
      </c>
    </row>
    <row r="15" spans="1:3">
      <c r="A15" t="s">
        <v>3115</v>
      </c>
      <c r="B15" t="s">
        <v>1976</v>
      </c>
      <c r="C15" t="s">
        <v>444</v>
      </c>
    </row>
    <row r="16" spans="1:3">
      <c r="A16" t="s">
        <v>2544</v>
      </c>
      <c r="B16" t="s">
        <v>2611</v>
      </c>
      <c r="C16" t="s">
        <v>444</v>
      </c>
    </row>
    <row r="17" spans="1:3">
      <c r="A17" t="s">
        <v>1039</v>
      </c>
      <c r="B17" t="s">
        <v>2611</v>
      </c>
      <c r="C17" t="s">
        <v>446</v>
      </c>
    </row>
    <row r="18" spans="1:3">
      <c r="A18" t="s">
        <v>2554</v>
      </c>
      <c r="B18" t="s">
        <v>1976</v>
      </c>
      <c r="C18" t="s">
        <v>446</v>
      </c>
    </row>
    <row r="19" spans="1:3">
      <c r="A19" t="s">
        <v>2558</v>
      </c>
      <c r="B19" t="s">
        <v>2611</v>
      </c>
      <c r="C19" t="s">
        <v>446</v>
      </c>
    </row>
    <row r="20" spans="1:3">
      <c r="A20" t="s">
        <v>3116</v>
      </c>
      <c r="B20" t="s">
        <v>272</v>
      </c>
      <c r="C20" t="s">
        <v>443</v>
      </c>
    </row>
    <row r="21" spans="1:3">
      <c r="A21" t="s">
        <v>2534</v>
      </c>
      <c r="B21" t="s">
        <v>272</v>
      </c>
      <c r="C21" t="s">
        <v>443</v>
      </c>
    </row>
    <row r="22" spans="1:3">
      <c r="A22" t="s">
        <v>3117</v>
      </c>
      <c r="B22" t="s">
        <v>2611</v>
      </c>
      <c r="C22" t="s">
        <v>446</v>
      </c>
    </row>
    <row r="23" spans="1:3">
      <c r="A23" t="s">
        <v>3118</v>
      </c>
      <c r="B23" t="s">
        <v>2611</v>
      </c>
      <c r="C23" t="s">
        <v>443</v>
      </c>
    </row>
    <row r="24" spans="1:3">
      <c r="A24" t="s">
        <v>2526</v>
      </c>
      <c r="B24" t="s">
        <v>2611</v>
      </c>
      <c r="C24" t="s">
        <v>443</v>
      </c>
    </row>
    <row r="25" spans="1:3">
      <c r="A25" t="s">
        <v>2529</v>
      </c>
      <c r="B25" t="s">
        <v>2611</v>
      </c>
      <c r="C25" t="s">
        <v>443</v>
      </c>
    </row>
    <row r="26" spans="1:3">
      <c r="A26" t="s">
        <v>2527</v>
      </c>
      <c r="B26" t="s">
        <v>2611</v>
      </c>
      <c r="C26" t="s">
        <v>443</v>
      </c>
    </row>
    <row r="27" spans="1:3">
      <c r="A27" t="s">
        <v>2532</v>
      </c>
      <c r="B27" t="s">
        <v>272</v>
      </c>
      <c r="C27" t="s">
        <v>443</v>
      </c>
    </row>
    <row r="28" spans="1:3">
      <c r="A28" t="s">
        <v>1079</v>
      </c>
      <c r="B28" t="s">
        <v>152</v>
      </c>
      <c r="C28" t="s">
        <v>443</v>
      </c>
    </row>
    <row r="29" spans="1:3">
      <c r="A29" t="s">
        <v>2542</v>
      </c>
      <c r="B29" t="s">
        <v>152</v>
      </c>
      <c r="C29" t="s">
        <v>443</v>
      </c>
    </row>
    <row r="30" spans="1:3">
      <c r="A30" t="s">
        <v>359</v>
      </c>
      <c r="B30" t="s">
        <v>152</v>
      </c>
      <c r="C30" t="s">
        <v>443</v>
      </c>
    </row>
    <row r="31" spans="1:3">
      <c r="A31" t="s">
        <v>621</v>
      </c>
      <c r="B31" t="s">
        <v>1976</v>
      </c>
      <c r="C31" t="s">
        <v>444</v>
      </c>
    </row>
    <row r="32" spans="1:3">
      <c r="A32" t="s">
        <v>2555</v>
      </c>
      <c r="B32" t="s">
        <v>1976</v>
      </c>
      <c r="C32" t="s">
        <v>446</v>
      </c>
    </row>
    <row r="33" spans="1:3">
      <c r="A33" t="s">
        <v>1035</v>
      </c>
      <c r="B33" t="s">
        <v>272</v>
      </c>
      <c r="C33" t="s">
        <v>443</v>
      </c>
    </row>
    <row r="34" spans="1:3">
      <c r="A34" t="s">
        <v>2533</v>
      </c>
      <c r="B34" t="s">
        <v>272</v>
      </c>
      <c r="C34" t="s">
        <v>443</v>
      </c>
    </row>
    <row r="35" spans="1:3">
      <c r="A35" t="s">
        <v>3140</v>
      </c>
      <c r="B35" t="s">
        <v>272</v>
      </c>
      <c r="C35" t="s">
        <v>443</v>
      </c>
    </row>
    <row r="36" spans="1:3">
      <c r="A36" t="s">
        <v>2531</v>
      </c>
      <c r="B36" t="s">
        <v>272</v>
      </c>
      <c r="C36" t="s">
        <v>443</v>
      </c>
    </row>
    <row r="37" spans="1:3">
      <c r="A37" t="s">
        <v>2561</v>
      </c>
      <c r="B37" t="s">
        <v>2611</v>
      </c>
      <c r="C37" t="s">
        <v>446</v>
      </c>
    </row>
    <row r="38" spans="1:3">
      <c r="A38" t="s">
        <v>2564</v>
      </c>
      <c r="B38" t="s">
        <v>1976</v>
      </c>
      <c r="C38" t="s">
        <v>446</v>
      </c>
    </row>
    <row r="39" spans="1:3">
      <c r="A39" t="s">
        <v>3119</v>
      </c>
      <c r="B39" t="s">
        <v>1976</v>
      </c>
      <c r="C39" t="s">
        <v>446</v>
      </c>
    </row>
    <row r="40" spans="1:3">
      <c r="A40" t="s">
        <v>2562</v>
      </c>
      <c r="B40" t="s">
        <v>1976</v>
      </c>
      <c r="C40" t="s">
        <v>446</v>
      </c>
    </row>
    <row r="41" spans="1:3">
      <c r="A41" t="s">
        <v>2563</v>
      </c>
      <c r="B41" t="s">
        <v>1976</v>
      </c>
      <c r="C41" t="s">
        <v>446</v>
      </c>
    </row>
    <row r="42" spans="1:3">
      <c r="A42" t="s">
        <v>2729</v>
      </c>
      <c r="B42" t="s">
        <v>1976</v>
      </c>
      <c r="C42" t="s">
        <v>446</v>
      </c>
    </row>
    <row r="43" spans="1:3">
      <c r="A43" t="s">
        <v>3141</v>
      </c>
      <c r="B43" t="s">
        <v>2611</v>
      </c>
      <c r="C43" t="s">
        <v>446</v>
      </c>
    </row>
    <row r="44" spans="1:3">
      <c r="A44" t="s">
        <v>3120</v>
      </c>
      <c r="B44" t="s">
        <v>272</v>
      </c>
      <c r="C44" t="s">
        <v>443</v>
      </c>
    </row>
    <row r="45" spans="1:3">
      <c r="A45" t="s">
        <v>2731</v>
      </c>
      <c r="B45" t="s">
        <v>2611</v>
      </c>
      <c r="C45" t="s">
        <v>444</v>
      </c>
    </row>
    <row r="46" spans="1:3">
      <c r="A46" t="s">
        <v>3121</v>
      </c>
      <c r="B46" t="s">
        <v>2611</v>
      </c>
      <c r="C46" t="s">
        <v>444</v>
      </c>
    </row>
    <row r="47" spans="1:3">
      <c r="A47" t="s">
        <v>2530</v>
      </c>
      <c r="B47" t="s">
        <v>2611</v>
      </c>
      <c r="C47" t="s">
        <v>443</v>
      </c>
    </row>
    <row r="48" spans="1:3">
      <c r="A48" t="s">
        <v>3122</v>
      </c>
      <c r="B48" t="s">
        <v>1976</v>
      </c>
      <c r="C48" t="s">
        <v>446</v>
      </c>
    </row>
    <row r="49" spans="1:3">
      <c r="A49" t="s">
        <v>1179</v>
      </c>
      <c r="B49" t="s">
        <v>1976</v>
      </c>
      <c r="C49" t="s">
        <v>446</v>
      </c>
    </row>
    <row r="50" spans="1:3">
      <c r="A50" t="s">
        <v>1045</v>
      </c>
      <c r="B50" t="s">
        <v>2611</v>
      </c>
      <c r="C50" t="s">
        <v>446</v>
      </c>
    </row>
    <row r="51" spans="1:3">
      <c r="A51" t="s">
        <v>3142</v>
      </c>
      <c r="B51" t="s">
        <v>2611</v>
      </c>
      <c r="C51" t="s">
        <v>446</v>
      </c>
    </row>
    <row r="52" spans="1:3">
      <c r="A52" t="s">
        <v>2541</v>
      </c>
      <c r="B52" t="s">
        <v>152</v>
      </c>
      <c r="C52" t="s">
        <v>443</v>
      </c>
    </row>
    <row r="53" spans="1:3">
      <c r="A53" t="s">
        <v>1042</v>
      </c>
      <c r="B53" t="s">
        <v>152</v>
      </c>
      <c r="C53" t="s">
        <v>443</v>
      </c>
    </row>
    <row r="54" spans="1:3">
      <c r="A54" t="s">
        <v>300</v>
      </c>
      <c r="B54" t="s">
        <v>152</v>
      </c>
      <c r="C54" t="s">
        <v>443</v>
      </c>
    </row>
    <row r="55" spans="1:3">
      <c r="A55" t="s">
        <v>317</v>
      </c>
      <c r="B55" t="s">
        <v>152</v>
      </c>
      <c r="C55" t="s">
        <v>443</v>
      </c>
    </row>
    <row r="56" spans="1:3">
      <c r="A56" t="s">
        <v>2543</v>
      </c>
      <c r="B56" t="s">
        <v>152</v>
      </c>
      <c r="C56" t="s">
        <v>443</v>
      </c>
    </row>
    <row r="57" spans="1:3">
      <c r="A57" t="s">
        <v>1041</v>
      </c>
      <c r="B57" t="s">
        <v>152</v>
      </c>
      <c r="C57" t="s">
        <v>443</v>
      </c>
    </row>
    <row r="58" spans="1:3">
      <c r="A58" t="s">
        <v>1041</v>
      </c>
      <c r="B58" t="s">
        <v>152</v>
      </c>
      <c r="C58" t="s">
        <v>443</v>
      </c>
    </row>
    <row r="59" spans="1:3">
      <c r="A59" t="s">
        <v>3143</v>
      </c>
      <c r="B59" t="s">
        <v>152</v>
      </c>
      <c r="C59" t="s">
        <v>443</v>
      </c>
    </row>
    <row r="60" spans="1:3">
      <c r="A60" t="s">
        <v>3123</v>
      </c>
      <c r="B60" t="s">
        <v>2611</v>
      </c>
      <c r="C60" t="s">
        <v>446</v>
      </c>
    </row>
    <row r="61" spans="1:3">
      <c r="A61" t="s">
        <v>3124</v>
      </c>
      <c r="B61" t="s">
        <v>152</v>
      </c>
      <c r="C61" t="s">
        <v>443</v>
      </c>
    </row>
    <row r="62" spans="1:3">
      <c r="A62" t="s">
        <v>2539</v>
      </c>
      <c r="B62" t="s">
        <v>152</v>
      </c>
      <c r="C62" t="s">
        <v>443</v>
      </c>
    </row>
    <row r="63" spans="1:3">
      <c r="A63" t="s">
        <v>3125</v>
      </c>
      <c r="B63" t="s">
        <v>2611</v>
      </c>
      <c r="C63" t="s">
        <v>446</v>
      </c>
    </row>
    <row r="64" spans="1:3">
      <c r="A64" t="s">
        <v>3126</v>
      </c>
      <c r="B64" t="s">
        <v>2611</v>
      </c>
      <c r="C64" t="s">
        <v>446</v>
      </c>
    </row>
    <row r="65" spans="1:3">
      <c r="A65" t="s">
        <v>2559</v>
      </c>
      <c r="B65" t="s">
        <v>2611</v>
      </c>
      <c r="C65" t="s">
        <v>446</v>
      </c>
    </row>
    <row r="66" spans="1:3">
      <c r="A66" t="s">
        <v>3127</v>
      </c>
      <c r="B66" t="s">
        <v>1976</v>
      </c>
      <c r="C66" t="s">
        <v>446</v>
      </c>
    </row>
    <row r="67" spans="1:3">
      <c r="A67" t="s">
        <v>1043</v>
      </c>
      <c r="B67" t="s">
        <v>152</v>
      </c>
      <c r="C67" t="s">
        <v>443</v>
      </c>
    </row>
    <row r="68" spans="1:3">
      <c r="A68" t="s">
        <v>1036</v>
      </c>
      <c r="B68" t="s">
        <v>2611</v>
      </c>
      <c r="C68" t="s">
        <v>446</v>
      </c>
    </row>
    <row r="69" spans="1:3">
      <c r="A69" t="s">
        <v>3128</v>
      </c>
      <c r="B69" t="s">
        <v>1976</v>
      </c>
      <c r="C69" t="s">
        <v>443</v>
      </c>
    </row>
    <row r="70" spans="1:3">
      <c r="A70" t="s">
        <v>2557</v>
      </c>
      <c r="B70" t="s">
        <v>2611</v>
      </c>
      <c r="C70" t="s">
        <v>446</v>
      </c>
    </row>
    <row r="71" spans="1:3">
      <c r="A71" t="s">
        <v>3129</v>
      </c>
      <c r="B71" t="s">
        <v>1976</v>
      </c>
      <c r="C71" t="s">
        <v>443</v>
      </c>
    </row>
    <row r="72" spans="1:3">
      <c r="A72" t="s">
        <v>1038</v>
      </c>
      <c r="B72" t="s">
        <v>2611</v>
      </c>
      <c r="C72" t="s">
        <v>446</v>
      </c>
    </row>
    <row r="73" spans="1:3">
      <c r="A73" t="s">
        <v>3130</v>
      </c>
      <c r="B73" t="s">
        <v>718</v>
      </c>
      <c r="C73" t="s">
        <v>718</v>
      </c>
    </row>
    <row r="74" spans="1:3">
      <c r="A74" t="s">
        <v>3131</v>
      </c>
      <c r="B74" t="s">
        <v>2611</v>
      </c>
      <c r="C74" t="s">
        <v>446</v>
      </c>
    </row>
    <row r="75" spans="1:3">
      <c r="A75" t="s">
        <v>3144</v>
      </c>
      <c r="B75" t="s">
        <v>1976</v>
      </c>
      <c r="C75" t="s">
        <v>446</v>
      </c>
    </row>
    <row r="76" spans="1:3">
      <c r="A76" t="s">
        <v>3145</v>
      </c>
      <c r="B76" t="s">
        <v>1976</v>
      </c>
      <c r="C76" t="s">
        <v>444</v>
      </c>
    </row>
    <row r="77" spans="1:3">
      <c r="A77" t="s">
        <v>2540</v>
      </c>
      <c r="B77" t="s">
        <v>152</v>
      </c>
      <c r="C77" t="s">
        <v>443</v>
      </c>
    </row>
    <row r="78" spans="1:3">
      <c r="A78" t="s">
        <v>2538</v>
      </c>
      <c r="B78" t="s">
        <v>152</v>
      </c>
      <c r="C78" t="s">
        <v>443</v>
      </c>
    </row>
    <row r="79" spans="1:3">
      <c r="A79" t="s">
        <v>3054</v>
      </c>
      <c r="B79" t="s">
        <v>152</v>
      </c>
      <c r="C79" t="s">
        <v>443</v>
      </c>
    </row>
    <row r="80" spans="1:3">
      <c r="A80" t="s">
        <v>3132</v>
      </c>
      <c r="B80" t="s">
        <v>152</v>
      </c>
      <c r="C80" t="s">
        <v>443</v>
      </c>
    </row>
    <row r="81" spans="1:3">
      <c r="A81" t="s">
        <v>2536</v>
      </c>
      <c r="B81" t="s">
        <v>272</v>
      </c>
      <c r="C81" t="s">
        <v>443</v>
      </c>
    </row>
    <row r="82" spans="1:3">
      <c r="A82" t="s">
        <v>2560</v>
      </c>
      <c r="B82" t="s">
        <v>2611</v>
      </c>
      <c r="C82" t="s">
        <v>446</v>
      </c>
    </row>
    <row r="83" spans="1:3">
      <c r="A83" t="s">
        <v>3133</v>
      </c>
      <c r="B83" t="s">
        <v>272</v>
      </c>
      <c r="C83" t="s">
        <v>443</v>
      </c>
    </row>
    <row r="84" spans="1:3">
      <c r="A84" t="s">
        <v>271</v>
      </c>
      <c r="B84" t="s">
        <v>272</v>
      </c>
      <c r="C84" t="s">
        <v>443</v>
      </c>
    </row>
    <row r="85" spans="1:3">
      <c r="A85" t="s">
        <v>2535</v>
      </c>
      <c r="B85" t="s">
        <v>272</v>
      </c>
      <c r="C85" t="s">
        <v>443</v>
      </c>
    </row>
    <row r="86" spans="1:3">
      <c r="A86" t="s">
        <v>387</v>
      </c>
      <c r="B86" t="s">
        <v>272</v>
      </c>
      <c r="C86" t="s">
        <v>443</v>
      </c>
    </row>
    <row r="87" spans="1:3">
      <c r="A87" t="s">
        <v>3134</v>
      </c>
      <c r="B87" t="s">
        <v>272</v>
      </c>
      <c r="C87" t="s">
        <v>443</v>
      </c>
    </row>
    <row r="88" spans="1:3">
      <c r="A88" t="s">
        <v>3135</v>
      </c>
      <c r="B88" t="s">
        <v>1976</v>
      </c>
      <c r="C88" t="s">
        <v>443</v>
      </c>
    </row>
    <row r="89" spans="1:3">
      <c r="A89" t="s">
        <v>3136</v>
      </c>
      <c r="B89" t="s">
        <v>2611</v>
      </c>
      <c r="C89" t="s">
        <v>443</v>
      </c>
    </row>
    <row r="90" spans="1:3">
      <c r="A90" t="s">
        <v>3137</v>
      </c>
      <c r="B90" t="s">
        <v>272</v>
      </c>
      <c r="C90" t="s">
        <v>443</v>
      </c>
    </row>
    <row r="91" spans="1:3">
      <c r="A91" t="s">
        <v>3138</v>
      </c>
      <c r="B91" t="s">
        <v>1976</v>
      </c>
      <c r="C91" t="s">
        <v>444</v>
      </c>
    </row>
    <row r="92" spans="1:3">
      <c r="A92" t="s">
        <v>2551</v>
      </c>
      <c r="B92" t="s">
        <v>1976</v>
      </c>
      <c r="C92" t="s">
        <v>444</v>
      </c>
    </row>
    <row r="93" spans="1:3">
      <c r="A93" t="s">
        <v>979</v>
      </c>
      <c r="B93" t="s">
        <v>1976</v>
      </c>
      <c r="C93" t="s">
        <v>444</v>
      </c>
    </row>
    <row r="94" spans="1:3">
      <c r="A94" t="s">
        <v>3139</v>
      </c>
      <c r="B94" t="s">
        <v>1976</v>
      </c>
      <c r="C94" t="s">
        <v>444</v>
      </c>
    </row>
    <row r="95" spans="1:3">
      <c r="A95" t="s">
        <v>2550</v>
      </c>
      <c r="B95" t="s">
        <v>1976</v>
      </c>
      <c r="C95" t="s">
        <v>444</v>
      </c>
    </row>
    <row r="96" spans="1:3">
      <c r="A96" t="s">
        <v>3046</v>
      </c>
      <c r="B96" t="s">
        <v>1976</v>
      </c>
      <c r="C96" t="s">
        <v>444</v>
      </c>
    </row>
    <row r="97" spans="1:3">
      <c r="A97" t="s">
        <v>2549</v>
      </c>
      <c r="B97" t="s">
        <v>1976</v>
      </c>
      <c r="C97" t="s">
        <v>444</v>
      </c>
    </row>
    <row r="98" spans="1:3">
      <c r="A98" t="s">
        <v>623</v>
      </c>
      <c r="B98" t="s">
        <v>1976</v>
      </c>
      <c r="C98" t="s">
        <v>444</v>
      </c>
    </row>
    <row r="99" spans="1:3">
      <c r="A99" t="s">
        <v>2548</v>
      </c>
      <c r="B99" t="s">
        <v>1976</v>
      </c>
      <c r="C99" t="s">
        <v>444</v>
      </c>
    </row>
    <row r="100" spans="1:3">
      <c r="A100" t="s">
        <v>441</v>
      </c>
      <c r="B100" t="s">
        <v>152</v>
      </c>
      <c r="C100" t="s">
        <v>443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A4FB-1496-0646-880F-CD5AAC1C85B7}">
  <dimension ref="A1:F109"/>
  <sheetViews>
    <sheetView zoomScaleNormal="100" workbookViewId="0">
      <selection activeCell="A109" sqref="A109"/>
    </sheetView>
  </sheetViews>
  <sheetFormatPr baseColWidth="10" defaultColWidth="10.83203125" defaultRowHeight="15"/>
  <cols>
    <col min="1" max="1" width="34" customWidth="1"/>
    <col min="2" max="2" width="132.5" customWidth="1"/>
    <col min="3" max="3" width="90.33203125" customWidth="1"/>
    <col min="4" max="4" width="18.6640625" customWidth="1"/>
    <col min="5" max="5" width="17" customWidth="1"/>
  </cols>
  <sheetData>
    <row r="1" spans="1:6">
      <c r="A1" t="s">
        <v>3104</v>
      </c>
    </row>
    <row r="2" spans="1:6">
      <c r="C2" s="20"/>
    </row>
    <row r="3" spans="1:6">
      <c r="A3" s="20" t="s">
        <v>3106</v>
      </c>
      <c r="C3" s="20" t="s">
        <v>3105</v>
      </c>
    </row>
    <row r="4" spans="1:6">
      <c r="A4" s="20" t="s">
        <v>3107</v>
      </c>
      <c r="B4" s="20" t="s">
        <v>3108</v>
      </c>
      <c r="C4" s="20" t="s">
        <v>1767</v>
      </c>
    </row>
    <row r="5" spans="1:6">
      <c r="A5" t="s">
        <v>1</v>
      </c>
      <c r="B5" t="s">
        <v>1807</v>
      </c>
      <c r="C5" s="20" t="s">
        <v>1768</v>
      </c>
    </row>
    <row r="6" spans="1:6">
      <c r="A6" t="s">
        <v>2462</v>
      </c>
      <c r="B6" t="s">
        <v>2463</v>
      </c>
      <c r="C6" s="20"/>
    </row>
    <row r="7" spans="1:6">
      <c r="B7" t="s">
        <v>3003</v>
      </c>
    </row>
    <row r="8" spans="1:6">
      <c r="A8">
        <v>1</v>
      </c>
      <c r="B8" s="1" t="s">
        <v>0</v>
      </c>
      <c r="C8" s="1"/>
      <c r="D8" s="1"/>
      <c r="E8" s="1"/>
      <c r="F8" s="33"/>
    </row>
    <row r="9" spans="1:6" ht="16">
      <c r="A9">
        <v>2</v>
      </c>
      <c r="B9" s="30" t="s">
        <v>2907</v>
      </c>
      <c r="C9" s="1"/>
      <c r="D9" s="1"/>
      <c r="E9" s="1"/>
      <c r="F9" s="33"/>
    </row>
    <row r="10" spans="1:6">
      <c r="A10">
        <v>3</v>
      </c>
      <c r="B10" t="s">
        <v>3004</v>
      </c>
      <c r="D10" s="34"/>
      <c r="F10" s="5"/>
    </row>
    <row r="11" spans="1:6">
      <c r="A11" t="s">
        <v>1810</v>
      </c>
      <c r="B11" t="s">
        <v>2569</v>
      </c>
    </row>
    <row r="12" spans="1:6">
      <c r="A12" t="s">
        <v>1809</v>
      </c>
      <c r="B12" t="s">
        <v>1808</v>
      </c>
    </row>
    <row r="13" spans="1:6">
      <c r="A13" t="s">
        <v>2570</v>
      </c>
      <c r="B13" t="s">
        <v>2571</v>
      </c>
    </row>
    <row r="14" spans="1:6">
      <c r="A14" t="s">
        <v>1812</v>
      </c>
      <c r="B14" t="s">
        <v>2572</v>
      </c>
    </row>
    <row r="15" spans="1:6">
      <c r="A15" t="s">
        <v>756</v>
      </c>
      <c r="B15" t="s">
        <v>3196</v>
      </c>
    </row>
    <row r="16" spans="1:6">
      <c r="A16" t="s">
        <v>2143</v>
      </c>
      <c r="B16" t="s">
        <v>2152</v>
      </c>
    </row>
    <row r="17" spans="1:2">
      <c r="A17" t="s">
        <v>1937</v>
      </c>
      <c r="B17" t="s">
        <v>2028</v>
      </c>
    </row>
    <row r="18" spans="1:2">
      <c r="A18" t="s">
        <v>2728</v>
      </c>
      <c r="B18" t="s">
        <v>3193</v>
      </c>
    </row>
    <row r="19" spans="1:2">
      <c r="A19" t="s">
        <v>3162</v>
      </c>
      <c r="B19" t="s">
        <v>3194</v>
      </c>
    </row>
    <row r="20" spans="1:2">
      <c r="A20" t="s">
        <v>3159</v>
      </c>
      <c r="B20" t="s">
        <v>3176</v>
      </c>
    </row>
    <row r="21" spans="1:2">
      <c r="A21" t="s">
        <v>3171</v>
      </c>
      <c r="B21" t="s">
        <v>3189</v>
      </c>
    </row>
    <row r="22" spans="1:2">
      <c r="A22" t="s">
        <v>3187</v>
      </c>
      <c r="B22" t="s">
        <v>3192</v>
      </c>
    </row>
    <row r="23" spans="1:2">
      <c r="A23" t="s">
        <v>3188</v>
      </c>
      <c r="B23" t="s">
        <v>3195</v>
      </c>
    </row>
    <row r="24" spans="1:2">
      <c r="A24" t="s">
        <v>1918</v>
      </c>
      <c r="B24" t="s">
        <v>3213</v>
      </c>
    </row>
    <row r="25" spans="1:2">
      <c r="A25" t="s">
        <v>1917</v>
      </c>
      <c r="B25" t="s">
        <v>3214</v>
      </c>
    </row>
    <row r="26" spans="1:2">
      <c r="A26" t="s">
        <v>1708</v>
      </c>
      <c r="B26" t="s">
        <v>2573</v>
      </c>
    </row>
    <row r="27" spans="1:2">
      <c r="A27" t="s">
        <v>194</v>
      </c>
      <c r="B27" t="s">
        <v>2574</v>
      </c>
    </row>
    <row r="28" spans="1:2">
      <c r="A28" t="s">
        <v>3191</v>
      </c>
      <c r="B28" t="s">
        <v>1797</v>
      </c>
    </row>
    <row r="29" spans="1:2">
      <c r="A29" t="s">
        <v>1722</v>
      </c>
      <c r="B29" t="s">
        <v>1748</v>
      </c>
    </row>
    <row r="30" spans="1:2">
      <c r="A30" t="s">
        <v>1868</v>
      </c>
      <c r="B30" t="s">
        <v>2726</v>
      </c>
    </row>
    <row r="31" spans="1:2">
      <c r="A31" t="s">
        <v>5</v>
      </c>
      <c r="B31" t="s">
        <v>2575</v>
      </c>
    </row>
    <row r="32" spans="1:2">
      <c r="A32" t="s">
        <v>6</v>
      </c>
      <c r="B32" t="s">
        <v>2576</v>
      </c>
    </row>
    <row r="33" spans="1:3">
      <c r="A33" t="s">
        <v>1911</v>
      </c>
      <c r="B33" t="s">
        <v>2076</v>
      </c>
    </row>
    <row r="34" spans="1:3">
      <c r="A34" t="s">
        <v>2077</v>
      </c>
      <c r="B34" t="s">
        <v>2078</v>
      </c>
    </row>
    <row r="35" spans="1:3">
      <c r="A35" t="s">
        <v>1742</v>
      </c>
      <c r="B35" t="s">
        <v>1791</v>
      </c>
    </row>
    <row r="36" spans="1:3">
      <c r="B36" t="s">
        <v>1792</v>
      </c>
    </row>
    <row r="37" spans="1:3">
      <c r="B37" t="s">
        <v>1793</v>
      </c>
    </row>
    <row r="38" spans="1:3">
      <c r="B38" t="s">
        <v>1794</v>
      </c>
    </row>
    <row r="39" spans="1:3">
      <c r="A39" t="s">
        <v>1773</v>
      </c>
      <c r="B39" t="s">
        <v>1801</v>
      </c>
      <c r="C39" t="s">
        <v>2727</v>
      </c>
    </row>
    <row r="40" spans="1:3">
      <c r="B40" t="s">
        <v>1795</v>
      </c>
    </row>
    <row r="41" spans="1:3">
      <c r="B41" t="s">
        <v>1800</v>
      </c>
    </row>
    <row r="42" spans="1:3">
      <c r="B42" t="s">
        <v>1796</v>
      </c>
    </row>
    <row r="43" spans="1:3">
      <c r="A43" t="s">
        <v>1915</v>
      </c>
      <c r="B43" t="s">
        <v>3197</v>
      </c>
    </row>
    <row r="44" spans="1:3">
      <c r="A44" t="s">
        <v>1913</v>
      </c>
      <c r="B44" t="s">
        <v>1914</v>
      </c>
    </row>
    <row r="45" spans="1:3">
      <c r="A45" t="s">
        <v>3190</v>
      </c>
      <c r="B45" t="s">
        <v>1804</v>
      </c>
    </row>
    <row r="46" spans="1:3">
      <c r="A46" t="s">
        <v>1907</v>
      </c>
      <c r="B46" t="s">
        <v>2577</v>
      </c>
    </row>
    <row r="47" spans="1:3">
      <c r="A47" t="s">
        <v>1743</v>
      </c>
      <c r="B47" t="s">
        <v>3198</v>
      </c>
    </row>
    <row r="48" spans="1:3">
      <c r="A48" t="s">
        <v>974</v>
      </c>
      <c r="B48" t="s">
        <v>1799</v>
      </c>
    </row>
    <row r="49" spans="1:2">
      <c r="A49" t="s">
        <v>1813</v>
      </c>
      <c r="B49" t="s">
        <v>3199</v>
      </c>
    </row>
    <row r="50" spans="1:2">
      <c r="A50" t="s">
        <v>1814</v>
      </c>
      <c r="B50" t="s">
        <v>1815</v>
      </c>
    </row>
    <row r="51" spans="1:2">
      <c r="A51" t="s">
        <v>2578</v>
      </c>
      <c r="B51" t="s">
        <v>2579</v>
      </c>
    </row>
    <row r="52" spans="1:2">
      <c r="A52" t="s">
        <v>1828</v>
      </c>
      <c r="B52" t="s">
        <v>1829</v>
      </c>
    </row>
    <row r="53" spans="1:2">
      <c r="A53" t="s">
        <v>1847</v>
      </c>
      <c r="B53" t="s">
        <v>2582</v>
      </c>
    </row>
    <row r="54" spans="1:2">
      <c r="A54" t="s">
        <v>1830</v>
      </c>
      <c r="B54" t="s">
        <v>1848</v>
      </c>
    </row>
    <row r="55" spans="1:2">
      <c r="A55" t="s">
        <v>1831</v>
      </c>
      <c r="B55" t="s">
        <v>1849</v>
      </c>
    </row>
    <row r="56" spans="1:2">
      <c r="A56" t="s">
        <v>1837</v>
      </c>
      <c r="B56" t="s">
        <v>1850</v>
      </c>
    </row>
    <row r="57" spans="1:2">
      <c r="A57" t="s">
        <v>1833</v>
      </c>
      <c r="B57" t="s">
        <v>1851</v>
      </c>
    </row>
    <row r="58" spans="1:2">
      <c r="A58" t="s">
        <v>1834</v>
      </c>
      <c r="B58" t="s">
        <v>1852</v>
      </c>
    </row>
    <row r="59" spans="1:2">
      <c r="A59" t="s">
        <v>1835</v>
      </c>
      <c r="B59" t="s">
        <v>1853</v>
      </c>
    </row>
    <row r="60" spans="1:2">
      <c r="A60" t="s">
        <v>2369</v>
      </c>
      <c r="B60" t="s">
        <v>3200</v>
      </c>
    </row>
    <row r="61" spans="1:2">
      <c r="A61" t="s">
        <v>2595</v>
      </c>
      <c r="B61" t="s">
        <v>2598</v>
      </c>
    </row>
    <row r="62" spans="1:2">
      <c r="A62" t="s">
        <v>2371</v>
      </c>
      <c r="B62" t="s">
        <v>2583</v>
      </c>
    </row>
    <row r="63" spans="1:2">
      <c r="A63" t="s">
        <v>2370</v>
      </c>
      <c r="B63" t="s">
        <v>2584</v>
      </c>
    </row>
    <row r="64" spans="1:2">
      <c r="A64" t="s">
        <v>2372</v>
      </c>
      <c r="B64" t="s">
        <v>2585</v>
      </c>
    </row>
    <row r="65" spans="1:3">
      <c r="A65" t="s">
        <v>1836</v>
      </c>
      <c r="B65" t="s">
        <v>1854</v>
      </c>
    </row>
    <row r="66" spans="1:3">
      <c r="A66" t="s">
        <v>2460</v>
      </c>
      <c r="B66" t="s">
        <v>1855</v>
      </c>
    </row>
    <row r="67" spans="1:3">
      <c r="A67" t="s">
        <v>2459</v>
      </c>
      <c r="B67" t="s">
        <v>1856</v>
      </c>
    </row>
    <row r="68" spans="1:3">
      <c r="A68" t="s">
        <v>2599</v>
      </c>
      <c r="B68" t="s">
        <v>2600</v>
      </c>
    </row>
    <row r="69" spans="1:3">
      <c r="A69" t="s">
        <v>2597</v>
      </c>
      <c r="B69" t="s">
        <v>2601</v>
      </c>
    </row>
    <row r="70" spans="1:3">
      <c r="A70" t="s">
        <v>2586</v>
      </c>
      <c r="B70" t="s">
        <v>3201</v>
      </c>
    </row>
    <row r="71" spans="1:3">
      <c r="A71" t="s">
        <v>1838</v>
      </c>
      <c r="B71" t="s">
        <v>1857</v>
      </c>
    </row>
    <row r="72" spans="1:3">
      <c r="A72" t="s">
        <v>1839</v>
      </c>
      <c r="B72" t="s">
        <v>3202</v>
      </c>
    </row>
    <row r="73" spans="1:3">
      <c r="A73" t="s">
        <v>1840</v>
      </c>
      <c r="B73" t="s">
        <v>1858</v>
      </c>
    </row>
    <row r="74" spans="1:3">
      <c r="A74" t="s">
        <v>1841</v>
      </c>
      <c r="B74" t="s">
        <v>1859</v>
      </c>
    </row>
    <row r="75" spans="1:3">
      <c r="A75" t="s">
        <v>1842</v>
      </c>
      <c r="B75" t="s">
        <v>1860</v>
      </c>
    </row>
    <row r="76" spans="1:3">
      <c r="A76" t="s">
        <v>1843</v>
      </c>
      <c r="B76" t="s">
        <v>1861</v>
      </c>
    </row>
    <row r="77" spans="1:3">
      <c r="A77" t="s">
        <v>1877</v>
      </c>
      <c r="B77" t="s">
        <v>1880</v>
      </c>
      <c r="C77" t="s">
        <v>1881</v>
      </c>
    </row>
    <row r="78" spans="1:3">
      <c r="A78" t="s">
        <v>1878</v>
      </c>
      <c r="B78" t="s">
        <v>1879</v>
      </c>
      <c r="C78" t="s">
        <v>1881</v>
      </c>
    </row>
    <row r="79" spans="1:3">
      <c r="A79" t="s">
        <v>2519</v>
      </c>
      <c r="B79" t="s">
        <v>2587</v>
      </c>
    </row>
    <row r="80" spans="1:3">
      <c r="A80" t="s">
        <v>2518</v>
      </c>
      <c r="B80" t="s">
        <v>2588</v>
      </c>
    </row>
    <row r="81" spans="1:2">
      <c r="A81" t="s">
        <v>1862</v>
      </c>
      <c r="B81" t="s">
        <v>1864</v>
      </c>
    </row>
    <row r="82" spans="1:2">
      <c r="A82" t="s">
        <v>1863</v>
      </c>
      <c r="B82" t="s">
        <v>1865</v>
      </c>
    </row>
    <row r="83" spans="1:2">
      <c r="A83" t="s">
        <v>223</v>
      </c>
      <c r="B83" t="s">
        <v>1866</v>
      </c>
    </row>
    <row r="84" spans="1:2">
      <c r="A84" t="s">
        <v>189</v>
      </c>
      <c r="B84" t="s">
        <v>1909</v>
      </c>
    </row>
    <row r="85" spans="1:2">
      <c r="A85" t="s">
        <v>1908</v>
      </c>
      <c r="B85" t="s">
        <v>2589</v>
      </c>
    </row>
    <row r="86" spans="1:2">
      <c r="A86" t="s">
        <v>177</v>
      </c>
      <c r="B86" t="s">
        <v>2590</v>
      </c>
    </row>
    <row r="88" spans="1:2" ht="16">
      <c r="A88" s="74" t="s">
        <v>3100</v>
      </c>
      <c r="B88" s="22" t="s">
        <v>2360</v>
      </c>
    </row>
    <row r="91" spans="1:2" ht="16">
      <c r="A91" s="74" t="s">
        <v>3101</v>
      </c>
      <c r="B91" s="22" t="s">
        <v>2361</v>
      </c>
    </row>
    <row r="94" spans="1:2" ht="16">
      <c r="A94" s="74" t="s">
        <v>3102</v>
      </c>
      <c r="B94" s="22" t="s">
        <v>2568</v>
      </c>
    </row>
    <row r="96" spans="1:2">
      <c r="A96" s="20" t="s">
        <v>3103</v>
      </c>
      <c r="B96" t="s">
        <v>2990</v>
      </c>
    </row>
    <row r="97" spans="1:2">
      <c r="A97" t="s">
        <v>2991</v>
      </c>
    </row>
    <row r="98" spans="1:2">
      <c r="A98" s="25" t="s">
        <v>3001</v>
      </c>
    </row>
    <row r="99" spans="1:2">
      <c r="A99" s="36" t="s">
        <v>2992</v>
      </c>
    </row>
    <row r="100" spans="1:2">
      <c r="A100" s="39" t="s">
        <v>2993</v>
      </c>
    </row>
    <row r="101" spans="1:2">
      <c r="A101" s="42" t="s">
        <v>2994</v>
      </c>
    </row>
    <row r="102" spans="1:2">
      <c r="A102" s="80" t="s">
        <v>2995</v>
      </c>
    </row>
    <row r="103" spans="1:2">
      <c r="A103" s="79" t="s">
        <v>2996</v>
      </c>
    </row>
    <row r="104" spans="1:2">
      <c r="A104" s="58" t="s">
        <v>2997</v>
      </c>
    </row>
    <row r="105" spans="1:2">
      <c r="A105" s="83" t="s">
        <v>2998</v>
      </c>
    </row>
    <row r="106" spans="1:2">
      <c r="A106" s="81" t="s">
        <v>2999</v>
      </c>
    </row>
    <row r="107" spans="1:2">
      <c r="A107" t="s">
        <v>3002</v>
      </c>
    </row>
    <row r="109" spans="1:2">
      <c r="A109" s="20" t="s">
        <v>3146</v>
      </c>
      <c r="B109" t="s">
        <v>3215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4D896729BE0E408CA8D2F9512B1510" ma:contentTypeVersion="15" ma:contentTypeDescription="Create a new document." ma:contentTypeScope="" ma:versionID="334abb6a92c14c0e07a43626f35f6321">
  <xsd:schema xmlns:xsd="http://www.w3.org/2001/XMLSchema" xmlns:xs="http://www.w3.org/2001/XMLSchema" xmlns:p="http://schemas.microsoft.com/office/2006/metadata/properties" xmlns:ns3="8e3c2809-b418-4596-82d3-520d433dc18b" xmlns:ns4="cb9cb45a-5642-4339-b944-a4d0488189b7" targetNamespace="http://schemas.microsoft.com/office/2006/metadata/properties" ma:root="true" ma:fieldsID="f93f8874c94ff185d2e0c52b8a06656f" ns3:_="" ns4:_="">
    <xsd:import namespace="8e3c2809-b418-4596-82d3-520d433dc18b"/>
    <xsd:import namespace="cb9cb45a-5642-4339-b944-a4d0488189b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3c2809-b418-4596-82d3-520d433dc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9cb45a-5642-4339-b944-a4d0488189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e3c2809-b418-4596-82d3-520d433dc18b" xsi:nil="true"/>
  </documentManagement>
</p:properties>
</file>

<file path=customXml/itemProps1.xml><?xml version="1.0" encoding="utf-8"?>
<ds:datastoreItem xmlns:ds="http://schemas.openxmlformats.org/officeDocument/2006/customXml" ds:itemID="{E05B67A9-3103-4DF7-B569-EB9F219C85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3c2809-b418-4596-82d3-520d433dc18b"/>
    <ds:schemaRef ds:uri="cb9cb45a-5642-4339-b944-a4d048818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0A4B53-EBB8-4499-8319-D3DE1DC4D200}">
  <ds:schemaRefs>
    <ds:schemaRef ds:uri="http://schemas.microsoft.com/sharepoint/v3/contenttype/forms"/>
  </ds:schemaRefs>
</ds:datastoreItem>
</file>

<file path=customXml/itemProps3.xml><?xml version="1.0" encoding="utf-8"?>
<ds:datastoreItem xmlns:ds="http://schemas.openxmlformats.org/officeDocument/2006/customXml" ds:itemID="{9C95E613-1AA7-485C-AA44-25C7E52ABE2D}">
  <ds:schemaRefs>
    <ds:schemaRef ds:uri="http://purl.org/dc/terms/"/>
    <ds:schemaRef ds:uri="http://purl.org/dc/elements/1.1/"/>
    <ds:schemaRef ds:uri="http://www.w3.org/XML/1998/namespace"/>
    <ds:schemaRef ds:uri="8e3c2809-b418-4596-82d3-520d433dc18b"/>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cb9cb45a-5642-4339-b944-a4d0488189b7"/>
  </ds:schemaRefs>
</ds:datastoreItem>
</file>

<file path=docMetadata/LabelInfo.xml><?xml version="1.0" encoding="utf-8"?>
<clbl:labelList xmlns:clbl="http://schemas.microsoft.com/office/2020/mipLabelMetadata">
  <clbl:label id="{d1b36e95-0d50-42e9-958f-b63fa906beaa}" enabled="0" method="" siteId="{d1b36e95-0d50-42e9-958f-b63fa906bea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S1_all_observations</vt:lpstr>
      <vt:lpstr>S2_all_studies</vt:lpstr>
      <vt:lpstr>S3_model_fitting</vt:lpstr>
      <vt:lpstr>S4_CN_changes</vt:lpstr>
      <vt:lpstr>S5_Rejected_studies</vt:lpstr>
      <vt:lpstr>S6_algal_taxonomy</vt:lpstr>
      <vt:lpstr>metadata</vt:lpstr>
      <vt:lpstr>S1_all_observations!Extract</vt:lpstr>
    </vt:vector>
  </TitlesOfParts>
  <Company>The University of Auckland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Caitlin Blain</dc:creator>
  <cp:lastModifiedBy>Jessica Kennedy</cp:lastModifiedBy>
  <dcterms:created xsi:type="dcterms:W3CDTF">2022-09-15T03:42:52Z</dcterms:created>
  <dcterms:modified xsi:type="dcterms:W3CDTF">2025-03-26T21:58:57Z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0x010100794D896729BE0E408CA8D2F9512B1510</vt:lpwstr>
  </property>
</Properties>
</file>